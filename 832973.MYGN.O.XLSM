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4.xml"/>
  <Override ContentType="application/vnd.openxmlformats-officedocument.spreadsheetml.externalLink+xml" PartName="/xl/externalLinks/externalLink5.xml"/>
  <Override ContentType="application/vnd.openxmlformats-officedocument.spreadsheetml.externalLink+xml" PartName="/xl/externalLinks/externalLink6.xml"/>
  <Override ContentType="application/vnd.openxmlformats-officedocument.spreadsheetml.externalLink+xml" PartName="/xl/externalLinks/externalLink7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-120" yWindow="30" windowWidth="19035" windowHeight="7395" tabRatio="861"/>
  </bookViews>
  <sheets>
    <sheet name="ImportantDisclosures" sheetId="77" r:id="rId1"/>
    <sheet name="TOC" sheetId="14" r:id="rId2"/>
    <sheet name="P&amp;L" sheetId="3" r:id="rId3"/>
    <sheet name="MYGN" sheetId="4" r:id="rId4"/>
    <sheet name="Assurex" sheetId="72" r:id="rId5"/>
    <sheet name="Bal Sht" sheetId="1" r:id="rId6"/>
    <sheet name="Cash Flow" sheetId="2" r:id="rId7"/>
    <sheet name="MW-Cache" sheetId="13" state="veryHidden" r:id="rId8"/>
    <sheet name="DCF" sheetId="10" r:id="rId9"/>
    <sheet name="IndexInformation" sheetId="78" r:id="rId10"/>
    <sheet name="ModPubIndex" sheetId="79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_FDS_HYPERLINK_TOGGLE_STATE__" hidden="1">"ON"</definedName>
    <definedName name="__FDS_UNIQUE_RANGE_ID_GENERATOR_COUNTER" hidden="1">63</definedName>
    <definedName name="__FDS_USED_FOR_REUSING_RANGE_IDS_RECYCLE" localSheetId="8">{1,1}</definedName>
    <definedName name="_1__FDSAUDITLINK__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1__FDSAUDITLINK___1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1__FDSAUDITLINK___2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10__123Graph_ACHART_30" hidden="1">[1]Menu!$D$11:$M$11</definedName>
    <definedName name="_10__FDSAUDITLINK__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0__FDSAUDITLINK___1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0__FDSAUDITLINK___2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00__FDSAUDITLINK__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00__FDSAUDITLINK___1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00__FDSAUDITLINK___2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01__FDSAUDITLINK__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01__FDSAUDITLINK___1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01__FDSAUDITLINK___2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02__FDSAUDITLINK__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02__FDSAUDITLINK___1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02__FDSAUDITLINK___2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03__FDSAUDITLINK__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03__FDSAUDITLINK___1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03__FDSAUDITLINK___2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04__FDSAUDITLINK__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04__FDSAUDITLINK___1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04__FDSAUDITLINK___2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05__FDSAUDITLINK__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05__FDSAUDITLINK___1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05__FDSAUDITLINK___2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06__FDSAUDITLINK__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06__FDSAUDITLINK___1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06__FDSAUDITLINK___2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07__FDSAUDITLINK__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07__FDSAUDITLINK___1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07__FDSAUDITLINK___2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08__FDSAUDITLINK__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08__FDSAUDITLINK___1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08__FDSAUDITLINK___2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09__FDSAUDITLINK__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109__FDSAUDITLINK___1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109__FDSAUDITLINK___2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11__123Graph_ALIQUIDS" hidden="1">[2]P!$S$78:$AL$78</definedName>
    <definedName name="_11__FDSAUDITLINK__" hidden="1">{"fdsup://directions/FAT Viewer?action=UPDATE&amp;creator=factset&amp;DYN_ARGS=TRUE&amp;DOC_NAME=FAT:FQL_AUDITING_CLIENT_TEMPLATE.FAT&amp;display_string=Audit&amp;VAR:KEY=CNIVYLQDOT&amp;VAR:QUERY=RkZfU0hMRFJTX0VRKEFOTiwwKQ==&amp;WINDOW=FIRST_POPUP&amp;HEIGHT=450&amp;WIDTH=450&amp;START_MAXIMIZED=","FALSE&amp;VAR:CALENDAR=US&amp;VAR:SYMBOL=ZMH&amp;VAR:INDEX=0"}</definedName>
    <definedName name="_11__FDSAUDITLINK___1" hidden="1">{"fdsup://directions/FAT Viewer?action=UPDATE&amp;creator=factset&amp;DYN_ARGS=TRUE&amp;DOC_NAME=FAT:FQL_AUDITING_CLIENT_TEMPLATE.FAT&amp;display_string=Audit&amp;VAR:KEY=CNIVYLQDOT&amp;VAR:QUERY=RkZfU0hMRFJTX0VRKEFOTiwwKQ==&amp;WINDOW=FIRST_POPUP&amp;HEIGHT=450&amp;WIDTH=450&amp;START_MAXIMIZED=","FALSE&amp;VAR:CALENDAR=US&amp;VAR:SYMBOL=ZMH&amp;VAR:INDEX=0"}</definedName>
    <definedName name="_11__FDSAUDITLINK___2" hidden="1">{"fdsup://directions/FAT Viewer?action=UPDATE&amp;creator=factset&amp;DYN_ARGS=TRUE&amp;DOC_NAME=FAT:FQL_AUDITING_CLIENT_TEMPLATE.FAT&amp;display_string=Audit&amp;VAR:KEY=CNIVYLQDOT&amp;VAR:QUERY=RkZfU0hMRFJTX0VRKEFOTiwwKQ==&amp;WINDOW=FIRST_POPUP&amp;HEIGHT=450&amp;WIDTH=450&amp;START_MAXIMIZED=","FALSE&amp;VAR:CALENDAR=US&amp;VAR:SYMBOL=ZMH&amp;VAR:INDEX=0"}</definedName>
    <definedName name="_110__FDSAUDITLINK__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110__FDSAUDITLINK___1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110__FDSAUDITLINK___2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111__FDSAUDITLINK__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111__FDSAUDITLINK___1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111__FDSAUDITLINK___2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112__FDSAUDITLINK__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112__FDSAUDITLINK___1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112__FDSAUDITLINK___2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113__FDSAUDITLINK__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113__FDSAUDITLINK___1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113__FDSAUDITLINK___2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114__FDSAUDITLINK__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114__FDSAUDITLINK___1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114__FDSAUDITLINK___2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115__FDSAUDITLINK__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115__FDSAUDITLINK___1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115__FDSAUDITLINK___2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116__FDSAUDITLINK__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116__FDSAUDITLINK___1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116__FDSAUDITLINK___2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117__FDSAUDITLINK__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117__FDSAUDITLINK___1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117__FDSAUDITLINK___2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118__FDSAUDITLINK__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118__FDSAUDITLINK___1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118__FDSAUDITLINK___2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119__FDSAUDITLINK__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119__FDSAUDITLINK___1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119__FDSAUDITLINK___2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12__FDSAUDITLINK__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2__FDSAUDITLINK___1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2__FDSAUDITLINK___2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20__FDSAUDITLINK__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120__FDSAUDITLINK___1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120__FDSAUDITLINK___2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121__FDSAUDITLINK__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121__FDSAUDITLINK___1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121__FDSAUDITLINK___2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122__FDSAUDITLINK__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122__FDSAUDITLINK___1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122__FDSAUDITLINK___2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123__FDSAUDITLINK__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123__FDSAUDITLINK___1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123__FDSAUDITLINK___2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124__FDSAUDITLINK__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124__FDSAUDITLINK___1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124__FDSAUDITLINK___2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125__FDSAUDITLINK__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125__FDSAUDITLINK___1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125__FDSAUDITLINK___2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126__FDSAUDITLINK__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126__FDSAUDITLINK___1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126__FDSAUDITLINK___2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127__FDSAUDITLINK__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127__FDSAUDITLINK___1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127__FDSAUDITLINK___2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128__FDSAUDITLINK__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128__FDSAUDITLINK___1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128__FDSAUDITLINK___2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129__FDSAUDITLINK__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129__FDSAUDITLINK___1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129__FDSAUDITLINK___2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13__FDSAUDITLINK__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3__FDSAUDITLINK___1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3__FDSAUDITLINK___2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30__FDSAUDITLINK__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30__FDSAUDITLINK___1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30__FDSAUDITLINK___2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31__FDSAUDITLINK__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131__FDSAUDITLINK___1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131__FDSAUDITLINK___2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132__FDSAUDITLINK__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132__FDSAUDITLINK___1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132__FDSAUDITLINK___2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133__FDSAUDITLINK__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33__FDSAUDITLINK___1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33__FDSAUDITLINK___2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34__FDSAUDITLINK__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134__FDSAUDITLINK___1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134__FDSAUDITLINK___2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135__FDSAUDITLINK__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35__FDSAUDITLINK___1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35__FDSAUDITLINK___2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36__FDSAUDITLINK__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36__FDSAUDITLINK___1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36__FDSAUDITLINK___2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37__FDSAUDITLINK__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37__FDSAUDITLINK___1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37__FDSAUDITLINK___2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38__FDSAUDITLINK__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38__FDSAUDITLINK___1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38__FDSAUDITLINK___2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39__FDSAUDITLINK__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39__FDSAUDITLINK___1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39__FDSAUDITLINK___2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4__123Graph_Aｸﾞﾗﾌ_1" hidden="1">[3]ｾｸﾞﾒﾝﾄ!$E$164:$I$164</definedName>
    <definedName name="_14__FDSAUDITLINK__" hidden="1">{"fdsup://directions/FAT Viewer?action=UPDATE&amp;creator=factset&amp;DYN_ARGS=TRUE&amp;DOC_NAME=FAT:FQL_AUDITING_CLIENT_TEMPLATE.FAT&amp;display_string=Audit&amp;VAR:KEY=IHYVYNANAD&amp;VAR:QUERY=RkZfU0hMRFJTX0VRKEFOTiwwKQ==&amp;WINDOW=FIRST_POPUP&amp;HEIGHT=450&amp;WIDTH=450&amp;START_MAXIMIZED=","FALSE&amp;VAR:CALENDAR=US&amp;VAR:SYMBOL=MDT&amp;VAR:INDEX=0"}</definedName>
    <definedName name="_14__FDSAUDITLINK___1" hidden="1">{"fdsup://directions/FAT Viewer?action=UPDATE&amp;creator=factset&amp;DYN_ARGS=TRUE&amp;DOC_NAME=FAT:FQL_AUDITING_CLIENT_TEMPLATE.FAT&amp;display_string=Audit&amp;VAR:KEY=IHYVYNANAD&amp;VAR:QUERY=RkZfU0hMRFJTX0VRKEFOTiwwKQ==&amp;WINDOW=FIRST_POPUP&amp;HEIGHT=450&amp;WIDTH=450&amp;START_MAXIMIZED=","FALSE&amp;VAR:CALENDAR=US&amp;VAR:SYMBOL=MDT&amp;VAR:INDEX=0"}</definedName>
    <definedName name="_14__FDSAUDITLINK___2" hidden="1">{"fdsup://directions/FAT Viewer?action=UPDATE&amp;creator=factset&amp;DYN_ARGS=TRUE&amp;DOC_NAME=FAT:FQL_AUDITING_CLIENT_TEMPLATE.FAT&amp;display_string=Audit&amp;VAR:KEY=IHYVYNANAD&amp;VAR:QUERY=RkZfU0hMRFJTX0VRKEFOTiwwKQ==&amp;WINDOW=FIRST_POPUP&amp;HEIGHT=450&amp;WIDTH=450&amp;START_MAXIMIZED=","FALSE&amp;VAR:CALENDAR=US&amp;VAR:SYMBOL=MDT&amp;VAR:INDEX=0"}</definedName>
    <definedName name="_140__FDSAUDITLINK__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40__FDSAUDITLINK___1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40__FDSAUDITLINK___2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41__FDSAUDITLINK__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41__FDSAUDITLINK___1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41__FDSAUDITLINK___2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42__FDSAUDITLINK__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42__FDSAUDITLINK___1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42__FDSAUDITLINK___2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5__123Graph_Aｸﾞﾗﾌ_2" hidden="1">[3]単独!$AR$14:$AR$18</definedName>
    <definedName name="_15__FDSAUDITLINK__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5__FDSAUDITLINK___1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5__FDSAUDITLINK___2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6__FDSAUDITLINK__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6__FDSAUDITLINK___1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6__FDSAUDITLINK___2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7__FDSAUDITLINK__" hidden="1">{"fdsup://directions/FAT Viewer?action=UPDATE&amp;creator=factset&amp;DYN_ARGS=TRUE&amp;DOC_NAME=FAT:FQL_AUDITING_CLIENT_TEMPLATE.FAT&amp;display_string=Audit&amp;VAR:KEY=ADKHANUJIB&amp;VAR:QUERY=RkZfU0hMRFJTX0VRKEFOTiwwKQ==&amp;WINDOW=FIRST_POPUP&amp;HEIGHT=450&amp;WIDTH=450&amp;START_MAXIMIZED=","FALSE&amp;VAR:CALENDAR=US&amp;VAR:SYMBOL=IART&amp;VAR:INDEX=0"}</definedName>
    <definedName name="_17__FDSAUDITLINK___1" hidden="1">{"fdsup://directions/FAT Viewer?action=UPDATE&amp;creator=factset&amp;DYN_ARGS=TRUE&amp;DOC_NAME=FAT:FQL_AUDITING_CLIENT_TEMPLATE.FAT&amp;display_string=Audit&amp;VAR:KEY=ADKHANUJIB&amp;VAR:QUERY=RkZfU0hMRFJTX0VRKEFOTiwwKQ==&amp;WINDOW=FIRST_POPUP&amp;HEIGHT=450&amp;WIDTH=450&amp;START_MAXIMIZED=","FALSE&amp;VAR:CALENDAR=US&amp;VAR:SYMBOL=IART&amp;VAR:INDEX=0"}</definedName>
    <definedName name="_17__FDSAUDITLINK___2" hidden="1">{"fdsup://directions/FAT Viewer?action=UPDATE&amp;creator=factset&amp;DYN_ARGS=TRUE&amp;DOC_NAME=FAT:FQL_AUDITING_CLIENT_TEMPLATE.FAT&amp;display_string=Audit&amp;VAR:KEY=ADKHANUJIB&amp;VAR:QUERY=RkZfU0hMRFJTX0VRKEFOTiwwKQ==&amp;WINDOW=FIRST_POPUP&amp;HEIGHT=450&amp;WIDTH=450&amp;START_MAXIMIZED=","FALSE&amp;VAR:CALENDAR=US&amp;VAR:SYMBOL=IART&amp;VAR:INDEX=0"}</definedName>
    <definedName name="_18__123Graph_BCHART_111" hidden="1">[1]Menu!$D$24:$M$24</definedName>
    <definedName name="_18__FDSAUDITLINK__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8__FDSAUDITLINK___1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8__FDSAUDITLINK___2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9__123Graph_BCHART_112" hidden="1">[1]Menu!$D$18:$M$18</definedName>
    <definedName name="_19__FDSAUDITLINK__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19__FDSAUDITLINK___1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19__FDSAUDITLINK___2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1Q_01E">"_01"</definedName>
    <definedName name="_2__FDSAUDITLINK__" hidden="1">{"fdsup://directions/FAT Viewer?action=UPDATE&amp;creator=factset&amp;DYN_ARGS=TRUE&amp;DOC_NAME=FAT:FQL_AUDITING_CLIENT_TEMPLATE.FAT&amp;display_string=Audit&amp;VAR:KEY=INSRWVSTON&amp;VAR:QUERY=RkZfU0hMRFJTX0VRKEFOTiwwKQ==&amp;WINDOW=FIRST_POPUP&amp;HEIGHT=450&amp;WIDTH=450&amp;START_MAXIMIZED=","FALSE&amp;VAR:CALENDAR=US&amp;VAR:SYMBOL=HNSN&amp;VAR:INDEX=0"}</definedName>
    <definedName name="_2__FDSAUDITLINK___1" hidden="1">{"fdsup://directions/FAT Viewer?action=UPDATE&amp;creator=factset&amp;DYN_ARGS=TRUE&amp;DOC_NAME=FAT:FQL_AUDITING_CLIENT_TEMPLATE.FAT&amp;display_string=Audit&amp;VAR:KEY=INSRWVSTON&amp;VAR:QUERY=RkZfU0hMRFJTX0VRKEFOTiwwKQ==&amp;WINDOW=FIRST_POPUP&amp;HEIGHT=450&amp;WIDTH=450&amp;START_MAXIMIZED=","FALSE&amp;VAR:CALENDAR=US&amp;VAR:SYMBOL=HNSN&amp;VAR:INDEX=0"}</definedName>
    <definedName name="_2__FDSAUDITLINK___2" hidden="1">{"fdsup://directions/FAT Viewer?action=UPDATE&amp;creator=factset&amp;DYN_ARGS=TRUE&amp;DOC_NAME=FAT:FQL_AUDITING_CLIENT_TEMPLATE.FAT&amp;display_string=Audit&amp;VAR:KEY=INSRWVSTON&amp;VAR:QUERY=RkZfU0hMRFJTX0VRKEFOTiwwKQ==&amp;WINDOW=FIRST_POPUP&amp;HEIGHT=450&amp;WIDTH=450&amp;START_MAXIMIZED=","FALSE&amp;VAR:CALENDAR=US&amp;VAR:SYMBOL=HNSN&amp;VAR:INDEX=0"}</definedName>
    <definedName name="_20__123Graph_BCHART_26" hidden="1">[1]Menu!$D$88:$M$88</definedName>
    <definedName name="_20__FDSAUDITLINK__" hidden="1">{"fdsup://directions/FAT Viewer?action=UPDATE&amp;creator=factset&amp;DYN_ARGS=TRUE&amp;DOC_NAME=FAT:FQL_AUDITING_CLIENT_TEMPLATE.FAT&amp;display_string=Audit&amp;VAR:KEY=ATKJAZWHCF&amp;VAR:QUERY=RkZfU0hMRFJTX0VRKEFOTiwwKQ==&amp;WINDOW=FIRST_POPUP&amp;HEIGHT=450&amp;WIDTH=450&amp;START_MAXIMIZED=","FALSE&amp;VAR:CALENDAR=US&amp;VAR:SYMBOL=ISRG&amp;VAR:INDEX=0"}</definedName>
    <definedName name="_20__FDSAUDITLINK___1" hidden="1">{"fdsup://directions/FAT Viewer?action=UPDATE&amp;creator=factset&amp;DYN_ARGS=TRUE&amp;DOC_NAME=FAT:FQL_AUDITING_CLIENT_TEMPLATE.FAT&amp;display_string=Audit&amp;VAR:KEY=ATKJAZWHCF&amp;VAR:QUERY=RkZfU0hMRFJTX0VRKEFOTiwwKQ==&amp;WINDOW=FIRST_POPUP&amp;HEIGHT=450&amp;WIDTH=450&amp;START_MAXIMIZED=","FALSE&amp;VAR:CALENDAR=US&amp;VAR:SYMBOL=ISRG&amp;VAR:INDEX=0"}</definedName>
    <definedName name="_20__FDSAUDITLINK___2" hidden="1">{"fdsup://directions/FAT Viewer?action=UPDATE&amp;creator=factset&amp;DYN_ARGS=TRUE&amp;DOC_NAME=FAT:FQL_AUDITING_CLIENT_TEMPLATE.FAT&amp;display_string=Audit&amp;VAR:KEY=ATKJAZWHCF&amp;VAR:QUERY=RkZfU0hMRFJTX0VRKEFOTiwwKQ==&amp;WINDOW=FIRST_POPUP&amp;HEIGHT=450&amp;WIDTH=450&amp;START_MAXIMIZED=","FALSE&amp;VAR:CALENDAR=US&amp;VAR:SYMBOL=ISRG&amp;VAR:INDEX=0"}</definedName>
    <definedName name="_21__FDSAUDITLINK__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21__FDSAUDITLINK___1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21__FDSAUDITLINK___2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22__FDSAUDITLINK__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2__FDSAUDITLINK___1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2__FDSAUDITLINK___2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3__FDSAUDITLINK__" hidden="1">{"fdsup://directions/FAT Viewer?action=UPDATE&amp;creator=factset&amp;DYN_ARGS=TRUE&amp;DOC_NAME=FAT:FQL_AUDITING_CLIENT_TEMPLATE.FAT&amp;display_string=Audit&amp;VAR:KEY=EDUDMBAJMN&amp;VAR:QUERY=RkZfU0hMRFJTX0VRKEFOTiwwKQ==&amp;WINDOW=FIRST_POPUP&amp;HEIGHT=450&amp;WIDTH=450&amp;START_MAXIMIZED=","FALSE&amp;VAR:CALENDAR=US&amp;VAR:SYMBOL=HOLX&amp;VAR:INDEX=0"}</definedName>
    <definedName name="_23__FDSAUDITLINK___1" hidden="1">{"fdsup://directions/FAT Viewer?action=UPDATE&amp;creator=factset&amp;DYN_ARGS=TRUE&amp;DOC_NAME=FAT:FQL_AUDITING_CLIENT_TEMPLATE.FAT&amp;display_string=Audit&amp;VAR:KEY=EDUDMBAJMN&amp;VAR:QUERY=RkZfU0hMRFJTX0VRKEFOTiwwKQ==&amp;WINDOW=FIRST_POPUP&amp;HEIGHT=450&amp;WIDTH=450&amp;START_MAXIMIZED=","FALSE&amp;VAR:CALENDAR=US&amp;VAR:SYMBOL=HOLX&amp;VAR:INDEX=0"}</definedName>
    <definedName name="_23__FDSAUDITLINK___2" hidden="1">{"fdsup://directions/FAT Viewer?action=UPDATE&amp;creator=factset&amp;DYN_ARGS=TRUE&amp;DOC_NAME=FAT:FQL_AUDITING_CLIENT_TEMPLATE.FAT&amp;display_string=Audit&amp;VAR:KEY=EDUDMBAJMN&amp;VAR:QUERY=RkZfU0hMRFJTX0VRKEFOTiwwKQ==&amp;WINDOW=FIRST_POPUP&amp;HEIGHT=450&amp;WIDTH=450&amp;START_MAXIMIZED=","FALSE&amp;VAR:CALENDAR=US&amp;VAR:SYMBOL=HOLX&amp;VAR:INDEX=0"}</definedName>
    <definedName name="_24__123Graph_Bｸﾞﾗﾌ_1" hidden="1">[3]ｾｸﾞﾒﾝﾄ!$E$165:$I$165</definedName>
    <definedName name="_24__FDSAUDITLINK__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4__FDSAUDITLINK___1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4__FDSAUDITLINK___2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5__123Graph_CCHART_111" hidden="1">[1]Menu!$D$25:$M$25</definedName>
    <definedName name="_25__FDSAUDITLINK__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5__FDSAUDITLINK___1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5__FDSAUDITLINK___2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6__123Graph_CCHART_112" hidden="1">[1]Menu!$D$19:$M$19</definedName>
    <definedName name="_26__FDSAUDITLINK__" hidden="1">{"fdsup://directions/FAT Viewer?action=UPDATE&amp;creator=factset&amp;DYN_ARGS=TRUE&amp;DOC_NAME=FAT:FQL_AUDITING_CLIENT_TEMPLATE.FAT&amp;display_string=Audit&amp;VAR:KEY=ODONEVYNGP&amp;VAR:QUERY=RkZfU0hMRFJTX0VRKEFOTiwwKQ==&amp;WINDOW=FIRST_POPUP&amp;HEIGHT=450&amp;WIDTH=450&amp;START_MAXIMIZED=","FALSE&amp;VAR:CALENDAR=US&amp;VAR:SYMBOL=MAKO&amp;VAR:INDEX=0"}</definedName>
    <definedName name="_26__FDSAUDITLINK___1" hidden="1">{"fdsup://directions/FAT Viewer?action=UPDATE&amp;creator=factset&amp;DYN_ARGS=TRUE&amp;DOC_NAME=FAT:FQL_AUDITING_CLIENT_TEMPLATE.FAT&amp;display_string=Audit&amp;VAR:KEY=ODONEVYNGP&amp;VAR:QUERY=RkZfU0hMRFJTX0VRKEFOTiwwKQ==&amp;WINDOW=FIRST_POPUP&amp;HEIGHT=450&amp;WIDTH=450&amp;START_MAXIMIZED=","FALSE&amp;VAR:CALENDAR=US&amp;VAR:SYMBOL=MAKO&amp;VAR:INDEX=0"}</definedName>
    <definedName name="_26__FDSAUDITLINK___2" hidden="1">{"fdsup://directions/FAT Viewer?action=UPDATE&amp;creator=factset&amp;DYN_ARGS=TRUE&amp;DOC_NAME=FAT:FQL_AUDITING_CLIENT_TEMPLATE.FAT&amp;display_string=Audit&amp;VAR:KEY=ODONEVYNGP&amp;VAR:QUERY=RkZfU0hMRFJTX0VRKEFOTiwwKQ==&amp;WINDOW=FIRST_POPUP&amp;HEIGHT=450&amp;WIDTH=450&amp;START_MAXIMIZED=","FALSE&amp;VAR:CALENDAR=US&amp;VAR:SYMBOL=MAKO&amp;VAR:INDEX=0"}</definedName>
    <definedName name="_27__123Graph_CCHART_26" hidden="1">[1]Menu!$D$92:$M$92</definedName>
    <definedName name="_27__FDSAUDITLINK__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7__FDSAUDITLINK___1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7__FDSAUDITLINK___2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8__123Graph_CCHART_30" hidden="1">[1]Menu!$D$12:$M$12</definedName>
    <definedName name="_28__FDSAUDITLINK__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28__FDSAUDITLINK___1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28__FDSAUDITLINK___2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29__FDSAUDITLINK__" hidden="1">{"fdsup://directions/FAT Viewer?action=UPDATE&amp;creator=factset&amp;DYN_ARGS=TRUE&amp;DOC_NAME=FAT:FQL_AUDITING_CLIENT_TEMPLATE.FAT&amp;display_string=Audit&amp;VAR:KEY=SPIJALOVOX&amp;VAR:QUERY=RkZfU0hMRFJTX0VRKEFOTiwwKQ==&amp;WINDOW=FIRST_POPUP&amp;HEIGHT=450&amp;WIDTH=450&amp;START_MAXIMIZED=","FALSE&amp;VAR:CALENDAR=US&amp;VAR:SYMBOL=BCR&amp;VAR:INDEX=0"}</definedName>
    <definedName name="_29__FDSAUDITLINK___1" hidden="1">{"fdsup://directions/FAT Viewer?action=UPDATE&amp;creator=factset&amp;DYN_ARGS=TRUE&amp;DOC_NAME=FAT:FQL_AUDITING_CLIENT_TEMPLATE.FAT&amp;display_string=Audit&amp;VAR:KEY=SPIJALOVOX&amp;VAR:QUERY=RkZfU0hMRFJTX0VRKEFOTiwwKQ==&amp;WINDOW=FIRST_POPUP&amp;HEIGHT=450&amp;WIDTH=450&amp;START_MAXIMIZED=","FALSE&amp;VAR:CALENDAR=US&amp;VAR:SYMBOL=BCR&amp;VAR:INDEX=0"}</definedName>
    <definedName name="_29__FDSAUDITLINK___2" hidden="1">{"fdsup://directions/FAT Viewer?action=UPDATE&amp;creator=factset&amp;DYN_ARGS=TRUE&amp;DOC_NAME=FAT:FQL_AUDITING_CLIENT_TEMPLATE.FAT&amp;display_string=Audit&amp;VAR:KEY=SPIJALOVOX&amp;VAR:QUERY=RkZfU0hMRFJTX0VRKEFOTiwwKQ==&amp;WINDOW=FIRST_POPUP&amp;HEIGHT=450&amp;WIDTH=450&amp;START_MAXIMIZED=","FALSE&amp;VAR:CALENDAR=US&amp;VAR:SYMBOL=BCR&amp;VAR:INDEX=0"}</definedName>
    <definedName name="_3__FDSAUDITLINK__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3__FDSAUDITLINK___1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3__FDSAUDITLINK___2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30__FDSAUDITLINK__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30__FDSAUDITLINK___1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30__FDSAUDITLINK___2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31__123Graph_DCHART_112" hidden="1">[1]Menu!$D$16:$M$16</definedName>
    <definedName name="_31__FDSAUDITLINK__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1__FDSAUDITLINK___1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1__FDSAUDITLINK___2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2__123Graph_Dｸﾞﾗﾌ_1" hidden="1">[3]ｾｸﾞﾒﾝﾄ!$E$167:$I$167</definedName>
    <definedName name="_32__FDSAUDITLINK__" hidden="1">{"fdsup://directions/FAT Viewer?action=UPDATE&amp;creator=factset&amp;DYN_ARGS=TRUE&amp;DOC_NAME=FAT:FQL_AUDITING_CLIENT_TEMPLATE.FAT&amp;display_string=Audit&amp;VAR:KEY=SBADOJWLUZ&amp;VAR:QUERY=RkZfU0hMRFJTX0VRKEFOTiwwKQ==&amp;WINDOW=FIRST_POPUP&amp;HEIGHT=450&amp;WIDTH=450&amp;START_MAXIMIZED=","FALSE&amp;VAR:CALENDAR=US&amp;VAR:SYMBOL=EW&amp;VAR:INDEX=0"}</definedName>
    <definedName name="_32__FDSAUDITLINK___1" hidden="1">{"fdsup://directions/FAT Viewer?action=UPDATE&amp;creator=factset&amp;DYN_ARGS=TRUE&amp;DOC_NAME=FAT:FQL_AUDITING_CLIENT_TEMPLATE.FAT&amp;display_string=Audit&amp;VAR:KEY=SBADOJWLUZ&amp;VAR:QUERY=RkZfU0hMRFJTX0VRKEFOTiwwKQ==&amp;WINDOW=FIRST_POPUP&amp;HEIGHT=450&amp;WIDTH=450&amp;START_MAXIMIZED=","FALSE&amp;VAR:CALENDAR=US&amp;VAR:SYMBOL=EW&amp;VAR:INDEX=0"}</definedName>
    <definedName name="_32__FDSAUDITLINK___2" hidden="1">{"fdsup://directions/FAT Viewer?action=UPDATE&amp;creator=factset&amp;DYN_ARGS=TRUE&amp;DOC_NAME=FAT:FQL_AUDITING_CLIENT_TEMPLATE.FAT&amp;display_string=Audit&amp;VAR:KEY=SBADOJWLUZ&amp;VAR:QUERY=RkZfU0hMRFJTX0VRKEFOTiwwKQ==&amp;WINDOW=FIRST_POPUP&amp;HEIGHT=450&amp;WIDTH=450&amp;START_MAXIMIZED=","FALSE&amp;VAR:CALENDAR=US&amp;VAR:SYMBOL=EW&amp;VAR:INDEX=0"}</definedName>
    <definedName name="_33__FDSAUDITLINK__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3__FDSAUDITLINK___1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3__FDSAUDITLINK___2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4__FDSAUDITLINK__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4__FDSAUDITLINK___1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4__FDSAUDITLINK___2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5__FDSAUDITLINK__" hidden="1">{"fdsup://directions/FAT Viewer?action=UPDATE&amp;creator=factset&amp;DYN_ARGS=TRUE&amp;DOC_NAME=FAT:FQL_AUDITING_CLIENT_TEMPLATE.FAT&amp;display_string=Audit&amp;VAR:KEY=WPWDABQVWF&amp;VAR:QUERY=RkZfU0hMRFJTX0VRKEFOTiwwKQ==&amp;WINDOW=FIRST_POPUP&amp;HEIGHT=450&amp;WIDTH=450&amp;START_MAXIMIZED=","FALSE&amp;VAR:CALENDAR=US&amp;VAR:SYMBOL=BSX&amp;VAR:INDEX=0"}</definedName>
    <definedName name="_35__FDSAUDITLINK___1" hidden="1">{"fdsup://directions/FAT Viewer?action=UPDATE&amp;creator=factset&amp;DYN_ARGS=TRUE&amp;DOC_NAME=FAT:FQL_AUDITING_CLIENT_TEMPLATE.FAT&amp;display_string=Audit&amp;VAR:KEY=WPWDABQVWF&amp;VAR:QUERY=RkZfU0hMRFJTX0VRKEFOTiwwKQ==&amp;WINDOW=FIRST_POPUP&amp;HEIGHT=450&amp;WIDTH=450&amp;START_MAXIMIZED=","FALSE&amp;VAR:CALENDAR=US&amp;VAR:SYMBOL=BSX&amp;VAR:INDEX=0"}</definedName>
    <definedName name="_35__FDSAUDITLINK___2" hidden="1">{"fdsup://directions/FAT Viewer?action=UPDATE&amp;creator=factset&amp;DYN_ARGS=TRUE&amp;DOC_NAME=FAT:FQL_AUDITING_CLIENT_TEMPLATE.FAT&amp;display_string=Audit&amp;VAR:KEY=WPWDABQVWF&amp;VAR:QUERY=RkZfU0hMRFJTX0VRKEFOTiwwKQ==&amp;WINDOW=FIRST_POPUP&amp;HEIGHT=450&amp;WIDTH=450&amp;START_MAXIMIZED=","FALSE&amp;VAR:CALENDAR=US&amp;VAR:SYMBOL=BSX&amp;VAR:INDEX=0"}</definedName>
    <definedName name="_36__FDSAUDITLINK__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6__FDSAUDITLINK___1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6__FDSAUDITLINK___2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7__FDSAUDITLINK__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7__FDSAUDITLINK___1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7__FDSAUDITLINK___2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8__123Graph_XCHART_112" hidden="1">[1]Menu!$AF$15:$AO$15</definedName>
    <definedName name="_38__FDSAUDITLINK__" hidden="1">{"fdsup://directions/FAT Viewer?action=UPDATE&amp;creator=factset&amp;DYN_ARGS=TRUE&amp;DOC_NAME=FAT:FQL_AUDITING_CLIENT_TEMPLATE.FAT&amp;display_string=Audit&amp;VAR:KEY=QBGRYJGXCZ&amp;VAR:QUERY=RkZfU0hMRFJTX0VRKEFOTiwwKQ==&amp;WINDOW=FIRST_POPUP&amp;HEIGHT=450&amp;WIDTH=450&amp;START_MAXIMIZED=","FALSE&amp;VAR:CALENDAR=US&amp;VAR:SYMBOL=BDX&amp;VAR:INDEX=0"}</definedName>
    <definedName name="_38__FDSAUDITLINK___1" hidden="1">{"fdsup://directions/FAT Viewer?action=UPDATE&amp;creator=factset&amp;DYN_ARGS=TRUE&amp;DOC_NAME=FAT:FQL_AUDITING_CLIENT_TEMPLATE.FAT&amp;display_string=Audit&amp;VAR:KEY=QBGRYJGXCZ&amp;VAR:QUERY=RkZfU0hMRFJTX0VRKEFOTiwwKQ==&amp;WINDOW=FIRST_POPUP&amp;HEIGHT=450&amp;WIDTH=450&amp;START_MAXIMIZED=","FALSE&amp;VAR:CALENDAR=US&amp;VAR:SYMBOL=BDX&amp;VAR:INDEX=0"}</definedName>
    <definedName name="_38__FDSAUDITLINK___2" hidden="1">{"fdsup://directions/FAT Viewer?action=UPDATE&amp;creator=factset&amp;DYN_ARGS=TRUE&amp;DOC_NAME=FAT:FQL_AUDITING_CLIENT_TEMPLATE.FAT&amp;display_string=Audit&amp;VAR:KEY=QBGRYJGXCZ&amp;VAR:QUERY=RkZfU0hMRFJTX0VRKEFOTiwwKQ==&amp;WINDOW=FIRST_POPUP&amp;HEIGHT=450&amp;WIDTH=450&amp;START_MAXIMIZED=","FALSE&amp;VAR:CALENDAR=US&amp;VAR:SYMBOL=BDX&amp;VAR:INDEX=0"}</definedName>
    <definedName name="_39__123Graph_XCHART_30" hidden="1">[1]Menu!$AF$15:$AO$15</definedName>
    <definedName name="_39__FDSAUDITLINK__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9__FDSAUDITLINK___1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9__FDSAUDITLINK___2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4__123Graph_ACHART_111" hidden="1">[1]Menu!$D$23:$M$23</definedName>
    <definedName name="_4__FDSAUDITLINK__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4__FDSAUDITLINK___1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4__FDSAUDITLINK___2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40__123Graph_XLIQUIDS" hidden="1">[2]P!$R$29:$AK$29</definedName>
    <definedName name="_40__FDSAUDITLINK__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0__FDSAUDITLINK___1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0__FDSAUDITLINK___2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1__123Graph_XR_M_MARG" hidden="1">[2]P!$R$29:$AK$29</definedName>
    <definedName name="_41__FDSAUDITLINK__" hidden="1">{"fdsup://directions/FAT Viewer?action=UPDATE&amp;creator=factset&amp;DYN_ARGS=TRUE&amp;DOC_NAME=FAT:FQL_AUDITING_CLIENT_TEMPLATE.FAT&amp;display_string=Audit&amp;VAR:KEY=AZQJQZGTYH&amp;VAR:QUERY=RkZfU0hMRFJTX0VRKEFOTiwwKQ==&amp;WINDOW=FIRST_POPUP&amp;HEIGHT=450&amp;WIDTH=450&amp;START_MAXIMIZED=","FALSE&amp;VAR:CALENDAR=US&amp;VAR:SYMBOL=JNJ&amp;VAR:INDEX=0"}</definedName>
    <definedName name="_41__FDSAUDITLINK___1" hidden="1">{"fdsup://directions/FAT Viewer?action=UPDATE&amp;creator=factset&amp;DYN_ARGS=TRUE&amp;DOC_NAME=FAT:FQL_AUDITING_CLIENT_TEMPLATE.FAT&amp;display_string=Audit&amp;VAR:KEY=AZQJQZGTYH&amp;VAR:QUERY=RkZfU0hMRFJTX0VRKEFOTiwwKQ==&amp;WINDOW=FIRST_POPUP&amp;HEIGHT=450&amp;WIDTH=450&amp;START_MAXIMIZED=","FALSE&amp;VAR:CALENDAR=US&amp;VAR:SYMBOL=JNJ&amp;VAR:INDEX=0"}</definedName>
    <definedName name="_41__FDSAUDITLINK___2" hidden="1">{"fdsup://directions/FAT Viewer?action=UPDATE&amp;creator=factset&amp;DYN_ARGS=TRUE&amp;DOC_NAME=FAT:FQL_AUDITING_CLIENT_TEMPLATE.FAT&amp;display_string=Audit&amp;VAR:KEY=AZQJQZGTYH&amp;VAR:QUERY=RkZfU0hMRFJTX0VRKEFOTiwwKQ==&amp;WINDOW=FIRST_POPUP&amp;HEIGHT=450&amp;WIDTH=450&amp;START_MAXIMIZED=","FALSE&amp;VAR:CALENDAR=US&amp;VAR:SYMBOL=JNJ&amp;VAR:INDEX=0"}</definedName>
    <definedName name="_42__FDSAUDITLINK__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2__FDSAUDITLINK___1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2__FDSAUDITLINK___2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3__FDSAUDITLINK__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3__FDSAUDITLINK___1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3__FDSAUDITLINK___2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4__FDSAUDITLINK__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44__FDSAUDITLINK___1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44__FDSAUDITLINK___2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45__FDSAUDITLINK__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5__FDSAUDITLINK___1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5__FDSAUDITLINK___2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6__FDSAUDITLINK__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6__FDSAUDITLINK___1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6__FDSAUDITLINK___2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7__FDSAUDITLINK__" hidden="1">{"fdsup://directions/FAT Viewer?action=UPDATE&amp;creator=factset&amp;DYN_ARGS=TRUE&amp;DOC_NAME=FAT:FQL_AUDITING_CLIENT_TEMPLATE.FAT&amp;display_string=Audit&amp;VAR:KEY=QJQXAFAHUH&amp;VAR:QUERY=RkZfU0hMRFJTX0VRKEFOTiwwKQ==&amp;WINDOW=FIRST_POPUP&amp;HEIGHT=450&amp;WIDTH=450&amp;START_MAXIMIZED=","FALSE&amp;VAR:CALENDAR=US&amp;VAR:SYMBOL=GRFS&amp;VAR:INDEX=0"}</definedName>
    <definedName name="_47__FDSAUDITLINK___1" hidden="1">{"fdsup://directions/FAT Viewer?action=UPDATE&amp;creator=factset&amp;DYN_ARGS=TRUE&amp;DOC_NAME=FAT:FQL_AUDITING_CLIENT_TEMPLATE.FAT&amp;display_string=Audit&amp;VAR:KEY=QJQXAFAHUH&amp;VAR:QUERY=RkZfU0hMRFJTX0VRKEFOTiwwKQ==&amp;WINDOW=FIRST_POPUP&amp;HEIGHT=450&amp;WIDTH=450&amp;START_MAXIMIZED=","FALSE&amp;VAR:CALENDAR=US&amp;VAR:SYMBOL=GRFS&amp;VAR:INDEX=0"}</definedName>
    <definedName name="_47__FDSAUDITLINK___2" hidden="1">{"fdsup://directions/FAT Viewer?action=UPDATE&amp;creator=factset&amp;DYN_ARGS=TRUE&amp;DOC_NAME=FAT:FQL_AUDITING_CLIENT_TEMPLATE.FAT&amp;display_string=Audit&amp;VAR:KEY=QJQXAFAHUH&amp;VAR:QUERY=RkZfU0hMRFJTX0VRKEFOTiwwKQ==&amp;WINDOW=FIRST_POPUP&amp;HEIGHT=450&amp;WIDTH=450&amp;START_MAXIMIZED=","FALSE&amp;VAR:CALENDAR=US&amp;VAR:SYMBOL=GRFS&amp;VAR:INDEX=0"}</definedName>
    <definedName name="_48__FDSAUDITLINK__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8__FDSAUDITLINK___1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8__FDSAUDITLINK___2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9__FDSAUDITLINK__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49__FDSAUDITLINK___1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49__FDSAUDITLINK___2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5__123Graph_ACHART_112" hidden="1">[1]Menu!$D$17:$M$17</definedName>
    <definedName name="_5__FDSAUDITLINK__" hidden="1">{"fdsup://directions/FAT Viewer?action=UPDATE&amp;creator=factset&amp;DYN_ARGS=TRUE&amp;DOC_NAME=FAT:FQL_AUDITING_CLIENT_TEMPLATE.FAT&amp;display_string=Audit&amp;VAR:KEY=CZONIFIPEV&amp;VAR:QUERY=RkZfU0hMRFJTX0VRKEFOTiwwKQ==&amp;WINDOW=FIRST_POPUP&amp;HEIGHT=450&amp;WIDTH=450&amp;START_MAXIMIZED=","FALSE&amp;VAR:CALENDAR=US&amp;VAR:SYMBOL=HAE&amp;VAR:INDEX=0"}</definedName>
    <definedName name="_5__FDSAUDITLINK___1" hidden="1">{"fdsup://directions/FAT Viewer?action=UPDATE&amp;creator=factset&amp;DYN_ARGS=TRUE&amp;DOC_NAME=FAT:FQL_AUDITING_CLIENT_TEMPLATE.FAT&amp;display_string=Audit&amp;VAR:KEY=CZONIFIPEV&amp;VAR:QUERY=RkZfU0hMRFJTX0VRKEFOTiwwKQ==&amp;WINDOW=FIRST_POPUP&amp;HEIGHT=450&amp;WIDTH=450&amp;START_MAXIMIZED=","FALSE&amp;VAR:CALENDAR=US&amp;VAR:SYMBOL=HAE&amp;VAR:INDEX=0"}</definedName>
    <definedName name="_5__FDSAUDITLINK___2" hidden="1">{"fdsup://directions/FAT Viewer?action=UPDATE&amp;creator=factset&amp;DYN_ARGS=TRUE&amp;DOC_NAME=FAT:FQL_AUDITING_CLIENT_TEMPLATE.FAT&amp;display_string=Audit&amp;VAR:KEY=CZONIFIPEV&amp;VAR:QUERY=RkZfU0hMRFJTX0VRKEFOTiwwKQ==&amp;WINDOW=FIRST_POPUP&amp;HEIGHT=450&amp;WIDTH=450&amp;START_MAXIMIZED=","FALSE&amp;VAR:CALENDAR=US&amp;VAR:SYMBOL=HAE&amp;VAR:INDEX=0"}</definedName>
    <definedName name="_50__FDSAUDITLINK__" hidden="1">{"fdsup://directions/FAT Viewer?action=UPDATE&amp;creator=factset&amp;DYN_ARGS=TRUE&amp;DOC_NAME=FAT:FQL_AUDITING_CLIENT_TEMPLATE.FAT&amp;display_string=Audit&amp;VAR:KEY=WFGRSLKHUJ&amp;VAR:QUERY=RkZfU0hMRFJTX0VRKEFOTiwwKQ==&amp;WINDOW=FIRST_POPUP&amp;HEIGHT=450&amp;WIDTH=450&amp;START_MAXIMIZED=","FALSE&amp;VAR:CALENDAR=US&amp;VAR:SYMBOL=SYK&amp;VAR:INDEX=0"}</definedName>
    <definedName name="_50__FDSAUDITLINK___1" hidden="1">{"fdsup://directions/FAT Viewer?action=UPDATE&amp;creator=factset&amp;DYN_ARGS=TRUE&amp;DOC_NAME=FAT:FQL_AUDITING_CLIENT_TEMPLATE.FAT&amp;display_string=Audit&amp;VAR:KEY=WFGRSLKHUJ&amp;VAR:QUERY=RkZfU0hMRFJTX0VRKEFOTiwwKQ==&amp;WINDOW=FIRST_POPUP&amp;HEIGHT=450&amp;WIDTH=450&amp;START_MAXIMIZED=","FALSE&amp;VAR:CALENDAR=US&amp;VAR:SYMBOL=SYK&amp;VAR:INDEX=0"}</definedName>
    <definedName name="_50__FDSAUDITLINK___2" hidden="1">{"fdsup://directions/FAT Viewer?action=UPDATE&amp;creator=factset&amp;DYN_ARGS=TRUE&amp;DOC_NAME=FAT:FQL_AUDITING_CLIENT_TEMPLATE.FAT&amp;display_string=Audit&amp;VAR:KEY=WFGRSLKHUJ&amp;VAR:QUERY=RkZfU0hMRFJTX0VRKEFOTiwwKQ==&amp;WINDOW=FIRST_POPUP&amp;HEIGHT=450&amp;WIDTH=450&amp;START_MAXIMIZED=","FALSE&amp;VAR:CALENDAR=US&amp;VAR:SYMBOL=SYK&amp;VAR:INDEX=0"}</definedName>
    <definedName name="_51__FDSAUDITLINK__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51__FDSAUDITLINK___1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51__FDSAUDITLINK___2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52__FDSAUDITLINK__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2__FDSAUDITLINK___1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2__FDSAUDITLINK___2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3__FDSAUDITLINK__" hidden="1">{"fdsup://directions/FAT Viewer?action=UPDATE&amp;creator=factset&amp;DYN_ARGS=TRUE&amp;DOC_NAME=FAT:FQL_AUDITING_CLIENT_TEMPLATE.FAT&amp;display_string=Audit&amp;VAR:KEY=UPALKLADUR&amp;VAR:QUERY=RkZfU0hMRFJTX0VRKEFOTiwwKQ==&amp;WINDOW=FIRST_POPUP&amp;HEIGHT=450&amp;WIDTH=450&amp;START_MAXIMIZED=","FALSE&amp;VAR:CALENDAR=US&amp;VAR:SYMBOL=G2554F11&amp;VAR:INDEX=0"}</definedName>
    <definedName name="_53__FDSAUDITLINK___1" hidden="1">{"fdsup://directions/FAT Viewer?action=UPDATE&amp;creator=factset&amp;DYN_ARGS=TRUE&amp;DOC_NAME=FAT:FQL_AUDITING_CLIENT_TEMPLATE.FAT&amp;display_string=Audit&amp;VAR:KEY=UPALKLADUR&amp;VAR:QUERY=RkZfU0hMRFJTX0VRKEFOTiwwKQ==&amp;WINDOW=FIRST_POPUP&amp;HEIGHT=450&amp;WIDTH=450&amp;START_MAXIMIZED=","FALSE&amp;VAR:CALENDAR=US&amp;VAR:SYMBOL=G2554F11&amp;VAR:INDEX=0"}</definedName>
    <definedName name="_53__FDSAUDITLINK___2" hidden="1">{"fdsup://directions/FAT Viewer?action=UPDATE&amp;creator=factset&amp;DYN_ARGS=TRUE&amp;DOC_NAME=FAT:FQL_AUDITING_CLIENT_TEMPLATE.FAT&amp;display_string=Audit&amp;VAR:KEY=UPALKLADUR&amp;VAR:QUERY=RkZfU0hMRFJTX0VRKEFOTiwwKQ==&amp;WINDOW=FIRST_POPUP&amp;HEIGHT=450&amp;WIDTH=450&amp;START_MAXIMIZED=","FALSE&amp;VAR:CALENDAR=US&amp;VAR:SYMBOL=G2554F11&amp;VAR:INDEX=0"}</definedName>
    <definedName name="_54__FDSAUDITLINK__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4__FDSAUDITLINK___1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4__FDSAUDITLINK___2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5__FDSAUDITLINK__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5__FDSAUDITLINK___1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5__FDSAUDITLINK___2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6__FDSAUDITLINK__" hidden="1">{"fdsup://directions/FAT Viewer?action=UPDATE&amp;creator=factset&amp;DYN_ARGS=TRUE&amp;DOC_NAME=FAT:FQL_AUDITING_CLIENT_TEMPLATE.FAT&amp;display_string=Audit&amp;VAR:KEY=AJONIVGJWF&amp;VAR:QUERY=RkZfU0hMRFJTX0VRKEFOTiwwKQ==&amp;WINDOW=FIRST_POPUP&amp;HEIGHT=450&amp;WIDTH=450&amp;START_MAXIMIZED=","FALSE&amp;VAR:CALENDAR=US&amp;VAR:SYMBOL=CFN&amp;VAR:INDEX=0"}</definedName>
    <definedName name="_56__FDSAUDITLINK___1" hidden="1">{"fdsup://directions/FAT Viewer?action=UPDATE&amp;creator=factset&amp;DYN_ARGS=TRUE&amp;DOC_NAME=FAT:FQL_AUDITING_CLIENT_TEMPLATE.FAT&amp;display_string=Audit&amp;VAR:KEY=AJONIVGJWF&amp;VAR:QUERY=RkZfU0hMRFJTX0VRKEFOTiwwKQ==&amp;WINDOW=FIRST_POPUP&amp;HEIGHT=450&amp;WIDTH=450&amp;START_MAXIMIZED=","FALSE&amp;VAR:CALENDAR=US&amp;VAR:SYMBOL=CFN&amp;VAR:INDEX=0"}</definedName>
    <definedName name="_56__FDSAUDITLINK___2" hidden="1">{"fdsup://directions/FAT Viewer?action=UPDATE&amp;creator=factset&amp;DYN_ARGS=TRUE&amp;DOC_NAME=FAT:FQL_AUDITING_CLIENT_TEMPLATE.FAT&amp;display_string=Audit&amp;VAR:KEY=AJONIVGJWF&amp;VAR:QUERY=RkZfU0hMRFJTX0VRKEFOTiwwKQ==&amp;WINDOW=FIRST_POPUP&amp;HEIGHT=450&amp;WIDTH=450&amp;START_MAXIMIZED=","FALSE&amp;VAR:CALENDAR=US&amp;VAR:SYMBOL=CFN&amp;VAR:INDEX=0"}</definedName>
    <definedName name="_57__FDSAUDITLINK__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7__FDSAUDITLINK___1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7__FDSAUDITLINK___2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8__FDSAUDITLINK__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58__FDSAUDITLINK___1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58__FDSAUDITLINK___2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59__FDSAUDITLINK__" hidden="1">{"fdsup://directions/FAT Viewer?action=UPDATE&amp;creator=factset&amp;DYN_ARGS=TRUE&amp;DOC_NAME=FAT:FQL_AUDITING_CLIENT_TEMPLATE.FAT&amp;display_string=Audit&amp;VAR:KEY=ULODCZQHUV&amp;VAR:QUERY=RkZfU0hMRFJTX0VRKEFOTiwwKQ==&amp;WINDOW=FIRST_POPUP&amp;HEIGHT=450&amp;WIDTH=450&amp;START_MAXIMIZED=","FALSE&amp;VAR:CALENDAR=US&amp;VAR:SYMBOL=BAX&amp;VAR:INDEX=0"}</definedName>
    <definedName name="_59__FDSAUDITLINK___1" hidden="1">{"fdsup://directions/FAT Viewer?action=UPDATE&amp;creator=factset&amp;DYN_ARGS=TRUE&amp;DOC_NAME=FAT:FQL_AUDITING_CLIENT_TEMPLATE.FAT&amp;display_string=Audit&amp;VAR:KEY=ULODCZQHUV&amp;VAR:QUERY=RkZfU0hMRFJTX0VRKEFOTiwwKQ==&amp;WINDOW=FIRST_POPUP&amp;HEIGHT=450&amp;WIDTH=450&amp;START_MAXIMIZED=","FALSE&amp;VAR:CALENDAR=US&amp;VAR:SYMBOL=BAX&amp;VAR:INDEX=0"}</definedName>
    <definedName name="_59__FDSAUDITLINK___2" hidden="1">{"fdsup://directions/FAT Viewer?action=UPDATE&amp;creator=factset&amp;DYN_ARGS=TRUE&amp;DOC_NAME=FAT:FQL_AUDITING_CLIENT_TEMPLATE.FAT&amp;display_string=Audit&amp;VAR:KEY=ULODCZQHUV&amp;VAR:QUERY=RkZfU0hMRFJTX0VRKEFOTiwwKQ==&amp;WINDOW=FIRST_POPUP&amp;HEIGHT=450&amp;WIDTH=450&amp;START_MAXIMIZED=","FALSE&amp;VAR:CALENDAR=US&amp;VAR:SYMBOL=BAX&amp;VAR:INDEX=0"}</definedName>
    <definedName name="_6__123Graph_ACHART_26" hidden="1">[1]Menu!$D$83:$M$83</definedName>
    <definedName name="_6__FDSAUDITLINK__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6__FDSAUDITLINK___1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6__FDSAUDITLINK___2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60__FDSAUDITLINK__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60__FDSAUDITLINK___1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60__FDSAUDITLINK___2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61__FDSAUDITLINK__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1__FDSAUDITLINK___1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1__FDSAUDITLINK___2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2__FDSAUDITLINK__" hidden="1">{"fdsup://directions/FAT Viewer?action=UPDATE&amp;creator=factset&amp;DYN_ARGS=TRUE&amp;DOC_NAME=FAT:FQL_AUDITING_CLIENT_TEMPLATE.FAT&amp;display_string=Audit&amp;VAR:KEY=MHEPWPCLGD&amp;VAR:QUERY=RkZfU0hMRFJTX0VRKEFOTiwwKQ==&amp;WINDOW=FIRST_POPUP&amp;HEIGHT=450&amp;WIDTH=450&amp;START_MAXIMIZED=","FALSE&amp;VAR:CALENDAR=US&amp;VAR:SYMBOL=ABT&amp;VAR:INDEX=0"}</definedName>
    <definedName name="_62__FDSAUDITLINK___1" hidden="1">{"fdsup://directions/FAT Viewer?action=UPDATE&amp;creator=factset&amp;DYN_ARGS=TRUE&amp;DOC_NAME=FAT:FQL_AUDITING_CLIENT_TEMPLATE.FAT&amp;display_string=Audit&amp;VAR:KEY=MHEPWPCLGD&amp;VAR:QUERY=RkZfU0hMRFJTX0VRKEFOTiwwKQ==&amp;WINDOW=FIRST_POPUP&amp;HEIGHT=450&amp;WIDTH=450&amp;START_MAXIMIZED=","FALSE&amp;VAR:CALENDAR=US&amp;VAR:SYMBOL=ABT&amp;VAR:INDEX=0"}</definedName>
    <definedName name="_62__FDSAUDITLINK___2" hidden="1">{"fdsup://directions/FAT Viewer?action=UPDATE&amp;creator=factset&amp;DYN_ARGS=TRUE&amp;DOC_NAME=FAT:FQL_AUDITING_CLIENT_TEMPLATE.FAT&amp;display_string=Audit&amp;VAR:KEY=MHEPWPCLGD&amp;VAR:QUERY=RkZfU0hMRFJTX0VRKEFOTiwwKQ==&amp;WINDOW=FIRST_POPUP&amp;HEIGHT=450&amp;WIDTH=450&amp;START_MAXIMIZED=","FALSE&amp;VAR:CALENDAR=US&amp;VAR:SYMBOL=ABT&amp;VAR:INDEX=0"}</definedName>
    <definedName name="_63__FDSAUDITLINK__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3__FDSAUDITLINK___1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3__FDSAUDITLINK___2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4__FDSAUDITLINK__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4__FDSAUDITLINK___1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4__FDSAUDITLINK___2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5__FDSAUDITLINK__" hidden="1">{"fdsup://directions/FAT Viewer?action=UPDATE&amp;creator=factset&amp;DYN_ARGS=TRUE&amp;DOC_NAME=FAT:FQL_AUDITING_CLIENT_TEMPLATE.FAT&amp;display_string=Audit&amp;VAR:KEY=KVAPUVMPGH&amp;VAR:QUERY=RkZfU0hMRFJTX0VRKEFOTiwwKQ==&amp;WINDOW=FIRST_POPUP&amp;HEIGHT=450&amp;WIDTH=450&amp;START_MAXIMIZED=","FALSE&amp;VAR:CALENDAR=US&amp;VAR:SYMBOL=TFX&amp;VAR:INDEX=0"}</definedName>
    <definedName name="_65__FDSAUDITLINK___1" hidden="1">{"fdsup://directions/FAT Viewer?action=UPDATE&amp;creator=factset&amp;DYN_ARGS=TRUE&amp;DOC_NAME=FAT:FQL_AUDITING_CLIENT_TEMPLATE.FAT&amp;display_string=Audit&amp;VAR:KEY=KVAPUVMPGH&amp;VAR:QUERY=RkZfU0hMRFJTX0VRKEFOTiwwKQ==&amp;WINDOW=FIRST_POPUP&amp;HEIGHT=450&amp;WIDTH=450&amp;START_MAXIMIZED=","FALSE&amp;VAR:CALENDAR=US&amp;VAR:SYMBOL=TFX&amp;VAR:INDEX=0"}</definedName>
    <definedName name="_65__FDSAUDITLINK___2" hidden="1">{"fdsup://directions/FAT Viewer?action=UPDATE&amp;creator=factset&amp;DYN_ARGS=TRUE&amp;DOC_NAME=FAT:FQL_AUDITING_CLIENT_TEMPLATE.FAT&amp;display_string=Audit&amp;VAR:KEY=KVAPUVMPGH&amp;VAR:QUERY=RkZfU0hMRFJTX0VRKEFOTiwwKQ==&amp;WINDOW=FIRST_POPUP&amp;HEIGHT=450&amp;WIDTH=450&amp;START_MAXIMIZED=","FALSE&amp;VAR:CALENDAR=US&amp;VAR:SYMBOL=TFX&amp;VAR:INDEX=0"}</definedName>
    <definedName name="_66__FDSAUDITLINK__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6__FDSAUDITLINK___1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6__FDSAUDITLINK___2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7__FDSAUDITLINK__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7__FDSAUDITLINK___1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7__FDSAUDITLINK___2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8__FDSAUDITLINK__" hidden="1">{"fdsup://directions/FAT Viewer?action=UPDATE&amp;creator=factset&amp;DYN_ARGS=TRUE&amp;DOC_NAME=FAT:FQL_AUDITING_CLIENT_TEMPLATE.FAT&amp;display_string=Audit&amp;VAR:KEY=QJGDGREDEZ&amp;VAR:QUERY=RkZfU0hMRFJTX0VRKEFOTiwwKQ==&amp;WINDOW=FIRST_POPUP&amp;HEIGHT=450&amp;WIDTH=450&amp;START_MAXIMIZED=","FALSE&amp;VAR:CALENDAR=US&amp;VAR:SYMBOL=HRC&amp;VAR:INDEX=0"}</definedName>
    <definedName name="_68__FDSAUDITLINK___1" hidden="1">{"fdsup://directions/FAT Viewer?action=UPDATE&amp;creator=factset&amp;DYN_ARGS=TRUE&amp;DOC_NAME=FAT:FQL_AUDITING_CLIENT_TEMPLATE.FAT&amp;display_string=Audit&amp;VAR:KEY=QJGDGREDEZ&amp;VAR:QUERY=RkZfU0hMRFJTX0VRKEFOTiwwKQ==&amp;WINDOW=FIRST_POPUP&amp;HEIGHT=450&amp;WIDTH=450&amp;START_MAXIMIZED=","FALSE&amp;VAR:CALENDAR=US&amp;VAR:SYMBOL=HRC&amp;VAR:INDEX=0"}</definedName>
    <definedName name="_68__FDSAUDITLINK___2" hidden="1">{"fdsup://directions/FAT Viewer?action=UPDATE&amp;creator=factset&amp;DYN_ARGS=TRUE&amp;DOC_NAME=FAT:FQL_AUDITING_CLIENT_TEMPLATE.FAT&amp;display_string=Audit&amp;VAR:KEY=QJGDGREDEZ&amp;VAR:QUERY=RkZfU0hMRFJTX0VRKEFOTiwwKQ==&amp;WINDOW=FIRST_POPUP&amp;HEIGHT=450&amp;WIDTH=450&amp;START_MAXIMIZED=","FALSE&amp;VAR:CALENDAR=US&amp;VAR:SYMBOL=HRC&amp;VAR:INDEX=0"}</definedName>
    <definedName name="_69__FDSAUDITLINK__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9__FDSAUDITLINK___1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9__FDSAUDITLINK___2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7__FDSAUDITLINK__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7__FDSAUDITLINK___1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7__FDSAUDITLINK___2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70__FDSAUDITLINK__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0__FDSAUDITLINK___1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0__FDSAUDITLINK___2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1__FDSAUDITLINK__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71__FDSAUDITLINK___1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71__FDSAUDITLINK___2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72__FDSAUDITLINK__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2__FDSAUDITLINK___1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2__FDSAUDITLINK___2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3__FDSAUDITLINK__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73__FDSAUDITLINK___1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73__FDSAUDITLINK___2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74__FDSAUDITLINK__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74__FDSAUDITLINK___1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74__FDSAUDITLINK___2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75__FDSAUDITLINK__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75__FDSAUDITLINK___1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75__FDSAUDITLINK___2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76__FDSAUDITLINK__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76__FDSAUDITLINK___1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76__FDSAUDITLINK___2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77__FDSAUDITLINK__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77__FDSAUDITLINK___1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77__FDSAUDITLINK___2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78__FDSAUDITLINK__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78__FDSAUDITLINK___1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78__FDSAUDITLINK___2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79__FDSAUDITLINK__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79__FDSAUDITLINK___1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79__FDSAUDITLINK___2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8__FDSAUDITLINK__" hidden="1">{"fdsup://directions/FAT Viewer?action=UPDATE&amp;creator=factset&amp;DYN_ARGS=TRUE&amp;DOC_NAME=FAT:FQL_AUDITING_CLIENT_TEMPLATE.FAT&amp;display_string=Audit&amp;VAR:KEY=OTKPETWXCN&amp;VAR:QUERY=RkZfU0hMRFJTX0VRKEFOTiwwKQ==&amp;WINDOW=FIRST_POPUP&amp;HEIGHT=450&amp;WIDTH=450&amp;START_MAXIMIZED=","FALSE&amp;VAR:CALENDAR=US&amp;VAR:SYMBOL=STJ&amp;VAR:INDEX=0"}</definedName>
    <definedName name="_8__FDSAUDITLINK___1" hidden="1">{"fdsup://directions/FAT Viewer?action=UPDATE&amp;creator=factset&amp;DYN_ARGS=TRUE&amp;DOC_NAME=FAT:FQL_AUDITING_CLIENT_TEMPLATE.FAT&amp;display_string=Audit&amp;VAR:KEY=OTKPETWXCN&amp;VAR:QUERY=RkZfU0hMRFJTX0VRKEFOTiwwKQ==&amp;WINDOW=FIRST_POPUP&amp;HEIGHT=450&amp;WIDTH=450&amp;START_MAXIMIZED=","FALSE&amp;VAR:CALENDAR=US&amp;VAR:SYMBOL=STJ&amp;VAR:INDEX=0"}</definedName>
    <definedName name="_8__FDSAUDITLINK___2" hidden="1">{"fdsup://directions/FAT Viewer?action=UPDATE&amp;creator=factset&amp;DYN_ARGS=TRUE&amp;DOC_NAME=FAT:FQL_AUDITING_CLIENT_TEMPLATE.FAT&amp;display_string=Audit&amp;VAR:KEY=OTKPETWXCN&amp;VAR:QUERY=RkZfU0hMRFJTX0VRKEFOTiwwKQ==&amp;WINDOW=FIRST_POPUP&amp;HEIGHT=450&amp;WIDTH=450&amp;START_MAXIMIZED=","FALSE&amp;VAR:CALENDAR=US&amp;VAR:SYMBOL=STJ&amp;VAR:INDEX=0"}</definedName>
    <definedName name="_80__FDSAUDITLINK__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80__FDSAUDITLINK___1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80__FDSAUDITLINK___2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81__FDSAUDITLINK__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81__FDSAUDITLINK___1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81__FDSAUDITLINK___2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82__FDSAUDITLINK__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82__FDSAUDITLINK___1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82__FDSAUDITLINK___2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83__FDSAUDITLINK__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83__FDSAUDITLINK___1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83__FDSAUDITLINK___2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84__FDSAUDITLINK__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84__FDSAUDITLINK___1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84__FDSAUDITLINK___2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85__FDSAUDITLINK__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85__FDSAUDITLINK___1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85__FDSAUDITLINK___2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86__FDSAUDITLINK__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86__FDSAUDITLINK___1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86__FDSAUDITLINK___2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87__FDSAUDITLINK__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87__FDSAUDITLINK___1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87__FDSAUDITLINK___2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88__FDSAUDITLINK__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88__FDSAUDITLINK___1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88__FDSAUDITLINK___2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89__FDSAUDITLINK__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89__FDSAUDITLINK___1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89__FDSAUDITLINK___2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9__FDSAUDITLINK__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9__FDSAUDITLINK___1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9__FDSAUDITLINK___2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90__FDSAUDITLINK__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90__FDSAUDITLINK___1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90__FDSAUDITLINK___2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91__FDSAUDITLINK__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91__FDSAUDITLINK___1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91__FDSAUDITLINK___2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92__FDSAUDITLINK__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92__FDSAUDITLINK___1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92__FDSAUDITLINK___2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93__FDSAUDITLINK__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93__FDSAUDITLINK___1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93__FDSAUDITLINK___2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94__FDSAUDITLINK__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94__FDSAUDITLINK___1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94__FDSAUDITLINK___2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95__FDSAUDITLINK__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95__FDSAUDITLINK___1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95__FDSAUDITLINK___2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96__FDSAUDITLINK__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96__FDSAUDITLINK___1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96__FDSAUDITLINK___2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97__FDSAUDITLINK__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97__FDSAUDITLINK___1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97__FDSAUDITLINK___2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98__FDSAUDITLINK__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98__FDSAUDITLINK___1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98__FDSAUDITLINK___2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99__FDSAUDITLINK__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99__FDSAUDITLINK___1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99__FDSAUDITLINK___2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a1" localSheetId="8" hidden="1">{"comp1",#N/A,FALSE,"COMPS";"footnotes",#N/A,FALSE,"COMPS"}</definedName>
    <definedName name="_a1" localSheetId="1" hidden="1">{"comp1",#N/A,FALSE,"COMPS";"footnotes",#N/A,FALSE,"COMPS"}</definedName>
    <definedName name="_a1" hidden="1">{"comp1",#N/A,FALSE,"COMPS";"footnotes",#N/A,FALSE,"COMPS"}</definedName>
    <definedName name="_aa1" localSheetId="8" hidden="1">{#N/A,#N/A,TRUE,"Pro Forma";#N/A,#N/A,TRUE,"PF_Bal";#N/A,#N/A,TRUE,"PF_INC";#N/A,#N/A,TRUE,"CBE";#N/A,#N/A,TRUE,"SWK"}</definedName>
    <definedName name="_aa1" localSheetId="1" hidden="1">{#N/A,#N/A,TRUE,"Pro Forma";#N/A,#N/A,TRUE,"PF_Bal";#N/A,#N/A,TRUE,"PF_INC";#N/A,#N/A,TRUE,"CBE";#N/A,#N/A,TRUE,"SWK"}</definedName>
    <definedName name="_aa1" hidden="1">{#N/A,#N/A,TRUE,"Pro Forma";#N/A,#N/A,TRUE,"PF_Bal";#N/A,#N/A,TRUE,"PF_INC";#N/A,#N/A,TRUE,"CBE";#N/A,#N/A,TRUE,"SWK"}</definedName>
    <definedName name="_ab1" localSheetId="8" hidden="1">{"comp1",#N/A,FALSE,"COMPS";"footnotes",#N/A,FALSE,"COMPS"}</definedName>
    <definedName name="_ab1" localSheetId="1" hidden="1">{"comp1",#N/A,FALSE,"COMPS";"footnotes",#N/A,FALSE,"COMPS"}</definedName>
    <definedName name="_ab1" hidden="1">{"comp1",#N/A,FALSE,"COMPS";"footnotes",#N/A,FALSE,"COMPS"}</definedName>
    <definedName name="_ae1" localSheetId="8" hidden="1">{#N/A,#N/A,FALSE,"Calc";#N/A,#N/A,FALSE,"Sensitivity";#N/A,#N/A,FALSE,"LT Earn.Dil.";#N/A,#N/A,FALSE,"Dil. AVP"}</definedName>
    <definedName name="_ae1" localSheetId="1" hidden="1">{#N/A,#N/A,FALSE,"Calc";#N/A,#N/A,FALSE,"Sensitivity";#N/A,#N/A,FALSE,"LT Earn.Dil.";#N/A,#N/A,FALSE,"Dil. AVP"}</definedName>
    <definedName name="_ae1" hidden="1">{#N/A,#N/A,FALSE,"Calc";#N/A,#N/A,FALSE,"Sensitivity";#N/A,#N/A,FALSE,"LT Earn.Dil.";#N/A,#N/A,FALSE,"Dil. AVP"}</definedName>
    <definedName name="_af1" hidden="1">"c1455"</definedName>
    <definedName name="_af10" hidden="1">"c2141"</definedName>
    <definedName name="_af11" hidden="1">"c1382"</definedName>
    <definedName name="_af12" hidden="1">"c1385"</definedName>
    <definedName name="_af13" hidden="1">"c1435"</definedName>
    <definedName name="_af14" hidden="1">"c1436"</definedName>
    <definedName name="_af15" hidden="1">"c1424"</definedName>
    <definedName name="_af16" hidden="1">"c1345"</definedName>
    <definedName name="_af18" hidden="1">"c1438"</definedName>
    <definedName name="_af19" localSheetId="8">{"Client Name or Project Name"}</definedName>
    <definedName name="_af19" localSheetId="1">{"Client Name or Project Name"}</definedName>
    <definedName name="_af19">{"Client Name or Project Name"}</definedName>
    <definedName name="_af2" hidden="1">"c1352"</definedName>
    <definedName name="_af20" localSheetId="8">{"Client Name or Project Name"}</definedName>
    <definedName name="_af20" localSheetId="1">{"Client Name or Project Name"}</definedName>
    <definedName name="_af20">{"Client Name or Project Name"}</definedName>
    <definedName name="_af21" localSheetId="8">{"Client Name or Project Name"}</definedName>
    <definedName name="_af21" localSheetId="1">{"Client Name or Project Name"}</definedName>
    <definedName name="_af21">{"Client Name or Project Name"}</definedName>
    <definedName name="_af22" localSheetId="8">{"Client Name or Project Name"}</definedName>
    <definedName name="_af22" localSheetId="1">{"Client Name or Project Name"}</definedName>
    <definedName name="_af22">{"Client Name or Project Name"}</definedName>
    <definedName name="_af23" localSheetId="8">{126}</definedName>
    <definedName name="_af23" localSheetId="1">{126}</definedName>
    <definedName name="_af23">{126}</definedName>
    <definedName name="_af24" localSheetId="8">{1}</definedName>
    <definedName name="_af24" localSheetId="1">{1}</definedName>
    <definedName name="_af24">{1}</definedName>
    <definedName name="_af25" localSheetId="8">{0}</definedName>
    <definedName name="_af25" localSheetId="1">{0}</definedName>
    <definedName name="_af25">{0}</definedName>
    <definedName name="_af26" localSheetId="8">{126}</definedName>
    <definedName name="_af26" localSheetId="1">{126}</definedName>
    <definedName name="_af26">{126}</definedName>
    <definedName name="_af27" localSheetId="8">{"Client Name or Project Name"}</definedName>
    <definedName name="_af27" localSheetId="1">{"Client Name or Project Name"}</definedName>
    <definedName name="_af27">{"Client Name or Project Name"}</definedName>
    <definedName name="_af28" localSheetId="8">{"Client Name or Project Name"}</definedName>
    <definedName name="_af28" localSheetId="1">{"Client Name or Project Name"}</definedName>
    <definedName name="_af28">{"Client Name or Project Name"}</definedName>
    <definedName name="_af3" hidden="1">"c1353"</definedName>
    <definedName name="_af30" localSheetId="8">{"Client Name or Project Name"}</definedName>
    <definedName name="_af30" localSheetId="1">{"Client Name or Project Name"}</definedName>
    <definedName name="_af30">{"Client Name or Project Name"}</definedName>
    <definedName name="_af31" localSheetId="8">{"Client Name or Project Name"}</definedName>
    <definedName name="_af31" localSheetId="1">{"Client Name or Project Name"}</definedName>
    <definedName name="_af31">{"Client Name or Project Name"}</definedName>
    <definedName name="_af32" localSheetId="8">{"Client Name or Project Name"}</definedName>
    <definedName name="_af32" localSheetId="1">{"Client Name or Project Name"}</definedName>
    <definedName name="_af32">{"Client Name or Project Name"}</definedName>
    <definedName name="_af33" localSheetId="8">{"Client Name or Project Name"}</definedName>
    <definedName name="_af33" localSheetId="1">{"Client Name or Project Name"}</definedName>
    <definedName name="_af33">{"Client Name or Project Name"}</definedName>
    <definedName name="_af34" localSheetId="8">{"Client Name or Project Name"}</definedName>
    <definedName name="_af34" localSheetId="1">{"Client Name or Project Name"}</definedName>
    <definedName name="_af34">{"Client Name or Project Name"}</definedName>
    <definedName name="_af35" localSheetId="8">{"Client Name or Project Name"}</definedName>
    <definedName name="_af35" localSheetId="1">{"Client Name or Project Name"}</definedName>
    <definedName name="_af35">{"Client Name or Project Name"}</definedName>
    <definedName name="_af36" localSheetId="8">{"Client Name or Project Name"}</definedName>
    <definedName name="_af36" localSheetId="1">{"Client Name or Project Name"}</definedName>
    <definedName name="_af36">{"Client Name or Project Name"}</definedName>
    <definedName name="_af37" localSheetId="8" hidden="1">{"Client is",#N/A,FALSE,"Client"}</definedName>
    <definedName name="_af37" localSheetId="1" hidden="1">{"Client is",#N/A,FALSE,"Client"}</definedName>
    <definedName name="_af37" hidden="1">{"Client is",#N/A,FALSE,"Client"}</definedName>
    <definedName name="_af38" localSheetId="8" hidden="1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_af38" localSheetId="1" hidden="1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_af38" hidden="1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_af39" localSheetId="8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_af39" localSheetId="1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_af39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_af4" hidden="1">"c1354"</definedName>
    <definedName name="_af40" localSheetId="8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_af40" localSheetId="1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_af40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_af5" hidden="1">"c1411"</definedName>
    <definedName name="_af6" hidden="1">"c1431"</definedName>
    <definedName name="_af7" hidden="1">"c1433"</definedName>
    <definedName name="_af8" hidden="1">"c1434"</definedName>
    <definedName name="_af9" hidden="1">"c1432"</definedName>
    <definedName name="_am1" localSheetId="8" hidden="1">{#N/A,#N/A,TRUE,"Pro Forma";#N/A,#N/A,TRUE,"PF_Bal";#N/A,#N/A,TRUE,"PF_INC";#N/A,#N/A,TRUE,"CBE";#N/A,#N/A,TRUE,"SWK"}</definedName>
    <definedName name="_am1" localSheetId="1" hidden="1">{#N/A,#N/A,TRUE,"Pro Forma";#N/A,#N/A,TRUE,"PF_Bal";#N/A,#N/A,TRUE,"PF_INC";#N/A,#N/A,TRUE,"CBE";#N/A,#N/A,TRUE,"SWK"}</definedName>
    <definedName name="_am1" hidden="1">{#N/A,#N/A,TRUE,"Pro Forma";#N/A,#N/A,TRUE,"PF_Bal";#N/A,#N/A,TRUE,"PF_INC";#N/A,#N/A,TRUE,"CBE";#N/A,#N/A,TRUE,"SWK"}</definedName>
    <definedName name="_as1" localSheetId="8" hidden="1">{"comp1",#N/A,FALSE,"COMPS";"footnotes",#N/A,FALSE,"COMPS"}</definedName>
    <definedName name="_as1" localSheetId="1" hidden="1">{"comp1",#N/A,FALSE,"COMPS";"footnotes",#N/A,FALSE,"COMPS"}</definedName>
    <definedName name="_as1" hidden="1">{"comp1",#N/A,FALSE,"COMPS";"footnotes",#N/A,FALSE,"COMPS"}</definedName>
    <definedName name="_ASM1" localSheetId="8">{9}</definedName>
    <definedName name="_ASM1" localSheetId="1">{9}</definedName>
    <definedName name="_ASM1">{9}</definedName>
    <definedName name="_ASM2" localSheetId="8">{9}</definedName>
    <definedName name="_ASM2" localSheetId="1">{9}</definedName>
    <definedName name="_ASM2">{9}</definedName>
    <definedName name="_bdm.02E29E7B1053433EA3CCCBE4E5141596.edm" hidden="1">[4]Sheet1!$A:$IV</definedName>
    <definedName name="_bdm.0547398355AC46BDB47E3B73D10EFAA0.edm" hidden="1">DCF!$1:$1048576</definedName>
    <definedName name="_bdm.21CB355A730E4A3E8FF89B9CB3AF3F4A.edm" localSheetId="8" hidden="1">DCF!$B$6:$O$69</definedName>
    <definedName name="_bdm.223314273BA64E3D939EF28E672D4650.edm" localSheetId="8" hidden="1">DCF!$B$2:$O$74</definedName>
    <definedName name="_bdm.2FA0EE5AE5514F50A07EFA3D3CEEADBA.edm" localSheetId="8" hidden="1">DCF!$B$6:$O$69</definedName>
    <definedName name="_bdm.34406407ED504FAFB4AC3DDA52276CE6.edm" hidden="1">'P&amp;L'!$1:$1048576</definedName>
    <definedName name="_bdm.4E2F5F9671314555A5308D97E8000978.edm" hidden="1">MYGN!$1:$1048576</definedName>
    <definedName name="_bdm.6023B6A2B13941968DF0DC243B02D387.edm" localSheetId="5" hidden="1">'Bal Sht'!$A$3:$AQ$45</definedName>
    <definedName name="_bdm.67334265AEC6415FB4709A32F371ACAD.edm" localSheetId="8" hidden="1">DCF!$B$6:$O$74</definedName>
    <definedName name="_bdm.753720708F4E49EF81947C8197250064.edm" localSheetId="6" hidden="1">'Cash Flow'!$A$3:$AQ$50</definedName>
    <definedName name="_bdm.77DB60DFCA2F48EA80C3F5BA2123822C.edm" localSheetId="3" hidden="1">MYGN!$B$3:$AQ$80</definedName>
    <definedName name="_bdm.8EC904E777CD4E3DAE858140CE694651.edm" localSheetId="8" hidden="1">DCF!$B$6:$J$69</definedName>
    <definedName name="_bdm.94E331A19E0D4A21B0B6E9EA7CCCC01D.edm" localSheetId="8" hidden="1">DCF!$B$6:$L$69</definedName>
    <definedName name="_bdm.986331F7AF134D18B529CFCA4FFF9173.edm" localSheetId="6" hidden="1">'Cash Flow'!$A$3:$AQ$55</definedName>
    <definedName name="_bdm.B5364B4C4A0140238F8C69876681A1AE.edm" localSheetId="8" hidden="1">DCF!$B$6:$I$67</definedName>
    <definedName name="_bdm.B72542FFCB61432A85A2038B54814FC6.edm" localSheetId="8" hidden="1">DCF!$E$74:$P$80</definedName>
    <definedName name="_bdm.B9B24F21CDD44AC3B20584735E6017AF.edm" localSheetId="8" hidden="1">DCF!$B$6:$P$67</definedName>
    <definedName name="_bdm.BF12B45D2CCE4B74B12C4B11A8868F58.edm" localSheetId="8" hidden="1">DCF!$B$6:$O$69</definedName>
    <definedName name="_bdm.C42D70A052A744C094950489EDB72FD1.edm" localSheetId="2" hidden="1">'P&amp;L'!$B$3:$AQ$86</definedName>
    <definedName name="_bdm.D99B56F140524AC48E533ED4110AF777.edm" hidden="1">'Cash Flow'!$1:$1048576</definedName>
    <definedName name="_bdm.E038077EC92C47338F5D9784A7687C86.edm" hidden="1">'Bal Sht'!$1:$1048576</definedName>
    <definedName name="_bdm.FF025D50702948C2899137588FA5041B.edm" localSheetId="8" hidden="1">DCF!$B$6:$O$74</definedName>
    <definedName name="_DCFCalculation" localSheetId="8">DCF!$B$6:$O$36</definedName>
    <definedName name="_f1" localSheetId="8" hidden="1">{"assumption cash",#N/A,TRUE,"Merger";"has gets cash",#N/A,TRUE,"Merger";"accretion dilution",#N/A,TRUE,"Merger";"comparison credit stats",#N/A,TRUE,"Merger";"pf credit stats",#N/A,TRUE,"Merger";"pf sheets",#N/A,TRUE,"Merger"}</definedName>
    <definedName name="_f1" localSheetId="1" hidden="1">{"assumption cash",#N/A,TRUE,"Merger";"has gets cash",#N/A,TRUE,"Merger";"accretion dilution",#N/A,TRUE,"Merger";"comparison credit stats",#N/A,TRUE,"Merger";"pf credit stats",#N/A,TRUE,"Merger";"pf sheets",#N/A,TRUE,"Merger"}</definedName>
    <definedName name="_f1" hidden="1">{"assumption cash",#N/A,TRUE,"Merger";"has gets cash",#N/A,TRUE,"Merger";"accretion dilution",#N/A,TRUE,"Merger";"comparison credit stats",#N/A,TRUE,"Merger";"pf credit stats",#N/A,TRUE,"Merger";"pf sheets",#N/A,TRUE,"Merger"}</definedName>
    <definedName name="_ik1" localSheetId="8" hidden="1">{"casespecific",#N/A,FALSE,"Assumptions"}</definedName>
    <definedName name="_ik1" localSheetId="1" hidden="1">{"casespecific",#N/A,FALSE,"Assumptions"}</definedName>
    <definedName name="_ik1" hidden="1">{"casespecific",#N/A,FALSE,"Assumptions"}</definedName>
    <definedName name="_Order1" localSheetId="8" hidden="1">0</definedName>
    <definedName name="_Order1" localSheetId="1" hidden="1">0</definedName>
    <definedName name="_Order1" hidden="1">255</definedName>
    <definedName name="_Order2" hidden="1">0</definedName>
    <definedName name="_P1">[5]Bio!$A$5:$S$293</definedName>
    <definedName name="_P2">[5]Bio!$A$5:$P$293</definedName>
    <definedName name="_ppp1" localSheetId="8">{"Client Name or Project Name"}</definedName>
    <definedName name="_ppp1" localSheetId="1">{"Client Name or Project Name"}</definedName>
    <definedName name="_ppp1">{"Client Name or Project Name"}</definedName>
    <definedName name="_rb10" localSheetId="8">{"Client Name or Project Name"}</definedName>
    <definedName name="_rb10" localSheetId="1">{"Client Name or Project Name"}</definedName>
    <definedName name="_rb10">{"Client Name or Project Name"}</definedName>
    <definedName name="_rb12" localSheetId="8">{9}</definedName>
    <definedName name="_rb12" localSheetId="1">{9}</definedName>
    <definedName name="_rb12">{9}</definedName>
    <definedName name="_rb13" localSheetId="8" hidden="1">{"'Breakup 01 Euro'!$A$3:$I$30"}</definedName>
    <definedName name="_rb13" localSheetId="1" hidden="1">{"'Breakup 01 Euro'!$A$3:$I$30"}</definedName>
    <definedName name="_rb13" hidden="1">{"'Breakup 01 Euro'!$A$3:$I$30"}</definedName>
    <definedName name="_rb15" hidden="1">"c1449"</definedName>
    <definedName name="_rb16" hidden="1">"c1343"</definedName>
    <definedName name="_rb17" hidden="1">"c1341"</definedName>
    <definedName name="_rb18" hidden="1">"c1340"</definedName>
    <definedName name="_rb19" hidden="1">"c1344"</definedName>
    <definedName name="_rb20" hidden="1">"c1342"</definedName>
    <definedName name="_rb21" hidden="1">"c1591"</definedName>
    <definedName name="_rb22" hidden="1">"c1346"</definedName>
    <definedName name="_rb23" hidden="1">"c2133"</definedName>
    <definedName name="_rb24" hidden="1">"c1349"</definedName>
    <definedName name="_rb25" hidden="1">"c1350"</definedName>
    <definedName name="_rb26" hidden="1">"c1458"</definedName>
    <definedName name="_rb27" hidden="1">"c116"</definedName>
    <definedName name="_rb28" hidden="1">"c1351"</definedName>
    <definedName name="_rb29" hidden="1">"c1355"</definedName>
    <definedName name="_rb30" hidden="1">"c1357"</definedName>
    <definedName name="_rb31" hidden="1">"c1358"</definedName>
    <definedName name="_rb32" hidden="1">"c1359"</definedName>
    <definedName name="_rb33" hidden="1">"c1362"</definedName>
    <definedName name="_rb34" hidden="1">"c1363"</definedName>
    <definedName name="_rb35" hidden="1">"c1364"</definedName>
    <definedName name="_rb36" hidden="1">"c1365"</definedName>
    <definedName name="_rb37" hidden="1">"c1447"</definedName>
    <definedName name="_rb38" hidden="1">"c1356"</definedName>
    <definedName name="_rb39" hidden="1">"c1360"</definedName>
    <definedName name="_rb40" hidden="1">"c1361"</definedName>
    <definedName name="_rb41" hidden="1">"c1520"</definedName>
    <definedName name="_rb42" hidden="1">"c1367"</definedName>
    <definedName name="_rb43" hidden="1">"c1366"</definedName>
    <definedName name="_rb44" hidden="1">"c1369"</definedName>
    <definedName name="_rb45" hidden="1">"c1370"</definedName>
    <definedName name="_rb46" hidden="1">"c1371"</definedName>
    <definedName name="_rb47" hidden="1">"c1348"</definedName>
    <definedName name="_rb48" hidden="1">"c1451"</definedName>
    <definedName name="_rb49" hidden="1">"c1390"</definedName>
    <definedName name="_rb5" localSheetId="8">{9}</definedName>
    <definedName name="_rb5" localSheetId="1">{9}</definedName>
    <definedName name="_rb5">{9}</definedName>
    <definedName name="_rb50" hidden="1">"c1428"</definedName>
    <definedName name="_rb51" hidden="1">"c1426"</definedName>
    <definedName name="_rb52" hidden="1">"c1427"</definedName>
    <definedName name="_rb53" hidden="1">"c1429"</definedName>
    <definedName name="_rb54" hidden="1">"c1897"</definedName>
    <definedName name="_rb55" hidden="1">"c1459"</definedName>
    <definedName name="_rb56" hidden="1">"c1405"</definedName>
    <definedName name="_rb57" hidden="1">"c1406"</definedName>
    <definedName name="_rb58" hidden="1">"c1376"</definedName>
    <definedName name="_rb59" hidden="1">"c1377"</definedName>
    <definedName name="_rb60" hidden="1">"c1380"</definedName>
    <definedName name="_rb61" hidden="1">"c1446"</definedName>
    <definedName name="_rb62" hidden="1">"c1378"</definedName>
    <definedName name="_rb63" hidden="1">"c1395"</definedName>
    <definedName name="_rb64" hidden="1">"c1396"</definedName>
    <definedName name="_rb65" hidden="1">"c1375"</definedName>
    <definedName name="_rb66" hidden="1">"c1407"</definedName>
    <definedName name="_rb67" hidden="1">"c1383"</definedName>
    <definedName name="_rb68" hidden="1">"c1393"</definedName>
    <definedName name="_rb69" hidden="1">"c1384"</definedName>
    <definedName name="_rb70" hidden="1">"c1391"</definedName>
    <definedName name="_rb71" hidden="1">"c1386"</definedName>
    <definedName name="_rb72" hidden="1">"c1387"</definedName>
    <definedName name="_rb73" hidden="1">"c1388"</definedName>
    <definedName name="_rb74" hidden="1">"c1389"</definedName>
    <definedName name="_rb75" hidden="1">"c1437"</definedName>
    <definedName name="_rb76" hidden="1">"c1394"</definedName>
    <definedName name="_rb77" hidden="1">"c1368"</definedName>
    <definedName name="_rb78" hidden="1">"c1397"</definedName>
    <definedName name="_rb79" hidden="1">"c1398"</definedName>
    <definedName name="_rb8" localSheetId="8">{9}</definedName>
    <definedName name="_rb8" localSheetId="1">{9}</definedName>
    <definedName name="_rb8">{9}</definedName>
    <definedName name="_rb9" localSheetId="8">{9}</definedName>
    <definedName name="_rb9" localSheetId="1">{9}</definedName>
    <definedName name="_rb9">{9}</definedName>
    <definedName name="_Regression_Int" hidden="1">1</definedName>
    <definedName name="_rt1" hidden="1">"c1392"</definedName>
    <definedName name="_rt10" hidden="1">"c1409"</definedName>
    <definedName name="_rt11" hidden="1">"c1453"</definedName>
    <definedName name="_rt12" hidden="1">"c1410"</definedName>
    <definedName name="_rt14" hidden="1">"c2128"</definedName>
    <definedName name="_rt15" hidden="1">"c1457"</definedName>
    <definedName name="_rt16" hidden="1">"c1414"</definedName>
    <definedName name="_rt17" hidden="1">"c1416"</definedName>
    <definedName name="_rt18" hidden="1">"c1415"</definedName>
    <definedName name="_rt19" hidden="1">"c1418"</definedName>
    <definedName name="_rt2" hidden="1">"c1399"</definedName>
    <definedName name="_rt20" hidden="1">"c1412"</definedName>
    <definedName name="_rt21" hidden="1">"c1413"</definedName>
    <definedName name="_rt22" hidden="1">"c1452"</definedName>
    <definedName name="_rt24" hidden="1">"c1379"</definedName>
    <definedName name="_rt25" hidden="1">"c1402"</definedName>
    <definedName name="_rt26" hidden="1">"c1417"</definedName>
    <definedName name="_rt27" hidden="1">"c1419"</definedName>
    <definedName name="_rt28" hidden="1">"c1420"</definedName>
    <definedName name="_rt29" hidden="1">"c1421"</definedName>
    <definedName name="_rt3" hidden="1">"c1400"</definedName>
    <definedName name="_rt30" hidden="1">"c1422"</definedName>
    <definedName name="_rt31" hidden="1">"c1347"</definedName>
    <definedName name="_rt32" hidden="1">"c1425"</definedName>
    <definedName name="_rt4" hidden="1">"c1401"</definedName>
    <definedName name="_rt5" hidden="1">"c1423"</definedName>
    <definedName name="_rt6" hidden="1">"c1448"</definedName>
    <definedName name="_rt7" hidden="1">"c1403"</definedName>
    <definedName name="_rt8" hidden="1">"c1404"</definedName>
    <definedName name="_rt9" hidden="1">"c1408"</definedName>
    <definedName name="_t1" localSheetId="8" hidden="1">{"Client is",#N/A,FALSE,"Client"}</definedName>
    <definedName name="_t1" localSheetId="1" hidden="1">{"Client is",#N/A,FALSE,"Client"}</definedName>
    <definedName name="_t1" hidden="1">{"Client is",#N/A,FALSE,"Client"}</definedName>
    <definedName name="AdditionalInstructions">IndexInformation!$B$42</definedName>
    <definedName name="Address" localSheetId="0">ImportantDisclosures!$A$2:$A$2</definedName>
    <definedName name="af" hidden="1">"c1430"</definedName>
    <definedName name="AllTables" localSheetId="8">{9}</definedName>
    <definedName name="AllTables" localSheetId="1">{9}</definedName>
    <definedName name="AllTables">{9}</definedName>
    <definedName name="alltables1" localSheetId="8">{9}</definedName>
    <definedName name="alltables1" localSheetId="1">{9}</definedName>
    <definedName name="alltables1">{9}</definedName>
    <definedName name="ANA" localSheetId="10">ModPubIndex!$A$7</definedName>
    <definedName name="anscount" hidden="1">1</definedName>
    <definedName name="ASM" localSheetId="8">{9}</definedName>
    <definedName name="ASM" localSheetId="1">{9}</definedName>
    <definedName name="ASM">{9}</definedName>
    <definedName name="ASMM2" localSheetId="8">{9}</definedName>
    <definedName name="ASMM2" localSheetId="1">{9}</definedName>
    <definedName name="ASMM2">{9}</definedName>
    <definedName name="Authors" localSheetId="0">ImportantDisclosures!$A$7</definedName>
    <definedName name="Authors" localSheetId="9">IndexInformation!$B$18</definedName>
    <definedName name="BRO" localSheetId="10">ModPubIndex!$A$1</definedName>
    <definedName name="CashFlowCapitalExpenditureCellular">0</definedName>
    <definedName name="CashFlowCapitalExpenditureOther">0</definedName>
    <definedName name="CashFlowCapitalExpenditurePaging">0</definedName>
    <definedName name="CashFlowCapitalExpenditureTelephone">0</definedName>
    <definedName name="CashFlowCapitalExpenditureWireless">0</definedName>
    <definedName name="CashFlowDividendPaidPreferredStock">0</definedName>
    <definedName name="cb_sChart10D6460A_opts" hidden="1">"1, 1, 1, False, 2, True, False, , 0, False, False, 1, 1"</definedName>
    <definedName name="cb_sChart10D65256_opts" hidden="1">"1, 1, 1, False, 2, True, False, , 0, False, False, 1, 1"</definedName>
    <definedName name="cb_sChart10D653EB_opts" hidden="1">"1, 1, 1, False, 2, True, False, , 0, False, False, 1, 1"</definedName>
    <definedName name="cb_sChart10D65893_opts" hidden="1">"1, 1, 1, False, 2, True, False, , 0, False, False, 1, 1"</definedName>
    <definedName name="cb_sChartEE4CE1B_opts" hidden="1">"1, 4, 1, False, 2, False, False, , 0, False, False, 1, 1"</definedName>
    <definedName name="cb_sChartEE4CF99_opts" hidden="1">"1, 1, 1, False, 2, False, False, , 0, False, False, 1, 1"</definedName>
    <definedName name="cb_sChartEE4DD06_opts" hidden="1">"1, 1, 1, False, 2, False, False, , 0, False, False, 1, 2"</definedName>
    <definedName name="cb_sChartEE4E93B_opts" hidden="1">"1, 1, 1, False, 2, False, False, , 0, False, False, 1, 1"</definedName>
    <definedName name="cb_sChartEE51E95_opts" hidden="1">"1, 1, 1, False, 2, False, False, , 0, False, False, 1, 1"</definedName>
    <definedName name="cb_sChartEED7645_opts" hidden="1">"1, 1, 1, False, 2, False, False, , 0, False, False, 1, 1"</definedName>
    <definedName name="cb_sChartEEDA195_opts" hidden="1">"1, 1, 1, False, 2, False, False, , 0, False, False, 1, 1"</definedName>
    <definedName name="cb_sChartEEDC338_opts" hidden="1">"1, 1, 1, False, 2, False, False, , 0, False, False, 1, 1"</definedName>
    <definedName name="cb_sChartEEDEDB8_opts" hidden="1">"1, 1, 1, False, 2, False, False, , 0, False, True, 1, 1"</definedName>
    <definedName name="cb_sChartEEDEE5A_opts" hidden="1">"1, 3, 1, False, 2, True, False, , 0, False, True, 1, 1"</definedName>
    <definedName name="cb_sChartEEDF178_opts" hidden="1">"1, 3, 1, False, 2, False, False, , 0, False, True, 1, 1"</definedName>
    <definedName name="cb_sChartF6A6B11_opts" hidden="1">"1, 1, 1, False, 2, True, False, , 0, False, False, 1, 1"</definedName>
    <definedName name="cb_sChartFD191DC_opts" hidden="1">"1, 3, 1, False, 2, True, False, , 0, False, True, 1, 1"</definedName>
    <definedName name="cb_sChartFD1A245_opts" hidden="1">"1, 3, 1, False, 2, True, False, , 0, False, True, 1, 1"</definedName>
    <definedName name="cb_sChartFD3F0E9_opts" hidden="1">"1, 3, 1, False, 2, True, False, , 0, False, False, 1, 1"</definedName>
    <definedName name="cb_sChartFD3F27E_opts" hidden="1">"1, 3, 1, False, 2, True, False, , 0, False, True, 1, 1"</definedName>
    <definedName name="cb_sChartFD58483_opts" hidden="1">"1, 1, 1, False, 2, True, False, , 0, False, False, 1, 1"</definedName>
    <definedName name="cb_sChartFD5C4CD_opts" hidden="1">"1, 1, 1, False, 2, True, False, , 0, False, False, 1, 1"</definedName>
    <definedName name="cb_sChartFD5D4CE_opts" hidden="1">"1, 1, 1, False, 2, True, False, , 0, False, False, 1, 1"</definedName>
    <definedName name="cb_sChartFD5DF34_opts" hidden="1">"1, 1, 1, False, 2, True, False, , 0, False, False, 1, 1"</definedName>
    <definedName name="cb_sChartFD5EFC0_opts" hidden="1">"1, 1, 1, False, 2, True, False, , 0, False, False, 1, 1"</definedName>
    <definedName name="cb_sChartFD5FDB9_opts" hidden="1">"1, 1, 1, False, 2, True, False, , 0, False, False, 1, 1"</definedName>
    <definedName name="cb_sChartFE54712_opts" hidden="1">"1, 3, 1, False, 2, True, False, , 0, False, True, 1, 1"</definedName>
    <definedName name="ChoiceOfChem" localSheetId="8">{"Client Name or Project Name"}</definedName>
    <definedName name="ChoiceOfChem" localSheetId="1">{"Client Name or Project Name"}</definedName>
    <definedName name="ChoiceOfChem">{"Client Name or Project Name"}</definedName>
    <definedName name="Choices_Wrapper" localSheetId="8">DCF!Choices_Wrapper</definedName>
    <definedName name="Choices_Wrapper" localSheetId="1">TOC!Choices_Wrapper</definedName>
    <definedName name="Choices_Wrapper">DCF!Choices_Wrapper</definedName>
    <definedName name="copy" localSheetId="8">{9}</definedName>
    <definedName name="copy" localSheetId="1">{9}</definedName>
    <definedName name="copy">{9}</definedName>
    <definedName name="copy2" localSheetId="8">{9}</definedName>
    <definedName name="copy2" localSheetId="1">{9}</definedName>
    <definedName name="copy2">{9}</definedName>
    <definedName name="CopyrightStamp">ImportantDisclosures!$A$27</definedName>
    <definedName name="COU" localSheetId="10">ModPubIndex!$A$5</definedName>
    <definedName name="CQEnd" localSheetId="9">IndexInformation!$B$31</definedName>
    <definedName name="Currency" localSheetId="9">IndexInformation!$B$24</definedName>
    <definedName name="CurrentStockPrice" localSheetId="9">IndexInformation!$B$23</definedName>
    <definedName name="CurrQtrEPS" localSheetId="9">IndexInformation!$B$29</definedName>
    <definedName name="CurrYearEPS" localSheetId="9">IndexInformation!$B$11</definedName>
    <definedName name="CurrYearTotalRevenue" localSheetId="9">IndexInformation!$B$10</definedName>
    <definedName name="CurrYearTotalRevenueActual" localSheetId="9">IndexInformation!$B$32</definedName>
    <definedName name="CUSIP" localSheetId="9">IndexInformation!$B$20</definedName>
    <definedName name="CYEnd" localSheetId="9">IndexInformation!$B$30</definedName>
    <definedName name="_xlnm.Database" localSheetId="8">DCF!_xlnm.Database</definedName>
    <definedName name="_xlnm.Database" localSheetId="1">TOC!_xlnm.Database</definedName>
    <definedName name="_xlnm.Database">[0]!_xlnm.Database</definedName>
    <definedName name="Date" localSheetId="0">ImportantDisclosures!$A$8</definedName>
    <definedName name="Deleted" localSheetId="9">IndexInformation!$B$27</definedName>
    <definedName name="Description" localSheetId="9">IndexInformation!$B$7</definedName>
    <definedName name="DEVELOPMENT">5</definedName>
    <definedName name="Discipline" localSheetId="9">IndexInformation!$B$3</definedName>
    <definedName name="DISCIPLINE" localSheetId="10">ModPubIndex!$A$12</definedName>
    <definedName name="DisclosuresText">ImportantDisclosures!$A$22</definedName>
    <definedName name="Distribution" localSheetId="9">IndexInformation!$B$26</definedName>
    <definedName name="DistTable" localSheetId="0">ImportantDisclosures!#REF!</definedName>
    <definedName name="DistTablePreamble" localSheetId="0">ImportantDisclosures!#REF!</definedName>
    <definedName name="DOCDAT" localSheetId="10">ModPubIndex!$A$2</definedName>
    <definedName name="DOCTIME" localSheetId="10">ModPubIndex!$A$3</definedName>
    <definedName name="DocType" localSheetId="9">IndexInformation!$B$5</definedName>
    <definedName name="DYNO">"TARGET"</definedName>
    <definedName name="EMAIL_ALERT" localSheetId="10">ModPubIndex!$A$10</definedName>
    <definedName name="EmailAlert" localSheetId="9">IndexInformation!$B$28</definedName>
    <definedName name="EquityAdjustments">0</definedName>
    <definedName name="EquityEmployeeStockOwnershipPlan">0</definedName>
    <definedName name="EquityPaidInCapital">0</definedName>
    <definedName name="EquityTreasuryStock">0</definedName>
    <definedName name="ev.Calculation" hidden="1">-4135</definedName>
    <definedName name="ev.Initialized" hidden="1">FALSE</definedName>
    <definedName name="Exhibit_4">"QSALES1"</definedName>
    <definedName name="FINCriteriaType">1</definedName>
    <definedName name="FiveYearGrowthRate" localSheetId="9">IndexInformation!$B$16</definedName>
    <definedName name="fmv_04" localSheetId="8">{"Client Name or Project Name"}</definedName>
    <definedName name="fmv_04" localSheetId="1">{"Client Name or Project Name"}</definedName>
    <definedName name="fmv_04">{"Client Name or Project Name"}</definedName>
    <definedName name="FollowingYearEPS" localSheetId="9">IndexInformation!$B$15</definedName>
    <definedName name="FollowingYearTotalRevenue" localSheetId="9">IndexInformation!$B$14</definedName>
    <definedName name="FollowingYearTotalRevenueActual" localSheetId="9">IndexInformation!$B$34</definedName>
    <definedName name="grehq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guidance1" localSheetId="8">{9}</definedName>
    <definedName name="guidance1" localSheetId="1">{9}</definedName>
    <definedName name="guidance1">{9}</definedName>
    <definedName name="HL" localSheetId="10">ModPubIndex!$A$8</definedName>
    <definedName name="hn.ModelVersion" hidden="1">1</definedName>
    <definedName name="hn.NoUpload" hidden="1">0</definedName>
    <definedName name="HTML_CodePage" hidden="1">1252</definedName>
    <definedName name="HTML_Control" localSheetId="8" hidden="1">{"'Breakup 01 Euro'!$A$3:$I$30"}</definedName>
    <definedName name="HTML_Control" localSheetId="1" hidden="1">{"'Breakup 01 Euro'!$A$3:$I$30"}</definedName>
    <definedName name="HTML_Control" hidden="1">{"'Breakup 01 Euro'!$A$3:$I$30"}</definedName>
    <definedName name="HTML_Description" hidden="1">""</definedName>
    <definedName name="HTML_Email" hidden="1">""</definedName>
    <definedName name="HTML_Header" hidden="1">"Breakup 01 Euro"</definedName>
    <definedName name="HTML_LastUpdate" hidden="1">"27/02/2001"</definedName>
    <definedName name="HTML_LineAfter" hidden="1">FALSE</definedName>
    <definedName name="HTML_LineBefore" hidden="1">FALSE</definedName>
    <definedName name="HTML_Name" hidden="1">"jonasa"</definedName>
    <definedName name="HTML_OBDlg2" hidden="1">TRUE</definedName>
    <definedName name="HTML_OBDlg4" hidden="1">TRUE</definedName>
    <definedName name="HTML_OS" hidden="1">0</definedName>
    <definedName name="HTML_PathFile" hidden="1">"L:\AUTOS\XLDATA\Jonas\other\DCX_Sop.htm"</definedName>
    <definedName name="HTML_Title" hidden="1">"DAIC-INC"</definedName>
    <definedName name="IncomeEPSFullyDiluted">0</definedName>
    <definedName name="IncomeEPSPrimary">0</definedName>
    <definedName name="IncomeEPSRegular">0</definedName>
    <definedName name="IND" localSheetId="10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Q" hidden="1">"c413"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LL_FEATURE" hidden="1">"c2197"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XITY" hidden="1">"c2182"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INT" hidden="1">"c373"</definedName>
    <definedName name="IQ_EBITDA_MARGIN" hidden="1">"c372"</definedName>
    <definedName name="IQ_EBITDA_OVER_TOTAL_IE" hidden="1">"c1371"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ROSS_SPRD" hidden="1">"c2155"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REVISION_DATE_" hidden="1">38859.8503356481</definedName>
    <definedName name="IQ_REVISION_DATE__1" hidden="1">38859.8503356481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TW" hidden="1">"c2166"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MPLOYEE_AVG" hidden="1">"c1225"</definedName>
    <definedName name="IQ_TEV_TOTAL_REV" hidden="1">"c1226"</definedName>
    <definedName name="IQ_TEV_TOTAL_REV_AVG" hidden="1">"c1227"</definedName>
    <definedName name="IQ_TEV_UFCF" hidden="1">"c2208"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KeepVersions" localSheetId="9">IndexInformation!$B$8</definedName>
    <definedName name="LanguageCode">IndexInformation!$B$38</definedName>
    <definedName name="LastCell" localSheetId="0">ImportantDisclosures!$A$22</definedName>
    <definedName name="LiabilitiesCurrentAccruedLiabilities">0</definedName>
    <definedName name="LiabilitiesCurrentNotesPayable">0</definedName>
    <definedName name="LiabilitiesDeferredIncomeTaxes">0</definedName>
    <definedName name="LiabilitiesOther">0</definedName>
    <definedName name="LiabilitiesUnamortizedInvestmentTaxCredits">0</definedName>
    <definedName name="limcount" hidden="1">1</definedName>
    <definedName name="Linking_1">DCF!$B$6:$L$59</definedName>
    <definedName name="Linking_10">#N/A</definedName>
    <definedName name="Linking_11">#N/A</definedName>
    <definedName name="Linking_12">#N/A</definedName>
    <definedName name="Linking_13">DCF!$B$6:$O$67</definedName>
    <definedName name="Linking_17">'P&amp;L'!$B$5:$CA$86</definedName>
    <definedName name="Linking_18">MYGN!$B$3:$CA$88</definedName>
    <definedName name="Linking_19">'P&amp;L'!$B$3:$CA$86</definedName>
    <definedName name="Linking_20">'P&amp;L'!$BL$36</definedName>
    <definedName name="Linking_26">'P&amp;L'!$B$5:$CG$86</definedName>
    <definedName name="Linking_27">MYGN!$A$4:$CG$88</definedName>
    <definedName name="Linking_29">MYGN!$B$4:$CG$88</definedName>
    <definedName name="Linking_31">'P&amp;L'!$B$5:$CM$86</definedName>
    <definedName name="Linking_32">MYGN!$B$3:$CM$88</definedName>
    <definedName name="Linking_6">MYGN!$B$3:$BU$88</definedName>
    <definedName name="Linking_7">#N/A</definedName>
    <definedName name="Linking_8">#N/A</definedName>
    <definedName name="Linking_9">#N/A</definedName>
    <definedName name="Linking_Range_23">MYGN!$B$3:$BC$80</definedName>
    <definedName name="Linking_Range_24">'Bal Sht'!$A$3:$BC$45</definedName>
    <definedName name="Linking_Range_25">'Cash Flow'!$A$3:$BC$56</definedName>
    <definedName name="Linking_Range_28">DCF!$B$6:$J$67</definedName>
    <definedName name="Linking_Range_3">'P&amp;L'!$B$3:$AX$86</definedName>
    <definedName name="Linking_Range_31">MYGN!$B$3:$BD$80</definedName>
    <definedName name="Linking_Range_32">'P&amp;L'!$B$3:$BC$86</definedName>
    <definedName name="Linking_Range_33">'P&amp;L'!$B$3:$BU$69</definedName>
    <definedName name="Linking_Range_34">MYGN!$B$4:$BU$107</definedName>
    <definedName name="Linking_Range_35">'Bal Sht'!$A$3:$BU$45</definedName>
    <definedName name="Linking_Range_36">'Cash Flow'!$A$3:$BU$50</definedName>
    <definedName name="Linking_Range_38">MYGN!$B$3:$BU$76</definedName>
    <definedName name="Linking_Range_39">'P&amp;L'!$B$3:$BU$86</definedName>
    <definedName name="Linking_Range_4">MYGN!$B$3:$AW$80</definedName>
    <definedName name="Linking_Range_40">'Cash Flow'!$A$3:$BU$44</definedName>
    <definedName name="Linking_Range_41">'P&amp;L'!$B$3:$BI$92</definedName>
    <definedName name="Linking_Range_42">'P&amp;L'!$B$3:$BO$92</definedName>
    <definedName name="Linking_Range_43">'P&amp;L'!$B$3:$BO$86</definedName>
    <definedName name="Linking_Range_47">DCF!$B$6:$L$67</definedName>
    <definedName name="Linking_Range_49">'P&amp;L'!$B$5:$BU$86</definedName>
    <definedName name="Linking_Range_5">'Bal Sht'!$A$3:$AW$45</definedName>
    <definedName name="Linking_Range_50">MYGN!$B$3:$BU$80</definedName>
    <definedName name="Linking_Range_51">'Cash Flow'!$A$3:$BU$48</definedName>
    <definedName name="Linking_Range_52">MYGN!$B$3:$BU$78</definedName>
    <definedName name="Linking_Range_56">DCF!$B$6:$L$47</definedName>
    <definedName name="Linking_Range_6">'Cash Flow'!$A$3:$AW$50</definedName>
    <definedName name="Linking_Range_60">'P&amp;L'!$B$5:$BI$86</definedName>
    <definedName name="Linking_Range_61">MYGN!$B$3:$BI$76</definedName>
    <definedName name="Linking_Range_65">'P&amp;L'!$B$5:$BI$46</definedName>
    <definedName name="Linking_Range_66">MYGN!$B$4:$BI$80</definedName>
    <definedName name="Linking_Range_67">'Bal Sht'!$A$5:$BI$45</definedName>
    <definedName name="Linking_Range_68">'Cash Flow'!$A$5:$BI$50</definedName>
    <definedName name="Linking_Range_70">MYGN!$B$4:$BU$80</definedName>
    <definedName name="Linking_Range_73">MYGN!$B$3:$BU$107</definedName>
    <definedName name="Linking_Range_75">'P&amp;L'!$B$5:$BU$46</definedName>
    <definedName name="Linking_Range_76">'Bal Sht'!$A$5:$BU$45</definedName>
    <definedName name="Linking_Range_77">'Cash Flow'!$A$5:$BU$50</definedName>
    <definedName name="Linking_Range_78">'P&amp;L'!$B$5:$BO$46</definedName>
    <definedName name="Linking_Range_79">MYGN!$B$4:$BO$80</definedName>
    <definedName name="Linking_Range_80">'Bal Sht'!$A$5:$BO$77</definedName>
    <definedName name="Linking_Range_81">'Cash Flow'!$A$5:$BO$56</definedName>
    <definedName name="Linking_Range_82">'P&amp;L'!$B$5:$BO$86</definedName>
    <definedName name="Linking_Range_86">'Bal Sht'!$A$5:$BO$83</definedName>
    <definedName name="MacroVersion" localSheetId="9">IndexInformation!$B$1</definedName>
    <definedName name="ModelPrice" localSheetId="0">ImportantDisclosures!$A$14</definedName>
    <definedName name="MonitorRow">1</definedName>
    <definedName name="Multiplier" localSheetId="9">IndexInformation!$B$35</definedName>
    <definedName name="NetIncome" localSheetId="8">{"Client Name or Project Name"}</definedName>
    <definedName name="NetIncome" localSheetId="1">{"Client Name or Project Name"}</definedName>
    <definedName name="NetIncome">{"Client Name or Project Name"}</definedName>
    <definedName name="newDCF" localSheetId="8">{"Client Name or Project Name"}</definedName>
    <definedName name="newDCF" localSheetId="1">{"Client Name or Project Name"}</definedName>
    <definedName name="newDCF">{"Client Name or Project Name"}</definedName>
    <definedName name="newname14" localSheetId="8">{9}</definedName>
    <definedName name="newname14" localSheetId="1">{9}</definedName>
    <definedName name="newname14">{9}</definedName>
    <definedName name="newname18" localSheetId="8">{9}</definedName>
    <definedName name="newname18" localSheetId="1">{9}</definedName>
    <definedName name="newname18">{9}</definedName>
    <definedName name="newname19" localSheetId="8">{9}</definedName>
    <definedName name="newname19" localSheetId="1">{9}</definedName>
    <definedName name="newname19">{9}</definedName>
    <definedName name="newname20" localSheetId="8">{"Client Name or Project Name"}</definedName>
    <definedName name="newname20" localSheetId="1">{"Client Name or Project Name"}</definedName>
    <definedName name="newname20">{"Client Name or Project Name"}</definedName>
    <definedName name="newname22" localSheetId="8">{9}</definedName>
    <definedName name="newname22" localSheetId="1">{9}</definedName>
    <definedName name="newname22">{9}</definedName>
    <definedName name="newname23" localSheetId="8" hidden="1">{"'Breakup 01 Euro'!$A$3:$I$30"}</definedName>
    <definedName name="newname23" localSheetId="1" hidden="1">{"'Breakup 01 Euro'!$A$3:$I$30"}</definedName>
    <definedName name="newname23" hidden="1">{"'Breakup 01 Euro'!$A$3:$I$30"}</definedName>
    <definedName name="newname25" hidden="1">39244.4711574074</definedName>
    <definedName name="newname26" localSheetId="8">{"Client Name or Project Name"}</definedName>
    <definedName name="newname26" localSheetId="1">{"Client Name or Project Name"}</definedName>
    <definedName name="newname26">{"Client Name or Project Name"}</definedName>
    <definedName name="newname28" localSheetId="8">{"Client Name or Project Name"}</definedName>
    <definedName name="newname28" localSheetId="1">{"Client Name or Project Name"}</definedName>
    <definedName name="newname28">{"Client Name or Project Name"}</definedName>
    <definedName name="newname29" localSheetId="8">{"Client Name or Project Name"}</definedName>
    <definedName name="newname29" localSheetId="1">{"Client Name or Project Name"}</definedName>
    <definedName name="newname29">{"Client Name or Project Name"}</definedName>
    <definedName name="newname30" localSheetId="8">{"Client Name or Project Name"}</definedName>
    <definedName name="newname30" localSheetId="1">{"Client Name or Project Name"}</definedName>
    <definedName name="newname30">{"Client Name or Project Name"}</definedName>
    <definedName name="newname31" localSheetId="8">{126}</definedName>
    <definedName name="newname31" localSheetId="1">{126}</definedName>
    <definedName name="newname31">{126}</definedName>
    <definedName name="newname32" localSheetId="8">{1}</definedName>
    <definedName name="newname32" localSheetId="1">{1}</definedName>
    <definedName name="newname32">{1}</definedName>
    <definedName name="newname33" localSheetId="8">{0}</definedName>
    <definedName name="newname33" localSheetId="1">{0}</definedName>
    <definedName name="newname33">{0}</definedName>
    <definedName name="newname34" localSheetId="8">{126}</definedName>
    <definedName name="newname34" localSheetId="1">{126}</definedName>
    <definedName name="newname34">{126}</definedName>
    <definedName name="newname35" localSheetId="8">{"Client Name or Project Name"}</definedName>
    <definedName name="newname35" localSheetId="1">{"Client Name or Project Name"}</definedName>
    <definedName name="newname35">{"Client Name or Project Name"}</definedName>
    <definedName name="newname36" localSheetId="8">{"Client Name or Project Name"}</definedName>
    <definedName name="newname36" localSheetId="1">{"Client Name or Project Name"}</definedName>
    <definedName name="newname36">{"Client Name or Project Name"}</definedName>
    <definedName name="newname37" localSheetId="8">{"Client Name or Project Name"}</definedName>
    <definedName name="newname37" localSheetId="1">{"Client Name or Project Name"}</definedName>
    <definedName name="newname37">{"Client Name or Project Name"}</definedName>
    <definedName name="newname38" localSheetId="8">{"Client Name or Project Name"}</definedName>
    <definedName name="newname38" localSheetId="1">{"Client Name or Project Name"}</definedName>
    <definedName name="newname38">{"Client Name or Project Name"}</definedName>
    <definedName name="newname39" localSheetId="8">{"Client Name or Project Name"}</definedName>
    <definedName name="newname39" localSheetId="1">{"Client Name or Project Name"}</definedName>
    <definedName name="newname39">{"Client Name or Project Name"}</definedName>
    <definedName name="newname40" localSheetId="8">{"Client Name or Project Name"}</definedName>
    <definedName name="newname40" localSheetId="1">{"Client Name or Project Name"}</definedName>
    <definedName name="newname40">{"Client Name or Project Name"}</definedName>
    <definedName name="newname41" localSheetId="8">{"Client Name or Project Name"}</definedName>
    <definedName name="newname41" localSheetId="1">{"Client Name or Project Name"}</definedName>
    <definedName name="newname41">{"Client Name or Project Name"}</definedName>
    <definedName name="newname42" localSheetId="8">{"Client Name or Project Name"}</definedName>
    <definedName name="newname42" localSheetId="1">{"Client Name or Project Name"}</definedName>
    <definedName name="newname42">{"Client Name or Project Name"}</definedName>
    <definedName name="newname43" localSheetId="8">{"Client Name or Project Name"}</definedName>
    <definedName name="newname43" localSheetId="1">{"Client Name or Project Name"}</definedName>
    <definedName name="newname43">{"Client Name or Project Name"}</definedName>
    <definedName name="newProjectName" localSheetId="8">{"Client Name or Project Name"}</definedName>
    <definedName name="newProjectName" localSheetId="1">{"Client Name or Project Name"}</definedName>
    <definedName name="newProjectName">{"Client Name or Project Name"}</definedName>
    <definedName name="NewProjName" localSheetId="8">{"Client Name or Project Name"}</definedName>
    <definedName name="NewProjName" localSheetId="1">{"Client Name or Project Name"}</definedName>
    <definedName name="NewProjName">{"Client Name or Project Name"}</definedName>
    <definedName name="newstone" localSheetId="8">{"Client Name or Project Name"}</definedName>
    <definedName name="newstone" localSheetId="1">{"Client Name or Project Name"}</definedName>
    <definedName name="newstone">{"Client Name or Project Name"}</definedName>
    <definedName name="NextYearEPS" localSheetId="9">IndexInformation!$B$13</definedName>
    <definedName name="NextYearTotalRevenue" localSheetId="9">IndexInformation!$B$12</definedName>
    <definedName name="NextYearTotalRevenueActual" localSheetId="9">IndexInformation!$B$33</definedName>
    <definedName name="NoIdeaWhatToDo" localSheetId="8">{"Client Name or Project Name"}</definedName>
    <definedName name="NoIdeaWhatToDo" localSheetId="1">{"Client Name or Project Name"}</definedName>
    <definedName name="NoIdeaWhatToDo">{"Client Name or Project Name"}</definedName>
    <definedName name="Normalized_Income_Statement">"IS_Annual"</definedName>
    <definedName name="num" localSheetId="8">{126}</definedName>
    <definedName name="num" localSheetId="1">{126}</definedName>
    <definedName name="num">{126}</definedName>
    <definedName name="NumCUSIP" localSheetId="8">{1}</definedName>
    <definedName name="NumCUSIP" localSheetId="1">{1}</definedName>
    <definedName name="NumCUSIP">{1}</definedName>
    <definedName name="NumCUSIPMissing" localSheetId="8">{0}</definedName>
    <definedName name="NumCUSIPMissing" localSheetId="1">{0}</definedName>
    <definedName name="NumCUSIPMissing">{0}</definedName>
    <definedName name="NumInst" localSheetId="8">{126}</definedName>
    <definedName name="NumInst" localSheetId="1">{126}</definedName>
    <definedName name="NumInst">{126}</definedName>
    <definedName name="NVCURR">[6]I!$B$1:$U$51</definedName>
    <definedName name="ObjectType">IndexInformation!$B$37</definedName>
    <definedName name="OpExAmortization">0</definedName>
    <definedName name="OpExBeforeDepreciationAmortizationExtraordinariesOther">0</definedName>
    <definedName name="OpExBeforeDepreciationAmortizationExtraordinariesTotal">0</definedName>
    <definedName name="OpExCostOfEquipment">0</definedName>
    <definedName name="OpExDepreciation">0</definedName>
    <definedName name="OpExGeneralAdministrative">0</definedName>
    <definedName name="OpExSellingMarketing">0</definedName>
    <definedName name="OpExTotal">0</definedName>
    <definedName name="OtherExEquityIncome">0</definedName>
    <definedName name="OtherExGainOnSale">0</definedName>
    <definedName name="OtherExInterestIncome">0</definedName>
    <definedName name="OtherExMinorityInterest">0</definedName>
    <definedName name="OtherExTotal">0</definedName>
    <definedName name="over_15_years">0.1</definedName>
    <definedName name="PANA" localSheetId="10">ModPubIndex!$A$11</definedName>
    <definedName name="PathName" localSheetId="9">IndexInformation!$B$25</definedName>
    <definedName name="PPP" localSheetId="8">{"Client Name or Project Name"}</definedName>
    <definedName name="PPP" localSheetId="1">{"Client Name or Project Name"}</definedName>
    <definedName name="PPP">{"Client Name or Project Name"}</definedName>
    <definedName name="_xlnm.Print_Area" localSheetId="3">MYGN!$A$1:$CT$95</definedName>
    <definedName name="_xlnm.Print_Area" localSheetId="2">'P&amp;L'!$A$1:$BU$86</definedName>
    <definedName name="_xlnm.Print_Area">"Formula removed, name can be deleted."</definedName>
    <definedName name="_xlnm.Print_Titles">"Formula removed, name can be deleted."</definedName>
    <definedName name="PRODUCT" localSheetId="10">ModPubIndex!$A$6</definedName>
    <definedName name="ProjectName" localSheetId="8">{"EMC Financial Projections"}</definedName>
    <definedName name="ProjectName" localSheetId="1">{"Client Name or Project Name"}</definedName>
    <definedName name="ProjectName">{"Client Name or Project Name"}</definedName>
    <definedName name="ProjectName_1">{"Client Name or Project Name"}</definedName>
    <definedName name="ProjectName_2">{"Client Name or Project Name"}</definedName>
    <definedName name="ProjectName_Options" localSheetId="8">{"Client Name or Project Name"}</definedName>
    <definedName name="ProjectName_Options" localSheetId="1">{"Client Name or Project Name"}</definedName>
    <definedName name="ProjectName_Options">{"Client Name or Project Name"}</definedName>
    <definedName name="ProjectName2" localSheetId="8">{"Client Name or Project Name"}</definedName>
    <definedName name="ProjectName2" localSheetId="1">{"Client Name or Project Name"}</definedName>
    <definedName name="ProjectName2">{"Client Name or Project Name"}</definedName>
    <definedName name="projectnamez" localSheetId="8">{"Client Name or Project Name"}</definedName>
    <definedName name="projectnamez" localSheetId="1">{"Client Name or Project Name"}</definedName>
    <definedName name="projectnamez">{"Client Name or Project Name"}</definedName>
    <definedName name="PSYM" localSheetId="10">ModPubIndex!$A$4</definedName>
    <definedName name="PUB_UserID" hidden="1">"MAYERX"</definedName>
    <definedName name="PublishDate" localSheetId="9">IndexInformation!$B$2</definedName>
    <definedName name="qqq" localSheetId="8">{9}</definedName>
    <definedName name="qqq" localSheetId="1">{9}</definedName>
    <definedName name="qqq">{9}</definedName>
    <definedName name="Rating" localSheetId="9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searchTopic" localSheetId="9">IndexInformation!$B$4</definedName>
    <definedName name="RevenuesCellularEquipment">0</definedName>
    <definedName name="RevenuesCellularOther">0</definedName>
    <definedName name="RevenuesCellularService">0</definedName>
    <definedName name="RevenuesCellularTotal">0</definedName>
    <definedName name="RevenuesPagingEquipment">0</definedName>
    <definedName name="RevenuesPagingOther">0</definedName>
    <definedName name="RevenuesPagingService">0</definedName>
    <definedName name="RevenuesPagingTotal">0</definedName>
    <definedName name="RevenuesWirelessEquipment">0</definedName>
    <definedName name="RevenuesWirelessOther">0</definedName>
    <definedName name="RevenuesWirelessService">0</definedName>
    <definedName name="RIC" localSheetId="9">IndexInformation!$B$21</definedName>
    <definedName name="SecondROI" localSheetId="8">{"Client Name or Project Name"}</definedName>
    <definedName name="SecondROI" localSheetId="1">{"Client Name or Project Name"}</definedName>
    <definedName name="SecondROI">{"Client Name or Project Name"}</definedName>
    <definedName name="SECSettlement" localSheetId="0">ImportantDisclosures!#REF!</definedName>
    <definedName name="SEDOL" localSheetId="9">IndexInformation!$B$22</definedName>
    <definedName name="sencount" hidden="1">2</definedName>
    <definedName name="SharesConvertibleSecurities">0</definedName>
    <definedName name="SharesFullyDiluted">0</definedName>
    <definedName name="SharesOptions">0</definedName>
    <definedName name="SharesOutstandingLatestDate">0</definedName>
    <definedName name="SharesOutstandingOther">0</definedName>
    <definedName name="SharesOutstandingSenior">0</definedName>
    <definedName name="SharesOutstandingSubordinate">0</definedName>
    <definedName name="SharesPrimary">0</definedName>
    <definedName name="SharesWarrants">0</definedName>
    <definedName name="SourceDefined" localSheetId="0">ImportantDisclosures!$A$19</definedName>
    <definedName name="Space">"          "</definedName>
    <definedName name="Spaces">"      "</definedName>
    <definedName name="Stand1" localSheetId="8">{"Client Name or Project Name"}</definedName>
    <definedName name="Stand1" localSheetId="1">{"Client Name or Project Name"}</definedName>
    <definedName name="Stand1">{"Client Name or Project Name"}</definedName>
    <definedName name="state" localSheetId="8">{"Client Name or Project Name"}</definedName>
    <definedName name="state" localSheetId="1">{"Client Name or Project Name"}</definedName>
    <definedName name="state">{"Client Name or Project Name"}</definedName>
    <definedName name="States" localSheetId="8">{"Client Name or Project Name"}</definedName>
    <definedName name="States" localSheetId="1">{"Client Name or Project Name"}</definedName>
    <definedName name="States">{"Client Name or Project Name"}</definedName>
    <definedName name="StatsAccessLinesDomesticInternationalTotalAverage">0</definedName>
    <definedName name="StatsAccessLinesTotalAverage">0</definedName>
    <definedName name="StatsAverageMonthlyRevenue">0</definedName>
    <definedName name="StatsEmployeesConsolidatedInternational">0</definedName>
    <definedName name="StatsEmployeesTelephoneInternational">0</definedName>
    <definedName name="StatsPagingAverageMonthlyRevenue">0</definedName>
    <definedName name="StatsPagingSubscribers">0</definedName>
    <definedName name="StatsPenetration">0</definedName>
    <definedName name="StatsPOPS">0</definedName>
    <definedName name="StatsProportionatePenetration">0</definedName>
    <definedName name="StatsProportionatePOPS">0</definedName>
    <definedName name="StatsProportionateSubscribersAverage">0</definedName>
    <definedName name="StatsProportionateSubscribersBeginning">0</definedName>
    <definedName name="StatsProportionateSubscribersEnding">0</definedName>
    <definedName name="StatsProportionateSubscribersNetAdds">0</definedName>
    <definedName name="StatsSubscribersAverage">0</definedName>
    <definedName name="StatsSubscribersBeginning">0</definedName>
    <definedName name="StatsSubscribersEnding">0</definedName>
    <definedName name="StatsSubscribersNetAdds">0</definedName>
    <definedName name="StockRating" localSheetId="0">ImportantDisclosures!$A$11</definedName>
    <definedName name="SubjectCode" localSheetId="9">IndexInformation!$B$6</definedName>
    <definedName name="SubmitterUserId">IndexInformation!$B$39</definedName>
    <definedName name="SUPPRESSED" localSheetId="10">ModPubIndex!$A$13</definedName>
    <definedName name="Table_16">"GENEYE"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9">IndexInformation!$B$19</definedName>
    <definedName name="UpdateReason" localSheetId="9">IndexInformation!$B$17</definedName>
    <definedName name="USRegDisclosures" localSheetId="0">ImportantDisclosures!#REF!</definedName>
    <definedName name="Validation">"MAM"</definedName>
    <definedName name="ValuationAdjustmentsOther">0</definedName>
    <definedName name="ValuationAdjustmentsValue">0</definedName>
    <definedName name="ValuationCellularValue">0</definedName>
    <definedName name="ValuationDebtAdjustment">0</definedName>
    <definedName name="ValuationDebtNet">0</definedName>
    <definedName name="ValuationDebtTotal">0</definedName>
    <definedName name="ValuationFirmValue">0</definedName>
    <definedName name="ValuationInvestments">0</definedName>
    <definedName name="ValuationMarketCapitalization">0</definedName>
    <definedName name="ValuationOtherValue">0</definedName>
    <definedName name="ValuationPagingValue">0</definedName>
    <definedName name="ValuationTelephoneValue">0</definedName>
    <definedName name="ValuationWirelessValue">0</definedName>
    <definedName name="Version">"June 29, 2004"</definedName>
  </definedNames>
  <calcPr calcId="145621"/>
</workbook>
</file>

<file path=xl/calcChain.xml><?xml version="1.0" encoding="utf-8"?>
<calcChain xmlns="http://schemas.openxmlformats.org/spreadsheetml/2006/main">
  <c r="CP115" i="1" l="1"/>
  <c r="CQ115" i="1" s="1"/>
  <c r="CR115" i="1" s="1"/>
  <c r="CJ115" i="1"/>
  <c r="CK115" i="1" s="1"/>
  <c r="CL115" i="1" s="1"/>
  <c r="CD115" i="1"/>
  <c r="CE115" i="1" s="1"/>
  <c r="CF115" i="1" s="1"/>
  <c r="CQ164" i="1"/>
  <c r="CP164" i="1"/>
  <c r="CO164" i="1"/>
  <c r="CJ164" i="1"/>
  <c r="CI164" i="1"/>
  <c r="CS156" i="1"/>
  <c r="CM156" i="1"/>
  <c r="CS155" i="1"/>
  <c r="CM155" i="1"/>
  <c r="CP151" i="1"/>
  <c r="CQ151" i="1" s="1"/>
  <c r="CR151" i="1" s="1"/>
  <c r="CJ151" i="1"/>
  <c r="CK151" i="1" s="1"/>
  <c r="CL151" i="1" s="1"/>
  <c r="CS147" i="1"/>
  <c r="CR147" i="1"/>
  <c r="CO147" i="1"/>
  <c r="CM147" i="1"/>
  <c r="CK147" i="1"/>
  <c r="CJ147" i="1"/>
  <c r="CI147" i="1"/>
  <c r="CS146" i="1"/>
  <c r="CR146" i="1"/>
  <c r="CQ146" i="1"/>
  <c r="CP146" i="1"/>
  <c r="CP147" i="1" s="1"/>
  <c r="CO146" i="1"/>
  <c r="CM146" i="1"/>
  <c r="CL146" i="1"/>
  <c r="CK146" i="1"/>
  <c r="CK109" i="1" s="1"/>
  <c r="CJ146" i="1"/>
  <c r="CI146" i="1"/>
  <c r="CS143" i="1"/>
  <c r="CR143" i="1"/>
  <c r="CR124" i="1" s="1"/>
  <c r="CQ143" i="1"/>
  <c r="CP143" i="1"/>
  <c r="CO143" i="1"/>
  <c r="CO124" i="1" s="1"/>
  <c r="CM143" i="1"/>
  <c r="CL143" i="1"/>
  <c r="CL139" i="1" s="1"/>
  <c r="CK143" i="1"/>
  <c r="CJ143" i="1"/>
  <c r="CJ124" i="1" s="1"/>
  <c r="CI143" i="1"/>
  <c r="CI139" i="1" s="1"/>
  <c r="CM139" i="1" s="1"/>
  <c r="CR139" i="1"/>
  <c r="CQ139" i="1"/>
  <c r="CO139" i="1"/>
  <c r="CK139" i="1"/>
  <c r="CJ139" i="1"/>
  <c r="CS131" i="1"/>
  <c r="CM131" i="1"/>
  <c r="CS125" i="1"/>
  <c r="CM125" i="1"/>
  <c r="CQ124" i="1"/>
  <c r="CL124" i="1"/>
  <c r="CK124" i="1"/>
  <c r="CS116" i="1"/>
  <c r="CM116" i="1"/>
  <c r="CR110" i="1"/>
  <c r="CQ110" i="1"/>
  <c r="CP110" i="1"/>
  <c r="CO110" i="1"/>
  <c r="CM110" i="1"/>
  <c r="CL110" i="1"/>
  <c r="CK110" i="1"/>
  <c r="CJ110" i="1"/>
  <c r="CI110" i="1"/>
  <c r="CO109" i="1"/>
  <c r="CJ109" i="1"/>
  <c r="CP108" i="1"/>
  <c r="CJ108" i="1"/>
  <c r="CS99" i="1"/>
  <c r="CM99" i="1"/>
  <c r="CM97" i="1"/>
  <c r="CL97" i="1"/>
  <c r="CK97" i="1"/>
  <c r="CJ97" i="1"/>
  <c r="CI97" i="1"/>
  <c r="CP89" i="1"/>
  <c r="CL89" i="1"/>
  <c r="CR89" i="1" s="1"/>
  <c r="CK89" i="1"/>
  <c r="CQ89" i="1" s="1"/>
  <c r="CJ89" i="1"/>
  <c r="CI89" i="1"/>
  <c r="CO89" i="1" s="1"/>
  <c r="CP87" i="1"/>
  <c r="CL87" i="1"/>
  <c r="CK87" i="1"/>
  <c r="CJ87" i="1"/>
  <c r="CI87" i="1"/>
  <c r="CO87" i="1" s="1"/>
  <c r="CR76" i="1"/>
  <c r="CL76" i="1"/>
  <c r="CK76" i="1"/>
  <c r="CJ76" i="1"/>
  <c r="CI76" i="1"/>
  <c r="CO76" i="1" s="1"/>
  <c r="CQ75" i="1"/>
  <c r="CP75" i="1"/>
  <c r="CL75" i="1"/>
  <c r="CR75" i="1" s="1"/>
  <c r="CK75" i="1"/>
  <c r="CJ75" i="1"/>
  <c r="CI75" i="1"/>
  <c r="CO75" i="1" s="1"/>
  <c r="CP99" i="2"/>
  <c r="CQ99" i="2" s="1"/>
  <c r="CR99" i="2" s="1"/>
  <c r="CP91" i="2"/>
  <c r="CO91" i="2"/>
  <c r="CQ90" i="2"/>
  <c r="CQ89" i="2"/>
  <c r="CO89" i="2"/>
  <c r="CS88" i="2"/>
  <c r="CR88" i="2"/>
  <c r="CQ88" i="2"/>
  <c r="CP88" i="2"/>
  <c r="CO88" i="2"/>
  <c r="CR85" i="2"/>
  <c r="CQ85" i="2"/>
  <c r="CP85" i="2"/>
  <c r="CO85" i="2"/>
  <c r="CS85" i="2" s="1"/>
  <c r="CS86" i="2" s="1"/>
  <c r="CO84" i="2"/>
  <c r="CO83" i="2" s="1"/>
  <c r="CR73" i="2"/>
  <c r="CQ73" i="2"/>
  <c r="CP73" i="2"/>
  <c r="CO73" i="2"/>
  <c r="CS73" i="2" s="1"/>
  <c r="CS74" i="2" s="1"/>
  <c r="CO71" i="2"/>
  <c r="CR69" i="2"/>
  <c r="CQ69" i="2"/>
  <c r="CP69" i="2"/>
  <c r="CS69" i="2" s="1"/>
  <c r="CS78" i="2" s="1"/>
  <c r="CO69" i="2"/>
  <c r="CS68" i="2"/>
  <c r="CO68" i="2"/>
  <c r="CO70" i="2" s="1"/>
  <c r="CS46" i="2"/>
  <c r="CP42" i="2"/>
  <c r="CP84" i="2" s="1"/>
  <c r="CP83" i="2" s="1"/>
  <c r="CS41" i="2"/>
  <c r="CS38" i="2"/>
  <c r="CS34" i="2"/>
  <c r="CS33" i="2"/>
  <c r="CS32" i="2"/>
  <c r="CS31" i="2"/>
  <c r="CR31" i="2"/>
  <c r="CS17" i="2"/>
  <c r="CS15" i="2"/>
  <c r="CS14" i="2"/>
  <c r="CS13" i="2"/>
  <c r="CS12" i="2"/>
  <c r="CS10" i="2"/>
  <c r="CS6" i="2"/>
  <c r="CR6" i="2"/>
  <c r="CQ6" i="2"/>
  <c r="CP6" i="2"/>
  <c r="CO6" i="2"/>
  <c r="CO5" i="2"/>
  <c r="CJ99" i="2"/>
  <c r="CK99" i="2" s="1"/>
  <c r="CL99" i="2" s="1"/>
  <c r="CI89" i="2"/>
  <c r="CM88" i="2"/>
  <c r="CL88" i="2"/>
  <c r="CK88" i="2"/>
  <c r="CJ88" i="2"/>
  <c r="CI88" i="2"/>
  <c r="CL85" i="2"/>
  <c r="CK85" i="2"/>
  <c r="CJ85" i="2"/>
  <c r="CI85" i="2"/>
  <c r="CM85" i="2" s="1"/>
  <c r="CM86" i="2" s="1"/>
  <c r="CI84" i="2"/>
  <c r="CI83" i="2" s="1"/>
  <c r="CL73" i="2"/>
  <c r="CK73" i="2"/>
  <c r="CJ73" i="2"/>
  <c r="CI73" i="2"/>
  <c r="CM73" i="2" s="1"/>
  <c r="CM74" i="2" s="1"/>
  <c r="CI70" i="2"/>
  <c r="CI72" i="2" s="1"/>
  <c r="CJ68" i="2" s="1"/>
  <c r="CM69" i="2"/>
  <c r="CM78" i="2" s="1"/>
  <c r="CL69" i="2"/>
  <c r="CK69" i="2"/>
  <c r="CJ69" i="2"/>
  <c r="CI69" i="2"/>
  <c r="CM68" i="2"/>
  <c r="CI68" i="2"/>
  <c r="CI71" i="2" s="1"/>
  <c r="CM46" i="2"/>
  <c r="CJ42" i="2"/>
  <c r="CM41" i="2"/>
  <c r="CM38" i="2"/>
  <c r="CM34" i="2"/>
  <c r="CM33" i="2"/>
  <c r="CM32" i="2"/>
  <c r="CM31" i="2"/>
  <c r="CL31" i="2"/>
  <c r="CM17" i="2"/>
  <c r="CM15" i="2"/>
  <c r="CM14" i="2"/>
  <c r="CM13" i="2"/>
  <c r="CM12" i="2"/>
  <c r="CM10" i="2"/>
  <c r="CM6" i="2"/>
  <c r="CL6" i="2"/>
  <c r="CK6" i="2"/>
  <c r="CJ6" i="2"/>
  <c r="CI6" i="2"/>
  <c r="CI5" i="2"/>
  <c r="CS89" i="2"/>
  <c r="CQ91" i="2"/>
  <c r="CS6" i="1"/>
  <c r="CR6" i="1"/>
  <c r="CQ6" i="1"/>
  <c r="CP6" i="1"/>
  <c r="CO6" i="1"/>
  <c r="CO5" i="1"/>
  <c r="CM89" i="2"/>
  <c r="CK91" i="2"/>
  <c r="CJ91" i="2"/>
  <c r="CM6" i="1"/>
  <c r="CL6" i="1"/>
  <c r="CK6" i="1"/>
  <c r="CJ6" i="1"/>
  <c r="CI6" i="1"/>
  <c r="CI5" i="1"/>
  <c r="CQ61" i="4"/>
  <c r="CP61" i="4"/>
  <c r="CJ61" i="4"/>
  <c r="CK61" i="4" s="1"/>
  <c r="CL61" i="4" s="1"/>
  <c r="CP36" i="3"/>
  <c r="CQ36" i="3" s="1"/>
  <c r="CR36" i="3" s="1"/>
  <c r="CR164" i="1" s="1"/>
  <c r="CJ36" i="3"/>
  <c r="CK36" i="3" s="1"/>
  <c r="CL36" i="3" s="1"/>
  <c r="CL164" i="1" s="1"/>
  <c r="CR30" i="3"/>
  <c r="CQ30" i="3"/>
  <c r="CP30" i="3"/>
  <c r="CO30" i="3"/>
  <c r="CL30" i="3"/>
  <c r="CK30" i="3"/>
  <c r="CJ30" i="3"/>
  <c r="CI30" i="3"/>
  <c r="CR29" i="3"/>
  <c r="CQ29" i="3"/>
  <c r="CP29" i="3"/>
  <c r="CO29" i="3"/>
  <c r="CL29" i="3"/>
  <c r="CK29" i="3"/>
  <c r="CJ29" i="3"/>
  <c r="CI29" i="3"/>
  <c r="CS26" i="3"/>
  <c r="CR26" i="3"/>
  <c r="CP26" i="3"/>
  <c r="CQ26" i="3" s="1"/>
  <c r="CJ26" i="3"/>
  <c r="CR88" i="4"/>
  <c r="CQ88" i="4"/>
  <c r="CS88" i="4" s="1"/>
  <c r="CP88" i="4"/>
  <c r="CO88" i="4"/>
  <c r="CL88" i="4"/>
  <c r="CM88" i="4" s="1"/>
  <c r="CK88" i="4"/>
  <c r="CJ88" i="4"/>
  <c r="CI88" i="4"/>
  <c r="CS86" i="4"/>
  <c r="CM86" i="4"/>
  <c r="CS85" i="4"/>
  <c r="CM85" i="4"/>
  <c r="CK69" i="4"/>
  <c r="CJ69" i="4"/>
  <c r="CQ74" i="4"/>
  <c r="CR74" i="4" s="1"/>
  <c r="CR73" i="4" s="1"/>
  <c r="CP74" i="4"/>
  <c r="CK74" i="4"/>
  <c r="CJ74" i="4"/>
  <c r="CP73" i="4"/>
  <c r="CI73" i="4"/>
  <c r="CR69" i="4"/>
  <c r="CQ69" i="4"/>
  <c r="CP69" i="4"/>
  <c r="CP60" i="4" s="1"/>
  <c r="CO69" i="4"/>
  <c r="CO73" i="4" s="1"/>
  <c r="CL69" i="4"/>
  <c r="CI69" i="4"/>
  <c r="CO60" i="4"/>
  <c r="CI60" i="4"/>
  <c r="CO57" i="4"/>
  <c r="CP56" i="4"/>
  <c r="CP57" i="4" s="1"/>
  <c r="CO56" i="4"/>
  <c r="CI56" i="4"/>
  <c r="CS54" i="4"/>
  <c r="CP31" i="4"/>
  <c r="CP32" i="4" s="1"/>
  <c r="CO31" i="4"/>
  <c r="CO32" i="4" s="1"/>
  <c r="CI31" i="4"/>
  <c r="CI32" i="4" s="1"/>
  <c r="CR30" i="4"/>
  <c r="CS31" i="4"/>
  <c r="CR33" i="4"/>
  <c r="CQ33" i="4"/>
  <c r="CQ26" i="4" s="1"/>
  <c r="CP33" i="4"/>
  <c r="CJ31" i="4"/>
  <c r="CI33" i="4"/>
  <c r="CI26" i="4" s="1"/>
  <c r="CO28" i="4"/>
  <c r="CP27" i="4"/>
  <c r="CP28" i="4" s="1"/>
  <c r="CO27" i="4"/>
  <c r="CI27" i="4"/>
  <c r="CR26" i="4"/>
  <c r="CS25" i="4"/>
  <c r="CQ27" i="4"/>
  <c r="CO23" i="4"/>
  <c r="CO24" i="4" s="1"/>
  <c r="CI23" i="4"/>
  <c r="CS23" i="4"/>
  <c r="CQ23" i="4"/>
  <c r="CJ23" i="4"/>
  <c r="CQ19" i="4"/>
  <c r="CP19" i="4"/>
  <c r="CP20" i="4" s="1"/>
  <c r="CO19" i="4"/>
  <c r="CO20" i="4" s="1"/>
  <c r="CI19" i="4"/>
  <c r="CS17" i="4"/>
  <c r="CP18" i="4"/>
  <c r="AP7" i="72"/>
  <c r="AO7" i="72"/>
  <c r="AN7" i="72"/>
  <c r="AR6" i="72"/>
  <c r="AQ6" i="72"/>
  <c r="AQ7" i="72" s="1"/>
  <c r="AP6" i="72"/>
  <c r="AO6" i="72"/>
  <c r="AN6" i="72"/>
  <c r="AK7" i="72"/>
  <c r="AL6" i="72"/>
  <c r="AK6" i="72"/>
  <c r="AJ6" i="72"/>
  <c r="AJ7" i="72" s="1"/>
  <c r="AI6" i="72"/>
  <c r="AI7" i="72" s="1"/>
  <c r="AH6" i="72"/>
  <c r="AH7" i="72" s="1"/>
  <c r="CR5" i="4"/>
  <c r="CQ5" i="4"/>
  <c r="CP5" i="4"/>
  <c r="CO5" i="4"/>
  <c r="CL5" i="4"/>
  <c r="CK5" i="4"/>
  <c r="CJ5" i="4"/>
  <c r="CI5" i="4"/>
  <c r="CF5" i="4"/>
  <c r="CE5" i="4"/>
  <c r="CD5" i="4"/>
  <c r="CC5" i="4"/>
  <c r="CO4" i="4"/>
  <c r="CI4" i="4"/>
  <c r="CO138" i="3"/>
  <c r="CP138" i="3" s="1"/>
  <c r="CQ138" i="3" s="1"/>
  <c r="CR138" i="3" s="1"/>
  <c r="CS138" i="3" s="1"/>
  <c r="CO90" i="3"/>
  <c r="CP90" i="3" s="1"/>
  <c r="CQ90" i="3" s="1"/>
  <c r="CR90" i="3" s="1"/>
  <c r="CS89" i="3"/>
  <c r="CO7" i="3"/>
  <c r="CS6" i="3"/>
  <c r="CR6" i="3"/>
  <c r="CQ6" i="3"/>
  <c r="CP6" i="3"/>
  <c r="CP7" i="3" s="1"/>
  <c r="CO6" i="3"/>
  <c r="CL138" i="3"/>
  <c r="CM138" i="3" s="1"/>
  <c r="CK138" i="3"/>
  <c r="CJ138" i="3"/>
  <c r="CI138" i="3"/>
  <c r="CI90" i="3"/>
  <c r="CM89" i="3"/>
  <c r="CI7" i="3"/>
  <c r="CM6" i="3"/>
  <c r="CL6" i="3"/>
  <c r="CK6" i="3"/>
  <c r="CJ6" i="3"/>
  <c r="CJ7" i="3" s="1"/>
  <c r="CI6" i="3"/>
  <c r="CJ32" i="4" l="1"/>
  <c r="CJ24" i="4"/>
  <c r="CI28" i="4"/>
  <c r="CI57" i="4"/>
  <c r="CQ20" i="4"/>
  <c r="CI22" i="4"/>
  <c r="CK73" i="4"/>
  <c r="CQ28" i="4"/>
  <c r="CQ24" i="4"/>
  <c r="CI20" i="4"/>
  <c r="CI24" i="4"/>
  <c r="CQ60" i="4"/>
  <c r="CK164" i="1"/>
  <c r="CR87" i="1"/>
  <c r="CQ108" i="1"/>
  <c r="CQ76" i="1"/>
  <c r="CI90" i="2"/>
  <c r="CP76" i="1"/>
  <c r="CR109" i="1"/>
  <c r="CR91" i="2"/>
  <c r="CQ87" i="1"/>
  <c r="CK108" i="1"/>
  <c r="CI124" i="1"/>
  <c r="CM124" i="1" s="1"/>
  <c r="CP139" i="1"/>
  <c r="CS139" i="1" s="1"/>
  <c r="CP109" i="1"/>
  <c r="CS109" i="1" s="1"/>
  <c r="CP124" i="1"/>
  <c r="CI109" i="1"/>
  <c r="CQ147" i="1"/>
  <c r="CQ109" i="1"/>
  <c r="CS110" i="1"/>
  <c r="CS124" i="1"/>
  <c r="CL109" i="1"/>
  <c r="CL147" i="1"/>
  <c r="CO72" i="2"/>
  <c r="CP68" i="2" s="1"/>
  <c r="CO80" i="2"/>
  <c r="CP90" i="2"/>
  <c r="CS91" i="2"/>
  <c r="CQ42" i="2"/>
  <c r="CR90" i="2"/>
  <c r="CP89" i="2"/>
  <c r="CS90" i="2"/>
  <c r="CM91" i="2"/>
  <c r="CJ90" i="2"/>
  <c r="CR89" i="2"/>
  <c r="CO90" i="2"/>
  <c r="CJ71" i="2"/>
  <c r="CJ72" i="2"/>
  <c r="CK68" i="2" s="1"/>
  <c r="CJ70" i="2"/>
  <c r="CJ80" i="2" s="1"/>
  <c r="CJ40" i="2" s="1"/>
  <c r="CJ84" i="2"/>
  <c r="CJ83" i="2" s="1"/>
  <c r="CJ89" i="2"/>
  <c r="CM90" i="2"/>
  <c r="CK90" i="2"/>
  <c r="CK42" i="2"/>
  <c r="CL90" i="2"/>
  <c r="CK89" i="2"/>
  <c r="CI91" i="2"/>
  <c r="CI80" i="2"/>
  <c r="CL89" i="2"/>
  <c r="CL91" i="2"/>
  <c r="CS29" i="3"/>
  <c r="CS30" i="3"/>
  <c r="CR61" i="4"/>
  <c r="CR60" i="4" s="1"/>
  <c r="CL60" i="4"/>
  <c r="CK60" i="4"/>
  <c r="CM29" i="3"/>
  <c r="CK26" i="3"/>
  <c r="CL26" i="3" s="1"/>
  <c r="CM30" i="3"/>
  <c r="CO30" i="4"/>
  <c r="CL27" i="4"/>
  <c r="CL28" i="4" s="1"/>
  <c r="CR27" i="4"/>
  <c r="CR28" i="4" s="1"/>
  <c r="CK33" i="4"/>
  <c r="CL23" i="4"/>
  <c r="CL24" i="4" s="1"/>
  <c r="CR23" i="4"/>
  <c r="CR24" i="4" s="1"/>
  <c r="CQ22" i="4"/>
  <c r="CL19" i="4"/>
  <c r="CL20" i="4" s="1"/>
  <c r="CR19" i="4"/>
  <c r="CR20" i="4" s="1"/>
  <c r="CQ18" i="4"/>
  <c r="CK56" i="4"/>
  <c r="CK57" i="4" s="1"/>
  <c r="CR18" i="4"/>
  <c r="CM25" i="4"/>
  <c r="CJ27" i="4"/>
  <c r="CJ28" i="4" s="1"/>
  <c r="CQ30" i="4"/>
  <c r="CL56" i="4"/>
  <c r="CL57" i="4" s="1"/>
  <c r="CR56" i="4"/>
  <c r="CR57" i="4" s="1"/>
  <c r="CP23" i="4"/>
  <c r="CP24" i="4" s="1"/>
  <c r="CJ33" i="4"/>
  <c r="CP35" i="4" s="1"/>
  <c r="CP36" i="4" s="1"/>
  <c r="CP26" i="4"/>
  <c r="CL33" i="4"/>
  <c r="CS33" i="4"/>
  <c r="CQ35" i="4"/>
  <c r="CQ36" i="4" s="1"/>
  <c r="CJ73" i="4"/>
  <c r="CJ60" i="4"/>
  <c r="CK27" i="4"/>
  <c r="CK28" i="4" s="1"/>
  <c r="CK26" i="4"/>
  <c r="CK23" i="4"/>
  <c r="CK24" i="4" s="1"/>
  <c r="CK22" i="4"/>
  <c r="CK18" i="4"/>
  <c r="CK19" i="4"/>
  <c r="CK20" i="4" s="1"/>
  <c r="CR22" i="4"/>
  <c r="CK31" i="4"/>
  <c r="CK32" i="4" s="1"/>
  <c r="CK30" i="4"/>
  <c r="CI30" i="4"/>
  <c r="CQ31" i="4"/>
  <c r="CQ32" i="4" s="1"/>
  <c r="CM54" i="4"/>
  <c r="CJ56" i="4"/>
  <c r="CJ57" i="4" s="1"/>
  <c r="CQ56" i="4"/>
  <c r="CQ57" i="4" s="1"/>
  <c r="CQ73" i="4"/>
  <c r="CJ19" i="4"/>
  <c r="CJ20" i="4" s="1"/>
  <c r="CM17" i="4"/>
  <c r="CI18" i="4"/>
  <c r="CP22" i="4"/>
  <c r="CL31" i="4"/>
  <c r="CL32" i="4" s="1"/>
  <c r="CR31" i="4"/>
  <c r="CR32" i="4" s="1"/>
  <c r="CM23" i="4"/>
  <c r="CP30" i="4"/>
  <c r="CM31" i="4"/>
  <c r="CL74" i="4"/>
  <c r="CL73" i="4" s="1"/>
  <c r="CO33" i="4"/>
  <c r="CO52" i="4"/>
  <c r="CO53" i="4" s="1"/>
  <c r="CR9" i="4"/>
  <c r="CR10" i="4" s="1"/>
  <c r="CO9" i="4"/>
  <c r="CO10" i="4" s="1"/>
  <c r="CR14" i="4"/>
  <c r="CR15" i="4" s="1"/>
  <c r="CQ9" i="4"/>
  <c r="CQ10" i="4" s="1"/>
  <c r="CP9" i="4"/>
  <c r="CP10" i="4" s="1"/>
  <c r="CO14" i="4"/>
  <c r="CO15" i="4" s="1"/>
  <c r="CS14" i="4"/>
  <c r="AR7" i="72"/>
  <c r="AL7" i="72"/>
  <c r="CS9" i="4"/>
  <c r="CQ14" i="4"/>
  <c r="CQ15" i="4" s="1"/>
  <c r="CP13" i="4"/>
  <c r="CP14" i="4"/>
  <c r="CP15" i="4" s="1"/>
  <c r="CQ13" i="4"/>
  <c r="CS90" i="3"/>
  <c r="CR7" i="3"/>
  <c r="CQ7" i="3"/>
  <c r="CS7" i="3" s="1"/>
  <c r="CJ90" i="3"/>
  <c r="CK90" i="3" s="1"/>
  <c r="CL90" i="3" s="1"/>
  <c r="CM90" i="3"/>
  <c r="CK7" i="3"/>
  <c r="CM7" i="3" s="1"/>
  <c r="CL7" i="3"/>
  <c r="CR108" i="1" l="1"/>
  <c r="CL108" i="1"/>
  <c r="CM109" i="1"/>
  <c r="CO40" i="2"/>
  <c r="CR42" i="2"/>
  <c r="CQ84" i="2"/>
  <c r="CQ83" i="2" s="1"/>
  <c r="CP71" i="2"/>
  <c r="CP70" i="2"/>
  <c r="CK71" i="2"/>
  <c r="CK70" i="2"/>
  <c r="CK80" i="2" s="1"/>
  <c r="CK40" i="2" s="1"/>
  <c r="CK84" i="2"/>
  <c r="CK83" i="2" s="1"/>
  <c r="CL42" i="2"/>
  <c r="CI40" i="2"/>
  <c r="CM26" i="3"/>
  <c r="CO48" i="4"/>
  <c r="CO49" i="4" s="1"/>
  <c r="CR48" i="4"/>
  <c r="CR49" i="4" s="1"/>
  <c r="CL18" i="4"/>
  <c r="CJ26" i="4"/>
  <c r="CJ30" i="4"/>
  <c r="CM18" i="4"/>
  <c r="CS30" i="4"/>
  <c r="CS26" i="4"/>
  <c r="CS18" i="4"/>
  <c r="CL30" i="4"/>
  <c r="CS56" i="4"/>
  <c r="CM33" i="4"/>
  <c r="CM26" i="4" s="1"/>
  <c r="CJ22" i="4"/>
  <c r="CS27" i="4"/>
  <c r="CR35" i="4"/>
  <c r="CR36" i="4" s="1"/>
  <c r="CO35" i="4"/>
  <c r="CO36" i="4" s="1"/>
  <c r="CO26" i="4"/>
  <c r="CL26" i="4"/>
  <c r="CS19" i="4"/>
  <c r="CO18" i="4"/>
  <c r="CS22" i="4"/>
  <c r="CJ18" i="4"/>
  <c r="CO22" i="4"/>
  <c r="CL22" i="4"/>
  <c r="CR8" i="4"/>
  <c r="CR13" i="4"/>
  <c r="CL13" i="4"/>
  <c r="CL8" i="4"/>
  <c r="CO8" i="4"/>
  <c r="CQ8" i="4"/>
  <c r="CS13" i="4"/>
  <c r="CP8" i="4"/>
  <c r="CO13" i="4"/>
  <c r="CS8" i="4"/>
  <c r="CI8" i="4"/>
  <c r="CJ8" i="4"/>
  <c r="CK8" i="4"/>
  <c r="CI13" i="4"/>
  <c r="CK13" i="4"/>
  <c r="CJ13" i="4"/>
  <c r="CR84" i="2" l="1"/>
  <c r="CR83" i="2" s="1"/>
  <c r="CS42" i="2"/>
  <c r="CS84" i="2" s="1"/>
  <c r="CS83" i="2" s="1"/>
  <c r="CP80" i="2"/>
  <c r="CP72" i="2"/>
  <c r="CQ68" i="2" s="1"/>
  <c r="CK72" i="2"/>
  <c r="CL68" i="2" s="1"/>
  <c r="CL84" i="2"/>
  <c r="CL83" i="2" s="1"/>
  <c r="CM42" i="2"/>
  <c r="CM84" i="2" s="1"/>
  <c r="CM83" i="2" s="1"/>
  <c r="CP52" i="4"/>
  <c r="CP53" i="4" s="1"/>
  <c r="CR52" i="4"/>
  <c r="CR53" i="4" s="1"/>
  <c r="CQ52" i="4"/>
  <c r="CQ53" i="4" s="1"/>
  <c r="CM50" i="4"/>
  <c r="CP48" i="4"/>
  <c r="CP49" i="4" s="1"/>
  <c r="CQ48" i="4"/>
  <c r="CQ49" i="4" s="1"/>
  <c r="CM46" i="4"/>
  <c r="CM8" i="4"/>
  <c r="CM22" i="4"/>
  <c r="CM30" i="4"/>
  <c r="CM13" i="4"/>
  <c r="CS35" i="4"/>
  <c r="CQ71" i="2" l="1"/>
  <c r="CQ70" i="2"/>
  <c r="CQ72" i="2"/>
  <c r="CR68" i="2" s="1"/>
  <c r="CP40" i="2"/>
  <c r="CL71" i="2"/>
  <c r="CM71" i="2" s="1"/>
  <c r="CM77" i="2" s="1"/>
  <c r="CL70" i="2"/>
  <c r="AQ38" i="72"/>
  <c r="CS50" i="4"/>
  <c r="CS52" i="4" s="1"/>
  <c r="CS46" i="4"/>
  <c r="CS48" i="4" s="1"/>
  <c r="CQ80" i="2" l="1"/>
  <c r="CR70" i="2"/>
  <c r="CR80" i="2" s="1"/>
  <c r="CR40" i="2" s="1"/>
  <c r="CR71" i="2"/>
  <c r="CS71" i="2" s="1"/>
  <c r="CS77" i="2" s="1"/>
  <c r="CL80" i="2"/>
  <c r="CM70" i="2"/>
  <c r="CL72" i="2"/>
  <c r="AO38" i="72"/>
  <c r="AP38" i="72"/>
  <c r="AH38" i="72"/>
  <c r="AL9" i="72"/>
  <c r="CR72" i="2" l="1"/>
  <c r="CS70" i="2"/>
  <c r="CQ40" i="2"/>
  <c r="CS80" i="2"/>
  <c r="CM76" i="2"/>
  <c r="CM72" i="2"/>
  <c r="CL40" i="2"/>
  <c r="CM80" i="2"/>
  <c r="AN38" i="72"/>
  <c r="AR9" i="72"/>
  <c r="CS40" i="2" l="1"/>
  <c r="CS76" i="2"/>
  <c r="CS72" i="2"/>
  <c r="CM40" i="2"/>
  <c r="AR38" i="72"/>
  <c r="Q6" i="72" l="1"/>
  <c r="P6" i="72"/>
  <c r="M6" i="72"/>
  <c r="BR71" i="2" l="1"/>
  <c r="BQ156" i="1" l="1"/>
  <c r="BR157" i="1"/>
  <c r="BR39" i="2" l="1"/>
  <c r="BR38" i="2"/>
  <c r="BR70" i="2"/>
  <c r="BQ14" i="1"/>
  <c r="BR102" i="2" l="1"/>
  <c r="BR96" i="2"/>
  <c r="BR95" i="2"/>
  <c r="BR74" i="2"/>
  <c r="BR69" i="2"/>
  <c r="BR46" i="2"/>
  <c r="BR42" i="2"/>
  <c r="BR40" i="2"/>
  <c r="BR80" i="2" s="1"/>
  <c r="BR43" i="2"/>
  <c r="BR62" i="2" s="1"/>
  <c r="BR41" i="2"/>
  <c r="BR30" i="2"/>
  <c r="BR17" i="2"/>
  <c r="BR9" i="2"/>
  <c r="BR26" i="2"/>
  <c r="BR25" i="2"/>
  <c r="BR24" i="2"/>
  <c r="BR23" i="2"/>
  <c r="BR22" i="2"/>
  <c r="BR21" i="2"/>
  <c r="BR20" i="2"/>
  <c r="BR19" i="2" s="1"/>
  <c r="BR27" i="2" s="1"/>
  <c r="BR54" i="2" s="1"/>
  <c r="BR55" i="2" s="1"/>
  <c r="BR56" i="2" s="1"/>
  <c r="BR16" i="2"/>
  <c r="BR14" i="2"/>
  <c r="BR12" i="2"/>
  <c r="BR11" i="2"/>
  <c r="BR98" i="2" s="1"/>
  <c r="BR10" i="2"/>
  <c r="BR8" i="2"/>
  <c r="BR15" i="2"/>
  <c r="BR13" i="2"/>
  <c r="BR171" i="1"/>
  <c r="BR170" i="1"/>
  <c r="BR150" i="1"/>
  <c r="BR149" i="1"/>
  <c r="BR146" i="1"/>
  <c r="BR147" i="1" s="1"/>
  <c r="BR140" i="1"/>
  <c r="BR128" i="1"/>
  <c r="BR131" i="1" s="1"/>
  <c r="BR134" i="1"/>
  <c r="BR135" i="1" s="1"/>
  <c r="BR123" i="1"/>
  <c r="BR124" i="1" s="1"/>
  <c r="BR113" i="1"/>
  <c r="BR106" i="1"/>
  <c r="BR33" i="2"/>
  <c r="BR31" i="2"/>
  <c r="BR143" i="1" s="1"/>
  <c r="BR34" i="2"/>
  <c r="BR32" i="2"/>
  <c r="BR98" i="1"/>
  <c r="BR95" i="1"/>
  <c r="BR86" i="1"/>
  <c r="BR50" i="1"/>
  <c r="BR42" i="1"/>
  <c r="BR44" i="1"/>
  <c r="BR100" i="1" s="1"/>
  <c r="BR34" i="1"/>
  <c r="BR31" i="1"/>
  <c r="BR36" i="1" s="1"/>
  <c r="BR14" i="1"/>
  <c r="BR15" i="1"/>
  <c r="BR24" i="1" s="1"/>
  <c r="BR35" i="2" l="1"/>
  <c r="BR44" i="2"/>
  <c r="BR48" i="2" s="1"/>
  <c r="BR151" i="1"/>
  <c r="BR51" i="1"/>
  <c r="BR52" i="1" s="1"/>
  <c r="BR109" i="1"/>
  <c r="BR45" i="1"/>
  <c r="BR65" i="1" s="1"/>
  <c r="BR130" i="1"/>
  <c r="BR177" i="1"/>
  <c r="BR90" i="2"/>
  <c r="BR91" i="2"/>
  <c r="BR89" i="2"/>
  <c r="BR107" i="1"/>
  <c r="BR110" i="1" s="1"/>
  <c r="BZ115" i="3"/>
  <c r="CF115" i="3" s="1"/>
  <c r="CL115" i="3" s="1"/>
  <c r="BY115" i="3"/>
  <c r="CE115" i="3" s="1"/>
  <c r="CK115" i="3" s="1"/>
  <c r="BY114" i="3"/>
  <c r="CE114" i="3" s="1"/>
  <c r="CK114" i="3" s="1"/>
  <c r="CQ115" i="3" l="1"/>
  <c r="CK133" i="3"/>
  <c r="CK124" i="3"/>
  <c r="CK103" i="3"/>
  <c r="CK54" i="3" s="1"/>
  <c r="CR115" i="3"/>
  <c r="CL133" i="3"/>
  <c r="CL124" i="3"/>
  <c r="CL103" i="3"/>
  <c r="CL54" i="3" s="1"/>
  <c r="CK123" i="3"/>
  <c r="CK102" i="3"/>
  <c r="CK53" i="3" s="1"/>
  <c r="CQ114" i="3"/>
  <c r="CK132" i="3"/>
  <c r="BR53" i="1"/>
  <c r="BR137" i="3"/>
  <c r="BR10" i="3"/>
  <c r="CQ132" i="3" l="1"/>
  <c r="CQ123" i="3"/>
  <c r="CQ102" i="3"/>
  <c r="CQ53" i="3" s="1"/>
  <c r="CQ56" i="3" s="1"/>
  <c r="CR133" i="3"/>
  <c r="CR103" i="3"/>
  <c r="CR54" i="3" s="1"/>
  <c r="CR57" i="3" s="1"/>
  <c r="CR124" i="3"/>
  <c r="CQ103" i="3"/>
  <c r="CQ54" i="3" s="1"/>
  <c r="CQ57" i="3" s="1"/>
  <c r="CQ124" i="3"/>
  <c r="CQ133" i="3"/>
  <c r="BR58" i="4" l="1"/>
  <c r="BR87" i="4"/>
  <c r="BR73" i="4"/>
  <c r="BR64" i="4"/>
  <c r="BR56" i="4"/>
  <c r="BR52" i="4"/>
  <c r="BR48" i="4"/>
  <c r="BR44" i="4"/>
  <c r="BR40" i="4"/>
  <c r="BR88" i="4" l="1"/>
  <c r="BR60" i="4"/>
  <c r="BR37" i="3" l="1"/>
  <c r="BQ10" i="3"/>
  <c r="BR80" i="3"/>
  <c r="BR79" i="3"/>
  <c r="BR62" i="3"/>
  <c r="BR61" i="3"/>
  <c r="BR43" i="3"/>
  <c r="BR33" i="3"/>
  <c r="BR20" i="3"/>
  <c r="BR11" i="3"/>
  <c r="BR94" i="2" l="1"/>
  <c r="BR97" i="2" s="1"/>
  <c r="BR99" i="2" s="1"/>
  <c r="BR87" i="1"/>
  <c r="BR89" i="1"/>
  <c r="BM157" i="1" l="1"/>
  <c r="BN157" i="1"/>
  <c r="BQ150" i="1"/>
  <c r="BT143" i="1"/>
  <c r="BS143" i="1"/>
  <c r="BQ143" i="1"/>
  <c r="BQ140" i="1"/>
  <c r="BR138" i="1" s="1"/>
  <c r="BR139" i="1" s="1"/>
  <c r="BQ134" i="1"/>
  <c r="BQ135" i="1" s="1"/>
  <c r="BQ119" i="1"/>
  <c r="BQ120" i="1" s="1"/>
  <c r="BQ114" i="1"/>
  <c r="BQ107" i="1"/>
  <c r="BQ97" i="1"/>
  <c r="BQ86" i="1"/>
  <c r="BQ50" i="1"/>
  <c r="BQ51" i="1" s="1"/>
  <c r="BQ52" i="1" s="1"/>
  <c r="BQ42" i="1"/>
  <c r="BQ34" i="1"/>
  <c r="BQ102" i="2"/>
  <c r="BQ101" i="2"/>
  <c r="BQ98" i="2"/>
  <c r="BQ96" i="2"/>
  <c r="BQ95" i="2"/>
  <c r="BQ90" i="2"/>
  <c r="BQ89" i="2"/>
  <c r="BQ80" i="2"/>
  <c r="BQ78" i="2"/>
  <c r="BQ74" i="2"/>
  <c r="BQ62" i="2"/>
  <c r="BQ39" i="2"/>
  <c r="BQ33" i="2"/>
  <c r="BQ22" i="2"/>
  <c r="BQ17" i="2"/>
  <c r="BQ11" i="2"/>
  <c r="BQ10" i="2"/>
  <c r="BK10" i="3"/>
  <c r="BL10" i="3"/>
  <c r="BN182" i="1" l="1"/>
  <c r="BM182" i="1"/>
  <c r="BL182" i="1"/>
  <c r="BK182" i="1"/>
  <c r="BH182" i="1"/>
  <c r="BG182" i="1"/>
  <c r="BF182" i="1"/>
  <c r="BE182" i="1"/>
  <c r="BB182" i="1"/>
  <c r="BA182" i="1"/>
  <c r="AZ182" i="1"/>
  <c r="AY182" i="1"/>
  <c r="AV182" i="1"/>
  <c r="AU182" i="1"/>
  <c r="AT182" i="1"/>
  <c r="AS182" i="1"/>
  <c r="AP182" i="1"/>
  <c r="AO182" i="1"/>
  <c r="AN182" i="1"/>
  <c r="AM182" i="1"/>
  <c r="AJ182" i="1"/>
  <c r="AI182" i="1"/>
  <c r="AH182" i="1"/>
  <c r="AG182" i="1"/>
  <c r="AD182" i="1"/>
  <c r="AC182" i="1"/>
  <c r="AB182" i="1"/>
  <c r="AA182" i="1"/>
  <c r="X182" i="1"/>
  <c r="W182" i="1"/>
  <c r="V182" i="1"/>
  <c r="U182" i="1"/>
  <c r="R182" i="1"/>
  <c r="Q182" i="1"/>
  <c r="P182" i="1"/>
  <c r="O182" i="1"/>
  <c r="BN181" i="1"/>
  <c r="BM181" i="1"/>
  <c r="BL181" i="1"/>
  <c r="BK181" i="1"/>
  <c r="BH181" i="1"/>
  <c r="BG181" i="1"/>
  <c r="BF181" i="1"/>
  <c r="BE181" i="1"/>
  <c r="BB181" i="1"/>
  <c r="BA181" i="1"/>
  <c r="AV181" i="1"/>
  <c r="AU181" i="1"/>
  <c r="AT181" i="1"/>
  <c r="AS181" i="1"/>
  <c r="AP181" i="1"/>
  <c r="AO181" i="1"/>
  <c r="AN181" i="1"/>
  <c r="AM181" i="1"/>
  <c r="AJ181" i="1"/>
  <c r="AI181" i="1"/>
  <c r="AH181" i="1"/>
  <c r="AG181" i="1"/>
  <c r="AD181" i="1"/>
  <c r="AC181" i="1"/>
  <c r="AB181" i="1"/>
  <c r="AA181" i="1"/>
  <c r="X181" i="1"/>
  <c r="W181" i="1"/>
  <c r="V181" i="1"/>
  <c r="U181" i="1"/>
  <c r="R181" i="1"/>
  <c r="Q181" i="1"/>
  <c r="P181" i="1"/>
  <c r="O181" i="1"/>
  <c r="BN180" i="1"/>
  <c r="BM180" i="1"/>
  <c r="BL180" i="1"/>
  <c r="BK180" i="1"/>
  <c r="BH180" i="1"/>
  <c r="BG180" i="1"/>
  <c r="BF180" i="1"/>
  <c r="BE180" i="1"/>
  <c r="BB180" i="1"/>
  <c r="BA180" i="1"/>
  <c r="AV180" i="1"/>
  <c r="AU180" i="1"/>
  <c r="AT180" i="1"/>
  <c r="AS180" i="1"/>
  <c r="AP180" i="1"/>
  <c r="AO180" i="1"/>
  <c r="AN180" i="1"/>
  <c r="AM180" i="1"/>
  <c r="AJ180" i="1"/>
  <c r="AI180" i="1"/>
  <c r="AH180" i="1"/>
  <c r="AG180" i="1"/>
  <c r="AD180" i="1"/>
  <c r="AC180" i="1"/>
  <c r="AB180" i="1"/>
  <c r="AA180" i="1"/>
  <c r="X180" i="1"/>
  <c r="W180" i="1"/>
  <c r="V180" i="1"/>
  <c r="U180" i="1"/>
  <c r="R180" i="1"/>
  <c r="Q180" i="1"/>
  <c r="P180" i="1"/>
  <c r="O180" i="1"/>
  <c r="AZ171" i="1"/>
  <c r="AY171" i="1"/>
  <c r="AV171" i="1"/>
  <c r="AU171" i="1"/>
  <c r="AT171" i="1"/>
  <c r="AS171" i="1"/>
  <c r="AP171" i="1"/>
  <c r="AO171" i="1"/>
  <c r="AN171" i="1"/>
  <c r="AM171" i="1"/>
  <c r="AJ171" i="1"/>
  <c r="AI171" i="1"/>
  <c r="AH171" i="1"/>
  <c r="AG171" i="1"/>
  <c r="AD171" i="1"/>
  <c r="AC171" i="1"/>
  <c r="AB171" i="1"/>
  <c r="AA171" i="1"/>
  <c r="X171" i="1"/>
  <c r="W171" i="1"/>
  <c r="V171" i="1"/>
  <c r="U171" i="1"/>
  <c r="R171" i="1"/>
  <c r="Q171" i="1"/>
  <c r="P171" i="1"/>
  <c r="O171" i="1"/>
  <c r="BN170" i="1"/>
  <c r="BM170" i="1"/>
  <c r="BL170" i="1"/>
  <c r="BK170" i="1"/>
  <c r="BH170" i="1"/>
  <c r="BG170" i="1"/>
  <c r="BF170" i="1"/>
  <c r="BE170" i="1"/>
  <c r="BB170" i="1"/>
  <c r="BA170" i="1"/>
  <c r="AZ170" i="1"/>
  <c r="AY170" i="1"/>
  <c r="AV170" i="1"/>
  <c r="AU170" i="1"/>
  <c r="AT170" i="1"/>
  <c r="AS170" i="1"/>
  <c r="AP170" i="1"/>
  <c r="AO170" i="1"/>
  <c r="AN170" i="1"/>
  <c r="AM170" i="1"/>
  <c r="AJ170" i="1"/>
  <c r="AI170" i="1"/>
  <c r="AH170" i="1"/>
  <c r="AG170" i="1"/>
  <c r="AD170" i="1"/>
  <c r="AC170" i="1"/>
  <c r="AB170" i="1"/>
  <c r="AA170" i="1"/>
  <c r="X170" i="1"/>
  <c r="W170" i="1"/>
  <c r="V170" i="1"/>
  <c r="U170" i="1"/>
  <c r="R170" i="1"/>
  <c r="Q170" i="1"/>
  <c r="P170" i="1"/>
  <c r="O170" i="1"/>
  <c r="L182" i="1"/>
  <c r="K182" i="1"/>
  <c r="J182" i="1"/>
  <c r="I182" i="1"/>
  <c r="L181" i="1"/>
  <c r="K181" i="1"/>
  <c r="J181" i="1"/>
  <c r="I181" i="1"/>
  <c r="L180" i="1"/>
  <c r="K180" i="1"/>
  <c r="J180" i="1"/>
  <c r="I180" i="1"/>
  <c r="L171" i="1"/>
  <c r="K171" i="1"/>
  <c r="J171" i="1"/>
  <c r="I171" i="1"/>
  <c r="L170" i="1"/>
  <c r="K170" i="1"/>
  <c r="J170" i="1"/>
  <c r="I170" i="1"/>
  <c r="F182" i="1"/>
  <c r="E182" i="1"/>
  <c r="D182" i="1"/>
  <c r="F181" i="1"/>
  <c r="E181" i="1"/>
  <c r="D181" i="1"/>
  <c r="F180" i="1"/>
  <c r="E180" i="1"/>
  <c r="D180" i="1"/>
  <c r="F171" i="1"/>
  <c r="E171" i="1"/>
  <c r="D171" i="1"/>
  <c r="F170" i="1"/>
  <c r="E170" i="1"/>
  <c r="D170" i="1"/>
  <c r="C182" i="1"/>
  <c r="C181" i="1"/>
  <c r="C180" i="1"/>
  <c r="C171" i="1"/>
  <c r="C170" i="1"/>
  <c r="CC164" i="1"/>
  <c r="BW164" i="1"/>
  <c r="BA162" i="1"/>
  <c r="AZ162" i="1"/>
  <c r="AY162" i="1"/>
  <c r="AV162" i="1"/>
  <c r="AU162" i="1"/>
  <c r="AT162" i="1"/>
  <c r="AS162" i="1"/>
  <c r="AP162" i="1"/>
  <c r="AO162" i="1"/>
  <c r="AN162" i="1"/>
  <c r="AM162" i="1"/>
  <c r="AJ162" i="1"/>
  <c r="AI162" i="1"/>
  <c r="AH162" i="1"/>
  <c r="AG162" i="1"/>
  <c r="AD162" i="1"/>
  <c r="AC162" i="1"/>
  <c r="AB162" i="1"/>
  <c r="AA162" i="1"/>
  <c r="W162" i="1"/>
  <c r="V162" i="1"/>
  <c r="U162" i="1"/>
  <c r="R162" i="1"/>
  <c r="Q162" i="1"/>
  <c r="P162" i="1"/>
  <c r="O162" i="1"/>
  <c r="L162" i="1"/>
  <c r="K162" i="1"/>
  <c r="J162" i="1"/>
  <c r="I162" i="1"/>
  <c r="F162" i="1"/>
  <c r="E162" i="1"/>
  <c r="D162" i="1"/>
  <c r="C162" i="1"/>
  <c r="BQ37" i="3" l="1"/>
  <c r="BQ58" i="4" l="1"/>
  <c r="BQ87" i="4"/>
  <c r="BQ73" i="4"/>
  <c r="BQ64" i="4"/>
  <c r="BQ60" i="4"/>
  <c r="BQ56" i="4"/>
  <c r="BQ52" i="4"/>
  <c r="BQ48" i="4"/>
  <c r="BQ44" i="4"/>
  <c r="BQ40" i="4"/>
  <c r="BQ137" i="3"/>
  <c r="BR136" i="3" s="1"/>
  <c r="BQ43" i="3"/>
  <c r="BQ33" i="3"/>
  <c r="BQ20" i="3"/>
  <c r="BQ11" i="3"/>
  <c r="BQ16" i="3"/>
  <c r="BQ52" i="3" s="1"/>
  <c r="BQ87" i="1" l="1"/>
  <c r="BQ89" i="1"/>
  <c r="BQ94" i="2"/>
  <c r="BQ97" i="2" s="1"/>
  <c r="BQ99" i="2" s="1"/>
  <c r="BQ88" i="4"/>
  <c r="BQ130" i="3"/>
  <c r="BQ121" i="3"/>
  <c r="BQ112" i="3"/>
  <c r="BQ100" i="3"/>
  <c r="CD99" i="2" l="1"/>
  <c r="CE99" i="2" s="1"/>
  <c r="CF99" i="2" s="1"/>
  <c r="BX99" i="2"/>
  <c r="BY99" i="2" s="1"/>
  <c r="BZ99" i="2" s="1"/>
  <c r="BT99" i="2"/>
  <c r="BK98" i="2"/>
  <c r="BE98" i="2"/>
  <c r="CD74" i="4" l="1"/>
  <c r="CE74" i="4" s="1"/>
  <c r="CF74" i="4" s="1"/>
  <c r="BX74" i="4"/>
  <c r="BY74" i="4" s="1"/>
  <c r="BZ74" i="4" s="1"/>
  <c r="BN129" i="1" l="1"/>
  <c r="BO129" i="1" s="1"/>
  <c r="BN150" i="1"/>
  <c r="BN140" i="1"/>
  <c r="BN134" i="1"/>
  <c r="BN135" i="1" s="1"/>
  <c r="BN128" i="1"/>
  <c r="BO125" i="1"/>
  <c r="BN123" i="1"/>
  <c r="BN124" i="1" s="1"/>
  <c r="BN119" i="1"/>
  <c r="BN120" i="1" s="1"/>
  <c r="BN113" i="1"/>
  <c r="BN106" i="1"/>
  <c r="BK97" i="1"/>
  <c r="BN95" i="1"/>
  <c r="BM95" i="1"/>
  <c r="BL95" i="1"/>
  <c r="BN86" i="1"/>
  <c r="BM86" i="1"/>
  <c r="BL86" i="1"/>
  <c r="BK86" i="1"/>
  <c r="F51" i="1"/>
  <c r="E51" i="1"/>
  <c r="D51" i="1"/>
  <c r="C51" i="1"/>
  <c r="L51" i="1"/>
  <c r="K51" i="1"/>
  <c r="J51" i="1"/>
  <c r="I51" i="1"/>
  <c r="R51" i="1"/>
  <c r="Q51" i="1"/>
  <c r="P51" i="1"/>
  <c r="O51" i="1"/>
  <c r="X51" i="1"/>
  <c r="W51" i="1"/>
  <c r="V51" i="1"/>
  <c r="U51" i="1"/>
  <c r="BK50" i="1"/>
  <c r="BL50" i="1"/>
  <c r="BM50" i="1"/>
  <c r="BM51" i="1" s="1"/>
  <c r="BM52" i="1" s="1"/>
  <c r="BN50" i="1"/>
  <c r="BN42" i="1"/>
  <c r="BN34" i="1"/>
  <c r="BN171" i="1" s="1"/>
  <c r="BN14" i="1"/>
  <c r="BN83" i="2"/>
  <c r="BO83" i="2" s="1"/>
  <c r="BN51" i="1" l="1"/>
  <c r="BN52" i="1" s="1"/>
  <c r="BL51" i="1"/>
  <c r="BL52" i="1" s="1"/>
  <c r="BK51" i="1"/>
  <c r="BK52" i="1" s="1"/>
  <c r="BN130" i="1"/>
  <c r="BN131" i="1"/>
  <c r="J8" i="72"/>
  <c r="L18" i="72"/>
  <c r="BT74" i="4" l="1"/>
  <c r="BN10" i="3" l="1"/>
  <c r="BN16" i="3" s="1"/>
  <c r="BN52" i="3" s="1"/>
  <c r="L19" i="72"/>
  <c r="BN19" i="3"/>
  <c r="BN18" i="3"/>
  <c r="BN58" i="4"/>
  <c r="BN87" i="4"/>
  <c r="BN73" i="4"/>
  <c r="BN64" i="4"/>
  <c r="BN60" i="4"/>
  <c r="BN48" i="4"/>
  <c r="BN44" i="4"/>
  <c r="BN40" i="4"/>
  <c r="BN137" i="3"/>
  <c r="BO137" i="3" s="1"/>
  <c r="BQ136" i="3" s="1"/>
  <c r="BN43" i="3"/>
  <c r="BN33" i="3"/>
  <c r="BN11" i="3"/>
  <c r="BN121" i="3" l="1"/>
  <c r="BN130" i="3"/>
  <c r="BN112" i="3"/>
  <c r="BN100" i="3"/>
  <c r="BN20" i="3"/>
  <c r="BN89" i="1" l="1"/>
  <c r="BN87" i="1"/>
  <c r="BM150" i="1" l="1"/>
  <c r="BM149" i="1"/>
  <c r="BM146" i="1"/>
  <c r="BM147" i="1" s="1"/>
  <c r="BM140" i="1"/>
  <c r="BN138" i="1" s="1"/>
  <c r="BN139" i="1" s="1"/>
  <c r="BM134" i="1"/>
  <c r="BM128" i="1"/>
  <c r="BM131" i="1" s="1"/>
  <c r="BM123" i="1"/>
  <c r="BM130" i="1" s="1"/>
  <c r="BM119" i="1"/>
  <c r="BM120" i="1" s="1"/>
  <c r="BM113" i="1"/>
  <c r="BM106" i="1"/>
  <c r="BM42" i="1"/>
  <c r="BM34" i="1"/>
  <c r="BM171" i="1" s="1"/>
  <c r="BM14" i="1"/>
  <c r="BM74" i="2"/>
  <c r="BM38" i="2"/>
  <c r="BN38" i="2" s="1"/>
  <c r="BN98" i="1" l="1"/>
  <c r="BM124" i="1"/>
  <c r="BM151" i="1"/>
  <c r="H15" i="72" l="1"/>
  <c r="Q40" i="72"/>
  <c r="R40" i="72" s="1"/>
  <c r="S40" i="72" s="1"/>
  <c r="BM31" i="3"/>
  <c r="K13" i="72" l="1"/>
  <c r="L13" i="72" s="1"/>
  <c r="BM10" i="3"/>
  <c r="BM16" i="3" s="1"/>
  <c r="BM52" i="3" s="1"/>
  <c r="BM87" i="4"/>
  <c r="BM73" i="4"/>
  <c r="BM58" i="4"/>
  <c r="BM64" i="4"/>
  <c r="BM60" i="4"/>
  <c r="BM48" i="4"/>
  <c r="BM44" i="4"/>
  <c r="BM40" i="4"/>
  <c r="BM33" i="3"/>
  <c r="BM137" i="3"/>
  <c r="BN136" i="3" s="1"/>
  <c r="BM43" i="3"/>
  <c r="BM19" i="3"/>
  <c r="BM18" i="3"/>
  <c r="BM11" i="3"/>
  <c r="BO26" i="3"/>
  <c r="BS26" i="3"/>
  <c r="BT26" i="3" s="1"/>
  <c r="BX26" i="3"/>
  <c r="CD26" i="3"/>
  <c r="CE26" i="3" s="1"/>
  <c r="CF26" i="3" s="1"/>
  <c r="H18" i="72"/>
  <c r="G19" i="72"/>
  <c r="F19" i="72"/>
  <c r="E19" i="72"/>
  <c r="D19" i="72"/>
  <c r="G18" i="72"/>
  <c r="F18" i="72"/>
  <c r="E18" i="72"/>
  <c r="D18" i="72"/>
  <c r="J19" i="72"/>
  <c r="J18" i="72"/>
  <c r="K19" i="72"/>
  <c r="K18" i="72"/>
  <c r="BM20" i="3" l="1"/>
  <c r="BM89" i="1"/>
  <c r="BM87" i="1"/>
  <c r="J16" i="72"/>
  <c r="K16" i="72" s="1"/>
  <c r="L16" i="72" s="1"/>
  <c r="L17" i="72" s="1"/>
  <c r="BY26" i="3"/>
  <c r="BZ26" i="3" s="1"/>
  <c r="BM130" i="3"/>
  <c r="BM112" i="3"/>
  <c r="BM121" i="3"/>
  <c r="BM100" i="3"/>
  <c r="BU26" i="3"/>
  <c r="CG26" i="3"/>
  <c r="CA26" i="3" l="1"/>
  <c r="CD108" i="1" l="1"/>
  <c r="CE108" i="1" s="1"/>
  <c r="CF108" i="1" s="1"/>
  <c r="BX108" i="1"/>
  <c r="BY108" i="1" s="1"/>
  <c r="BZ108" i="1" s="1"/>
  <c r="CC84" i="2" l="1"/>
  <c r="CG46" i="2"/>
  <c r="CD42" i="2"/>
  <c r="CG41" i="2"/>
  <c r="CG38" i="2"/>
  <c r="CG34" i="2"/>
  <c r="CG33" i="2"/>
  <c r="CG32" i="2"/>
  <c r="CF31" i="2"/>
  <c r="CG17" i="2"/>
  <c r="CG15" i="2"/>
  <c r="CG14" i="2"/>
  <c r="CG13" i="2"/>
  <c r="CG12" i="2"/>
  <c r="CG10" i="2"/>
  <c r="CG156" i="1"/>
  <c r="CG155" i="1"/>
  <c r="CG146" i="1"/>
  <c r="CG88" i="2" s="1"/>
  <c r="CF146" i="1"/>
  <c r="CF147" i="1" s="1"/>
  <c r="CE146" i="1"/>
  <c r="CE88" i="2" s="1"/>
  <c r="CD146" i="1"/>
  <c r="CD147" i="1" s="1"/>
  <c r="CC146" i="1"/>
  <c r="CC88" i="2" s="1"/>
  <c r="CE143" i="1"/>
  <c r="CE90" i="2" s="1"/>
  <c r="CD143" i="1"/>
  <c r="CD90" i="2" s="1"/>
  <c r="CC143" i="1"/>
  <c r="CC124" i="1" s="1"/>
  <c r="CG131" i="1"/>
  <c r="CG125" i="1"/>
  <c r="CG116" i="1"/>
  <c r="CF110" i="1"/>
  <c r="CE110" i="1"/>
  <c r="CD110" i="1"/>
  <c r="CC110" i="1"/>
  <c r="CG99" i="1"/>
  <c r="CD124" i="1" l="1"/>
  <c r="CC139" i="1"/>
  <c r="CE124" i="1"/>
  <c r="CE139" i="1"/>
  <c r="CD139" i="1"/>
  <c r="CG147" i="1"/>
  <c r="CC109" i="1"/>
  <c r="CC147" i="1"/>
  <c r="CD109" i="1"/>
  <c r="CG31" i="2"/>
  <c r="CE109" i="1"/>
  <c r="CF143" i="1"/>
  <c r="CE147" i="1"/>
  <c r="CD88" i="2"/>
  <c r="CF88" i="2"/>
  <c r="CE42" i="2"/>
  <c r="CD91" i="2"/>
  <c r="CG110" i="1"/>
  <c r="CC91" i="2"/>
  <c r="CC89" i="2"/>
  <c r="CE91" i="2"/>
  <c r="CE89" i="2"/>
  <c r="CD84" i="2"/>
  <c r="CD89" i="2"/>
  <c r="CC90" i="2"/>
  <c r="CF90" i="2" l="1"/>
  <c r="CF139" i="1"/>
  <c r="CG139" i="1" s="1"/>
  <c r="CF124" i="1"/>
  <c r="CG124" i="1" s="1"/>
  <c r="CF109" i="1"/>
  <c r="CG109" i="1" s="1"/>
  <c r="CF91" i="2"/>
  <c r="CF89" i="2"/>
  <c r="CG143" i="1"/>
  <c r="CE84" i="2"/>
  <c r="CF42" i="2"/>
  <c r="CF88" i="4"/>
  <c r="CE88" i="4"/>
  <c r="CD88" i="4"/>
  <c r="CC88" i="4"/>
  <c r="CG86" i="4"/>
  <c r="CG85" i="4"/>
  <c r="CC4" i="4"/>
  <c r="CE133" i="3"/>
  <c r="CE124" i="3"/>
  <c r="CF133" i="3"/>
  <c r="CF103" i="3"/>
  <c r="CF54" i="3" s="1"/>
  <c r="CL57" i="3" s="1"/>
  <c r="CE103" i="3"/>
  <c r="CE54" i="3" s="1"/>
  <c r="CK57" i="3" s="1"/>
  <c r="CG89" i="3"/>
  <c r="CC5" i="2"/>
  <c r="CC5" i="1"/>
  <c r="CG6" i="3"/>
  <c r="AF6" i="72"/>
  <c r="CK14" i="4" l="1"/>
  <c r="CK15" i="4" s="1"/>
  <c r="CJ14" i="4"/>
  <c r="CJ15" i="4" s="1"/>
  <c r="CL14" i="4"/>
  <c r="CL15" i="4" s="1"/>
  <c r="CM14" i="4"/>
  <c r="CI14" i="4"/>
  <c r="CI15" i="4" s="1"/>
  <c r="CF84" i="2"/>
  <c r="CG91" i="2"/>
  <c r="CG89" i="2"/>
  <c r="CG90" i="2"/>
  <c r="CG6" i="1"/>
  <c r="CG6" i="2"/>
  <c r="CG42" i="2"/>
  <c r="CG88" i="4"/>
  <c r="CF124" i="3"/>
  <c r="CG84" i="2" l="1"/>
  <c r="CE132" i="3"/>
  <c r="CE123" i="3"/>
  <c r="CE102" i="3"/>
  <c r="CE53" i="3" s="1"/>
  <c r="CK56" i="3" s="1"/>
  <c r="H17" i="72" l="1"/>
  <c r="H19" i="72"/>
  <c r="BO29" i="1" l="1"/>
  <c r="BH50" i="1"/>
  <c r="BG50" i="1"/>
  <c r="BF50" i="1"/>
  <c r="BE50" i="1"/>
  <c r="BB50" i="1"/>
  <c r="BA50" i="1"/>
  <c r="AZ50" i="1"/>
  <c r="AY50" i="1"/>
  <c r="AV50" i="1"/>
  <c r="AU50" i="1"/>
  <c r="AT50" i="1"/>
  <c r="AS50" i="1"/>
  <c r="AP50" i="1"/>
  <c r="AO50" i="1"/>
  <c r="AN50" i="1"/>
  <c r="AM50" i="1"/>
  <c r="AJ50" i="1"/>
  <c r="AI50" i="1"/>
  <c r="AH50" i="1"/>
  <c r="AG50" i="1"/>
  <c r="AD50" i="1"/>
  <c r="AC50" i="1"/>
  <c r="AB50" i="1"/>
  <c r="AA50" i="1"/>
  <c r="BL8" i="2"/>
  <c r="AP51" i="1" l="1"/>
  <c r="BB51" i="1"/>
  <c r="AG51" i="1"/>
  <c r="AS51" i="1"/>
  <c r="BE51" i="1"/>
  <c r="AC51" i="1"/>
  <c r="AH51" i="1"/>
  <c r="AU51" i="1"/>
  <c r="AJ51" i="1"/>
  <c r="AV51" i="1"/>
  <c r="BH51" i="1"/>
  <c r="BA51" i="1"/>
  <c r="BF51" i="1"/>
  <c r="AI51" i="1"/>
  <c r="AA51" i="1"/>
  <c r="AM51" i="1"/>
  <c r="AO51" i="1"/>
  <c r="AD51" i="1"/>
  <c r="AT51" i="1"/>
  <c r="BG51" i="1"/>
  <c r="AB51" i="1"/>
  <c r="AN51" i="1"/>
  <c r="BM8" i="2"/>
  <c r="BN8" i="2" s="1"/>
  <c r="BL140" i="1"/>
  <c r="BM138" i="1" s="1"/>
  <c r="BM139" i="1" s="1"/>
  <c r="BL150" i="1"/>
  <c r="BK140" i="1"/>
  <c r="BL138" i="1" s="1"/>
  <c r="BL134" i="1"/>
  <c r="BL135" i="1" s="1"/>
  <c r="BL128" i="1"/>
  <c r="BL131" i="1" s="1"/>
  <c r="BL123" i="1"/>
  <c r="BL130" i="1" s="1"/>
  <c r="BL119" i="1"/>
  <c r="BL120" i="1" s="1"/>
  <c r="BL113" i="1"/>
  <c r="BL106" i="1"/>
  <c r="BL42" i="1"/>
  <c r="BL34" i="1"/>
  <c r="BL171" i="1" s="1"/>
  <c r="BM98" i="1" l="1"/>
  <c r="BS29" i="1"/>
  <c r="BL139" i="1"/>
  <c r="BL124" i="1"/>
  <c r="BL14" i="1"/>
  <c r="BL70" i="2"/>
  <c r="BL74" i="2"/>
  <c r="BL71" i="2"/>
  <c r="BL69" i="2"/>
  <c r="BR78" i="2" s="1"/>
  <c r="BT29" i="1" l="1"/>
  <c r="BM69" i="2"/>
  <c r="BN69" i="2" s="1"/>
  <c r="BM71" i="2"/>
  <c r="BN71" i="2" s="1"/>
  <c r="BM70" i="2"/>
  <c r="BN70" i="2" s="1"/>
  <c r="BL46" i="2"/>
  <c r="BL43" i="2"/>
  <c r="BL42" i="2"/>
  <c r="BL41" i="2"/>
  <c r="BL40" i="2"/>
  <c r="BL39" i="2"/>
  <c r="BL34" i="2"/>
  <c r="BL33" i="2"/>
  <c r="BL32" i="2"/>
  <c r="BL31" i="2"/>
  <c r="BL30" i="2"/>
  <c r="BL26" i="2"/>
  <c r="BL25" i="2"/>
  <c r="BL24" i="2"/>
  <c r="BL23" i="2"/>
  <c r="BL22" i="2"/>
  <c r="BL21" i="2"/>
  <c r="BL20" i="2"/>
  <c r="BL17" i="2"/>
  <c r="BL16" i="2"/>
  <c r="BL15" i="2"/>
  <c r="BL14" i="2"/>
  <c r="BL13" i="2"/>
  <c r="BL12" i="2"/>
  <c r="BL11" i="2"/>
  <c r="BL98" i="2" s="1"/>
  <c r="BL10" i="2"/>
  <c r="BL9" i="2"/>
  <c r="BU29" i="1" l="1"/>
  <c r="BM11" i="2"/>
  <c r="BM13" i="2"/>
  <c r="BN13" i="2" s="1"/>
  <c r="BM15" i="2"/>
  <c r="BN15" i="2" s="1"/>
  <c r="BM17" i="2"/>
  <c r="BN17" i="2" s="1"/>
  <c r="BM21" i="2"/>
  <c r="BN21" i="2" s="1"/>
  <c r="BM23" i="2"/>
  <c r="BN23" i="2" s="1"/>
  <c r="BM25" i="2"/>
  <c r="BN25" i="2" s="1"/>
  <c r="BM32" i="2"/>
  <c r="BN32" i="2" s="1"/>
  <c r="BM34" i="2"/>
  <c r="BN34" i="2" s="1"/>
  <c r="BM42" i="2"/>
  <c r="BM84" i="2" s="1"/>
  <c r="BM85" i="2" s="1"/>
  <c r="BM46" i="2"/>
  <c r="BN46" i="2" s="1"/>
  <c r="BM10" i="2"/>
  <c r="BN10" i="2" s="1"/>
  <c r="BM12" i="2"/>
  <c r="BN12" i="2" s="1"/>
  <c r="BM14" i="2"/>
  <c r="BN14" i="2" s="1"/>
  <c r="BM16" i="2"/>
  <c r="BN16" i="2" s="1"/>
  <c r="BM20" i="2"/>
  <c r="BN20" i="2" s="1"/>
  <c r="BM22" i="2"/>
  <c r="BN22" i="2" s="1"/>
  <c r="BM24" i="2"/>
  <c r="BN24" i="2" s="1"/>
  <c r="BM26" i="2"/>
  <c r="BN26" i="2" s="1"/>
  <c r="BM31" i="2"/>
  <c r="BM143" i="1" s="1"/>
  <c r="BM109" i="1" s="1"/>
  <c r="BM33" i="2"/>
  <c r="BN33" i="2" s="1"/>
  <c r="BM39" i="2"/>
  <c r="BN39" i="2" s="1"/>
  <c r="BM41" i="2"/>
  <c r="BN41" i="2" s="1"/>
  <c r="BM43" i="2"/>
  <c r="BM97" i="1" s="1"/>
  <c r="BL97" i="1"/>
  <c r="BN43" i="2"/>
  <c r="BM62" i="2"/>
  <c r="BL114" i="1"/>
  <c r="BL116" i="1" s="1"/>
  <c r="BM9" i="2"/>
  <c r="BN9" i="2" s="1"/>
  <c r="BN114" i="1" s="1"/>
  <c r="BL107" i="1"/>
  <c r="BM30" i="2"/>
  <c r="BM107" i="1" s="1"/>
  <c r="BL80" i="2"/>
  <c r="BM40" i="2"/>
  <c r="BM80" i="2" s="1"/>
  <c r="BL19" i="2"/>
  <c r="BL62" i="2"/>
  <c r="BR63" i="2" s="1"/>
  <c r="BX42" i="2"/>
  <c r="BY42" i="2" s="1"/>
  <c r="BZ42" i="2" s="1"/>
  <c r="BN11" i="2" l="1"/>
  <c r="BN98" i="2" s="1"/>
  <c r="BM98" i="2"/>
  <c r="BM110" i="1"/>
  <c r="BN31" i="2"/>
  <c r="BN115" i="1"/>
  <c r="BN116" i="1"/>
  <c r="BN30" i="2"/>
  <c r="BN107" i="1" s="1"/>
  <c r="BN97" i="1"/>
  <c r="BN62" i="2"/>
  <c r="BN42" i="2"/>
  <c r="BN40" i="2"/>
  <c r="BN80" i="2" s="1"/>
  <c r="BL115" i="1"/>
  <c r="BO98" i="2" l="1"/>
  <c r="J9" i="10" l="1"/>
  <c r="CA42" i="2" l="1"/>
  <c r="J15" i="72" l="1"/>
  <c r="J12" i="72" s="1"/>
  <c r="K15" i="72"/>
  <c r="E13" i="72"/>
  <c r="F13" i="72" s="1"/>
  <c r="G13" i="72" s="1"/>
  <c r="H13" i="72" s="1"/>
  <c r="K8" i="72"/>
  <c r="E6" i="72"/>
  <c r="E7" i="72" s="1"/>
  <c r="B40" i="72"/>
  <c r="B39" i="72"/>
  <c r="B38" i="72"/>
  <c r="K17" i="72"/>
  <c r="J17" i="72"/>
  <c r="G17" i="72"/>
  <c r="F17" i="72"/>
  <c r="E17" i="72"/>
  <c r="D17" i="72"/>
  <c r="Z6" i="72"/>
  <c r="T6" i="72"/>
  <c r="N6" i="72"/>
  <c r="H6" i="72"/>
  <c r="H34" i="72" l="1"/>
  <c r="J31" i="72"/>
  <c r="H12" i="72"/>
  <c r="K34" i="72"/>
  <c r="J34" i="72"/>
  <c r="K6" i="72"/>
  <c r="L6" i="72" s="1"/>
  <c r="D8" i="72"/>
  <c r="J37" i="72" s="1"/>
  <c r="F8" i="72"/>
  <c r="E8" i="72"/>
  <c r="K27" i="72" s="1"/>
  <c r="F6" i="72"/>
  <c r="J6" i="72"/>
  <c r="W6" i="72" l="1"/>
  <c r="AC6" i="72" s="1"/>
  <c r="K7" i="72"/>
  <c r="G6" i="72"/>
  <c r="G7" i="72" s="1"/>
  <c r="F7" i="72"/>
  <c r="H14" i="72"/>
  <c r="H31" i="72"/>
  <c r="K37" i="72"/>
  <c r="J27" i="72"/>
  <c r="E10" i="72"/>
  <c r="G8" i="72"/>
  <c r="F10" i="72"/>
  <c r="D10" i="72"/>
  <c r="Q7" i="72" l="1"/>
  <c r="S6" i="72"/>
  <c r="J7" i="72"/>
  <c r="K12" i="72"/>
  <c r="D9" i="72"/>
  <c r="F24" i="72"/>
  <c r="F9" i="72"/>
  <c r="D24" i="72"/>
  <c r="E24" i="72"/>
  <c r="G10" i="72"/>
  <c r="E9" i="72"/>
  <c r="L7" i="72"/>
  <c r="H7" i="72"/>
  <c r="V6" i="72"/>
  <c r="AB6" i="72" s="1"/>
  <c r="BZ31" i="2"/>
  <c r="AC7" i="72" l="1"/>
  <c r="P7" i="72"/>
  <c r="K31" i="72"/>
  <c r="M7" i="72"/>
  <c r="D23" i="72"/>
  <c r="G9" i="72"/>
  <c r="H9" i="72" s="1"/>
  <c r="M13" i="72"/>
  <c r="P13" i="72" s="1"/>
  <c r="F23" i="72"/>
  <c r="E23" i="72"/>
  <c r="G24" i="72"/>
  <c r="V7" i="72"/>
  <c r="R6" i="72"/>
  <c r="S7" i="72" s="1"/>
  <c r="Y6" i="72"/>
  <c r="AE6" i="72" s="1"/>
  <c r="W7" i="72"/>
  <c r="AB7" i="72" l="1"/>
  <c r="G23" i="72"/>
  <c r="N13" i="72"/>
  <c r="Q13" i="72"/>
  <c r="H10" i="72"/>
  <c r="H11" i="72" s="1"/>
  <c r="H23" i="72"/>
  <c r="N7" i="72"/>
  <c r="R7" i="72"/>
  <c r="T7" i="72" s="1"/>
  <c r="X6" i="72"/>
  <c r="B66" i="3"/>
  <c r="X7" i="72" l="1"/>
  <c r="AD6" i="72"/>
  <c r="H30" i="72"/>
  <c r="R13" i="72"/>
  <c r="H24" i="72"/>
  <c r="Y7" i="72"/>
  <c r="BT36" i="3" l="1"/>
  <c r="BS164" i="1"/>
  <c r="Z7" i="72"/>
  <c r="AD7" i="72"/>
  <c r="AE7" i="72"/>
  <c r="CD36" i="3"/>
  <c r="CD164" i="1" s="1"/>
  <c r="S13" i="72"/>
  <c r="T13" i="72" s="1"/>
  <c r="E11" i="72"/>
  <c r="E12" i="72" s="1"/>
  <c r="F11" i="72"/>
  <c r="L11" i="72" s="1"/>
  <c r="D11" i="72"/>
  <c r="BX36" i="3" l="1"/>
  <c r="BT164" i="1"/>
  <c r="E31" i="72"/>
  <c r="E15" i="72"/>
  <c r="AF7" i="72"/>
  <c r="CE36" i="3"/>
  <c r="CE164" i="1" s="1"/>
  <c r="F12" i="72"/>
  <c r="D30" i="72"/>
  <c r="D12" i="72"/>
  <c r="D31" i="72" s="1"/>
  <c r="F30" i="72"/>
  <c r="E30" i="72"/>
  <c r="G11" i="72"/>
  <c r="V13" i="72"/>
  <c r="BY36" i="3" l="1"/>
  <c r="BX164" i="1"/>
  <c r="F31" i="72"/>
  <c r="F15" i="72"/>
  <c r="CF36" i="3"/>
  <c r="G12" i="72"/>
  <c r="M11" i="72"/>
  <c r="BN25" i="3" s="1"/>
  <c r="BN27" i="3" s="1"/>
  <c r="G30" i="72"/>
  <c r="D14" i="72"/>
  <c r="D15" i="72"/>
  <c r="D33" i="72"/>
  <c r="F14" i="72"/>
  <c r="F33" i="72"/>
  <c r="W13" i="72"/>
  <c r="E14" i="72"/>
  <c r="E33" i="72"/>
  <c r="BL159" i="1"/>
  <c r="BT114" i="3"/>
  <c r="BZ114" i="3" s="1"/>
  <c r="CF114" i="3" s="1"/>
  <c r="CL114" i="3" s="1"/>
  <c r="BL58" i="4"/>
  <c r="BL37" i="3"/>
  <c r="BL31" i="3"/>
  <c r="BL30" i="3"/>
  <c r="CL132" i="3" l="1"/>
  <c r="CR114" i="3"/>
  <c r="CL102" i="3"/>
  <c r="CL53" i="3" s="1"/>
  <c r="CL56" i="3" s="1"/>
  <c r="CL123" i="3"/>
  <c r="CF132" i="3"/>
  <c r="CF123" i="3"/>
  <c r="CF102" i="3"/>
  <c r="CF53" i="3" s="1"/>
  <c r="CF164" i="1"/>
  <c r="BZ36" i="3"/>
  <c r="BZ164" i="1" s="1"/>
  <c r="BY164" i="1"/>
  <c r="G31" i="72"/>
  <c r="G15" i="72"/>
  <c r="S11" i="72"/>
  <c r="BT25" i="3" s="1"/>
  <c r="G14" i="72"/>
  <c r="E20" i="72"/>
  <c r="E34" i="72"/>
  <c r="D20" i="72"/>
  <c r="D34" i="72"/>
  <c r="F20" i="72"/>
  <c r="F34" i="72"/>
  <c r="G33" i="72"/>
  <c r="X13" i="72"/>
  <c r="BL20" i="3"/>
  <c r="BL137" i="3"/>
  <c r="BM136" i="3" s="1"/>
  <c r="BL43" i="3"/>
  <c r="BL33" i="3"/>
  <c r="BL62" i="3"/>
  <c r="BL61" i="3"/>
  <c r="BL16" i="3"/>
  <c r="BL52" i="3" s="1"/>
  <c r="BL11" i="3"/>
  <c r="BL73" i="4"/>
  <c r="BL60" i="4"/>
  <c r="CR132" i="3" l="1"/>
  <c r="CR102" i="3"/>
  <c r="CR53" i="3" s="1"/>
  <c r="CR56" i="3" s="1"/>
  <c r="CR123" i="3"/>
  <c r="BR81" i="3"/>
  <c r="BR77" i="3"/>
  <c r="BL89" i="1"/>
  <c r="BL87" i="1"/>
  <c r="J42" i="72"/>
  <c r="J41" i="72"/>
  <c r="K41" i="72"/>
  <c r="K42" i="72"/>
  <c r="G20" i="72"/>
  <c r="G34" i="72"/>
  <c r="Y13" i="72"/>
  <c r="BL112" i="3"/>
  <c r="BL100" i="3"/>
  <c r="BL130" i="3"/>
  <c r="BL121" i="3"/>
  <c r="Z13" i="72" l="1"/>
  <c r="AB13" i="72"/>
  <c r="AC13" i="72" s="1"/>
  <c r="AD13" i="72" s="1"/>
  <c r="AE13" i="72" s="1"/>
  <c r="AF13" i="72" l="1"/>
  <c r="AH13" i="72"/>
  <c r="AI13" i="72" l="1"/>
  <c r="BS42" i="2"/>
  <c r="BT42" i="2" s="1"/>
  <c r="BK155" i="1"/>
  <c r="AJ13" i="72" l="1"/>
  <c r="BN155" i="1"/>
  <c r="AK13" i="72" l="1"/>
  <c r="BO155" i="1"/>
  <c r="BK34" i="1"/>
  <c r="BK171" i="1" s="1"/>
  <c r="AL13" i="72" l="1"/>
  <c r="AN13" i="72"/>
  <c r="BK150" i="1"/>
  <c r="BO150" i="1" s="1"/>
  <c r="BK146" i="1"/>
  <c r="BK143" i="1"/>
  <c r="BK90" i="2" s="1"/>
  <c r="BK134" i="1"/>
  <c r="BK135" i="1" s="1"/>
  <c r="BK119" i="1"/>
  <c r="BK120" i="1" s="1"/>
  <c r="BK114" i="1"/>
  <c r="BK101" i="2" s="1"/>
  <c r="BK107" i="1"/>
  <c r="BO107" i="1" s="1"/>
  <c r="BK42" i="1"/>
  <c r="BL98" i="1" s="1"/>
  <c r="BI29" i="1"/>
  <c r="BC29" i="1"/>
  <c r="AW29" i="1"/>
  <c r="AQ29" i="1"/>
  <c r="AK29" i="1"/>
  <c r="AE29" i="1"/>
  <c r="Y29" i="1"/>
  <c r="S29" i="1"/>
  <c r="M29" i="1"/>
  <c r="G29" i="1"/>
  <c r="BE14" i="1"/>
  <c r="BE10" i="1"/>
  <c r="BF14" i="1"/>
  <c r="BK14" i="1"/>
  <c r="BK84" i="2"/>
  <c r="BK85" i="2" s="1"/>
  <c r="BK80" i="2"/>
  <c r="BK78" i="2"/>
  <c r="BK74" i="2"/>
  <c r="BK62" i="2"/>
  <c r="BF32" i="2"/>
  <c r="BE33" i="2"/>
  <c r="BK33" i="2"/>
  <c r="BK35" i="2"/>
  <c r="BK22" i="2"/>
  <c r="BK17" i="2"/>
  <c r="BA23" i="4"/>
  <c r="G58" i="10"/>
  <c r="G53" i="10"/>
  <c r="K9" i="10"/>
  <c r="L9" i="10" s="1"/>
  <c r="M9" i="10" s="1"/>
  <c r="N9" i="10" s="1"/>
  <c r="BG102" i="2"/>
  <c r="BF102" i="2"/>
  <c r="BE102" i="2"/>
  <c r="BB102" i="2"/>
  <c r="BA102" i="2"/>
  <c r="AZ102" i="2"/>
  <c r="AY102" i="2"/>
  <c r="AY101" i="2" s="1"/>
  <c r="AU102" i="2"/>
  <c r="AT102" i="2"/>
  <c r="AS102" i="2"/>
  <c r="AS101" i="2" s="1"/>
  <c r="AO102" i="2"/>
  <c r="AN102" i="2"/>
  <c r="AM102" i="2"/>
  <c r="AM101" i="2" s="1"/>
  <c r="AI102" i="2"/>
  <c r="AH102" i="2"/>
  <c r="AG102" i="2"/>
  <c r="AG101" i="2" s="1"/>
  <c r="AE102" i="2"/>
  <c r="AD102" i="2"/>
  <c r="AC102" i="2"/>
  <c r="AB102" i="2"/>
  <c r="AA102" i="2"/>
  <c r="AA101" i="2" s="1"/>
  <c r="Y102" i="2"/>
  <c r="X102" i="2"/>
  <c r="W102" i="2"/>
  <c r="V102" i="2"/>
  <c r="U102" i="2"/>
  <c r="U101" i="2" s="1"/>
  <c r="S102" i="2"/>
  <c r="R102" i="2"/>
  <c r="Q102" i="2"/>
  <c r="P102" i="2"/>
  <c r="O102" i="2"/>
  <c r="O101" i="2" s="1"/>
  <c r="M102" i="2"/>
  <c r="L102" i="2"/>
  <c r="K102" i="2"/>
  <c r="J102" i="2"/>
  <c r="I102" i="2"/>
  <c r="I101" i="2" s="1"/>
  <c r="G102" i="2"/>
  <c r="F102" i="2"/>
  <c r="E102" i="2"/>
  <c r="D102" i="2"/>
  <c r="C102" i="2"/>
  <c r="C101" i="2" s="1"/>
  <c r="BF96" i="2"/>
  <c r="BE96" i="2"/>
  <c r="BF95" i="2"/>
  <c r="BE95" i="2"/>
  <c r="AY98" i="2"/>
  <c r="AY96" i="2"/>
  <c r="AY95" i="2"/>
  <c r="AS98" i="2"/>
  <c r="AS96" i="2"/>
  <c r="AS95" i="2"/>
  <c r="AM98" i="2"/>
  <c r="AP96" i="2"/>
  <c r="AN96" i="2"/>
  <c r="AM96" i="2"/>
  <c r="AP95" i="2"/>
  <c r="AN95" i="2"/>
  <c r="AM95" i="2"/>
  <c r="AG98" i="2"/>
  <c r="AJ96" i="2"/>
  <c r="AI96" i="2"/>
  <c r="AH96" i="2"/>
  <c r="AG96" i="2"/>
  <c r="AJ95" i="2"/>
  <c r="AI95" i="2"/>
  <c r="AH95" i="2"/>
  <c r="AG95" i="2"/>
  <c r="AA98" i="2"/>
  <c r="AD96" i="2"/>
  <c r="AC96" i="2"/>
  <c r="AB96" i="2"/>
  <c r="AA96" i="2"/>
  <c r="AD95" i="2"/>
  <c r="AC95" i="2"/>
  <c r="AB95" i="2"/>
  <c r="AA95" i="2"/>
  <c r="U98" i="2"/>
  <c r="X96" i="2"/>
  <c r="W96" i="2"/>
  <c r="V96" i="2"/>
  <c r="U96" i="2"/>
  <c r="W95" i="2"/>
  <c r="V95" i="2"/>
  <c r="U95" i="2"/>
  <c r="O98" i="2"/>
  <c r="R96" i="2"/>
  <c r="Q96" i="2"/>
  <c r="P96" i="2"/>
  <c r="O96" i="2"/>
  <c r="R95" i="2"/>
  <c r="Q95" i="2"/>
  <c r="P95" i="2"/>
  <c r="O95" i="2"/>
  <c r="I98" i="2"/>
  <c r="L96" i="2"/>
  <c r="K96" i="2"/>
  <c r="J96" i="2"/>
  <c r="I96" i="2"/>
  <c r="L95" i="2"/>
  <c r="K95" i="2"/>
  <c r="J95" i="2"/>
  <c r="I95" i="2"/>
  <c r="C98" i="2"/>
  <c r="F96" i="2"/>
  <c r="E96" i="2"/>
  <c r="D96" i="2"/>
  <c r="C96" i="2"/>
  <c r="F95" i="2"/>
  <c r="E95" i="2"/>
  <c r="D95" i="2"/>
  <c r="C95" i="2"/>
  <c r="BE84" i="2"/>
  <c r="BE85" i="2" s="1"/>
  <c r="AY84" i="2"/>
  <c r="AY85" i="2" s="1"/>
  <c r="AA84" i="2"/>
  <c r="AA85" i="2" s="1"/>
  <c r="BZ84" i="2"/>
  <c r="BY84" i="2"/>
  <c r="BX84" i="2"/>
  <c r="BW84" i="2"/>
  <c r="BT84" i="2"/>
  <c r="BS84" i="2"/>
  <c r="BR84" i="2"/>
  <c r="BQ84" i="2"/>
  <c r="BN84" i="2"/>
  <c r="BN85" i="2" s="1"/>
  <c r="BL84" i="2"/>
  <c r="BL85" i="2" s="1"/>
  <c r="BR85" i="2" s="1"/>
  <c r="BH83" i="2"/>
  <c r="BI83" i="2" s="1"/>
  <c r="AZ83" i="2"/>
  <c r="AY83" i="2"/>
  <c r="AS84" i="2"/>
  <c r="AS85" i="2" s="1"/>
  <c r="AV83" i="2"/>
  <c r="AU83" i="2"/>
  <c r="AT83" i="2"/>
  <c r="AW83" i="2"/>
  <c r="AS83" i="2"/>
  <c r="AM84" i="2"/>
  <c r="AM85" i="2" s="1"/>
  <c r="AP83" i="2"/>
  <c r="AO83" i="2"/>
  <c r="AN83" i="2"/>
  <c r="AM83" i="2"/>
  <c r="AQ83" i="2"/>
  <c r="AG84" i="2"/>
  <c r="AG85" i="2" s="1"/>
  <c r="AJ83" i="2"/>
  <c r="AI83" i="2"/>
  <c r="AH83" i="2"/>
  <c r="AG83" i="2"/>
  <c r="AK83" i="2" s="1"/>
  <c r="AC83" i="2"/>
  <c r="AB83" i="2"/>
  <c r="AE83" i="2"/>
  <c r="Y83" i="2"/>
  <c r="X83" i="2"/>
  <c r="BE80" i="2"/>
  <c r="AY80" i="2"/>
  <c r="AS80" i="2"/>
  <c r="AM80" i="2"/>
  <c r="AG80" i="2"/>
  <c r="AA80" i="2"/>
  <c r="U80" i="2"/>
  <c r="O80" i="2"/>
  <c r="I80" i="2"/>
  <c r="C80" i="2"/>
  <c r="BE78" i="2"/>
  <c r="AY78" i="2"/>
  <c r="AS78" i="2"/>
  <c r="AM78" i="2"/>
  <c r="AG78" i="2"/>
  <c r="AG77" i="2"/>
  <c r="AG76" i="2"/>
  <c r="AC78" i="2"/>
  <c r="AC77" i="2"/>
  <c r="AC76" i="2"/>
  <c r="AM74" i="2"/>
  <c r="BI74" i="2"/>
  <c r="BG74" i="2"/>
  <c r="BF74" i="2"/>
  <c r="BE74" i="2"/>
  <c r="BA74" i="2"/>
  <c r="AZ74" i="2"/>
  <c r="AY74" i="2"/>
  <c r="AV74" i="2"/>
  <c r="AU74" i="2"/>
  <c r="AT74" i="2"/>
  <c r="AS74" i="2"/>
  <c r="AP74" i="2"/>
  <c r="AO74" i="2"/>
  <c r="AN74" i="2"/>
  <c r="AJ74" i="2"/>
  <c r="AI74" i="2"/>
  <c r="BH73" i="2"/>
  <c r="BN74" i="2" s="1"/>
  <c r="BB73" i="2"/>
  <c r="BB74" i="2" s="1"/>
  <c r="AW73" i="2"/>
  <c r="AQ73" i="2"/>
  <c r="AK73" i="2"/>
  <c r="AK68" i="2"/>
  <c r="AE73" i="2"/>
  <c r="AE68" i="2"/>
  <c r="AG72" i="2"/>
  <c r="AH68" i="2" s="1"/>
  <c r="AC72" i="2"/>
  <c r="AD71" i="2"/>
  <c r="AD70" i="2"/>
  <c r="AD69" i="2"/>
  <c r="BW73" i="2"/>
  <c r="CC73" i="2" s="1"/>
  <c r="BS73" i="2"/>
  <c r="BY73" i="2" s="1"/>
  <c r="CE73" i="2" s="1"/>
  <c r="BX73" i="2"/>
  <c r="CD73" i="2" s="1"/>
  <c r="BF71" i="2"/>
  <c r="BG71" i="2" s="1"/>
  <c r="BH71" i="2" s="1"/>
  <c r="BI71" i="2" s="1"/>
  <c r="BF70" i="2"/>
  <c r="BF69" i="2"/>
  <c r="BL78" i="2" s="1"/>
  <c r="AZ71" i="2"/>
  <c r="BA71" i="2" s="1"/>
  <c r="BB71" i="2" s="1"/>
  <c r="AZ70" i="2"/>
  <c r="BA70" i="2" s="1"/>
  <c r="AZ69" i="2"/>
  <c r="BA69" i="2" s="1"/>
  <c r="AT71" i="2"/>
  <c r="AU71" i="2" s="1"/>
  <c r="AT70" i="2"/>
  <c r="AU70" i="2" s="1"/>
  <c r="AT69" i="2"/>
  <c r="AN71" i="2"/>
  <c r="AN70" i="2"/>
  <c r="AO70" i="2" s="1"/>
  <c r="AP70" i="2" s="1"/>
  <c r="AQ70" i="2" s="1"/>
  <c r="AN69" i="2"/>
  <c r="AH71" i="2"/>
  <c r="AH70" i="2"/>
  <c r="AH69" i="2"/>
  <c r="BE62" i="2"/>
  <c r="AY62" i="2"/>
  <c r="AS62" i="2"/>
  <c r="AM62" i="2"/>
  <c r="AG62" i="2"/>
  <c r="AA62" i="2"/>
  <c r="U62" i="2"/>
  <c r="O62" i="2"/>
  <c r="G49" i="2"/>
  <c r="CA46" i="2"/>
  <c r="BU46" i="2"/>
  <c r="BO46" i="2"/>
  <c r="BF46" i="2"/>
  <c r="AZ46" i="2"/>
  <c r="AT46" i="2"/>
  <c r="AN46" i="2"/>
  <c r="AH46" i="2"/>
  <c r="AB46" i="2"/>
  <c r="V46" i="2"/>
  <c r="P46" i="2"/>
  <c r="J46" i="2"/>
  <c r="D46" i="2"/>
  <c r="C44" i="2"/>
  <c r="CA41" i="2"/>
  <c r="CA38" i="2"/>
  <c r="BU42" i="2"/>
  <c r="BU41" i="2"/>
  <c r="BU38" i="2"/>
  <c r="BO42" i="2"/>
  <c r="BO41" i="2"/>
  <c r="BO38" i="2"/>
  <c r="BE39" i="2"/>
  <c r="AY39" i="2"/>
  <c r="AY44" i="2" s="1"/>
  <c r="AT43" i="2"/>
  <c r="AU43" i="2" s="1"/>
  <c r="AU97" i="1" s="1"/>
  <c r="AT42" i="2"/>
  <c r="AT41" i="2"/>
  <c r="AT40" i="2"/>
  <c r="AU40" i="2" s="1"/>
  <c r="AV39" i="2"/>
  <c r="AU39" i="2"/>
  <c r="AT39" i="2"/>
  <c r="AS39" i="2"/>
  <c r="AN43" i="2"/>
  <c r="AO43" i="2" s="1"/>
  <c r="AN42" i="2"/>
  <c r="AN41" i="2"/>
  <c r="AN40" i="2"/>
  <c r="AP39" i="2"/>
  <c r="AO39" i="2"/>
  <c r="AN39" i="2"/>
  <c r="AM39" i="2"/>
  <c r="AH43" i="2"/>
  <c r="AH42" i="2"/>
  <c r="AI42" i="2" s="1"/>
  <c r="AI84" i="2" s="1"/>
  <c r="AI85" i="2" s="1"/>
  <c r="AH41" i="2"/>
  <c r="AH40" i="2"/>
  <c r="AI40" i="2" s="1"/>
  <c r="AJ39" i="2"/>
  <c r="AI39" i="2"/>
  <c r="AH39" i="2"/>
  <c r="AG39" i="2"/>
  <c r="AG44" i="2" s="1"/>
  <c r="AB43" i="2"/>
  <c r="AB42" i="2"/>
  <c r="AB41" i="2"/>
  <c r="AB40" i="2"/>
  <c r="AD39" i="2"/>
  <c r="AC39" i="2"/>
  <c r="AB39" i="2"/>
  <c r="AA39" i="2"/>
  <c r="AA44" i="2" s="1"/>
  <c r="U39" i="2"/>
  <c r="U44" i="2" s="1"/>
  <c r="O39" i="2"/>
  <c r="O44" i="2" s="1"/>
  <c r="I39" i="2"/>
  <c r="I44" i="2" s="1"/>
  <c r="BF43" i="2"/>
  <c r="BF42" i="2"/>
  <c r="BF41" i="2"/>
  <c r="BF40" i="2"/>
  <c r="BH39" i="2"/>
  <c r="BG39" i="2"/>
  <c r="BF39" i="2"/>
  <c r="BF38" i="2"/>
  <c r="AZ43" i="2"/>
  <c r="BA43" i="2" s="1"/>
  <c r="AZ42" i="2"/>
  <c r="AZ84" i="2" s="1"/>
  <c r="AZ41" i="2"/>
  <c r="AZ40" i="2"/>
  <c r="AZ80" i="2" s="1"/>
  <c r="BB39" i="2"/>
  <c r="BA39" i="2"/>
  <c r="AZ39" i="2"/>
  <c r="AZ38" i="2"/>
  <c r="AU38" i="2"/>
  <c r="AQ38" i="2"/>
  <c r="AK38" i="2"/>
  <c r="AE38" i="2"/>
  <c r="V43" i="2"/>
  <c r="V42" i="2"/>
  <c r="V41" i="2"/>
  <c r="W41" i="2" s="1"/>
  <c r="X41" i="2" s="1"/>
  <c r="V40" i="2"/>
  <c r="X39" i="2"/>
  <c r="W39" i="2"/>
  <c r="V39" i="2"/>
  <c r="V38" i="2"/>
  <c r="P43" i="2"/>
  <c r="P42" i="2"/>
  <c r="P41" i="2"/>
  <c r="P40" i="2"/>
  <c r="Q40" i="2" s="1"/>
  <c r="R40" i="2" s="1"/>
  <c r="R80" i="2" s="1"/>
  <c r="R39" i="2"/>
  <c r="Q39" i="2"/>
  <c r="P39" i="2"/>
  <c r="P38" i="2"/>
  <c r="J43" i="2"/>
  <c r="J42" i="2"/>
  <c r="J41" i="2"/>
  <c r="J40" i="2"/>
  <c r="K40" i="2" s="1"/>
  <c r="K80" i="2" s="1"/>
  <c r="L39" i="2"/>
  <c r="K39" i="2"/>
  <c r="J39" i="2"/>
  <c r="J38" i="2"/>
  <c r="D43" i="2"/>
  <c r="D42" i="2"/>
  <c r="D41" i="2"/>
  <c r="D40" i="2"/>
  <c r="D39" i="2"/>
  <c r="D38" i="2"/>
  <c r="AS35" i="2"/>
  <c r="AM35" i="2"/>
  <c r="AA35" i="2"/>
  <c r="U35" i="2"/>
  <c r="O35" i="2"/>
  <c r="I35" i="2"/>
  <c r="C35" i="2"/>
  <c r="CA34" i="2"/>
  <c r="CA33" i="2"/>
  <c r="CA32" i="2"/>
  <c r="CA31" i="2"/>
  <c r="BU34" i="2"/>
  <c r="BU33" i="2"/>
  <c r="BU32" i="2"/>
  <c r="BU31" i="2"/>
  <c r="BO34" i="2"/>
  <c r="BO33" i="2"/>
  <c r="BO32" i="2"/>
  <c r="BO31" i="2"/>
  <c r="BI34" i="2"/>
  <c r="AG34" i="2"/>
  <c r="AG35" i="2" s="1"/>
  <c r="AY32" i="2"/>
  <c r="BF31" i="2"/>
  <c r="BF30" i="2"/>
  <c r="BF107" i="1" s="1"/>
  <c r="AZ34" i="2"/>
  <c r="AZ33" i="2"/>
  <c r="AZ31" i="2"/>
  <c r="AZ30" i="2"/>
  <c r="AT34" i="2"/>
  <c r="AT33" i="2"/>
  <c r="AT32" i="2"/>
  <c r="AT31" i="2"/>
  <c r="AU31" i="2" s="1"/>
  <c r="AT30" i="2"/>
  <c r="AN34" i="2"/>
  <c r="AN33" i="2"/>
  <c r="AN32" i="2"/>
  <c r="AN31" i="2"/>
  <c r="AN30" i="2"/>
  <c r="AN107" i="1" s="1"/>
  <c r="AN108" i="1" s="1"/>
  <c r="AH33" i="2"/>
  <c r="AH32" i="2"/>
  <c r="AH31" i="2"/>
  <c r="AH143" i="1" s="1"/>
  <c r="AH90" i="2" s="1"/>
  <c r="AH30" i="2"/>
  <c r="AB34" i="2"/>
  <c r="AB33" i="2"/>
  <c r="AB32" i="2"/>
  <c r="AB31" i="2"/>
  <c r="AB30" i="2"/>
  <c r="V34" i="2"/>
  <c r="W34" i="2" s="1"/>
  <c r="V33" i="2"/>
  <c r="V32" i="2"/>
  <c r="V31" i="2"/>
  <c r="W31" i="2" s="1"/>
  <c r="V30" i="2"/>
  <c r="W30" i="2" s="1"/>
  <c r="X30" i="2" s="1"/>
  <c r="X107" i="1" s="1"/>
  <c r="P34" i="2"/>
  <c r="P33" i="2"/>
  <c r="P32" i="2"/>
  <c r="P31" i="2"/>
  <c r="P30" i="2"/>
  <c r="Q30" i="2" s="1"/>
  <c r="J34" i="2"/>
  <c r="J33" i="2"/>
  <c r="J32" i="2"/>
  <c r="J31" i="2"/>
  <c r="J30" i="2"/>
  <c r="K30" i="2" s="1"/>
  <c r="K107" i="1" s="1"/>
  <c r="K108" i="1" s="1"/>
  <c r="D34" i="2"/>
  <c r="D33" i="2"/>
  <c r="D32" i="2"/>
  <c r="D31" i="2"/>
  <c r="E31" i="2" s="1"/>
  <c r="D30" i="2"/>
  <c r="BE20" i="2"/>
  <c r="AY20" i="2"/>
  <c r="BF26" i="2"/>
  <c r="BF25" i="2"/>
  <c r="BF24" i="2"/>
  <c r="BG24" i="2" s="1"/>
  <c r="BF23" i="2"/>
  <c r="BF22" i="2"/>
  <c r="BF21" i="2"/>
  <c r="AZ26" i="2"/>
  <c r="AZ25" i="2"/>
  <c r="AZ24" i="2"/>
  <c r="AZ23" i="2"/>
  <c r="AZ22" i="2"/>
  <c r="AZ21" i="2"/>
  <c r="AT26" i="2"/>
  <c r="AT25" i="2"/>
  <c r="AT24" i="2"/>
  <c r="AT23" i="2"/>
  <c r="AT22" i="2"/>
  <c r="AU22" i="2" s="1"/>
  <c r="AT21" i="2"/>
  <c r="AT20" i="2"/>
  <c r="AU20" i="2" s="1"/>
  <c r="AS19" i="2"/>
  <c r="AN26" i="2"/>
  <c r="AN25" i="2"/>
  <c r="AN24" i="2"/>
  <c r="AN23" i="2"/>
  <c r="AO23" i="2" s="1"/>
  <c r="AN22" i="2"/>
  <c r="AN21" i="2"/>
  <c r="AN20" i="2"/>
  <c r="AM19" i="2"/>
  <c r="AH26" i="2"/>
  <c r="AH25" i="2"/>
  <c r="AH24" i="2"/>
  <c r="AH23" i="2"/>
  <c r="AH22" i="2"/>
  <c r="AH21" i="2"/>
  <c r="AI21" i="2" s="1"/>
  <c r="AH20" i="2"/>
  <c r="AG19" i="2"/>
  <c r="AB26" i="2"/>
  <c r="AB25" i="2"/>
  <c r="AB24" i="2"/>
  <c r="AB23" i="2"/>
  <c r="AB22" i="2"/>
  <c r="AB21" i="2"/>
  <c r="AB20" i="2"/>
  <c r="AA19" i="2"/>
  <c r="V26" i="2"/>
  <c r="V25" i="2"/>
  <c r="V24" i="2"/>
  <c r="V23" i="2"/>
  <c r="V22" i="2"/>
  <c r="V21" i="2"/>
  <c r="V20" i="2"/>
  <c r="W20" i="2" s="1"/>
  <c r="U19" i="2"/>
  <c r="P26" i="2"/>
  <c r="P25" i="2"/>
  <c r="P24" i="2"/>
  <c r="P23" i="2"/>
  <c r="P22" i="2"/>
  <c r="P21" i="2"/>
  <c r="P20" i="2"/>
  <c r="Q20" i="2" s="1"/>
  <c r="O19" i="2"/>
  <c r="J26" i="2"/>
  <c r="J25" i="2"/>
  <c r="J24" i="2"/>
  <c r="J23" i="2"/>
  <c r="K23" i="2" s="1"/>
  <c r="J22" i="2"/>
  <c r="K22" i="2" s="1"/>
  <c r="J21" i="2"/>
  <c r="J20" i="2"/>
  <c r="K20" i="2" s="1"/>
  <c r="L20" i="2" s="1"/>
  <c r="I19" i="2"/>
  <c r="D26" i="2"/>
  <c r="D25" i="2"/>
  <c r="D24" i="2"/>
  <c r="D23" i="2"/>
  <c r="D22" i="2"/>
  <c r="D21" i="2"/>
  <c r="D20" i="2"/>
  <c r="C19" i="2"/>
  <c r="CA17" i="2"/>
  <c r="CA15" i="2"/>
  <c r="CA14" i="2"/>
  <c r="CA13" i="2"/>
  <c r="CA12" i="2"/>
  <c r="CA10" i="2"/>
  <c r="BU17" i="2"/>
  <c r="BU15" i="2"/>
  <c r="BU14" i="2"/>
  <c r="BU13" i="2"/>
  <c r="BU12" i="2"/>
  <c r="BU10" i="2"/>
  <c r="BO17" i="2"/>
  <c r="BO15" i="2"/>
  <c r="BO14" i="2"/>
  <c r="BO13" i="2"/>
  <c r="BO12" i="2"/>
  <c r="BO10" i="2"/>
  <c r="AA17" i="2"/>
  <c r="BF17" i="2"/>
  <c r="BG17" i="2" s="1"/>
  <c r="BF16" i="2"/>
  <c r="BF15" i="2"/>
  <c r="BF14" i="2"/>
  <c r="BG14" i="2" s="1"/>
  <c r="BF13" i="2"/>
  <c r="BF12" i="2"/>
  <c r="BG12" i="2" s="1"/>
  <c r="BH12" i="2" s="1"/>
  <c r="BF11" i="2"/>
  <c r="BF10" i="2"/>
  <c r="BF9" i="2"/>
  <c r="BF114" i="1" s="1"/>
  <c r="BF8" i="2"/>
  <c r="AZ17" i="2"/>
  <c r="AZ16" i="2"/>
  <c r="AZ15" i="2"/>
  <c r="AZ14" i="2"/>
  <c r="AZ13" i="2"/>
  <c r="AZ12" i="2"/>
  <c r="AZ11" i="2"/>
  <c r="BA11" i="2" s="1"/>
  <c r="BA98" i="2" s="1"/>
  <c r="AZ10" i="2"/>
  <c r="AZ9" i="2"/>
  <c r="AZ114" i="1" s="1"/>
  <c r="AZ8" i="2"/>
  <c r="AT17" i="2"/>
  <c r="AU17" i="2" s="1"/>
  <c r="AV17" i="2" s="1"/>
  <c r="AT16" i="2"/>
  <c r="AT15" i="2"/>
  <c r="AU15" i="2" s="1"/>
  <c r="AV15" i="2" s="1"/>
  <c r="AT14" i="2"/>
  <c r="AT13" i="2"/>
  <c r="AT12" i="2"/>
  <c r="AT11" i="2"/>
  <c r="AU11" i="2" s="1"/>
  <c r="AV11" i="2" s="1"/>
  <c r="AT10" i="2"/>
  <c r="AT9" i="2"/>
  <c r="AU9" i="2" s="1"/>
  <c r="AV9" i="2" s="1"/>
  <c r="AT8" i="2"/>
  <c r="AN17" i="2"/>
  <c r="AO17" i="2" s="1"/>
  <c r="AN16" i="2"/>
  <c r="AO16" i="2" s="1"/>
  <c r="AN15" i="2"/>
  <c r="AN14" i="2"/>
  <c r="AN13" i="2"/>
  <c r="AN12" i="2"/>
  <c r="AN11" i="2"/>
  <c r="AN98" i="2" s="1"/>
  <c r="AN10" i="2"/>
  <c r="AN9" i="2"/>
  <c r="AN114" i="1" s="1"/>
  <c r="AN8" i="2"/>
  <c r="AH17" i="2"/>
  <c r="AH16" i="2"/>
  <c r="AH15" i="2"/>
  <c r="AH14" i="2"/>
  <c r="AI14" i="2" s="1"/>
  <c r="AJ14" i="2" s="1"/>
  <c r="AH13" i="2"/>
  <c r="AH12" i="2"/>
  <c r="AI12" i="2" s="1"/>
  <c r="AH11" i="2"/>
  <c r="AH98" i="2" s="1"/>
  <c r="AH10" i="2"/>
  <c r="AH9" i="2"/>
  <c r="AH8" i="2"/>
  <c r="AB16" i="2"/>
  <c r="AB15" i="2"/>
  <c r="AB14" i="2"/>
  <c r="AC14" i="2" s="1"/>
  <c r="AD14" i="2" s="1"/>
  <c r="AB13" i="2"/>
  <c r="AB12" i="2"/>
  <c r="AB11" i="2"/>
  <c r="AB10" i="2"/>
  <c r="AB9" i="2"/>
  <c r="AB8" i="2"/>
  <c r="V17" i="2"/>
  <c r="V16" i="2"/>
  <c r="V15" i="2"/>
  <c r="V14" i="2"/>
  <c r="V13" i="2"/>
  <c r="V12" i="2"/>
  <c r="V11" i="2"/>
  <c r="V10" i="2"/>
  <c r="V9" i="2"/>
  <c r="V8" i="2"/>
  <c r="W8" i="2" s="1"/>
  <c r="X8" i="2" s="1"/>
  <c r="P17" i="2"/>
  <c r="P16" i="2"/>
  <c r="P15" i="2"/>
  <c r="P14" i="2"/>
  <c r="P13" i="2"/>
  <c r="P12" i="2"/>
  <c r="P11" i="2"/>
  <c r="P10" i="2"/>
  <c r="P9" i="2"/>
  <c r="P114" i="1" s="1"/>
  <c r="P8" i="2"/>
  <c r="J17" i="2"/>
  <c r="J16" i="2"/>
  <c r="J15" i="2"/>
  <c r="J14" i="2"/>
  <c r="K14" i="2" s="1"/>
  <c r="J13" i="2"/>
  <c r="J12" i="2"/>
  <c r="J11" i="2"/>
  <c r="J10" i="2"/>
  <c r="J9" i="2"/>
  <c r="J8" i="2"/>
  <c r="K8" i="2" s="1"/>
  <c r="D17" i="2"/>
  <c r="D16" i="2"/>
  <c r="D15" i="2"/>
  <c r="D14" i="2"/>
  <c r="D13" i="2"/>
  <c r="D12" i="2"/>
  <c r="D11" i="2"/>
  <c r="D10" i="2"/>
  <c r="D9" i="2"/>
  <c r="D8" i="2"/>
  <c r="BW5" i="2"/>
  <c r="BQ5" i="2"/>
  <c r="BK5" i="2"/>
  <c r="BE5" i="2"/>
  <c r="AY5" i="2"/>
  <c r="AS5" i="2"/>
  <c r="AP6" i="2"/>
  <c r="AP5" i="4" s="1"/>
  <c r="AO6" i="2"/>
  <c r="AO5" i="4" s="1"/>
  <c r="AN6" i="2"/>
  <c r="AN5" i="4" s="1"/>
  <c r="AM6" i="2"/>
  <c r="AM5" i="4" s="1"/>
  <c r="AM5" i="2"/>
  <c r="AJ6" i="2"/>
  <c r="AJ5" i="4" s="1"/>
  <c r="AI6" i="2"/>
  <c r="AI5" i="4" s="1"/>
  <c r="AH6" i="2"/>
  <c r="AH5" i="4" s="1"/>
  <c r="AG6" i="2"/>
  <c r="AG5" i="4" s="1"/>
  <c r="AG5" i="2"/>
  <c r="AD6" i="2"/>
  <c r="AD5" i="4" s="1"/>
  <c r="AC6" i="2"/>
  <c r="AC5" i="4" s="1"/>
  <c r="AB6" i="2"/>
  <c r="AB5" i="4" s="1"/>
  <c r="AA6" i="2"/>
  <c r="AA5" i="4" s="1"/>
  <c r="X6" i="2"/>
  <c r="X5" i="4" s="1"/>
  <c r="W6" i="2"/>
  <c r="W5" i="4" s="1"/>
  <c r="V6" i="2"/>
  <c r="V5" i="4" s="1"/>
  <c r="U6" i="2"/>
  <c r="U5" i="4" s="1"/>
  <c r="R6" i="2"/>
  <c r="R5" i="4" s="1"/>
  <c r="Q6" i="2"/>
  <c r="Q5" i="4" s="1"/>
  <c r="P6" i="2"/>
  <c r="P5" i="4" s="1"/>
  <c r="O6" i="2"/>
  <c r="O5" i="4" s="1"/>
  <c r="L6" i="2"/>
  <c r="L5" i="4" s="1"/>
  <c r="K6" i="2"/>
  <c r="K5" i="4" s="1"/>
  <c r="J6" i="2"/>
  <c r="J5" i="4" s="1"/>
  <c r="I6" i="2"/>
  <c r="I5" i="4" s="1"/>
  <c r="F6" i="2"/>
  <c r="F5" i="4" s="1"/>
  <c r="E6" i="2"/>
  <c r="E5" i="4" s="1"/>
  <c r="D6" i="2"/>
  <c r="D5" i="4" s="1"/>
  <c r="C6" i="2"/>
  <c r="C5" i="4" s="1"/>
  <c r="BH157" i="1"/>
  <c r="BK154" i="1" s="1"/>
  <c r="BO154" i="1" s="1"/>
  <c r="BG157" i="1"/>
  <c r="BH154" i="1" s="1"/>
  <c r="BF157" i="1"/>
  <c r="BG154" i="1" s="1"/>
  <c r="BE157" i="1"/>
  <c r="BF154" i="1" s="1"/>
  <c r="BB157" i="1"/>
  <c r="BE154" i="1" s="1"/>
  <c r="BI154" i="1" s="1"/>
  <c r="BA157" i="1"/>
  <c r="BB154" i="1" s="1"/>
  <c r="AZ157" i="1"/>
  <c r="BA154" i="1" s="1"/>
  <c r="AY157" i="1"/>
  <c r="AZ154" i="1" s="1"/>
  <c r="AV157" i="1"/>
  <c r="AY154" i="1" s="1"/>
  <c r="BC154" i="1" s="1"/>
  <c r="AU157" i="1"/>
  <c r="AV154" i="1" s="1"/>
  <c r="AT157" i="1"/>
  <c r="AU154" i="1" s="1"/>
  <c r="AS157" i="1"/>
  <c r="AT154" i="1" s="1"/>
  <c r="AP157" i="1"/>
  <c r="AS154" i="1" s="1"/>
  <c r="AW154" i="1" s="1"/>
  <c r="AO157" i="1"/>
  <c r="AP154" i="1" s="1"/>
  <c r="AN157" i="1"/>
  <c r="AO154" i="1" s="1"/>
  <c r="AM157" i="1"/>
  <c r="AN154" i="1" s="1"/>
  <c r="AJ157" i="1"/>
  <c r="AM154" i="1" s="1"/>
  <c r="AQ154" i="1" s="1"/>
  <c r="AI157" i="1"/>
  <c r="AJ154" i="1" s="1"/>
  <c r="AH157" i="1"/>
  <c r="AI154" i="1" s="1"/>
  <c r="AG157" i="1"/>
  <c r="AH154" i="1" s="1"/>
  <c r="AD157" i="1"/>
  <c r="AG154" i="1" s="1"/>
  <c r="AK154" i="1" s="1"/>
  <c r="AC157" i="1"/>
  <c r="AD154" i="1" s="1"/>
  <c r="AB157" i="1"/>
  <c r="AC154" i="1" s="1"/>
  <c r="AA157" i="1"/>
  <c r="AB154" i="1" s="1"/>
  <c r="X157" i="1"/>
  <c r="AA154" i="1" s="1"/>
  <c r="AE154" i="1" s="1"/>
  <c r="W157" i="1"/>
  <c r="X154" i="1" s="1"/>
  <c r="V157" i="1"/>
  <c r="W154" i="1" s="1"/>
  <c r="U157" i="1"/>
  <c r="V154" i="1" s="1"/>
  <c r="R157" i="1"/>
  <c r="U154" i="1" s="1"/>
  <c r="Y154" i="1" s="1"/>
  <c r="Q157" i="1"/>
  <c r="R154" i="1" s="1"/>
  <c r="P157" i="1"/>
  <c r="Q154" i="1" s="1"/>
  <c r="O157" i="1"/>
  <c r="P154" i="1" s="1"/>
  <c r="CA156" i="1"/>
  <c r="CA155" i="1"/>
  <c r="BU155" i="1"/>
  <c r="BI156" i="1"/>
  <c r="BI155" i="1"/>
  <c r="BC156" i="1"/>
  <c r="BC155" i="1"/>
  <c r="AW156" i="1"/>
  <c r="AW155" i="1"/>
  <c r="AQ156" i="1"/>
  <c r="AQ155" i="1"/>
  <c r="AK156" i="1"/>
  <c r="AK155" i="1"/>
  <c r="AE156" i="1"/>
  <c r="AE155" i="1"/>
  <c r="Y156" i="1"/>
  <c r="Y155" i="1"/>
  <c r="S156" i="1"/>
  <c r="S155" i="1"/>
  <c r="O154" i="1"/>
  <c r="S154" i="1" s="1"/>
  <c r="BH150" i="1"/>
  <c r="BG150" i="1"/>
  <c r="BF150" i="1"/>
  <c r="BE150" i="1"/>
  <c r="BH149" i="1"/>
  <c r="BG149" i="1"/>
  <c r="BF149" i="1"/>
  <c r="BB150" i="1"/>
  <c r="BA150" i="1"/>
  <c r="AZ150" i="1"/>
  <c r="AY150" i="1"/>
  <c r="BB149" i="1"/>
  <c r="AV150" i="1"/>
  <c r="AU150" i="1"/>
  <c r="AT150" i="1"/>
  <c r="AS150" i="1"/>
  <c r="AV149" i="1"/>
  <c r="AU149" i="1"/>
  <c r="AT149" i="1"/>
  <c r="AN150" i="1"/>
  <c r="AM150" i="1"/>
  <c r="AP149" i="1"/>
  <c r="AO149" i="1"/>
  <c r="AN149" i="1"/>
  <c r="AJ149" i="1"/>
  <c r="AI149" i="1"/>
  <c r="AH149" i="1"/>
  <c r="AD149" i="1"/>
  <c r="AC149" i="1"/>
  <c r="AB149" i="1"/>
  <c r="X149" i="1"/>
  <c r="W149" i="1"/>
  <c r="V149" i="1"/>
  <c r="P150" i="1"/>
  <c r="R149" i="1"/>
  <c r="Q149" i="1"/>
  <c r="P149" i="1"/>
  <c r="L150" i="1"/>
  <c r="L149" i="1"/>
  <c r="K149" i="1"/>
  <c r="J149" i="1"/>
  <c r="D150" i="1"/>
  <c r="F149" i="1"/>
  <c r="E149" i="1"/>
  <c r="D149" i="1"/>
  <c r="C149" i="1"/>
  <c r="CA146" i="1"/>
  <c r="CA88" i="2" s="1"/>
  <c r="BZ146" i="1"/>
  <c r="BZ88" i="2" s="1"/>
  <c r="BY146" i="1"/>
  <c r="BX146" i="1"/>
  <c r="BW146" i="1"/>
  <c r="BW88" i="2" s="1"/>
  <c r="BU146" i="1"/>
  <c r="BU88" i="2" s="1"/>
  <c r="BT146" i="1"/>
  <c r="BT147" i="1" s="1"/>
  <c r="BS146" i="1"/>
  <c r="BS147" i="1" s="1"/>
  <c r="BQ146" i="1"/>
  <c r="BO146" i="1"/>
  <c r="BO88" i="2" s="1"/>
  <c r="BN146" i="1"/>
  <c r="BM88" i="2"/>
  <c r="BL146" i="1"/>
  <c r="BI146" i="1"/>
  <c r="BH146" i="1"/>
  <c r="BH147" i="1" s="1"/>
  <c r="BG146" i="1"/>
  <c r="BG88" i="2" s="1"/>
  <c r="BF146" i="1"/>
  <c r="BE146" i="1"/>
  <c r="BE147" i="1" s="1"/>
  <c r="BC146" i="1"/>
  <c r="BB146" i="1"/>
  <c r="BA146" i="1"/>
  <c r="BA88" i="2" s="1"/>
  <c r="AZ146" i="1"/>
  <c r="AZ147" i="1" s="1"/>
  <c r="AY146" i="1"/>
  <c r="AY88" i="2" s="1"/>
  <c r="AW146" i="1"/>
  <c r="AV146" i="1"/>
  <c r="AT146" i="1"/>
  <c r="AS146" i="1"/>
  <c r="AQ146" i="1"/>
  <c r="AQ88" i="2" s="1"/>
  <c r="AP146" i="1"/>
  <c r="AP147" i="1" s="1"/>
  <c r="AO146" i="1"/>
  <c r="AN146" i="1"/>
  <c r="AN147" i="1" s="1"/>
  <c r="AM146" i="1"/>
  <c r="AM88" i="2" s="1"/>
  <c r="AK146" i="1"/>
  <c r="AK88" i="2" s="1"/>
  <c r="AJ146" i="1"/>
  <c r="AJ147" i="1" s="1"/>
  <c r="AI146" i="1"/>
  <c r="AI147" i="1" s="1"/>
  <c r="AH146" i="1"/>
  <c r="AH88" i="2" s="1"/>
  <c r="AG146" i="1"/>
  <c r="AG147" i="1" s="1"/>
  <c r="AC146" i="1"/>
  <c r="AC147" i="1" s="1"/>
  <c r="AB146" i="1"/>
  <c r="AA146" i="1"/>
  <c r="AA88" i="2" s="1"/>
  <c r="Y146" i="1"/>
  <c r="Y88" i="2" s="1"/>
  <c r="X146" i="1"/>
  <c r="W146" i="1"/>
  <c r="V146" i="1"/>
  <c r="U146" i="1"/>
  <c r="U147" i="1" s="1"/>
  <c r="S146" i="1"/>
  <c r="S88" i="2" s="1"/>
  <c r="R146" i="1"/>
  <c r="Q146" i="1"/>
  <c r="P146" i="1"/>
  <c r="P147" i="1" s="1"/>
  <c r="O146" i="1"/>
  <c r="O88" i="2" s="1"/>
  <c r="M146" i="1"/>
  <c r="M88" i="2" s="1"/>
  <c r="L146" i="1"/>
  <c r="K146" i="1"/>
  <c r="J146" i="1"/>
  <c r="I146" i="1"/>
  <c r="G146" i="1"/>
  <c r="G88" i="2" s="1"/>
  <c r="F146" i="1"/>
  <c r="F147" i="1" s="1"/>
  <c r="E146" i="1"/>
  <c r="E88" i="2" s="1"/>
  <c r="D146" i="1"/>
  <c r="C146" i="1"/>
  <c r="C88" i="2" s="1"/>
  <c r="BZ143" i="1"/>
  <c r="BZ139" i="1" s="1"/>
  <c r="BY143" i="1"/>
  <c r="BX143" i="1"/>
  <c r="BX89" i="2" s="1"/>
  <c r="BW143" i="1"/>
  <c r="BW124" i="1" s="1"/>
  <c r="BT90" i="2"/>
  <c r="BN143" i="1"/>
  <c r="BM89" i="2"/>
  <c r="BL143" i="1"/>
  <c r="BL90" i="2" s="1"/>
  <c r="BF143" i="1"/>
  <c r="BE143" i="1"/>
  <c r="BE90" i="2" s="1"/>
  <c r="AY143" i="1"/>
  <c r="AY90" i="2" s="1"/>
  <c r="AS143" i="1"/>
  <c r="AS90" i="2" s="1"/>
  <c r="AM143" i="1"/>
  <c r="AM90" i="2" s="1"/>
  <c r="AG143" i="1"/>
  <c r="AE145" i="1"/>
  <c r="AD145" i="1"/>
  <c r="AD144" i="1"/>
  <c r="AE144" i="1" s="1"/>
  <c r="AA143" i="1"/>
  <c r="AA89" i="2" s="1"/>
  <c r="U143" i="1"/>
  <c r="U90" i="2" s="1"/>
  <c r="O143" i="1"/>
  <c r="O89" i="2" s="1"/>
  <c r="I143" i="1"/>
  <c r="I89" i="2" s="1"/>
  <c r="C143" i="1"/>
  <c r="AV140" i="1"/>
  <c r="AT140" i="1"/>
  <c r="AU138" i="1" s="1"/>
  <c r="AU140" i="1" s="1"/>
  <c r="AV138" i="1" s="1"/>
  <c r="AD140" i="1"/>
  <c r="AD139" i="1" s="1"/>
  <c r="AE139" i="1" s="1"/>
  <c r="BH140" i="1"/>
  <c r="BG140" i="1"/>
  <c r="BH138" i="1" s="1"/>
  <c r="BF140" i="1"/>
  <c r="BG138" i="1" s="1"/>
  <c r="BE140" i="1"/>
  <c r="BF138" i="1" s="1"/>
  <c r="BB140" i="1"/>
  <c r="BA140" i="1"/>
  <c r="BB138" i="1" s="1"/>
  <c r="AZ140" i="1"/>
  <c r="AY140" i="1"/>
  <c r="AZ138" i="1" s="1"/>
  <c r="AP140" i="1"/>
  <c r="AO140" i="1"/>
  <c r="AP138" i="1" s="1"/>
  <c r="AN140" i="1"/>
  <c r="AM140" i="1"/>
  <c r="AN138" i="1" s="1"/>
  <c r="AJ140" i="1"/>
  <c r="AI140" i="1"/>
  <c r="AJ138" i="1" s="1"/>
  <c r="AH140" i="1"/>
  <c r="AI138" i="1" s="1"/>
  <c r="AG140" i="1"/>
  <c r="AH138" i="1" s="1"/>
  <c r="AE138" i="1"/>
  <c r="BH134" i="1"/>
  <c r="BH135" i="1" s="1"/>
  <c r="BG134" i="1"/>
  <c r="BF134" i="1"/>
  <c r="BF135" i="1" s="1"/>
  <c r="BE134" i="1"/>
  <c r="BE135" i="1" s="1"/>
  <c r="BB134" i="1"/>
  <c r="BB135" i="1" s="1"/>
  <c r="BA134" i="1"/>
  <c r="BA135" i="1" s="1"/>
  <c r="AZ134" i="1"/>
  <c r="AZ135" i="1" s="1"/>
  <c r="AY134" i="1"/>
  <c r="AY135" i="1" s="1"/>
  <c r="AV134" i="1"/>
  <c r="AV135" i="1" s="1"/>
  <c r="AU134" i="1"/>
  <c r="AU135" i="1" s="1"/>
  <c r="AT134" i="1"/>
  <c r="AT135" i="1" s="1"/>
  <c r="AS134" i="1"/>
  <c r="AS135" i="1" s="1"/>
  <c r="AP134" i="1"/>
  <c r="AP135" i="1" s="1"/>
  <c r="AO134" i="1"/>
  <c r="AO135" i="1" s="1"/>
  <c r="AN134" i="1"/>
  <c r="AM134" i="1"/>
  <c r="AM135" i="1" s="1"/>
  <c r="AJ134" i="1"/>
  <c r="AJ135" i="1" s="1"/>
  <c r="AI134" i="1"/>
  <c r="AI135" i="1" s="1"/>
  <c r="AH134" i="1"/>
  <c r="AH135" i="1" s="1"/>
  <c r="AG134" i="1"/>
  <c r="AG135" i="1" s="1"/>
  <c r="BC129" i="1"/>
  <c r="BC102" i="2" s="1"/>
  <c r="AN132" i="1"/>
  <c r="AE132" i="1"/>
  <c r="AG128" i="1" s="1"/>
  <c r="AG131" i="1" s="1"/>
  <c r="CA131" i="1"/>
  <c r="AE130" i="1"/>
  <c r="BH129" i="1"/>
  <c r="BH128" i="1"/>
  <c r="AV129" i="1"/>
  <c r="AW129" i="1" s="1"/>
  <c r="AW102" i="2" s="1"/>
  <c r="AV128" i="1"/>
  <c r="AP129" i="1"/>
  <c r="AP128" i="1"/>
  <c r="AJ129" i="1"/>
  <c r="AK129" i="1" s="1"/>
  <c r="AJ128" i="1"/>
  <c r="BG128" i="1"/>
  <c r="BG131" i="1" s="1"/>
  <c r="BF128" i="1"/>
  <c r="BF131" i="1" s="1"/>
  <c r="BB128" i="1"/>
  <c r="BB131" i="1" s="1"/>
  <c r="BA128" i="1"/>
  <c r="BA131" i="1" s="1"/>
  <c r="AZ128" i="1"/>
  <c r="AZ131" i="1" s="1"/>
  <c r="AU128" i="1"/>
  <c r="AU131" i="1" s="1"/>
  <c r="AT128" i="1"/>
  <c r="AT131" i="1" s="1"/>
  <c r="AO128" i="1"/>
  <c r="AO131" i="1" s="1"/>
  <c r="AN128" i="1"/>
  <c r="AN131" i="1" s="1"/>
  <c r="AI128" i="1"/>
  <c r="AI131" i="1" s="1"/>
  <c r="AH128" i="1"/>
  <c r="AH131" i="1" s="1"/>
  <c r="BI125" i="1"/>
  <c r="BC125" i="1"/>
  <c r="AW125" i="1"/>
  <c r="AQ125" i="1"/>
  <c r="AK125" i="1"/>
  <c r="AE125" i="1"/>
  <c r="AE126" i="1" s="1"/>
  <c r="CA125" i="1"/>
  <c r="BU125" i="1"/>
  <c r="BG123" i="1"/>
  <c r="BG130" i="1" s="1"/>
  <c r="BF123" i="1"/>
  <c r="BF124" i="1" s="1"/>
  <c r="BB123" i="1"/>
  <c r="BB130" i="1" s="1"/>
  <c r="BA123" i="1"/>
  <c r="BA130" i="1" s="1"/>
  <c r="AZ123" i="1"/>
  <c r="AV123" i="1"/>
  <c r="AV124" i="1" s="1"/>
  <c r="AU123" i="1"/>
  <c r="AT123" i="1"/>
  <c r="AT124" i="1" s="1"/>
  <c r="AP123" i="1"/>
  <c r="AP124" i="1" s="1"/>
  <c r="AO123" i="1"/>
  <c r="AO124" i="1" s="1"/>
  <c r="AN123" i="1"/>
  <c r="AJ123" i="1"/>
  <c r="AJ124" i="1" s="1"/>
  <c r="AI123" i="1"/>
  <c r="AI130" i="1" s="1"/>
  <c r="AH123" i="1"/>
  <c r="AH124" i="1" s="1"/>
  <c r="I119" i="1"/>
  <c r="I120" i="1" s="1"/>
  <c r="BH119" i="1"/>
  <c r="BH120" i="1" s="1"/>
  <c r="BG119" i="1"/>
  <c r="BG120" i="1" s="1"/>
  <c r="BF119" i="1"/>
  <c r="BF120" i="1" s="1"/>
  <c r="BE119" i="1"/>
  <c r="BE120" i="1" s="1"/>
  <c r="BB119" i="1"/>
  <c r="BB120" i="1" s="1"/>
  <c r="BA119" i="1"/>
  <c r="BA120" i="1" s="1"/>
  <c r="AZ119" i="1"/>
  <c r="AZ120" i="1" s="1"/>
  <c r="AY119" i="1"/>
  <c r="AY120" i="1" s="1"/>
  <c r="AV119" i="1"/>
  <c r="AV120" i="1" s="1"/>
  <c r="AU119" i="1"/>
  <c r="AU120" i="1" s="1"/>
  <c r="AT119" i="1"/>
  <c r="AT120" i="1" s="1"/>
  <c r="AS119" i="1"/>
  <c r="AS120" i="1" s="1"/>
  <c r="AP119" i="1"/>
  <c r="AP120" i="1" s="1"/>
  <c r="AO119" i="1"/>
  <c r="AO120" i="1" s="1"/>
  <c r="AN119" i="1"/>
  <c r="AN120" i="1" s="1"/>
  <c r="AM119" i="1"/>
  <c r="AM120" i="1" s="1"/>
  <c r="AJ119" i="1"/>
  <c r="AJ120" i="1" s="1"/>
  <c r="AI119" i="1"/>
  <c r="AI120" i="1" s="1"/>
  <c r="AH119" i="1"/>
  <c r="AH120" i="1" s="1"/>
  <c r="AG119" i="1"/>
  <c r="AG120" i="1" s="1"/>
  <c r="AD119" i="1"/>
  <c r="AD120" i="1" s="1"/>
  <c r="AC119" i="1"/>
  <c r="AC120" i="1" s="1"/>
  <c r="AB119" i="1"/>
  <c r="AB120" i="1" s="1"/>
  <c r="AA119" i="1"/>
  <c r="AA120" i="1" s="1"/>
  <c r="X119" i="1"/>
  <c r="X120" i="1" s="1"/>
  <c r="W119" i="1"/>
  <c r="W120" i="1" s="1"/>
  <c r="V119" i="1"/>
  <c r="V120" i="1" s="1"/>
  <c r="U119" i="1"/>
  <c r="U120" i="1" s="1"/>
  <c r="R119" i="1"/>
  <c r="R120" i="1" s="1"/>
  <c r="Q119" i="1"/>
  <c r="Q120" i="1" s="1"/>
  <c r="P119" i="1"/>
  <c r="P120" i="1" s="1"/>
  <c r="O119" i="1"/>
  <c r="O120" i="1" s="1"/>
  <c r="L119" i="1"/>
  <c r="L120" i="1" s="1"/>
  <c r="K119" i="1"/>
  <c r="K120" i="1" s="1"/>
  <c r="J119" i="1"/>
  <c r="J120" i="1" s="1"/>
  <c r="F119" i="1"/>
  <c r="E119" i="1"/>
  <c r="E121" i="1" s="1"/>
  <c r="D119" i="1"/>
  <c r="C119" i="1"/>
  <c r="C120" i="1" s="1"/>
  <c r="G113" i="1"/>
  <c r="CA116" i="1"/>
  <c r="C114" i="1"/>
  <c r="C115" i="1" s="1"/>
  <c r="BE114" i="1"/>
  <c r="BE101" i="2" s="1"/>
  <c r="BH113" i="1"/>
  <c r="BG113" i="1"/>
  <c r="BF113" i="1"/>
  <c r="AY114" i="1"/>
  <c r="BB113" i="1"/>
  <c r="BA113" i="1"/>
  <c r="AZ113" i="1"/>
  <c r="AS114" i="1"/>
  <c r="AV113" i="1"/>
  <c r="AU113" i="1"/>
  <c r="AT113" i="1"/>
  <c r="AM114" i="1"/>
  <c r="AP113" i="1"/>
  <c r="AO113" i="1"/>
  <c r="AN113" i="1"/>
  <c r="AG114" i="1"/>
  <c r="AJ113" i="1"/>
  <c r="AI113" i="1"/>
  <c r="AH113" i="1"/>
  <c r="AA114" i="1"/>
  <c r="AD113" i="1"/>
  <c r="AC113" i="1"/>
  <c r="AB113" i="1"/>
  <c r="U114" i="1"/>
  <c r="X113" i="1"/>
  <c r="W113" i="1"/>
  <c r="V113" i="1"/>
  <c r="O114" i="1"/>
  <c r="R113" i="1"/>
  <c r="Q113" i="1"/>
  <c r="P113" i="1"/>
  <c r="I114" i="1"/>
  <c r="L113" i="1"/>
  <c r="K113" i="1"/>
  <c r="J113" i="1"/>
  <c r="F113" i="1"/>
  <c r="E113" i="1"/>
  <c r="D113" i="1"/>
  <c r="AW109" i="1"/>
  <c r="AQ109" i="1"/>
  <c r="Y109" i="1"/>
  <c r="S109" i="1"/>
  <c r="M109" i="1"/>
  <c r="G109" i="1"/>
  <c r="G106" i="1"/>
  <c r="BZ110" i="1"/>
  <c r="BY110" i="1"/>
  <c r="BX110" i="1"/>
  <c r="BW110" i="1"/>
  <c r="BT110" i="1"/>
  <c r="BS110" i="1"/>
  <c r="AJ106" i="1"/>
  <c r="AD106" i="1"/>
  <c r="BE107" i="1"/>
  <c r="C107" i="1"/>
  <c r="C110" i="1" s="1"/>
  <c r="BH106" i="1"/>
  <c r="BG106" i="1"/>
  <c r="BF106" i="1"/>
  <c r="BB106" i="1"/>
  <c r="BA106" i="1"/>
  <c r="AY107" i="1"/>
  <c r="AY108" i="1" s="1"/>
  <c r="AZ106" i="1"/>
  <c r="AS107" i="1"/>
  <c r="AS108" i="1" s="1"/>
  <c r="AV106" i="1"/>
  <c r="AU106" i="1"/>
  <c r="AT106" i="1"/>
  <c r="AM107" i="1"/>
  <c r="AM108" i="1" s="1"/>
  <c r="AP106" i="1"/>
  <c r="AO106" i="1"/>
  <c r="AN106" i="1"/>
  <c r="AG107" i="1"/>
  <c r="AG108" i="1" s="1"/>
  <c r="AI106" i="1"/>
  <c r="AH106" i="1"/>
  <c r="AA107" i="1"/>
  <c r="AA108" i="1" s="1"/>
  <c r="AC106" i="1"/>
  <c r="AB106" i="1"/>
  <c r="U107" i="1"/>
  <c r="U108" i="1" s="1"/>
  <c r="X106" i="1"/>
  <c r="W106" i="1"/>
  <c r="V106" i="1"/>
  <c r="O107" i="1"/>
  <c r="O108" i="1" s="1"/>
  <c r="R106" i="1"/>
  <c r="Q106" i="1"/>
  <c r="P106" i="1"/>
  <c r="I107" i="1"/>
  <c r="I108" i="1" s="1"/>
  <c r="L106" i="1"/>
  <c r="K106" i="1"/>
  <c r="J106" i="1"/>
  <c r="F106" i="1"/>
  <c r="E106" i="1"/>
  <c r="D106" i="1"/>
  <c r="CA99" i="1"/>
  <c r="F98" i="1"/>
  <c r="E98" i="1"/>
  <c r="D98" i="1"/>
  <c r="C98" i="1"/>
  <c r="C97" i="1"/>
  <c r="F95" i="1"/>
  <c r="E95" i="1"/>
  <c r="D95" i="1"/>
  <c r="C95" i="1"/>
  <c r="BH98" i="1"/>
  <c r="BG98" i="1"/>
  <c r="BF98" i="1"/>
  <c r="BE97" i="1"/>
  <c r="BH95" i="1"/>
  <c r="BG95" i="1"/>
  <c r="BF95" i="1"/>
  <c r="BB98" i="1"/>
  <c r="BA98" i="1"/>
  <c r="AZ98" i="1"/>
  <c r="AY97" i="1"/>
  <c r="BB95" i="1"/>
  <c r="BA95" i="1"/>
  <c r="AZ95" i="1"/>
  <c r="AV98" i="1"/>
  <c r="AU98" i="1"/>
  <c r="AT98" i="1"/>
  <c r="AS97" i="1"/>
  <c r="AV95" i="1"/>
  <c r="AU95" i="1"/>
  <c r="AT95" i="1"/>
  <c r="AP98" i="1"/>
  <c r="AO98" i="1"/>
  <c r="AN98" i="1"/>
  <c r="AM97" i="1"/>
  <c r="AP95" i="1"/>
  <c r="AO95" i="1"/>
  <c r="AN95" i="1"/>
  <c r="AJ98" i="1"/>
  <c r="AI98" i="1"/>
  <c r="AH98" i="1"/>
  <c r="AG97" i="1"/>
  <c r="AJ95" i="1"/>
  <c r="AI95" i="1"/>
  <c r="AH95" i="1"/>
  <c r="AD98" i="1"/>
  <c r="AC98" i="1"/>
  <c r="AB98" i="1"/>
  <c r="AA97" i="1"/>
  <c r="AD95" i="1"/>
  <c r="AC95" i="1"/>
  <c r="AB95" i="1"/>
  <c r="X98" i="1"/>
  <c r="W98" i="1"/>
  <c r="V98" i="1"/>
  <c r="U97" i="1"/>
  <c r="X95" i="1"/>
  <c r="W95" i="1"/>
  <c r="V95" i="1"/>
  <c r="R98" i="1"/>
  <c r="Q98" i="1"/>
  <c r="P98" i="1"/>
  <c r="O97" i="1"/>
  <c r="R95" i="1"/>
  <c r="Q95" i="1"/>
  <c r="P95" i="1"/>
  <c r="L98" i="1"/>
  <c r="K98" i="1"/>
  <c r="J98" i="1"/>
  <c r="I97" i="1"/>
  <c r="L95" i="1"/>
  <c r="K95" i="1"/>
  <c r="J95" i="1"/>
  <c r="G94" i="1"/>
  <c r="BT89" i="1"/>
  <c r="BZ89" i="1" s="1"/>
  <c r="CF89" i="1" s="1"/>
  <c r="BT87" i="1"/>
  <c r="BZ87" i="1" s="1"/>
  <c r="CF87" i="1" s="1"/>
  <c r="BH86" i="1"/>
  <c r="BG86" i="1"/>
  <c r="BF86" i="1"/>
  <c r="BE86" i="1"/>
  <c r="BA91" i="1"/>
  <c r="AZ91" i="1"/>
  <c r="AY91" i="1"/>
  <c r="BA90" i="1"/>
  <c r="AZ90" i="1"/>
  <c r="AY90" i="1"/>
  <c r="BA88" i="1"/>
  <c r="BB86" i="1"/>
  <c r="BA86" i="1"/>
  <c r="AU91" i="1"/>
  <c r="AT91" i="1"/>
  <c r="AS91" i="1"/>
  <c r="AV90" i="1"/>
  <c r="AU90" i="1"/>
  <c r="AT90" i="1"/>
  <c r="AS90" i="1"/>
  <c r="AT88" i="1"/>
  <c r="AS88" i="1"/>
  <c r="AV86" i="1"/>
  <c r="AU86" i="1"/>
  <c r="AT86" i="1"/>
  <c r="AS86" i="1"/>
  <c r="AP91" i="1"/>
  <c r="AO91" i="1"/>
  <c r="AN91" i="1"/>
  <c r="AM91" i="1"/>
  <c r="AP90" i="1"/>
  <c r="AO90" i="1"/>
  <c r="AN90" i="1"/>
  <c r="AM90" i="1"/>
  <c r="AP88" i="1"/>
  <c r="AO88" i="1"/>
  <c r="AN88" i="1"/>
  <c r="AM88" i="1"/>
  <c r="AP86" i="1"/>
  <c r="AO86" i="1"/>
  <c r="AN86" i="1"/>
  <c r="AM86" i="1"/>
  <c r="AJ91" i="1"/>
  <c r="AI91" i="1"/>
  <c r="AH91" i="1"/>
  <c r="AG91" i="1"/>
  <c r="AJ90" i="1"/>
  <c r="AI90" i="1"/>
  <c r="AH90" i="1"/>
  <c r="AG90" i="1"/>
  <c r="AJ88" i="1"/>
  <c r="AG88" i="1"/>
  <c r="AJ86" i="1"/>
  <c r="AI86" i="1"/>
  <c r="AH86" i="1"/>
  <c r="AG86" i="1"/>
  <c r="AD91" i="1"/>
  <c r="AC91" i="1"/>
  <c r="AB91" i="1"/>
  <c r="AA91" i="1"/>
  <c r="AD90" i="1"/>
  <c r="AC90" i="1"/>
  <c r="AB90" i="1"/>
  <c r="AA90" i="1"/>
  <c r="AD88" i="1"/>
  <c r="AC88" i="1"/>
  <c r="AB88" i="1"/>
  <c r="AA88" i="1"/>
  <c r="AD86" i="1"/>
  <c r="AC86" i="1"/>
  <c r="AB86" i="1"/>
  <c r="AA86" i="1"/>
  <c r="W91" i="1"/>
  <c r="V91" i="1"/>
  <c r="U91" i="1"/>
  <c r="W90" i="1"/>
  <c r="V90" i="1"/>
  <c r="U90" i="1"/>
  <c r="W88" i="1"/>
  <c r="V88" i="1"/>
  <c r="U88" i="1"/>
  <c r="X86" i="1"/>
  <c r="W86" i="1"/>
  <c r="V86" i="1"/>
  <c r="U86" i="1"/>
  <c r="R91" i="1"/>
  <c r="Q91" i="1"/>
  <c r="P91" i="1"/>
  <c r="O91" i="1"/>
  <c r="R90" i="1"/>
  <c r="Q90" i="1"/>
  <c r="P90" i="1"/>
  <c r="O90" i="1"/>
  <c r="R88" i="1"/>
  <c r="Q88" i="1"/>
  <c r="P88" i="1"/>
  <c r="O88" i="1"/>
  <c r="R86" i="1"/>
  <c r="Q86" i="1"/>
  <c r="P86" i="1"/>
  <c r="O86" i="1"/>
  <c r="L91" i="1"/>
  <c r="K91" i="1"/>
  <c r="J91" i="1"/>
  <c r="I91" i="1"/>
  <c r="L90" i="1"/>
  <c r="K90" i="1"/>
  <c r="J90" i="1"/>
  <c r="I90" i="1"/>
  <c r="L88" i="1"/>
  <c r="K88" i="1"/>
  <c r="J88" i="1"/>
  <c r="I88" i="1"/>
  <c r="L86" i="1"/>
  <c r="K86" i="1"/>
  <c r="F91" i="1"/>
  <c r="E91" i="1"/>
  <c r="D91" i="1"/>
  <c r="C91" i="1"/>
  <c r="F90" i="1"/>
  <c r="E90" i="1"/>
  <c r="D90" i="1"/>
  <c r="C90" i="1"/>
  <c r="F88" i="1"/>
  <c r="E88" i="1"/>
  <c r="D88" i="1"/>
  <c r="C88" i="1"/>
  <c r="X52" i="1"/>
  <c r="R52" i="1"/>
  <c r="P52" i="1"/>
  <c r="BH44" i="1"/>
  <c r="BG44" i="1"/>
  <c r="BG177" i="1" s="1"/>
  <c r="BF44" i="1"/>
  <c r="BE44" i="1"/>
  <c r="BE177" i="1" s="1"/>
  <c r="BB44" i="1"/>
  <c r="BA44" i="1"/>
  <c r="AZ44" i="1"/>
  <c r="AZ177" i="1" s="1"/>
  <c r="AY44" i="1"/>
  <c r="AY100" i="1" s="1"/>
  <c r="AY101" i="1" s="1"/>
  <c r="AV44" i="1"/>
  <c r="AV100" i="1" s="1"/>
  <c r="AV101" i="1" s="1"/>
  <c r="AU44" i="1"/>
  <c r="AT44" i="1"/>
  <c r="AS44" i="1"/>
  <c r="AP44" i="1"/>
  <c r="AO44" i="1"/>
  <c r="AN44" i="1"/>
  <c r="AN177" i="1" s="1"/>
  <c r="AM44" i="1"/>
  <c r="AJ44" i="1"/>
  <c r="AJ100" i="1" s="1"/>
  <c r="AJ101" i="1" s="1"/>
  <c r="AI44" i="1"/>
  <c r="AH44" i="1"/>
  <c r="AG44" i="1"/>
  <c r="AD44" i="1"/>
  <c r="AD177" i="1" s="1"/>
  <c r="AC44" i="1"/>
  <c r="AB44" i="1"/>
  <c r="AB177" i="1" s="1"/>
  <c r="AA44" i="1"/>
  <c r="X44" i="1"/>
  <c r="X177" i="1" s="1"/>
  <c r="W44" i="1"/>
  <c r="V44" i="1"/>
  <c r="V177" i="1" s="1"/>
  <c r="U44" i="1"/>
  <c r="R44" i="1"/>
  <c r="R177" i="1" s="1"/>
  <c r="Q44" i="1"/>
  <c r="P44" i="1"/>
  <c r="P177" i="1" s="1"/>
  <c r="O44" i="1"/>
  <c r="L44" i="1"/>
  <c r="L100" i="1" s="1"/>
  <c r="L101" i="1" s="1"/>
  <c r="K44" i="1"/>
  <c r="J44" i="1"/>
  <c r="I44" i="1"/>
  <c r="F44" i="1"/>
  <c r="F100" i="1" s="1"/>
  <c r="E44" i="1"/>
  <c r="D44" i="1"/>
  <c r="D177" i="1" s="1"/>
  <c r="C44" i="1"/>
  <c r="BI43" i="1"/>
  <c r="BI42" i="1"/>
  <c r="BK98" i="1" s="1"/>
  <c r="BO98" i="1" s="1"/>
  <c r="BI41" i="1"/>
  <c r="BI40" i="1"/>
  <c r="BI39" i="1"/>
  <c r="BC43" i="1"/>
  <c r="BC42" i="1"/>
  <c r="BC41" i="1"/>
  <c r="BC40" i="1"/>
  <c r="BC39" i="1"/>
  <c r="AW43" i="1"/>
  <c r="AW42" i="1"/>
  <c r="AW41" i="1"/>
  <c r="AW40" i="1"/>
  <c r="AW39" i="1"/>
  <c r="AQ43" i="1"/>
  <c r="AQ42" i="1"/>
  <c r="AQ41" i="1"/>
  <c r="AQ40" i="1"/>
  <c r="AQ39" i="1"/>
  <c r="AK43" i="1"/>
  <c r="AK42" i="1"/>
  <c r="AK41" i="1"/>
  <c r="AK40" i="1"/>
  <c r="AK39" i="1"/>
  <c r="AE43" i="1"/>
  <c r="AE42" i="1"/>
  <c r="AE41" i="1"/>
  <c r="AE40" i="1"/>
  <c r="AE39" i="1"/>
  <c r="Y43" i="1"/>
  <c r="Y42" i="1"/>
  <c r="Y41" i="1"/>
  <c r="Y40" i="1"/>
  <c r="Y39" i="1"/>
  <c r="S43" i="1"/>
  <c r="S42" i="1"/>
  <c r="S41" i="1"/>
  <c r="S40" i="1"/>
  <c r="S39" i="1"/>
  <c r="M43" i="1"/>
  <c r="M42" i="1"/>
  <c r="M41" i="1"/>
  <c r="M40" i="1"/>
  <c r="M39" i="1"/>
  <c r="G43" i="1"/>
  <c r="G42" i="1"/>
  <c r="G41" i="1"/>
  <c r="G40" i="1"/>
  <c r="G39" i="1"/>
  <c r="BI35" i="1"/>
  <c r="BI33" i="1"/>
  <c r="BC35" i="1"/>
  <c r="BC33" i="1"/>
  <c r="AW35" i="1"/>
  <c r="AW34" i="1"/>
  <c r="AW33" i="1"/>
  <c r="AQ35" i="1"/>
  <c r="AQ34" i="1"/>
  <c r="AQ33" i="1"/>
  <c r="AK35" i="1"/>
  <c r="AK34" i="1"/>
  <c r="AK33" i="1"/>
  <c r="AE35" i="1"/>
  <c r="AE34" i="1"/>
  <c r="AE33" i="1"/>
  <c r="Y35" i="1"/>
  <c r="Y34" i="1"/>
  <c r="Y33" i="1"/>
  <c r="S35" i="1"/>
  <c r="S34" i="1"/>
  <c r="S33" i="1"/>
  <c r="M35" i="1"/>
  <c r="M34" i="1"/>
  <c r="M33" i="1"/>
  <c r="G35" i="1"/>
  <c r="G34" i="1"/>
  <c r="G33" i="1"/>
  <c r="BH34" i="1"/>
  <c r="BG34" i="1"/>
  <c r="BF34" i="1"/>
  <c r="BE34" i="1"/>
  <c r="BB34" i="1"/>
  <c r="BA34" i="1"/>
  <c r="BA171" i="1" s="1"/>
  <c r="BA33" i="1"/>
  <c r="BH31" i="1"/>
  <c r="BG31" i="1"/>
  <c r="BG70" i="1" s="1"/>
  <c r="BF31" i="1"/>
  <c r="BE31" i="1"/>
  <c r="BE70" i="1" s="1"/>
  <c r="BB31" i="1"/>
  <c r="BB69" i="1" s="1"/>
  <c r="BA31" i="1"/>
  <c r="BA36" i="1" s="1"/>
  <c r="AZ31" i="1"/>
  <c r="AY31" i="1"/>
  <c r="AV31" i="1"/>
  <c r="AU31" i="1"/>
  <c r="AU70" i="1" s="1"/>
  <c r="AT31" i="1"/>
  <c r="AS31" i="1"/>
  <c r="AP31" i="1"/>
  <c r="AO31" i="1"/>
  <c r="AO70" i="1" s="1"/>
  <c r="AN31" i="1"/>
  <c r="AN69" i="1" s="1"/>
  <c r="AM31" i="1"/>
  <c r="AJ31" i="1"/>
  <c r="AJ69" i="1" s="1"/>
  <c r="AI31" i="1"/>
  <c r="AH31" i="1"/>
  <c r="AG31" i="1"/>
  <c r="AD31" i="1"/>
  <c r="AD69" i="1" s="1"/>
  <c r="AC31" i="1"/>
  <c r="AC70" i="1" s="1"/>
  <c r="AB31" i="1"/>
  <c r="AB36" i="1" s="1"/>
  <c r="AA31" i="1"/>
  <c r="X31" i="1"/>
  <c r="X69" i="1" s="1"/>
  <c r="W31" i="1"/>
  <c r="V31" i="1"/>
  <c r="V70" i="1" s="1"/>
  <c r="U31" i="1"/>
  <c r="R31" i="1"/>
  <c r="Q31" i="1"/>
  <c r="P31" i="1"/>
  <c r="P36" i="1" s="1"/>
  <c r="O31" i="1"/>
  <c r="L31" i="1"/>
  <c r="K31" i="1"/>
  <c r="J31" i="1"/>
  <c r="I31" i="1"/>
  <c r="I36" i="1" s="1"/>
  <c r="F31" i="1"/>
  <c r="F69" i="1" s="1"/>
  <c r="E31" i="1"/>
  <c r="D31" i="1"/>
  <c r="C31" i="1"/>
  <c r="C69" i="1" s="1"/>
  <c r="BI30" i="1"/>
  <c r="BI28" i="1"/>
  <c r="BI27" i="1"/>
  <c r="BC30" i="1"/>
  <c r="BC28" i="1"/>
  <c r="BC27" i="1"/>
  <c r="AW30" i="1"/>
  <c r="AW28" i="1"/>
  <c r="AW27" i="1"/>
  <c r="AQ30" i="1"/>
  <c r="AQ28" i="1"/>
  <c r="AQ27" i="1"/>
  <c r="AK30" i="1"/>
  <c r="AK28" i="1"/>
  <c r="AK27" i="1"/>
  <c r="AE30" i="1"/>
  <c r="AE28" i="1"/>
  <c r="AE27" i="1"/>
  <c r="Y30" i="1"/>
  <c r="Y28" i="1"/>
  <c r="Y27" i="1"/>
  <c r="S30" i="1"/>
  <c r="S28" i="1"/>
  <c r="S27" i="1"/>
  <c r="M30" i="1"/>
  <c r="M28" i="1"/>
  <c r="M27" i="1"/>
  <c r="G30" i="1"/>
  <c r="G28" i="1"/>
  <c r="G27" i="1"/>
  <c r="BI23" i="1"/>
  <c r="BI22" i="1"/>
  <c r="BI21" i="1"/>
  <c r="BI20" i="1"/>
  <c r="BI19" i="1"/>
  <c r="BI18" i="1"/>
  <c r="BI17" i="1"/>
  <c r="BC23" i="1"/>
  <c r="BC22" i="1"/>
  <c r="BC21" i="1"/>
  <c r="BC20" i="1"/>
  <c r="BC19" i="1"/>
  <c r="BC18" i="1"/>
  <c r="BC17" i="1"/>
  <c r="AW23" i="1"/>
  <c r="AW22" i="1"/>
  <c r="AW21" i="1"/>
  <c r="AW20" i="1"/>
  <c r="AW19" i="1"/>
  <c r="AW18" i="1"/>
  <c r="AW17" i="1"/>
  <c r="AQ23" i="1"/>
  <c r="AQ22" i="1"/>
  <c r="AQ21" i="1"/>
  <c r="AQ20" i="1"/>
  <c r="AQ19" i="1"/>
  <c r="AQ18" i="1"/>
  <c r="AQ17" i="1"/>
  <c r="AK23" i="1"/>
  <c r="AK22" i="1"/>
  <c r="AK21" i="1"/>
  <c r="AK20" i="1"/>
  <c r="AK19" i="1"/>
  <c r="AK18" i="1"/>
  <c r="AK17" i="1"/>
  <c r="AE23" i="1"/>
  <c r="AE22" i="1"/>
  <c r="AE21" i="1"/>
  <c r="AE20" i="1"/>
  <c r="AE19" i="1"/>
  <c r="AE18" i="1"/>
  <c r="AE17" i="1"/>
  <c r="Y23" i="1"/>
  <c r="Y22" i="1"/>
  <c r="Y21" i="1"/>
  <c r="Y20" i="1"/>
  <c r="Y19" i="1"/>
  <c r="Y18" i="1"/>
  <c r="Y17" i="1"/>
  <c r="S23" i="1"/>
  <c r="S22" i="1"/>
  <c r="S21" i="1"/>
  <c r="S20" i="1"/>
  <c r="S19" i="1"/>
  <c r="S18" i="1"/>
  <c r="S17" i="1"/>
  <c r="S119" i="1" s="1"/>
  <c r="S120" i="1" s="1"/>
  <c r="M23" i="1"/>
  <c r="M22" i="1"/>
  <c r="M21" i="1"/>
  <c r="M20" i="1"/>
  <c r="M19" i="1"/>
  <c r="M18" i="1"/>
  <c r="M17" i="1"/>
  <c r="M119" i="1" s="1"/>
  <c r="M120" i="1" s="1"/>
  <c r="G23" i="1"/>
  <c r="G22" i="1"/>
  <c r="G21" i="1"/>
  <c r="G20" i="1"/>
  <c r="G19" i="1"/>
  <c r="G18" i="1"/>
  <c r="G17" i="1"/>
  <c r="BF15" i="1"/>
  <c r="BB15" i="1"/>
  <c r="BB24" i="1" s="1"/>
  <c r="BA15" i="1"/>
  <c r="AT15" i="1"/>
  <c r="AT71" i="1" s="1"/>
  <c r="AS15" i="1"/>
  <c r="AP15" i="1"/>
  <c r="AO15" i="1"/>
  <c r="AN15" i="1"/>
  <c r="AM15" i="1"/>
  <c r="AJ15" i="1"/>
  <c r="AG15" i="1"/>
  <c r="AD15" i="1"/>
  <c r="AC15" i="1"/>
  <c r="AB15" i="1"/>
  <c r="AA15" i="1"/>
  <c r="AA24" i="1" s="1"/>
  <c r="X15" i="1"/>
  <c r="X24" i="1" s="1"/>
  <c r="W15" i="1"/>
  <c r="V15" i="1"/>
  <c r="U15" i="1"/>
  <c r="R15" i="1"/>
  <c r="Q15" i="1"/>
  <c r="Q24" i="1" s="1"/>
  <c r="P15" i="1"/>
  <c r="O15" i="1"/>
  <c r="L15" i="1"/>
  <c r="K15" i="1"/>
  <c r="J15" i="1"/>
  <c r="J24" i="1" s="1"/>
  <c r="I15" i="1"/>
  <c r="F15" i="1"/>
  <c r="F24" i="1" s="1"/>
  <c r="E15" i="1"/>
  <c r="D15" i="1"/>
  <c r="C15" i="1"/>
  <c r="BH14" i="1"/>
  <c r="BG14" i="1"/>
  <c r="BC14" i="1"/>
  <c r="BC13" i="1"/>
  <c r="BC12" i="1"/>
  <c r="BC11" i="1"/>
  <c r="BC10" i="1"/>
  <c r="BC9" i="1"/>
  <c r="BC8" i="1"/>
  <c r="BC180" i="1" s="1"/>
  <c r="AW14" i="1"/>
  <c r="AV14" i="1"/>
  <c r="AQ14" i="1"/>
  <c r="AQ13" i="1"/>
  <c r="AQ12" i="1"/>
  <c r="AQ11" i="1"/>
  <c r="AQ10" i="1"/>
  <c r="AQ9" i="1"/>
  <c r="AQ8" i="1"/>
  <c r="AK14" i="1"/>
  <c r="AK13" i="1"/>
  <c r="AK12" i="1"/>
  <c r="AK11" i="1"/>
  <c r="AK10" i="1"/>
  <c r="AK9" i="1"/>
  <c r="AK8" i="1"/>
  <c r="AE14" i="1"/>
  <c r="AE13" i="1"/>
  <c r="AE12" i="1"/>
  <c r="AE11" i="1"/>
  <c r="AE10" i="1"/>
  <c r="AE9" i="1"/>
  <c r="AE8" i="1"/>
  <c r="Y14" i="1"/>
  <c r="Y13" i="1"/>
  <c r="Y12" i="1"/>
  <c r="Y11" i="1"/>
  <c r="Y10" i="1"/>
  <c r="Y9" i="1"/>
  <c r="Y8" i="1"/>
  <c r="Y180" i="1" s="1"/>
  <c r="S14" i="1"/>
  <c r="S13" i="1"/>
  <c r="S12" i="1"/>
  <c r="S11" i="1"/>
  <c r="S10" i="1"/>
  <c r="S9" i="1"/>
  <c r="S8" i="1"/>
  <c r="S180" i="1" s="1"/>
  <c r="M14" i="1"/>
  <c r="M13" i="1"/>
  <c r="M12" i="1"/>
  <c r="M11" i="1"/>
  <c r="M10" i="1"/>
  <c r="M9" i="1"/>
  <c r="M8" i="1"/>
  <c r="M180" i="1" s="1"/>
  <c r="G14" i="1"/>
  <c r="G13" i="1"/>
  <c r="G12" i="1"/>
  <c r="G11" i="1"/>
  <c r="G10" i="1"/>
  <c r="G9" i="1"/>
  <c r="G8" i="1"/>
  <c r="G180" i="1" s="1"/>
  <c r="BI13" i="1"/>
  <c r="BI12" i="1"/>
  <c r="BI11" i="1"/>
  <c r="BI10" i="1"/>
  <c r="BI9" i="1"/>
  <c r="BI8" i="1"/>
  <c r="AW13" i="1"/>
  <c r="AW12" i="1"/>
  <c r="AW11" i="1"/>
  <c r="AW9" i="1"/>
  <c r="AW8" i="1"/>
  <c r="AW180" i="1" s="1"/>
  <c r="AV10" i="1"/>
  <c r="AU10" i="1"/>
  <c r="AI10" i="1"/>
  <c r="AH10" i="1"/>
  <c r="AZ10" i="1"/>
  <c r="AY10" i="1"/>
  <c r="AY88" i="1"/>
  <c r="AZ9" i="1"/>
  <c r="AY9" i="1"/>
  <c r="AZ8" i="1"/>
  <c r="AY8" i="1"/>
  <c r="BW5" i="1"/>
  <c r="BQ5" i="1"/>
  <c r="BK5" i="1"/>
  <c r="BE5" i="1"/>
  <c r="AY5" i="1"/>
  <c r="AS5" i="1"/>
  <c r="AP6" i="1"/>
  <c r="AO6" i="1"/>
  <c r="AN6" i="1"/>
  <c r="AM6" i="1"/>
  <c r="AM5" i="1"/>
  <c r="AJ6" i="1"/>
  <c r="AI6" i="1"/>
  <c r="AH6" i="1"/>
  <c r="AG6" i="1"/>
  <c r="AG5" i="1"/>
  <c r="AD6" i="1"/>
  <c r="AC6" i="1"/>
  <c r="AB6" i="1"/>
  <c r="AA6" i="1"/>
  <c r="X6" i="1"/>
  <c r="W6" i="1"/>
  <c r="V6" i="1"/>
  <c r="U6" i="1"/>
  <c r="R6" i="1"/>
  <c r="Q6" i="1"/>
  <c r="P6" i="1"/>
  <c r="O6" i="1"/>
  <c r="L6" i="1"/>
  <c r="K6" i="1"/>
  <c r="J6" i="1"/>
  <c r="I6" i="1"/>
  <c r="F6" i="1"/>
  <c r="E6" i="1"/>
  <c r="D6" i="1"/>
  <c r="C6" i="1"/>
  <c r="AP101" i="4"/>
  <c r="AO101" i="4"/>
  <c r="AN101" i="4"/>
  <c r="AM101" i="4"/>
  <c r="AJ101" i="4"/>
  <c r="AI101" i="4"/>
  <c r="AH101" i="4"/>
  <c r="AG101" i="4"/>
  <c r="AK100" i="4"/>
  <c r="AQ101" i="4" s="1"/>
  <c r="AE100" i="4"/>
  <c r="AO97" i="4"/>
  <c r="AN97" i="4"/>
  <c r="AM97" i="4"/>
  <c r="AI97" i="4"/>
  <c r="AH97" i="4"/>
  <c r="AG97" i="4"/>
  <c r="AC97" i="4"/>
  <c r="AB97" i="4"/>
  <c r="AA97" i="4"/>
  <c r="BB94" i="4"/>
  <c r="BA94" i="4"/>
  <c r="BA97" i="4" s="1"/>
  <c r="AZ94" i="4"/>
  <c r="AY94" i="4"/>
  <c r="BA93" i="4"/>
  <c r="AZ93" i="4"/>
  <c r="AY93" i="4"/>
  <c r="AU94" i="4"/>
  <c r="AT94" i="4"/>
  <c r="AS94" i="4"/>
  <c r="AU93" i="4"/>
  <c r="AT93" i="4"/>
  <c r="AS93" i="4"/>
  <c r="AO93" i="4"/>
  <c r="AN93" i="4"/>
  <c r="AM93" i="4"/>
  <c r="AI93" i="4"/>
  <c r="AH93" i="4"/>
  <c r="AG93" i="4"/>
  <c r="AD92" i="4"/>
  <c r="BA91" i="4"/>
  <c r="AZ91" i="4"/>
  <c r="AY91" i="4"/>
  <c r="AU91" i="4"/>
  <c r="AT91" i="4"/>
  <c r="AS91" i="4"/>
  <c r="AO91" i="4"/>
  <c r="AN91" i="4"/>
  <c r="AM91" i="4"/>
  <c r="AI91" i="4"/>
  <c r="AH91" i="4"/>
  <c r="AG91" i="4"/>
  <c r="AV92" i="4"/>
  <c r="AV90" i="4"/>
  <c r="AP92" i="4"/>
  <c r="AP90" i="4"/>
  <c r="AJ92" i="4"/>
  <c r="AJ90" i="4"/>
  <c r="AD90" i="4"/>
  <c r="AE90" i="4" s="1"/>
  <c r="BZ88" i="4"/>
  <c r="BY88" i="4"/>
  <c r="BX88" i="4"/>
  <c r="BW88" i="4"/>
  <c r="BT88" i="4"/>
  <c r="BS88" i="4"/>
  <c r="AU88" i="4"/>
  <c r="AT88" i="4"/>
  <c r="AS88" i="4"/>
  <c r="AP88" i="4"/>
  <c r="AO88" i="4"/>
  <c r="AN88" i="4"/>
  <c r="AM88" i="4"/>
  <c r="AJ88" i="4"/>
  <c r="AI88" i="4"/>
  <c r="AH88" i="4"/>
  <c r="AG88" i="4"/>
  <c r="AD88" i="4"/>
  <c r="AC88" i="4"/>
  <c r="AB88" i="4"/>
  <c r="AA88" i="4"/>
  <c r="X88" i="4"/>
  <c r="W88" i="4"/>
  <c r="V88" i="4"/>
  <c r="U88" i="4"/>
  <c r="R88" i="4"/>
  <c r="Q88" i="4"/>
  <c r="P88" i="4"/>
  <c r="O88" i="4"/>
  <c r="L88" i="4"/>
  <c r="K88" i="4"/>
  <c r="J88" i="4"/>
  <c r="I88" i="4"/>
  <c r="BU86" i="4"/>
  <c r="BU85" i="4"/>
  <c r="BK87" i="4"/>
  <c r="CA86" i="4"/>
  <c r="CA85" i="4"/>
  <c r="BO85" i="4"/>
  <c r="BH88" i="4"/>
  <c r="BF88" i="4"/>
  <c r="BB88" i="4"/>
  <c r="AW86" i="4"/>
  <c r="BC71" i="4"/>
  <c r="AZ85" i="4"/>
  <c r="AZ88" i="4" s="1"/>
  <c r="AY85" i="4"/>
  <c r="AY88" i="4" s="1"/>
  <c r="AV85" i="4"/>
  <c r="AV75" i="4"/>
  <c r="AV71" i="4"/>
  <c r="BB73" i="4" s="1"/>
  <c r="G77" i="4"/>
  <c r="F77" i="4"/>
  <c r="E77" i="4"/>
  <c r="D77" i="4"/>
  <c r="C77" i="4"/>
  <c r="AJ75" i="4"/>
  <c r="AI75" i="4"/>
  <c r="AH75" i="4"/>
  <c r="AG75" i="4"/>
  <c r="W75" i="4"/>
  <c r="V75" i="4"/>
  <c r="U75" i="4"/>
  <c r="R75" i="4"/>
  <c r="Q75" i="4"/>
  <c r="P75" i="4"/>
  <c r="O75" i="4"/>
  <c r="L75" i="4"/>
  <c r="K75" i="4"/>
  <c r="J75" i="4"/>
  <c r="I75" i="4"/>
  <c r="F75" i="4"/>
  <c r="E75" i="4"/>
  <c r="D75" i="4"/>
  <c r="C75" i="4"/>
  <c r="BK73" i="4"/>
  <c r="BH73" i="4"/>
  <c r="BG73" i="4"/>
  <c r="BF73" i="4"/>
  <c r="BE73" i="4"/>
  <c r="BA73" i="4"/>
  <c r="AZ73" i="4"/>
  <c r="AY73" i="4"/>
  <c r="AU75" i="4"/>
  <c r="AT75" i="4"/>
  <c r="AS75" i="4"/>
  <c r="AU73" i="4"/>
  <c r="AT73" i="4"/>
  <c r="AS73" i="4"/>
  <c r="AP75" i="4"/>
  <c r="AO75" i="4"/>
  <c r="AN75" i="4"/>
  <c r="AM75" i="4"/>
  <c r="AO73" i="4"/>
  <c r="AN73" i="4"/>
  <c r="AM73" i="4"/>
  <c r="AI73" i="4"/>
  <c r="AH73" i="4"/>
  <c r="AG73" i="4"/>
  <c r="AD75" i="4"/>
  <c r="AC75" i="4"/>
  <c r="AB75" i="4"/>
  <c r="AA75" i="4"/>
  <c r="AC73" i="4"/>
  <c r="AB73" i="4"/>
  <c r="AA73" i="4"/>
  <c r="BI71" i="4"/>
  <c r="AP71" i="4"/>
  <c r="AJ71" i="4"/>
  <c r="AD71" i="4"/>
  <c r="X71" i="4"/>
  <c r="X10" i="3" s="1"/>
  <c r="R71" i="4"/>
  <c r="L71" i="4"/>
  <c r="F71" i="4"/>
  <c r="BK64" i="4"/>
  <c r="BH64" i="4"/>
  <c r="BG64" i="4"/>
  <c r="BF64" i="4"/>
  <c r="BE64" i="4"/>
  <c r="BB64" i="4"/>
  <c r="BA64" i="4"/>
  <c r="AZ64" i="4"/>
  <c r="AY64" i="4"/>
  <c r="AV64" i="4"/>
  <c r="AU64" i="4"/>
  <c r="AT64" i="4"/>
  <c r="AS64" i="4"/>
  <c r="AP64" i="4"/>
  <c r="AO64" i="4"/>
  <c r="AN64" i="4"/>
  <c r="AM64" i="4"/>
  <c r="AJ64" i="4"/>
  <c r="AI64" i="4"/>
  <c r="AH64" i="4"/>
  <c r="AG64" i="4"/>
  <c r="AD64" i="4"/>
  <c r="AC64" i="4"/>
  <c r="AB64" i="4"/>
  <c r="AA64" i="4"/>
  <c r="BI62" i="4"/>
  <c r="BI58" i="4"/>
  <c r="BI46" i="4"/>
  <c r="BI48" i="4" s="1"/>
  <c r="BI42" i="4"/>
  <c r="BI38" i="4"/>
  <c r="BC62" i="4"/>
  <c r="BC58" i="4"/>
  <c r="BC56" i="4"/>
  <c r="AW62" i="4"/>
  <c r="AW56" i="4"/>
  <c r="AQ62" i="4"/>
  <c r="AQ56" i="4"/>
  <c r="AK62" i="4"/>
  <c r="AK56" i="4"/>
  <c r="AE62" i="4"/>
  <c r="AE64" i="4" s="1"/>
  <c r="AE56" i="4"/>
  <c r="BO54" i="4"/>
  <c r="BO50" i="4"/>
  <c r="BO46" i="4"/>
  <c r="BK60" i="4"/>
  <c r="BH60" i="4"/>
  <c r="BG60" i="4"/>
  <c r="BF60" i="4"/>
  <c r="BE60" i="4"/>
  <c r="BA60" i="4"/>
  <c r="AZ60" i="4"/>
  <c r="AY60" i="4"/>
  <c r="AU60" i="4"/>
  <c r="AT60" i="4"/>
  <c r="AS60" i="4"/>
  <c r="AO60" i="4"/>
  <c r="AN60" i="4"/>
  <c r="AM60" i="4"/>
  <c r="AI60" i="4"/>
  <c r="AH60" i="4"/>
  <c r="AG60" i="4"/>
  <c r="AC60" i="4"/>
  <c r="AB60" i="4"/>
  <c r="AA60" i="4"/>
  <c r="AV58" i="4"/>
  <c r="AV56" i="4"/>
  <c r="AP58" i="4"/>
  <c r="AP56" i="4"/>
  <c r="AJ58" i="4"/>
  <c r="AK58" i="4" s="1"/>
  <c r="AJ56" i="4"/>
  <c r="AD58" i="4"/>
  <c r="AD56" i="4"/>
  <c r="X58" i="4"/>
  <c r="BB56" i="4"/>
  <c r="BA56" i="4"/>
  <c r="AZ56" i="4"/>
  <c r="AY56" i="4"/>
  <c r="AU56" i="4"/>
  <c r="AT56" i="4"/>
  <c r="AS56" i="4"/>
  <c r="AO56" i="4"/>
  <c r="AN56" i="4"/>
  <c r="AM56" i="4"/>
  <c r="AI56" i="4"/>
  <c r="AH56" i="4"/>
  <c r="AG56" i="4"/>
  <c r="AC56" i="4"/>
  <c r="AB56" i="4"/>
  <c r="AA56" i="4"/>
  <c r="BC52" i="4"/>
  <c r="BB52" i="4"/>
  <c r="BA52" i="4"/>
  <c r="AZ52" i="4"/>
  <c r="AY52" i="4"/>
  <c r="AW52" i="4"/>
  <c r="AV52" i="4"/>
  <c r="AU52" i="4"/>
  <c r="AT52" i="4"/>
  <c r="AS52" i="4"/>
  <c r="AQ52" i="4"/>
  <c r="AP52" i="4"/>
  <c r="AO52" i="4"/>
  <c r="AN52" i="4"/>
  <c r="AM52" i="4"/>
  <c r="AK52" i="4"/>
  <c r="AJ52" i="4"/>
  <c r="AI52" i="4"/>
  <c r="AH52" i="4"/>
  <c r="AG52" i="4"/>
  <c r="AE52" i="4"/>
  <c r="AD52" i="4"/>
  <c r="AC52" i="4"/>
  <c r="AB52" i="4"/>
  <c r="AA52" i="4"/>
  <c r="BL48" i="4"/>
  <c r="BK48" i="4"/>
  <c r="BM56" i="4"/>
  <c r="BF56" i="4"/>
  <c r="BE56" i="4"/>
  <c r="BM52" i="4"/>
  <c r="BL52" i="4"/>
  <c r="BK52" i="4"/>
  <c r="BH48" i="4"/>
  <c r="BG48" i="4"/>
  <c r="BF48" i="4"/>
  <c r="BE48" i="4"/>
  <c r="BC48" i="4"/>
  <c r="BB48" i="4"/>
  <c r="BA48" i="4"/>
  <c r="AZ48" i="4"/>
  <c r="AY48" i="4"/>
  <c r="AW48" i="4"/>
  <c r="AV48" i="4"/>
  <c r="AU48" i="4"/>
  <c r="AT48" i="4"/>
  <c r="AS48" i="4"/>
  <c r="AQ48" i="4"/>
  <c r="AP48" i="4"/>
  <c r="AO48" i="4"/>
  <c r="AN48" i="4"/>
  <c r="AM48" i="4"/>
  <c r="AK48" i="4"/>
  <c r="AJ48" i="4"/>
  <c r="AI48" i="4"/>
  <c r="AH48" i="4"/>
  <c r="AG48" i="4"/>
  <c r="AE48" i="4"/>
  <c r="AD48" i="4"/>
  <c r="AC48" i="4"/>
  <c r="AB48" i="4"/>
  <c r="AA48" i="4"/>
  <c r="BK44" i="4"/>
  <c r="BH44" i="4"/>
  <c r="BG44" i="4"/>
  <c r="BF44" i="4"/>
  <c r="BE44" i="4"/>
  <c r="BB44" i="4"/>
  <c r="BA44" i="4"/>
  <c r="AZ44" i="4"/>
  <c r="AY44" i="4"/>
  <c r="AW44" i="4"/>
  <c r="AV44" i="4"/>
  <c r="AU44" i="4"/>
  <c r="AT44" i="4"/>
  <c r="AS44" i="4"/>
  <c r="AQ44" i="4"/>
  <c r="AP44" i="4"/>
  <c r="AO44" i="4"/>
  <c r="AN44" i="4"/>
  <c r="AM44" i="4"/>
  <c r="AK44" i="4"/>
  <c r="AJ44" i="4"/>
  <c r="AI44" i="4"/>
  <c r="AH44" i="4"/>
  <c r="AG44" i="4"/>
  <c r="AE44" i="4"/>
  <c r="AD44" i="4"/>
  <c r="AC44" i="4"/>
  <c r="AB44" i="4"/>
  <c r="AA44" i="4"/>
  <c r="BC42" i="4"/>
  <c r="BC44" i="4" s="1"/>
  <c r="BC38" i="4"/>
  <c r="BK40" i="4"/>
  <c r="BH40" i="4"/>
  <c r="BG40" i="4"/>
  <c r="BF40" i="4"/>
  <c r="BE40" i="4"/>
  <c r="BA40" i="4"/>
  <c r="AZ40" i="4"/>
  <c r="AY40" i="4"/>
  <c r="AU40" i="4"/>
  <c r="AT40" i="4"/>
  <c r="AS40" i="4"/>
  <c r="AQ40" i="4"/>
  <c r="AP40" i="4"/>
  <c r="AO40" i="4"/>
  <c r="AN40" i="4"/>
  <c r="AM40" i="4"/>
  <c r="AK40" i="4"/>
  <c r="AJ40" i="4"/>
  <c r="AI40" i="4"/>
  <c r="AH40" i="4"/>
  <c r="AG40" i="4"/>
  <c r="AE40" i="4"/>
  <c r="AD40" i="4"/>
  <c r="AC40" i="4"/>
  <c r="AB40" i="4"/>
  <c r="AA40" i="4"/>
  <c r="AV38" i="4"/>
  <c r="L33" i="4"/>
  <c r="F33" i="4"/>
  <c r="G33" i="4" s="1"/>
  <c r="AZ31" i="4"/>
  <c r="AY31" i="4"/>
  <c r="AU31" i="4"/>
  <c r="AT31" i="4"/>
  <c r="AS31" i="4"/>
  <c r="AO31" i="4"/>
  <c r="AN31" i="4"/>
  <c r="AM31" i="4"/>
  <c r="AI31" i="4"/>
  <c r="AH31" i="4"/>
  <c r="AG31" i="4"/>
  <c r="AC31" i="4"/>
  <c r="AB31" i="4"/>
  <c r="AA31" i="4"/>
  <c r="X29" i="4"/>
  <c r="BA27" i="4"/>
  <c r="AZ27" i="4"/>
  <c r="AY27" i="4"/>
  <c r="AU27" i="4"/>
  <c r="AT27" i="4"/>
  <c r="AS27" i="4"/>
  <c r="AO27" i="4"/>
  <c r="AN27" i="4"/>
  <c r="AM27" i="4"/>
  <c r="AI27" i="4"/>
  <c r="AH27" i="4"/>
  <c r="AG27" i="4"/>
  <c r="AC27" i="4"/>
  <c r="AB27" i="4"/>
  <c r="AA27" i="4"/>
  <c r="BC25" i="4"/>
  <c r="X25" i="4"/>
  <c r="Y25" i="4" s="1"/>
  <c r="R25" i="4"/>
  <c r="L25" i="4"/>
  <c r="F25" i="4"/>
  <c r="AV29" i="4"/>
  <c r="AV25" i="4"/>
  <c r="AW23" i="4"/>
  <c r="AV23" i="4"/>
  <c r="AU23" i="4"/>
  <c r="AT23" i="4"/>
  <c r="AS23" i="4"/>
  <c r="AP29" i="4"/>
  <c r="AQ29" i="4" s="1"/>
  <c r="AP25" i="4"/>
  <c r="AQ25" i="4" s="1"/>
  <c r="AQ23" i="4"/>
  <c r="AP23" i="4"/>
  <c r="AO23" i="4"/>
  <c r="AN23" i="4"/>
  <c r="AM23" i="4"/>
  <c r="AJ29" i="4"/>
  <c r="AJ25" i="4"/>
  <c r="AK25" i="4" s="1"/>
  <c r="AK23" i="4"/>
  <c r="AJ23" i="4"/>
  <c r="AI23" i="4"/>
  <c r="AH23" i="4"/>
  <c r="AG23" i="4"/>
  <c r="AD29" i="4"/>
  <c r="AD25" i="4"/>
  <c r="AE23" i="4"/>
  <c r="AD23" i="4"/>
  <c r="AC23" i="4"/>
  <c r="AB23" i="4"/>
  <c r="AA23" i="4"/>
  <c r="AU17" i="4"/>
  <c r="AT17" i="4"/>
  <c r="AS17" i="4"/>
  <c r="AS33" i="4" s="1"/>
  <c r="AO17" i="4"/>
  <c r="AN17" i="4"/>
  <c r="AN33" i="4" s="1"/>
  <c r="AM17" i="4"/>
  <c r="AI17" i="4"/>
  <c r="AI33" i="4" s="1"/>
  <c r="AH17" i="4"/>
  <c r="AG17" i="4"/>
  <c r="AG33" i="4" s="1"/>
  <c r="AC17" i="4"/>
  <c r="AB17" i="4"/>
  <c r="AB33" i="4" s="1"/>
  <c r="AA17" i="4"/>
  <c r="AA33" i="4" s="1"/>
  <c r="W17" i="4"/>
  <c r="W33" i="4" s="1"/>
  <c r="W66" i="4" s="1"/>
  <c r="V17" i="4"/>
  <c r="V33" i="4" s="1"/>
  <c r="V66" i="4" s="1"/>
  <c r="AY14" i="4"/>
  <c r="AU14" i="4"/>
  <c r="AT14" i="4"/>
  <c r="AS14" i="4"/>
  <c r="AO14" i="4"/>
  <c r="AN14" i="4"/>
  <c r="AM14" i="4"/>
  <c r="AI14" i="4"/>
  <c r="AH14" i="4"/>
  <c r="AG14" i="4"/>
  <c r="AE14" i="4"/>
  <c r="AD14" i="4"/>
  <c r="AC14" i="4"/>
  <c r="AB14" i="4"/>
  <c r="AA14" i="4"/>
  <c r="CG14" i="4"/>
  <c r="CF14" i="4"/>
  <c r="CE14" i="4"/>
  <c r="CD14" i="4"/>
  <c r="CC14" i="4"/>
  <c r="AV12" i="4"/>
  <c r="AP12" i="4"/>
  <c r="AJ12" i="4"/>
  <c r="AJ14" i="4" s="1"/>
  <c r="AU9" i="4"/>
  <c r="AT9" i="4"/>
  <c r="AS9" i="4"/>
  <c r="AO9" i="4"/>
  <c r="AN9" i="4"/>
  <c r="AM9" i="4"/>
  <c r="AI9" i="4"/>
  <c r="AH9" i="4"/>
  <c r="AG9" i="4"/>
  <c r="AC9" i="4"/>
  <c r="AB9" i="4"/>
  <c r="AV7" i="4"/>
  <c r="AP7" i="4"/>
  <c r="AJ7" i="4"/>
  <c r="AD7" i="4"/>
  <c r="AE7" i="4" s="1"/>
  <c r="U7" i="4"/>
  <c r="BW4" i="4"/>
  <c r="BQ4" i="4"/>
  <c r="BK4" i="4"/>
  <c r="BE4" i="4"/>
  <c r="AY4" i="4"/>
  <c r="AS4" i="4"/>
  <c r="AM4" i="4"/>
  <c r="AG4" i="4"/>
  <c r="AA4" i="4"/>
  <c r="BK137" i="3"/>
  <c r="BL136" i="3" s="1"/>
  <c r="AP140" i="3"/>
  <c r="AO140" i="3" s="1"/>
  <c r="AN140" i="3" s="1"/>
  <c r="AM140" i="3" s="1"/>
  <c r="AP139" i="3"/>
  <c r="AJ140" i="3"/>
  <c r="AI140" i="3" s="1"/>
  <c r="AH140" i="3" s="1"/>
  <c r="AG140" i="3" s="1"/>
  <c r="AJ139" i="3"/>
  <c r="AD140" i="3"/>
  <c r="AC140" i="3" s="1"/>
  <c r="AB140" i="3" s="1"/>
  <c r="AA140" i="3" s="1"/>
  <c r="AD139" i="3"/>
  <c r="AC139" i="3" s="1"/>
  <c r="X140" i="3"/>
  <c r="W140" i="3" s="1"/>
  <c r="V140" i="3" s="1"/>
  <c r="X139" i="3"/>
  <c r="W139" i="3" s="1"/>
  <c r="V139" i="3" s="1"/>
  <c r="U139" i="3" s="1"/>
  <c r="R140" i="3"/>
  <c r="Q140" i="3" s="1"/>
  <c r="P140" i="3" s="1"/>
  <c r="R139" i="3"/>
  <c r="Q139" i="3" s="1"/>
  <c r="L140" i="3"/>
  <c r="K140" i="3" s="1"/>
  <c r="J140" i="3" s="1"/>
  <c r="I140" i="3" s="1"/>
  <c r="L139" i="3"/>
  <c r="K139" i="3" s="1"/>
  <c r="J139" i="3" s="1"/>
  <c r="I139" i="3" s="1"/>
  <c r="F140" i="3"/>
  <c r="E140" i="3" s="1"/>
  <c r="D140" i="3" s="1"/>
  <c r="C140" i="3" s="1"/>
  <c r="F139" i="3"/>
  <c r="BH137" i="3"/>
  <c r="BI137" i="3" s="1"/>
  <c r="BK136" i="3" s="1"/>
  <c r="BO136" i="3" s="1"/>
  <c r="BG137" i="3"/>
  <c r="BH136" i="3" s="1"/>
  <c r="BF137" i="3"/>
  <c r="BG136" i="3" s="1"/>
  <c r="BE137" i="3"/>
  <c r="BF136" i="3" s="1"/>
  <c r="BB137" i="3"/>
  <c r="BC137" i="3" s="1"/>
  <c r="BE136" i="3" s="1"/>
  <c r="BI136" i="3" s="1"/>
  <c r="BA137" i="3"/>
  <c r="BB136" i="3" s="1"/>
  <c r="AZ137" i="3"/>
  <c r="BA136" i="3" s="1"/>
  <c r="AY137" i="3"/>
  <c r="AZ136" i="3" s="1"/>
  <c r="AW140" i="3"/>
  <c r="AS140" i="3"/>
  <c r="AT140" i="3" s="1"/>
  <c r="AU140" i="3" s="1"/>
  <c r="AW139" i="3"/>
  <c r="AY139" i="3" s="1"/>
  <c r="AZ139" i="3" s="1"/>
  <c r="BA139" i="3" s="1"/>
  <c r="AS139" i="3"/>
  <c r="AT139" i="3" s="1"/>
  <c r="AV137" i="3"/>
  <c r="AW137" i="3" s="1"/>
  <c r="AY136" i="3" s="1"/>
  <c r="BC136" i="3" s="1"/>
  <c r="AU137" i="3"/>
  <c r="AV136" i="3" s="1"/>
  <c r="AT137" i="3"/>
  <c r="AU136" i="3" s="1"/>
  <c r="AS137" i="3"/>
  <c r="AT136" i="3" s="1"/>
  <c r="AQ138" i="3"/>
  <c r="D20" i="10" s="1"/>
  <c r="AP137" i="3"/>
  <c r="AQ137" i="3" s="1"/>
  <c r="AS136" i="3" s="1"/>
  <c r="AW136" i="3" s="1"/>
  <c r="AO137" i="3"/>
  <c r="AP136" i="3" s="1"/>
  <c r="AN137" i="3"/>
  <c r="AO136" i="3" s="1"/>
  <c r="AM137" i="3"/>
  <c r="AN136" i="3" s="1"/>
  <c r="AK138" i="3"/>
  <c r="AJ137" i="3"/>
  <c r="AK137" i="3" s="1"/>
  <c r="AM136" i="3" s="1"/>
  <c r="AQ136" i="3" s="1"/>
  <c r="AI137" i="3"/>
  <c r="AJ136" i="3" s="1"/>
  <c r="AH137" i="3"/>
  <c r="AI136" i="3" s="1"/>
  <c r="AG137" i="3"/>
  <c r="AH136" i="3" s="1"/>
  <c r="AE138" i="3"/>
  <c r="AD137" i="3"/>
  <c r="AE137" i="3" s="1"/>
  <c r="AG136" i="3" s="1"/>
  <c r="AK136" i="3" s="1"/>
  <c r="AC137" i="3"/>
  <c r="AD136" i="3" s="1"/>
  <c r="AB137" i="3"/>
  <c r="AC136" i="3" s="1"/>
  <c r="AA137" i="3"/>
  <c r="AB136" i="3" s="1"/>
  <c r="Y138" i="3"/>
  <c r="X137" i="3"/>
  <c r="Y137" i="3" s="1"/>
  <c r="AA136" i="3" s="1"/>
  <c r="AE136" i="3" s="1"/>
  <c r="W137" i="3"/>
  <c r="X136" i="3" s="1"/>
  <c r="V137" i="3"/>
  <c r="W136" i="3" s="1"/>
  <c r="U137" i="3"/>
  <c r="V136" i="3" s="1"/>
  <c r="S138" i="3"/>
  <c r="R137" i="3"/>
  <c r="S137" i="3" s="1"/>
  <c r="U136" i="3" s="1"/>
  <c r="Y136" i="3" s="1"/>
  <c r="Q137" i="3"/>
  <c r="R136" i="3" s="1"/>
  <c r="M138" i="3"/>
  <c r="L137" i="3"/>
  <c r="M137" i="3" s="1"/>
  <c r="O136" i="3" s="1"/>
  <c r="S136" i="3" s="1"/>
  <c r="G138" i="3"/>
  <c r="C136" i="3"/>
  <c r="G136" i="3" s="1"/>
  <c r="BZ132" i="3"/>
  <c r="BT132" i="3"/>
  <c r="BS132" i="3"/>
  <c r="AC130" i="3"/>
  <c r="AB130" i="3"/>
  <c r="AA130" i="3"/>
  <c r="Y130" i="3"/>
  <c r="X130" i="3"/>
  <c r="W130" i="3"/>
  <c r="V130" i="3"/>
  <c r="U130" i="3"/>
  <c r="S130" i="3"/>
  <c r="R130" i="3"/>
  <c r="Q130" i="3"/>
  <c r="P130" i="3"/>
  <c r="O130" i="3"/>
  <c r="M130" i="3"/>
  <c r="L130" i="3"/>
  <c r="K130" i="3"/>
  <c r="J130" i="3"/>
  <c r="I130" i="3"/>
  <c r="G130" i="3"/>
  <c r="F130" i="3"/>
  <c r="E130" i="3"/>
  <c r="D130" i="3"/>
  <c r="C130" i="3"/>
  <c r="BZ123" i="3"/>
  <c r="BT123" i="3"/>
  <c r="BS123" i="3"/>
  <c r="AC121" i="3"/>
  <c r="AB121" i="3"/>
  <c r="AA121" i="3"/>
  <c r="Y121" i="3"/>
  <c r="X121" i="3"/>
  <c r="W121" i="3"/>
  <c r="V121" i="3"/>
  <c r="U121" i="3"/>
  <c r="S121" i="3"/>
  <c r="R121" i="3"/>
  <c r="Q121" i="3"/>
  <c r="P121" i="3"/>
  <c r="O121" i="3"/>
  <c r="M121" i="3"/>
  <c r="L121" i="3"/>
  <c r="K121" i="3"/>
  <c r="J121" i="3"/>
  <c r="I121" i="3"/>
  <c r="G121" i="3"/>
  <c r="F121" i="3"/>
  <c r="E121" i="3"/>
  <c r="D121" i="3"/>
  <c r="C121" i="3"/>
  <c r="BS103" i="3"/>
  <c r="BS54" i="3" s="1"/>
  <c r="AC112" i="3"/>
  <c r="AB112" i="3"/>
  <c r="AA112" i="3"/>
  <c r="Y112" i="3"/>
  <c r="X112" i="3"/>
  <c r="W112" i="3"/>
  <c r="V112" i="3"/>
  <c r="U112" i="3"/>
  <c r="S112" i="3"/>
  <c r="R112" i="3"/>
  <c r="Q112" i="3"/>
  <c r="P112" i="3"/>
  <c r="O112" i="3"/>
  <c r="M112" i="3"/>
  <c r="L112" i="3"/>
  <c r="K112" i="3"/>
  <c r="J112" i="3"/>
  <c r="I112" i="3"/>
  <c r="G112" i="3"/>
  <c r="F112" i="3"/>
  <c r="E112" i="3"/>
  <c r="D112" i="3"/>
  <c r="C112" i="3"/>
  <c r="BZ102" i="3"/>
  <c r="BZ53" i="3" s="1"/>
  <c r="CF56" i="3" s="1"/>
  <c r="BT102" i="3"/>
  <c r="BT53" i="3" s="1"/>
  <c r="BS102" i="3"/>
  <c r="BS53" i="3" s="1"/>
  <c r="AC100" i="3"/>
  <c r="AB100" i="3"/>
  <c r="AA100" i="3"/>
  <c r="Y100" i="3"/>
  <c r="X100" i="3"/>
  <c r="W100" i="3"/>
  <c r="V100" i="3"/>
  <c r="U100" i="3"/>
  <c r="S100" i="3"/>
  <c r="R100" i="3"/>
  <c r="Q100" i="3"/>
  <c r="P100" i="3"/>
  <c r="O100" i="3"/>
  <c r="M100" i="3"/>
  <c r="L100" i="3"/>
  <c r="K100" i="3"/>
  <c r="J100" i="3"/>
  <c r="I100" i="3"/>
  <c r="G100" i="3"/>
  <c r="F100" i="3"/>
  <c r="E100" i="3"/>
  <c r="D100" i="3"/>
  <c r="C100" i="3"/>
  <c r="BS90" i="3"/>
  <c r="BT90" i="3" s="1"/>
  <c r="BI89" i="3"/>
  <c r="BG90" i="3"/>
  <c r="BE90" i="3"/>
  <c r="BB90" i="3"/>
  <c r="BA90" i="3"/>
  <c r="AZ90" i="3"/>
  <c r="AY90" i="3"/>
  <c r="AV90" i="3"/>
  <c r="AU90" i="3"/>
  <c r="AT90" i="3"/>
  <c r="AQ90" i="3"/>
  <c r="AQ89" i="3"/>
  <c r="AK90" i="3"/>
  <c r="AK89" i="3"/>
  <c r="AE90" i="3"/>
  <c r="AE89" i="3"/>
  <c r="Y90" i="3"/>
  <c r="Y89" i="3"/>
  <c r="S90" i="3"/>
  <c r="S89" i="3"/>
  <c r="M90" i="3"/>
  <c r="M89" i="3"/>
  <c r="G90" i="3"/>
  <c r="G89" i="3"/>
  <c r="CA89" i="3"/>
  <c r="BU89" i="3"/>
  <c r="BO89" i="3"/>
  <c r="BC89" i="3"/>
  <c r="AW89" i="3"/>
  <c r="B84" i="3"/>
  <c r="B81" i="3"/>
  <c r="B78" i="3"/>
  <c r="B77" i="3"/>
  <c r="BE80" i="3"/>
  <c r="BE79" i="3"/>
  <c r="AY80" i="3"/>
  <c r="AY79" i="3"/>
  <c r="BA72" i="3"/>
  <c r="AZ72" i="3"/>
  <c r="AY72" i="3"/>
  <c r="AS80" i="3"/>
  <c r="AS79" i="3"/>
  <c r="AV72" i="3"/>
  <c r="AU72" i="3"/>
  <c r="AU96" i="3" s="1"/>
  <c r="AT72" i="3"/>
  <c r="AS72" i="3"/>
  <c r="AP80" i="3"/>
  <c r="AN80" i="3"/>
  <c r="AM80" i="3"/>
  <c r="AP79" i="3"/>
  <c r="AN79" i="3"/>
  <c r="AM79" i="3"/>
  <c r="AP72" i="3"/>
  <c r="AO72" i="3"/>
  <c r="AN72" i="3"/>
  <c r="AM72" i="3"/>
  <c r="AJ80" i="3"/>
  <c r="AI80" i="3"/>
  <c r="AH80" i="3"/>
  <c r="AG80" i="3"/>
  <c r="AJ79" i="3"/>
  <c r="AI79" i="3"/>
  <c r="AH79" i="3"/>
  <c r="AG79" i="3"/>
  <c r="AJ72" i="3"/>
  <c r="AI72" i="3"/>
  <c r="AI96" i="3" s="1"/>
  <c r="AH72" i="3"/>
  <c r="AG72" i="3"/>
  <c r="AG96" i="3" s="1"/>
  <c r="AD80" i="3"/>
  <c r="AC80" i="3"/>
  <c r="AB80" i="3"/>
  <c r="AA80" i="3"/>
  <c r="AC79" i="3"/>
  <c r="AB79" i="3"/>
  <c r="AA79" i="3"/>
  <c r="AC72" i="3"/>
  <c r="AB72" i="3"/>
  <c r="AA72" i="3"/>
  <c r="X80" i="3"/>
  <c r="W80" i="3"/>
  <c r="V80" i="3"/>
  <c r="U80" i="3"/>
  <c r="W79" i="3"/>
  <c r="V79" i="3"/>
  <c r="U79" i="3"/>
  <c r="W72" i="3"/>
  <c r="V72" i="3"/>
  <c r="U72" i="3"/>
  <c r="U96" i="3" s="1"/>
  <c r="R80" i="3"/>
  <c r="Q80" i="3"/>
  <c r="P80" i="3"/>
  <c r="O80" i="3"/>
  <c r="R79" i="3"/>
  <c r="Q79" i="3"/>
  <c r="P79" i="3"/>
  <c r="O79" i="3"/>
  <c r="R72" i="3"/>
  <c r="Q72" i="3"/>
  <c r="P72" i="3"/>
  <c r="P96" i="3" s="1"/>
  <c r="O72" i="3"/>
  <c r="L80" i="3"/>
  <c r="K80" i="3"/>
  <c r="J80" i="3"/>
  <c r="I80" i="3"/>
  <c r="L79" i="3"/>
  <c r="K79" i="3"/>
  <c r="J79" i="3"/>
  <c r="I79" i="3"/>
  <c r="L72" i="3"/>
  <c r="L96" i="3" s="1"/>
  <c r="K72" i="3"/>
  <c r="K96" i="3" s="1"/>
  <c r="J72" i="3"/>
  <c r="J96" i="3" s="1"/>
  <c r="I72" i="3"/>
  <c r="I96" i="3" s="1"/>
  <c r="AC62" i="3"/>
  <c r="AB62" i="3"/>
  <c r="AA62" i="3"/>
  <c r="AD61" i="3"/>
  <c r="AC61" i="3"/>
  <c r="AB61" i="3"/>
  <c r="AA61" i="3"/>
  <c r="AC59" i="3"/>
  <c r="AB59" i="3"/>
  <c r="AA59" i="3"/>
  <c r="AD54" i="3"/>
  <c r="AD133" i="3" s="1"/>
  <c r="AC54" i="3"/>
  <c r="AB54" i="3"/>
  <c r="AB115" i="3" s="1"/>
  <c r="AB103" i="3" s="1"/>
  <c r="AA54" i="3"/>
  <c r="AD53" i="3"/>
  <c r="AC53" i="3"/>
  <c r="AB53" i="3"/>
  <c r="AA53" i="3"/>
  <c r="W62" i="3"/>
  <c r="V62" i="3"/>
  <c r="U62" i="3"/>
  <c r="X61" i="3"/>
  <c r="W61" i="3"/>
  <c r="V61" i="3"/>
  <c r="U61" i="3"/>
  <c r="W59" i="3"/>
  <c r="V59" i="3"/>
  <c r="U59" i="3"/>
  <c r="W54" i="3"/>
  <c r="V54" i="3"/>
  <c r="U54" i="3"/>
  <c r="W53" i="3"/>
  <c r="V53" i="3"/>
  <c r="U53" i="3"/>
  <c r="U114" i="3" s="1"/>
  <c r="U102" i="3" s="1"/>
  <c r="R62" i="3"/>
  <c r="Q62" i="3"/>
  <c r="P62" i="3"/>
  <c r="O62" i="3"/>
  <c r="R61" i="3"/>
  <c r="Q61" i="3"/>
  <c r="P61" i="3"/>
  <c r="O61" i="3"/>
  <c r="R59" i="3"/>
  <c r="Q59" i="3"/>
  <c r="P59" i="3"/>
  <c r="O59" i="3"/>
  <c r="R54" i="3"/>
  <c r="Q54" i="3"/>
  <c r="P54" i="3"/>
  <c r="P124" i="3" s="1"/>
  <c r="O54" i="3"/>
  <c r="R53" i="3"/>
  <c r="R114" i="3" s="1"/>
  <c r="R102" i="3" s="1"/>
  <c r="Q53" i="3"/>
  <c r="P53" i="3"/>
  <c r="O53" i="3"/>
  <c r="L62" i="3"/>
  <c r="K62" i="3"/>
  <c r="J62" i="3"/>
  <c r="I62" i="3"/>
  <c r="L61" i="3"/>
  <c r="K61" i="3"/>
  <c r="J61" i="3"/>
  <c r="I61" i="3"/>
  <c r="L59" i="3"/>
  <c r="K59" i="3"/>
  <c r="J59" i="3"/>
  <c r="I59" i="3"/>
  <c r="L54" i="3"/>
  <c r="K54" i="3"/>
  <c r="J54" i="3"/>
  <c r="J124" i="3" s="1"/>
  <c r="I54" i="3"/>
  <c r="I133" i="3" s="1"/>
  <c r="L53" i="3"/>
  <c r="K53" i="3"/>
  <c r="J53" i="3"/>
  <c r="J114" i="3" s="1"/>
  <c r="J102" i="3" s="1"/>
  <c r="I53" i="3"/>
  <c r="F54" i="3"/>
  <c r="E54" i="3"/>
  <c r="E133" i="3" s="1"/>
  <c r="D54" i="3"/>
  <c r="C54" i="3"/>
  <c r="F53" i="3"/>
  <c r="F123" i="3" s="1"/>
  <c r="E53" i="3"/>
  <c r="D53" i="3"/>
  <c r="C53" i="3"/>
  <c r="B52" i="3"/>
  <c r="B51" i="3"/>
  <c r="BE62" i="3"/>
  <c r="BE61" i="3"/>
  <c r="AY62" i="3"/>
  <c r="AY61" i="3"/>
  <c r="BA59" i="3"/>
  <c r="AZ59" i="3"/>
  <c r="AY59" i="3"/>
  <c r="AY54" i="3"/>
  <c r="AY53" i="3"/>
  <c r="AY114" i="3" s="1"/>
  <c r="AY102" i="3" s="1"/>
  <c r="AS62" i="3"/>
  <c r="AS61" i="3"/>
  <c r="AV59" i="3"/>
  <c r="AU59" i="3"/>
  <c r="AT59" i="3"/>
  <c r="AS59" i="3"/>
  <c r="AS54" i="3"/>
  <c r="AS53" i="3"/>
  <c r="AP62" i="3"/>
  <c r="AN62" i="3"/>
  <c r="AM62" i="3"/>
  <c r="AP61" i="3"/>
  <c r="AN61" i="3"/>
  <c r="AM61" i="3"/>
  <c r="AP59" i="3"/>
  <c r="AO59" i="3"/>
  <c r="AN59" i="3"/>
  <c r="AM59" i="3"/>
  <c r="AP54" i="3"/>
  <c r="AN54" i="3"/>
  <c r="AN133" i="3" s="1"/>
  <c r="AM54" i="3"/>
  <c r="AM133" i="3" s="1"/>
  <c r="AP53" i="3"/>
  <c r="AN53" i="3"/>
  <c r="AM53" i="3"/>
  <c r="AJ62" i="3"/>
  <c r="AI62" i="3"/>
  <c r="AH62" i="3"/>
  <c r="AG62" i="3"/>
  <c r="AJ61" i="3"/>
  <c r="AI61" i="3"/>
  <c r="AH61" i="3"/>
  <c r="AG61" i="3"/>
  <c r="AJ59" i="3"/>
  <c r="AI59" i="3"/>
  <c r="AH59" i="3"/>
  <c r="AG59" i="3"/>
  <c r="AJ54" i="3"/>
  <c r="AI54" i="3"/>
  <c r="AH54" i="3"/>
  <c r="AH133" i="3" s="1"/>
  <c r="AG54" i="3"/>
  <c r="AJ53" i="3"/>
  <c r="AJ132" i="3" s="1"/>
  <c r="AI53" i="3"/>
  <c r="AI132" i="3" s="1"/>
  <c r="AH53" i="3"/>
  <c r="AG53" i="3"/>
  <c r="AG132" i="3" s="1"/>
  <c r="BI45" i="3"/>
  <c r="BC45" i="3"/>
  <c r="AW45" i="3"/>
  <c r="AQ45" i="3"/>
  <c r="AK45" i="3"/>
  <c r="AE45" i="3"/>
  <c r="Y45" i="3"/>
  <c r="S45" i="3"/>
  <c r="P45" i="3"/>
  <c r="O45" i="3"/>
  <c r="M45" i="3"/>
  <c r="K45" i="3"/>
  <c r="J45" i="3"/>
  <c r="I45" i="3"/>
  <c r="J44" i="3"/>
  <c r="I44" i="3"/>
  <c r="BK43" i="3"/>
  <c r="BI43" i="3"/>
  <c r="BH43" i="3"/>
  <c r="BG43" i="3"/>
  <c r="BF43" i="3"/>
  <c r="BE43" i="3"/>
  <c r="BC43" i="3"/>
  <c r="BB43" i="3"/>
  <c r="BA43" i="3"/>
  <c r="AZ43" i="3"/>
  <c r="AY43" i="3"/>
  <c r="AW43" i="3"/>
  <c r="AV43" i="3"/>
  <c r="AU43" i="3"/>
  <c r="AT43" i="3"/>
  <c r="AS43" i="3"/>
  <c r="AQ43" i="3"/>
  <c r="AP43" i="3"/>
  <c r="AO43" i="3"/>
  <c r="AN43" i="3"/>
  <c r="AM43" i="3"/>
  <c r="AK43" i="3"/>
  <c r="AJ43" i="3"/>
  <c r="AI43" i="3"/>
  <c r="AH43" i="3"/>
  <c r="AG43" i="3"/>
  <c r="AE43" i="3"/>
  <c r="AD43" i="3"/>
  <c r="AC43" i="3"/>
  <c r="AB43" i="3"/>
  <c r="AA43" i="3"/>
  <c r="Y43" i="3"/>
  <c r="X43" i="3"/>
  <c r="W43" i="3"/>
  <c r="V43" i="3"/>
  <c r="U43" i="3"/>
  <c r="S43" i="3"/>
  <c r="R43" i="3"/>
  <c r="Q43" i="3"/>
  <c r="P43" i="3"/>
  <c r="O43" i="3"/>
  <c r="M43" i="3"/>
  <c r="L43" i="3"/>
  <c r="K43" i="3"/>
  <c r="J42" i="3"/>
  <c r="J86" i="1" s="1"/>
  <c r="I42" i="3"/>
  <c r="I43" i="3" s="1"/>
  <c r="F45" i="3"/>
  <c r="E45" i="3"/>
  <c r="D45" i="3"/>
  <c r="C45" i="3"/>
  <c r="G44" i="3"/>
  <c r="F44" i="3"/>
  <c r="E44" i="3"/>
  <c r="D44" i="3"/>
  <c r="C44" i="3"/>
  <c r="G42" i="3"/>
  <c r="F42" i="3"/>
  <c r="E42" i="3"/>
  <c r="D42" i="3"/>
  <c r="D43" i="3" s="1"/>
  <c r="C42" i="3"/>
  <c r="AQ37" i="3"/>
  <c r="AK37" i="3"/>
  <c r="AE37" i="3"/>
  <c r="S37" i="3"/>
  <c r="M37" i="3"/>
  <c r="G37" i="3"/>
  <c r="BH37" i="3"/>
  <c r="BG37" i="3"/>
  <c r="BB37" i="3"/>
  <c r="BA37" i="3"/>
  <c r="AZ37" i="3"/>
  <c r="AV37" i="3"/>
  <c r="AU37" i="3"/>
  <c r="X37" i="3"/>
  <c r="BK33" i="3"/>
  <c r="BH33" i="3"/>
  <c r="BG33" i="3"/>
  <c r="BF33" i="3"/>
  <c r="BE33" i="3"/>
  <c r="BA33" i="3"/>
  <c r="AZ33" i="3"/>
  <c r="AY33" i="3"/>
  <c r="AU33" i="3"/>
  <c r="AT33" i="3"/>
  <c r="AN33" i="3"/>
  <c r="AM33" i="3"/>
  <c r="P33" i="3"/>
  <c r="L33" i="3"/>
  <c r="D33" i="3"/>
  <c r="BI31" i="3"/>
  <c r="BI30" i="3"/>
  <c r="BI29" i="3"/>
  <c r="BB31" i="3"/>
  <c r="AV31" i="3"/>
  <c r="AS31" i="3"/>
  <c r="AS33" i="3" s="1"/>
  <c r="AQ31" i="3"/>
  <c r="AQ30" i="3"/>
  <c r="AK31" i="3"/>
  <c r="AK30" i="3"/>
  <c r="AE31" i="3"/>
  <c r="AE30" i="3"/>
  <c r="X31" i="3"/>
  <c r="S31" i="3"/>
  <c r="S30" i="3"/>
  <c r="M31" i="3"/>
  <c r="M30" i="3"/>
  <c r="G31" i="3"/>
  <c r="G30" i="3"/>
  <c r="BC30" i="3"/>
  <c r="BC29" i="3"/>
  <c r="AW30" i="3"/>
  <c r="AW29" i="3"/>
  <c r="Y30" i="3"/>
  <c r="AP29" i="3"/>
  <c r="AO29" i="3"/>
  <c r="AJ29" i="3"/>
  <c r="AI29" i="3"/>
  <c r="AH29" i="3"/>
  <c r="AG29" i="3"/>
  <c r="AD29" i="3"/>
  <c r="AD33" i="3" s="1"/>
  <c r="AC29" i="3"/>
  <c r="AC150" i="1" s="1"/>
  <c r="AB29" i="3"/>
  <c r="AB150" i="1" s="1"/>
  <c r="AA29" i="3"/>
  <c r="AA150" i="1" s="1"/>
  <c r="W29" i="3"/>
  <c r="W150" i="1" s="1"/>
  <c r="V29" i="3"/>
  <c r="U29" i="3"/>
  <c r="U150" i="1" s="1"/>
  <c r="R29" i="3"/>
  <c r="R150" i="1" s="1"/>
  <c r="Q29" i="3"/>
  <c r="O29" i="3"/>
  <c r="K29" i="3"/>
  <c r="J29" i="3"/>
  <c r="I29" i="3"/>
  <c r="I33" i="3" s="1"/>
  <c r="F29" i="3"/>
  <c r="E29" i="3"/>
  <c r="C29" i="3"/>
  <c r="BC25" i="3"/>
  <c r="AW25" i="3"/>
  <c r="AQ25" i="3"/>
  <c r="AK25" i="3"/>
  <c r="AE25" i="3"/>
  <c r="Y25" i="3"/>
  <c r="S25" i="3"/>
  <c r="M25" i="3"/>
  <c r="G25" i="3"/>
  <c r="BF20" i="3"/>
  <c r="BE20" i="3"/>
  <c r="AY20" i="3"/>
  <c r="AS20" i="3"/>
  <c r="AP20" i="3"/>
  <c r="AN20" i="3"/>
  <c r="AN87" i="1" s="1"/>
  <c r="AM20" i="3"/>
  <c r="AJ20" i="3"/>
  <c r="AJ87" i="1" s="1"/>
  <c r="AI20" i="3"/>
  <c r="AH20" i="3"/>
  <c r="AH87" i="1" s="1"/>
  <c r="AG20" i="3"/>
  <c r="AG87" i="1" s="1"/>
  <c r="AD20" i="3"/>
  <c r="AD87" i="1" s="1"/>
  <c r="AC20" i="3"/>
  <c r="AC89" i="1" s="1"/>
  <c r="AB20" i="3"/>
  <c r="AB89" i="1" s="1"/>
  <c r="AA20" i="3"/>
  <c r="AA87" i="1" s="1"/>
  <c r="W20" i="3"/>
  <c r="V20" i="3"/>
  <c r="V87" i="1" s="1"/>
  <c r="U20" i="3"/>
  <c r="U89" i="1" s="1"/>
  <c r="R20" i="3"/>
  <c r="R89" i="1" s="1"/>
  <c r="Q20" i="3"/>
  <c r="Q89" i="1" s="1"/>
  <c r="P20" i="3"/>
  <c r="O20" i="3"/>
  <c r="L20" i="3"/>
  <c r="L89" i="1" s="1"/>
  <c r="K20" i="3"/>
  <c r="K87" i="1" s="1"/>
  <c r="J20" i="3"/>
  <c r="I20" i="3"/>
  <c r="F20" i="3"/>
  <c r="F87" i="1" s="1"/>
  <c r="E20" i="3"/>
  <c r="E89" i="1" s="1"/>
  <c r="D20" i="3"/>
  <c r="D87" i="1" s="1"/>
  <c r="C20" i="3"/>
  <c r="AQ19" i="3"/>
  <c r="AO19" i="3"/>
  <c r="AO18" i="3"/>
  <c r="AO95" i="2" s="1"/>
  <c r="AK19" i="3"/>
  <c r="AK18" i="3"/>
  <c r="AE19" i="3"/>
  <c r="AE18" i="3"/>
  <c r="Y19" i="3"/>
  <c r="S19" i="3"/>
  <c r="S18" i="3"/>
  <c r="S95" i="2" s="1"/>
  <c r="M19" i="3"/>
  <c r="M18" i="3"/>
  <c r="G19" i="3"/>
  <c r="G18" i="3"/>
  <c r="BK20" i="3"/>
  <c r="BK19" i="3"/>
  <c r="BK18" i="3"/>
  <c r="BH19" i="3"/>
  <c r="BG19" i="3"/>
  <c r="BH18" i="3"/>
  <c r="BG18" i="3"/>
  <c r="BM62" i="3" s="1"/>
  <c r="BB19" i="3"/>
  <c r="BB96" i="2" s="1"/>
  <c r="BA19" i="3"/>
  <c r="BA54" i="3" s="1"/>
  <c r="BA133" i="3" s="1"/>
  <c r="AZ19" i="3"/>
  <c r="BB18" i="3"/>
  <c r="BB95" i="2" s="1"/>
  <c r="BA18" i="3"/>
  <c r="AZ18" i="3"/>
  <c r="AZ95" i="2" s="1"/>
  <c r="AV19" i="3"/>
  <c r="AV96" i="2" s="1"/>
  <c r="AU19" i="3"/>
  <c r="AU61" i="3" s="1"/>
  <c r="AT19" i="3"/>
  <c r="AV18" i="3"/>
  <c r="AU18" i="3"/>
  <c r="AU95" i="2" s="1"/>
  <c r="AT18" i="3"/>
  <c r="AT95" i="2" s="1"/>
  <c r="X18" i="3"/>
  <c r="BI13" i="3"/>
  <c r="BI12" i="3"/>
  <c r="BI6" i="3"/>
  <c r="BI6" i="1" s="1"/>
  <c r="BC13" i="3"/>
  <c r="BC12" i="3"/>
  <c r="BC6" i="3"/>
  <c r="AW8" i="3"/>
  <c r="AW6" i="3"/>
  <c r="AU13" i="3"/>
  <c r="AW13" i="3" s="1"/>
  <c r="AU12" i="3"/>
  <c r="AU10" i="3"/>
  <c r="AQ13" i="3"/>
  <c r="AQ8" i="3"/>
  <c r="AQ6" i="3"/>
  <c r="AQ6" i="2" s="1"/>
  <c r="AQ5" i="4" s="1"/>
  <c r="AK13" i="3"/>
  <c r="AK12" i="3"/>
  <c r="AK8" i="3"/>
  <c r="AK6" i="3"/>
  <c r="AE13" i="3"/>
  <c r="AE12" i="3"/>
  <c r="AE8" i="3"/>
  <c r="AE6" i="3"/>
  <c r="AE6" i="1" s="1"/>
  <c r="S13" i="3"/>
  <c r="S12" i="3"/>
  <c r="S8" i="3"/>
  <c r="S6" i="3"/>
  <c r="M13" i="3"/>
  <c r="M12" i="3"/>
  <c r="M8" i="3"/>
  <c r="M6" i="3"/>
  <c r="M6" i="1" s="1"/>
  <c r="G13" i="3"/>
  <c r="G12" i="3"/>
  <c r="G8" i="3"/>
  <c r="G6" i="3"/>
  <c r="G6" i="2" s="1"/>
  <c r="G5" i="4" s="1"/>
  <c r="B13" i="3"/>
  <c r="B16" i="3" s="1"/>
  <c r="B12" i="3"/>
  <c r="B15" i="3" s="1"/>
  <c r="AO12" i="3"/>
  <c r="AO11" i="3" s="1"/>
  <c r="AO10" i="3"/>
  <c r="BK11" i="3"/>
  <c r="AV11" i="3"/>
  <c r="AP11" i="3"/>
  <c r="AP49" i="3" s="1"/>
  <c r="BB11" i="3"/>
  <c r="BA11" i="3"/>
  <c r="BA94" i="2" s="1"/>
  <c r="AZ11" i="3"/>
  <c r="AZ14" i="3" s="1"/>
  <c r="AY11" i="3"/>
  <c r="AY49" i="3" s="1"/>
  <c r="BB10" i="3"/>
  <c r="BB16" i="3" s="1"/>
  <c r="BB52" i="3" s="1"/>
  <c r="BB112" i="3" s="1"/>
  <c r="BA10" i="3"/>
  <c r="BA16" i="3" s="1"/>
  <c r="BA52" i="3" s="1"/>
  <c r="BA121" i="3" s="1"/>
  <c r="AZ10" i="3"/>
  <c r="AZ16" i="3" s="1"/>
  <c r="AZ52" i="3" s="1"/>
  <c r="AZ100" i="3" s="1"/>
  <c r="AY10" i="3"/>
  <c r="AY16" i="3" s="1"/>
  <c r="AY52" i="3" s="1"/>
  <c r="AT11" i="3"/>
  <c r="AT49" i="3" s="1"/>
  <c r="AS11" i="3"/>
  <c r="AS94" i="2" s="1"/>
  <c r="AT10" i="3"/>
  <c r="AT16" i="3" s="1"/>
  <c r="AT52" i="3" s="1"/>
  <c r="AT100" i="3" s="1"/>
  <c r="AS10" i="3"/>
  <c r="AS16" i="3" s="1"/>
  <c r="AS52" i="3" s="1"/>
  <c r="AN11" i="3"/>
  <c r="AN49" i="3" s="1"/>
  <c r="AM11" i="3"/>
  <c r="AN10" i="3"/>
  <c r="AN16" i="3" s="1"/>
  <c r="AN52" i="3" s="1"/>
  <c r="AN112" i="3" s="1"/>
  <c r="AM10" i="3"/>
  <c r="AM16" i="3" s="1"/>
  <c r="AJ11" i="3"/>
  <c r="AI11" i="3"/>
  <c r="AI14" i="3" s="1"/>
  <c r="AI50" i="3" s="1"/>
  <c r="AH11" i="3"/>
  <c r="AH49" i="3" s="1"/>
  <c r="AG11" i="3"/>
  <c r="AI10" i="3"/>
  <c r="AI16" i="3" s="1"/>
  <c r="AI52" i="3" s="1"/>
  <c r="AI121" i="3" s="1"/>
  <c r="AH10" i="3"/>
  <c r="AH16" i="3" s="1"/>
  <c r="AH52" i="3" s="1"/>
  <c r="AH100" i="3" s="1"/>
  <c r="AG10" i="3"/>
  <c r="AG16" i="3" s="1"/>
  <c r="AG52" i="3" s="1"/>
  <c r="AD11" i="3"/>
  <c r="AD14" i="3" s="1"/>
  <c r="AC11" i="3"/>
  <c r="AB11" i="3"/>
  <c r="AA11" i="3"/>
  <c r="AC10" i="3"/>
  <c r="AC16" i="3" s="1"/>
  <c r="AB10" i="3"/>
  <c r="AB16" i="3" s="1"/>
  <c r="AA10" i="3"/>
  <c r="AA16" i="3" s="1"/>
  <c r="W11" i="3"/>
  <c r="W94" i="2" s="1"/>
  <c r="V11" i="3"/>
  <c r="V14" i="3" s="1"/>
  <c r="U11" i="3"/>
  <c r="W10" i="3"/>
  <c r="W16" i="3" s="1"/>
  <c r="V10" i="3"/>
  <c r="V16" i="3" s="1"/>
  <c r="U10" i="3"/>
  <c r="R11" i="3"/>
  <c r="Q11" i="3"/>
  <c r="P11" i="3"/>
  <c r="O11" i="3"/>
  <c r="O94" i="2" s="1"/>
  <c r="Q10" i="3"/>
  <c r="Q16" i="3" s="1"/>
  <c r="P10" i="3"/>
  <c r="P16" i="3" s="1"/>
  <c r="O10" i="3"/>
  <c r="O16" i="3" s="1"/>
  <c r="L11" i="3"/>
  <c r="L94" i="2" s="1"/>
  <c r="K11" i="3"/>
  <c r="K49" i="3" s="1"/>
  <c r="J11" i="3"/>
  <c r="I11" i="3"/>
  <c r="K10" i="3"/>
  <c r="J10" i="3"/>
  <c r="J16" i="3" s="1"/>
  <c r="I10" i="3"/>
  <c r="I16" i="3" s="1"/>
  <c r="F11" i="3"/>
  <c r="F49" i="3" s="1"/>
  <c r="E11" i="3"/>
  <c r="E49" i="3" s="1"/>
  <c r="D11" i="3"/>
  <c r="D94" i="2" s="1"/>
  <c r="C11" i="3"/>
  <c r="E10" i="3"/>
  <c r="E16" i="3" s="1"/>
  <c r="D10" i="3"/>
  <c r="D16" i="3" s="1"/>
  <c r="C10" i="3"/>
  <c r="AP7" i="3"/>
  <c r="AP74" i="1" s="1"/>
  <c r="AO7" i="3"/>
  <c r="AO74" i="1" s="1"/>
  <c r="AN7" i="3"/>
  <c r="AM7" i="3"/>
  <c r="AM74" i="1" s="1"/>
  <c r="AJ7" i="3"/>
  <c r="AJ74" i="1" s="1"/>
  <c r="AI7" i="3"/>
  <c r="AH7" i="3"/>
  <c r="AH74" i="1" s="1"/>
  <c r="AG7" i="3"/>
  <c r="AG74" i="1" s="1"/>
  <c r="AD7" i="3"/>
  <c r="AC7" i="3"/>
  <c r="AC74" i="1" s="1"/>
  <c r="AB7" i="3"/>
  <c r="AB74" i="1" s="1"/>
  <c r="AA7" i="3"/>
  <c r="AA74" i="1" s="1"/>
  <c r="X13" i="3"/>
  <c r="Y13" i="3" s="1"/>
  <c r="X12" i="3"/>
  <c r="Y12" i="3" s="1"/>
  <c r="X8" i="3"/>
  <c r="X7" i="3"/>
  <c r="W7" i="3"/>
  <c r="W74" i="1" s="1"/>
  <c r="V7" i="3"/>
  <c r="U7" i="3"/>
  <c r="R7" i="3"/>
  <c r="R74" i="1" s="1"/>
  <c r="Q7" i="3"/>
  <c r="Q74" i="1" s="1"/>
  <c r="P7" i="3"/>
  <c r="O7" i="3"/>
  <c r="L7" i="3"/>
  <c r="L74" i="1" s="1"/>
  <c r="K7" i="3"/>
  <c r="K74" i="1" s="1"/>
  <c r="J7" i="3"/>
  <c r="J74" i="1" s="1"/>
  <c r="I7" i="3"/>
  <c r="I74" i="1" s="1"/>
  <c r="F7" i="3"/>
  <c r="E7" i="3"/>
  <c r="D7" i="3"/>
  <c r="CA6" i="3"/>
  <c r="BU6" i="3"/>
  <c r="BU6" i="2" s="1"/>
  <c r="BU5" i="4" s="1"/>
  <c r="BO6" i="3"/>
  <c r="BH11" i="3"/>
  <c r="BG11" i="3"/>
  <c r="BF11" i="3"/>
  <c r="BE11" i="3"/>
  <c r="BH10" i="3"/>
  <c r="BG10" i="3"/>
  <c r="BF10" i="3"/>
  <c r="BE10" i="3"/>
  <c r="BE16" i="3" s="1"/>
  <c r="BE52" i="3" s="1"/>
  <c r="AV6" i="3"/>
  <c r="AU6" i="3"/>
  <c r="AT6" i="3"/>
  <c r="AS6" i="3"/>
  <c r="Y6" i="3"/>
  <c r="Y6" i="1" s="1"/>
  <c r="BW69" i="2"/>
  <c r="CC69" i="2" s="1"/>
  <c r="AH80" i="2"/>
  <c r="BE35" i="2"/>
  <c r="AE69" i="2"/>
  <c r="AZ149" i="1"/>
  <c r="BA149" i="1"/>
  <c r="AZ86" i="1"/>
  <c r="BI34" i="1"/>
  <c r="AW10" i="1"/>
  <c r="AV36" i="1"/>
  <c r="E52" i="1"/>
  <c r="AZ88" i="1"/>
  <c r="BE15" i="1"/>
  <c r="BE24" i="1" s="1"/>
  <c r="AH15" i="1"/>
  <c r="AI88" i="1"/>
  <c r="AI15" i="1"/>
  <c r="AU88" i="1"/>
  <c r="AV91" i="1"/>
  <c r="BG79" i="3"/>
  <c r="Q33" i="3"/>
  <c r="AC33" i="3"/>
  <c r="BF62" i="3"/>
  <c r="O33" i="3"/>
  <c r="AB33" i="3"/>
  <c r="AP33" i="3"/>
  <c r="BK79" i="3"/>
  <c r="AQ29" i="3"/>
  <c r="AQ150" i="1" s="1"/>
  <c r="AT53" i="3"/>
  <c r="BA20" i="3"/>
  <c r="BB61" i="3"/>
  <c r="AO20" i="3"/>
  <c r="AO87" i="1" s="1"/>
  <c r="BI37" i="3"/>
  <c r="AV80" i="3"/>
  <c r="AV54" i="3"/>
  <c r="AO80" i="3"/>
  <c r="AO54" i="3"/>
  <c r="AO61" i="3"/>
  <c r="BG61" i="3"/>
  <c r="BK61" i="3"/>
  <c r="BK80" i="3"/>
  <c r="AU79" i="3"/>
  <c r="AU53" i="3"/>
  <c r="BY102" i="3"/>
  <c r="BY53" i="3" s="1"/>
  <c r="CE56" i="3" s="1"/>
  <c r="BY103" i="3"/>
  <c r="BY54" i="3" s="1"/>
  <c r="CE57" i="3" s="1"/>
  <c r="AM52" i="1"/>
  <c r="BY124" i="3"/>
  <c r="BY133" i="3"/>
  <c r="BZ103" i="3"/>
  <c r="BZ54" i="3" s="1"/>
  <c r="CF57" i="3" s="1"/>
  <c r="BY132" i="3"/>
  <c r="BY123" i="3"/>
  <c r="AC8" i="2"/>
  <c r="Q46" i="2"/>
  <c r="I98" i="1"/>
  <c r="BE52" i="1"/>
  <c r="AV52" i="1"/>
  <c r="AP88" i="2"/>
  <c r="BO147" i="1"/>
  <c r="AI9" i="2"/>
  <c r="AU16" i="2"/>
  <c r="Q34" i="2"/>
  <c r="E46" i="2"/>
  <c r="F46" i="2" s="1"/>
  <c r="AB17" i="2"/>
  <c r="AZ20" i="2"/>
  <c r="BA20" i="2" s="1"/>
  <c r="AY19" i="2"/>
  <c r="AU32" i="2"/>
  <c r="AH34" i="2"/>
  <c r="D80" i="2"/>
  <c r="AO42" i="2"/>
  <c r="AP42" i="2" s="1"/>
  <c r="AU42" i="2"/>
  <c r="AU84" i="2" s="1"/>
  <c r="AU85" i="2" s="1"/>
  <c r="CA84" i="2"/>
  <c r="BF33" i="2"/>
  <c r="BK44" i="2"/>
  <c r="BF52" i="1"/>
  <c r="BX69" i="2"/>
  <c r="CD69" i="2" s="1"/>
  <c r="Y41" i="2"/>
  <c r="BK102" i="2"/>
  <c r="BK31" i="1"/>
  <c r="BK19" i="2"/>
  <c r="BK44" i="1"/>
  <c r="BK15" i="1"/>
  <c r="AO13" i="72" l="1"/>
  <c r="K66" i="4"/>
  <c r="K9" i="3" s="1"/>
  <c r="K15" i="3" s="1"/>
  <c r="K51" i="3" s="1"/>
  <c r="M147" i="1"/>
  <c r="BI171" i="1"/>
  <c r="BQ147" i="1"/>
  <c r="BQ109" i="1"/>
  <c r="AW181" i="1"/>
  <c r="O69" i="1"/>
  <c r="BE98" i="1"/>
  <c r="V24" i="1"/>
  <c r="BA16" i="2"/>
  <c r="AV70" i="1"/>
  <c r="AQ147" i="1"/>
  <c r="AV69" i="1"/>
  <c r="AJ70" i="1"/>
  <c r="S181" i="1"/>
  <c r="AQ181" i="1"/>
  <c r="BH36" i="1"/>
  <c r="AJ68" i="1"/>
  <c r="AK50" i="1"/>
  <c r="BH70" i="1"/>
  <c r="AJ36" i="1"/>
  <c r="BH61" i="3"/>
  <c r="AT80" i="3"/>
  <c r="BK95" i="2"/>
  <c r="BQ79" i="3"/>
  <c r="BQ62" i="3"/>
  <c r="BH80" i="3"/>
  <c r="BK62" i="3"/>
  <c r="BK96" i="2"/>
  <c r="BQ61" i="3"/>
  <c r="BQ80" i="3"/>
  <c r="BB20" i="3"/>
  <c r="BB89" i="1" s="1"/>
  <c r="BB80" i="3"/>
  <c r="P137" i="3"/>
  <c r="Q136" i="3" s="1"/>
  <c r="AV62" i="3"/>
  <c r="AU54" i="3"/>
  <c r="AU115" i="3" s="1"/>
  <c r="AU103" i="3" s="1"/>
  <c r="AT20" i="3"/>
  <c r="AT89" i="1" s="1"/>
  <c r="AW37" i="3"/>
  <c r="BN62" i="3"/>
  <c r="BN79" i="3"/>
  <c r="AT62" i="3"/>
  <c r="AU80" i="3"/>
  <c r="AT79" i="3"/>
  <c r="AT61" i="3"/>
  <c r="BM61" i="3"/>
  <c r="AZ80" i="3"/>
  <c r="AT54" i="3"/>
  <c r="BN80" i="3"/>
  <c r="BN61" i="3"/>
  <c r="BI90" i="3"/>
  <c r="BU143" i="1"/>
  <c r="BU91" i="2" s="1"/>
  <c r="BQ63" i="2"/>
  <c r="BQ88" i="2"/>
  <c r="BQ91" i="2"/>
  <c r="BA38" i="2"/>
  <c r="K24" i="2"/>
  <c r="AP16" i="2"/>
  <c r="BF78" i="2"/>
  <c r="W13" i="2"/>
  <c r="G162" i="1"/>
  <c r="M162" i="1"/>
  <c r="S162" i="1"/>
  <c r="AE162" i="1"/>
  <c r="AK162" i="1"/>
  <c r="AQ162" i="1"/>
  <c r="AW162" i="1"/>
  <c r="X162" i="1"/>
  <c r="BK100" i="1"/>
  <c r="BK101" i="1" s="1"/>
  <c r="BK177" i="1"/>
  <c r="AY180" i="1"/>
  <c r="AY51" i="1"/>
  <c r="AY181" i="1"/>
  <c r="AZ15" i="1"/>
  <c r="BI181" i="1"/>
  <c r="G181" i="1"/>
  <c r="AE181" i="1"/>
  <c r="AK86" i="1"/>
  <c r="AK180" i="1"/>
  <c r="M182" i="1"/>
  <c r="Y182" i="1"/>
  <c r="AK182" i="1"/>
  <c r="AW182" i="1"/>
  <c r="BI182" i="1"/>
  <c r="BE171" i="1"/>
  <c r="BG171" i="1"/>
  <c r="M171" i="1"/>
  <c r="Y171" i="1"/>
  <c r="AK171" i="1"/>
  <c r="AW171" i="1"/>
  <c r="F177" i="1"/>
  <c r="J177" i="1"/>
  <c r="L177" i="1"/>
  <c r="AH177" i="1"/>
  <c r="AJ177" i="1"/>
  <c r="AP177" i="1"/>
  <c r="AT177" i="1"/>
  <c r="AV177" i="1"/>
  <c r="BB177" i="1"/>
  <c r="BF177" i="1"/>
  <c r="BH177" i="1"/>
  <c r="AN135" i="1"/>
  <c r="AD146" i="1"/>
  <c r="AD147" i="1" s="1"/>
  <c r="G170" i="1"/>
  <c r="S170" i="1"/>
  <c r="AE170" i="1"/>
  <c r="AQ170" i="1"/>
  <c r="BC170" i="1"/>
  <c r="AZ180" i="1"/>
  <c r="AZ51" i="1"/>
  <c r="AZ181" i="1"/>
  <c r="BI180" i="1"/>
  <c r="M181" i="1"/>
  <c r="Y181" i="1"/>
  <c r="AE180" i="1"/>
  <c r="AK181" i="1"/>
  <c r="AQ180" i="1"/>
  <c r="BC181" i="1"/>
  <c r="AV15" i="1"/>
  <c r="AV24" i="1" s="1"/>
  <c r="G182" i="1"/>
  <c r="S182" i="1"/>
  <c r="AE182" i="1"/>
  <c r="AQ182" i="1"/>
  <c r="BC182" i="1"/>
  <c r="AY69" i="1"/>
  <c r="BC34" i="1"/>
  <c r="BC171" i="1" s="1"/>
  <c r="BB171" i="1"/>
  <c r="BF171" i="1"/>
  <c r="BH171" i="1"/>
  <c r="G171" i="1"/>
  <c r="S171" i="1"/>
  <c r="AE171" i="1"/>
  <c r="AQ171" i="1"/>
  <c r="C100" i="1"/>
  <c r="D94" i="1" s="1"/>
  <c r="C177" i="1"/>
  <c r="E100" i="1"/>
  <c r="F94" i="1" s="1"/>
  <c r="E177" i="1"/>
  <c r="I100" i="1"/>
  <c r="J94" i="1" s="1"/>
  <c r="I177" i="1"/>
  <c r="K177" i="1"/>
  <c r="O177" i="1"/>
  <c r="Q177" i="1"/>
  <c r="U177" i="1"/>
  <c r="W177" i="1"/>
  <c r="AA177" i="1"/>
  <c r="AC177" i="1"/>
  <c r="AG177" i="1"/>
  <c r="AI177" i="1"/>
  <c r="AM177" i="1"/>
  <c r="AO177" i="1"/>
  <c r="AS177" i="1"/>
  <c r="AU177" i="1"/>
  <c r="AY177" i="1"/>
  <c r="BA177" i="1"/>
  <c r="M170" i="1"/>
  <c r="Y170" i="1"/>
  <c r="AK170" i="1"/>
  <c r="AW170" i="1"/>
  <c r="BI170" i="1"/>
  <c r="F70" i="1"/>
  <c r="AW50" i="1"/>
  <c r="AW51" i="1" s="1"/>
  <c r="R36" i="1"/>
  <c r="BB36" i="1"/>
  <c r="BB45" i="1" s="1"/>
  <c r="AT36" i="1"/>
  <c r="AA90" i="2"/>
  <c r="BQ81" i="3"/>
  <c r="BQ77" i="3"/>
  <c r="F78" i="4"/>
  <c r="G78" i="4"/>
  <c r="C78" i="4"/>
  <c r="AW12" i="4"/>
  <c r="D78" i="4"/>
  <c r="E78" i="4"/>
  <c r="AC39" i="4"/>
  <c r="AM59" i="4"/>
  <c r="AO63" i="4"/>
  <c r="E66" i="4"/>
  <c r="O66" i="4"/>
  <c r="O9" i="3" s="1"/>
  <c r="O15" i="3" s="1"/>
  <c r="AH55" i="4"/>
  <c r="AJ63" i="4"/>
  <c r="AB55" i="4"/>
  <c r="AD55" i="4"/>
  <c r="AN59" i="4"/>
  <c r="AP43" i="4"/>
  <c r="AS47" i="4"/>
  <c r="AU63" i="4"/>
  <c r="F66" i="4"/>
  <c r="F9" i="3" s="1"/>
  <c r="F15" i="3" s="1"/>
  <c r="F51" i="3" s="1"/>
  <c r="F99" i="3" s="1"/>
  <c r="P66" i="4"/>
  <c r="P84" i="4" s="1"/>
  <c r="AI51" i="4"/>
  <c r="BF98" i="2"/>
  <c r="M51" i="1"/>
  <c r="M52" i="1" s="1"/>
  <c r="BH52" i="4"/>
  <c r="BN52" i="4"/>
  <c r="BH56" i="4"/>
  <c r="BN56" i="4"/>
  <c r="BH69" i="1"/>
  <c r="J100" i="1"/>
  <c r="J101" i="1" s="1"/>
  <c r="AH100" i="1"/>
  <c r="AH101" i="1" s="1"/>
  <c r="AI101" i="2"/>
  <c r="K100" i="1"/>
  <c r="K101" i="1" s="1"/>
  <c r="AI70" i="1"/>
  <c r="K70" i="1"/>
  <c r="AT100" i="1"/>
  <c r="AU94" i="1" s="1"/>
  <c r="W69" i="1"/>
  <c r="BG69" i="1"/>
  <c r="BF100" i="1"/>
  <c r="BF101" i="1" s="1"/>
  <c r="AT97" i="4"/>
  <c r="AT104" i="4" s="1"/>
  <c r="AY95" i="4"/>
  <c r="BL94" i="1"/>
  <c r="G51" i="1"/>
  <c r="S51" i="1"/>
  <c r="AK51" i="1"/>
  <c r="BK71" i="1"/>
  <c r="BK68" i="1"/>
  <c r="BK69" i="1"/>
  <c r="BK70" i="1"/>
  <c r="Y51" i="1"/>
  <c r="BK95" i="1"/>
  <c r="BO95" i="1" s="1"/>
  <c r="K46" i="2"/>
  <c r="BG38" i="2"/>
  <c r="AT62" i="2"/>
  <c r="AC33" i="2"/>
  <c r="V114" i="1"/>
  <c r="V115" i="1" s="1"/>
  <c r="AC24" i="2"/>
  <c r="BA12" i="2"/>
  <c r="AC41" i="2"/>
  <c r="BK27" i="3"/>
  <c r="BK82" i="3" s="1"/>
  <c r="BK89" i="1"/>
  <c r="BW89" i="1" s="1"/>
  <c r="CC89" i="1" s="1"/>
  <c r="BK87" i="1"/>
  <c r="BW87" i="1" s="1"/>
  <c r="CC87" i="1" s="1"/>
  <c r="F89" i="1"/>
  <c r="W21" i="2"/>
  <c r="X21" i="2" s="1"/>
  <c r="BF62" i="2"/>
  <c r="BL63" i="2" s="1"/>
  <c r="AB80" i="2"/>
  <c r="E34" i="2"/>
  <c r="Q12" i="2"/>
  <c r="BG31" i="2"/>
  <c r="BN109" i="1"/>
  <c r="BN110" i="1" s="1"/>
  <c r="AP27" i="4"/>
  <c r="AV31" i="2"/>
  <c r="AW31" i="2" s="1"/>
  <c r="Q25" i="2"/>
  <c r="BI12" i="2"/>
  <c r="I27" i="2"/>
  <c r="AI13" i="2"/>
  <c r="AJ13" i="2" s="1"/>
  <c r="AU26" i="2"/>
  <c r="AV26" i="2" s="1"/>
  <c r="BA31" i="2"/>
  <c r="BA143" i="1" s="1"/>
  <c r="AJ12" i="2"/>
  <c r="AK12" i="2" s="1"/>
  <c r="Q9" i="2"/>
  <c r="BG11" i="2"/>
  <c r="BG98" i="2" s="1"/>
  <c r="BO143" i="1"/>
  <c r="BO90" i="2" s="1"/>
  <c r="AO25" i="2"/>
  <c r="W16" i="2"/>
  <c r="X16" i="2" s="1"/>
  <c r="E30" i="2"/>
  <c r="K38" i="2"/>
  <c r="L38" i="2" s="1"/>
  <c r="M38" i="2" s="1"/>
  <c r="BK89" i="2"/>
  <c r="BA33" i="2"/>
  <c r="AO20" i="2"/>
  <c r="I90" i="2"/>
  <c r="E15" i="2"/>
  <c r="AU25" i="2"/>
  <c r="AZ143" i="1"/>
  <c r="AZ90" i="2" s="1"/>
  <c r="F88" i="2"/>
  <c r="Y119" i="1"/>
  <c r="Y120" i="1" s="1"/>
  <c r="C121" i="1"/>
  <c r="BB139" i="1"/>
  <c r="AC36" i="1"/>
  <c r="AY98" i="1"/>
  <c r="BC98" i="1" s="1"/>
  <c r="BB70" i="1"/>
  <c r="AE50" i="1"/>
  <c r="P68" i="1"/>
  <c r="L52" i="1"/>
  <c r="AP100" i="1"/>
  <c r="AP101" i="1" s="1"/>
  <c r="R70" i="1"/>
  <c r="BN77" i="3"/>
  <c r="AV40" i="4"/>
  <c r="BB40" i="4"/>
  <c r="AE58" i="4"/>
  <c r="AK60" i="4" s="1"/>
  <c r="AW29" i="4"/>
  <c r="AK90" i="4"/>
  <c r="AE71" i="4"/>
  <c r="AW58" i="4"/>
  <c r="G71" i="4"/>
  <c r="G25" i="4"/>
  <c r="D35" i="2"/>
  <c r="BH16" i="3"/>
  <c r="BH52" i="3" s="1"/>
  <c r="BH121" i="3" s="1"/>
  <c r="AA69" i="1"/>
  <c r="BA45" i="1"/>
  <c r="O147" i="1"/>
  <c r="I52" i="1"/>
  <c r="AU100" i="1"/>
  <c r="AU101" i="1" s="1"/>
  <c r="AG24" i="1"/>
  <c r="BI86" i="1"/>
  <c r="S86" i="1"/>
  <c r="R151" i="1"/>
  <c r="O91" i="2"/>
  <c r="S157" i="1"/>
  <c r="BC157" i="1"/>
  <c r="AN35" i="2"/>
  <c r="G119" i="1"/>
  <c r="G121" i="1" s="1"/>
  <c r="BB68" i="1"/>
  <c r="AV20" i="2"/>
  <c r="AP43" i="2"/>
  <c r="AO97" i="1"/>
  <c r="AG90" i="2"/>
  <c r="AG89" i="2"/>
  <c r="E9" i="2"/>
  <c r="E11" i="2"/>
  <c r="F11" i="2" s="1"/>
  <c r="E13" i="2"/>
  <c r="F13" i="2" s="1"/>
  <c r="K9" i="2"/>
  <c r="K114" i="1" s="1"/>
  <c r="K15" i="2"/>
  <c r="Q11" i="2"/>
  <c r="P98" i="2"/>
  <c r="AB114" i="1"/>
  <c r="AB115" i="1" s="1"/>
  <c r="AC9" i="2"/>
  <c r="AC114" i="1" s="1"/>
  <c r="AB98" i="2"/>
  <c r="AC11" i="2"/>
  <c r="AC15" i="2"/>
  <c r="AD15" i="2" s="1"/>
  <c r="AO10" i="2"/>
  <c r="AU10" i="2"/>
  <c r="BG10" i="2"/>
  <c r="E26" i="2"/>
  <c r="F26" i="2" s="1"/>
  <c r="K26" i="2"/>
  <c r="R20" i="2"/>
  <c r="W26" i="2"/>
  <c r="X26" i="2" s="1"/>
  <c r="AC26" i="2"/>
  <c r="AD26" i="2" s="1"/>
  <c r="AI20" i="2"/>
  <c r="AI24" i="2"/>
  <c r="BA24" i="2"/>
  <c r="BB24" i="2" s="1"/>
  <c r="K34" i="2"/>
  <c r="V107" i="1"/>
  <c r="V110" i="1" s="1"/>
  <c r="AB143" i="1"/>
  <c r="AB89" i="2" s="1"/>
  <c r="AC31" i="2"/>
  <c r="AI30" i="2"/>
  <c r="AI32" i="2"/>
  <c r="AJ32" i="2" s="1"/>
  <c r="AU33" i="2"/>
  <c r="AV33" i="2" s="1"/>
  <c r="AZ107" i="1"/>
  <c r="AZ108" i="1" s="1"/>
  <c r="BA30" i="2"/>
  <c r="BG30" i="2"/>
  <c r="BG107" i="1" s="1"/>
  <c r="E40" i="2"/>
  <c r="J80" i="2"/>
  <c r="Q38" i="2"/>
  <c r="R38" i="2" s="1"/>
  <c r="P80" i="2"/>
  <c r="Q42" i="2"/>
  <c r="V80" i="2"/>
  <c r="W42" i="2"/>
  <c r="X42" i="2" s="1"/>
  <c r="BA40" i="2"/>
  <c r="BB40" i="2" s="1"/>
  <c r="BF80" i="2"/>
  <c r="AI43" i="2"/>
  <c r="AH62" i="2"/>
  <c r="AN62" i="2"/>
  <c r="AU41" i="2"/>
  <c r="W46" i="2"/>
  <c r="AV46" i="2"/>
  <c r="AO71" i="2"/>
  <c r="AP71" i="2" s="1"/>
  <c r="F31" i="2"/>
  <c r="X34" i="2"/>
  <c r="BH24" i="2"/>
  <c r="AI22" i="2"/>
  <c r="AJ22" i="2" s="1"/>
  <c r="AM89" i="2"/>
  <c r="AI46" i="2"/>
  <c r="W40" i="2"/>
  <c r="K42" i="2"/>
  <c r="AO32" i="2"/>
  <c r="K32" i="2"/>
  <c r="AC22" i="2"/>
  <c r="AD22" i="2" s="1"/>
  <c r="AI16" i="2"/>
  <c r="AJ16" i="2" s="1"/>
  <c r="AC13" i="2"/>
  <c r="AD13" i="2" s="1"/>
  <c r="K11" i="2"/>
  <c r="D98" i="2"/>
  <c r="BG40" i="2"/>
  <c r="BG80" i="2" s="1"/>
  <c r="W9" i="2"/>
  <c r="BB69" i="2"/>
  <c r="BC69" i="2" s="1"/>
  <c r="W38" i="2"/>
  <c r="AO34" i="2"/>
  <c r="W32" i="2"/>
  <c r="X32" i="2" s="1"/>
  <c r="Y32" i="2" s="1"/>
  <c r="Q33" i="2"/>
  <c r="R33" i="2" s="1"/>
  <c r="E33" i="2"/>
  <c r="AO41" i="2"/>
  <c r="BA8" i="2"/>
  <c r="BB8" i="2" s="1"/>
  <c r="AU14" i="2"/>
  <c r="AI8" i="2"/>
  <c r="AO8" i="2"/>
  <c r="J19" i="2"/>
  <c r="BA14" i="2"/>
  <c r="BB14" i="2" s="1"/>
  <c r="J98" i="2"/>
  <c r="AN97" i="1"/>
  <c r="AH107" i="1"/>
  <c r="AH108" i="1" s="1"/>
  <c r="J114" i="1"/>
  <c r="J115" i="1" s="1"/>
  <c r="D114" i="1"/>
  <c r="D116" i="1" s="1"/>
  <c r="C89" i="2"/>
  <c r="C90" i="2"/>
  <c r="J44" i="2"/>
  <c r="V44" i="2"/>
  <c r="K110" i="1"/>
  <c r="BL89" i="2"/>
  <c r="O90" i="2"/>
  <c r="C91" i="2"/>
  <c r="BE91" i="2"/>
  <c r="BF89" i="2"/>
  <c r="BF90" i="2"/>
  <c r="E10" i="2"/>
  <c r="E16" i="2"/>
  <c r="L14" i="2"/>
  <c r="W14" i="2"/>
  <c r="AI15" i="2"/>
  <c r="AO9" i="2"/>
  <c r="AO101" i="2" s="1"/>
  <c r="AT98" i="2"/>
  <c r="BA13" i="2"/>
  <c r="BA15" i="2"/>
  <c r="BG13" i="2"/>
  <c r="BH13" i="2" s="1"/>
  <c r="C27" i="2"/>
  <c r="E21" i="2"/>
  <c r="F21" i="2" s="1"/>
  <c r="L23" i="2"/>
  <c r="M23" i="2" s="1"/>
  <c r="Q21" i="2"/>
  <c r="Q23" i="2"/>
  <c r="R23" i="2" s="1"/>
  <c r="W23" i="2"/>
  <c r="AM27" i="2"/>
  <c r="AO21" i="2"/>
  <c r="AU21" i="2"/>
  <c r="AV21" i="2" s="1"/>
  <c r="BG25" i="2"/>
  <c r="E32" i="2"/>
  <c r="AC32" i="2"/>
  <c r="AC34" i="2"/>
  <c r="AI31" i="2"/>
  <c r="AI33" i="2"/>
  <c r="AO33" i="2"/>
  <c r="AT107" i="1"/>
  <c r="AT108" i="1" s="1"/>
  <c r="AU30" i="2"/>
  <c r="AV30" i="2" s="1"/>
  <c r="AT35" i="2"/>
  <c r="AU34" i="2"/>
  <c r="D97" i="1"/>
  <c r="E43" i="2"/>
  <c r="E97" i="1" s="1"/>
  <c r="K41" i="2"/>
  <c r="Q43" i="2"/>
  <c r="Q62" i="2" s="1"/>
  <c r="W43" i="2"/>
  <c r="V62" i="2"/>
  <c r="AZ62" i="2"/>
  <c r="AC42" i="2"/>
  <c r="AO40" i="2"/>
  <c r="AP40" i="2" s="1"/>
  <c r="AN84" i="2"/>
  <c r="AN85" i="2" s="1"/>
  <c r="AT80" i="2"/>
  <c r="AC46" i="2"/>
  <c r="BA46" i="2"/>
  <c r="BB46" i="2" s="1"/>
  <c r="AI69" i="2"/>
  <c r="AJ69" i="2" s="1"/>
  <c r="AJ78" i="2" s="1"/>
  <c r="AN78" i="2"/>
  <c r="AI71" i="2"/>
  <c r="AH77" i="2"/>
  <c r="AW74" i="2"/>
  <c r="BC74" i="2"/>
  <c r="AK16" i="2"/>
  <c r="AW17" i="2"/>
  <c r="AW15" i="2"/>
  <c r="AV98" i="2"/>
  <c r="AP25" i="2"/>
  <c r="E143" i="1"/>
  <c r="E91" i="2" s="1"/>
  <c r="AV32" i="2"/>
  <c r="AN80" i="2"/>
  <c r="K33" i="2"/>
  <c r="K21" i="2"/>
  <c r="E23" i="2"/>
  <c r="F23" i="2" s="1"/>
  <c r="BA9" i="2"/>
  <c r="BB9" i="2" s="1"/>
  <c r="Q16" i="2"/>
  <c r="AH78" i="2"/>
  <c r="BA34" i="2"/>
  <c r="W12" i="2"/>
  <c r="E12" i="2"/>
  <c r="F12" i="2" s="1"/>
  <c r="AO46" i="2"/>
  <c r="AP46" i="2" s="1"/>
  <c r="AT84" i="2"/>
  <c r="AT85" i="2" s="1"/>
  <c r="BG21" i="2"/>
  <c r="BH14" i="2"/>
  <c r="BI14" i="2" s="1"/>
  <c r="AS27" i="2"/>
  <c r="AS54" i="2" s="1"/>
  <c r="AS55" i="2" s="1"/>
  <c r="AZ97" i="1"/>
  <c r="V97" i="1"/>
  <c r="BG69" i="2"/>
  <c r="BM78" i="2" s="1"/>
  <c r="Q14" i="2"/>
  <c r="R14" i="2" s="1"/>
  <c r="Q8" i="2"/>
  <c r="F132" i="3"/>
  <c r="BC94" i="4"/>
  <c r="BK56" i="4"/>
  <c r="Y29" i="4"/>
  <c r="AS97" i="4"/>
  <c r="AS104" i="4" s="1"/>
  <c r="AS98" i="4" s="1"/>
  <c r="AD73" i="4"/>
  <c r="BB60" i="4"/>
  <c r="F10" i="3"/>
  <c r="F16" i="3" s="1"/>
  <c r="AD10" i="3"/>
  <c r="AD16" i="3" s="1"/>
  <c r="AD52" i="3" s="1"/>
  <c r="AD100" i="3" s="1"/>
  <c r="AB30" i="4"/>
  <c r="AB26" i="4"/>
  <c r="AS18" i="4"/>
  <c r="AS26" i="4"/>
  <c r="AS8" i="4"/>
  <c r="AS13" i="4"/>
  <c r="AV10" i="3"/>
  <c r="AV16" i="3" s="1"/>
  <c r="BC85" i="4"/>
  <c r="L10" i="3"/>
  <c r="L16" i="3" s="1"/>
  <c r="AS19" i="4"/>
  <c r="X79" i="4"/>
  <c r="AH96" i="3"/>
  <c r="Y8" i="3"/>
  <c r="AG57" i="3"/>
  <c r="AN55" i="4"/>
  <c r="X31" i="2"/>
  <c r="L30" i="2"/>
  <c r="AU114" i="1"/>
  <c r="AU115" i="1" s="1"/>
  <c r="AU62" i="2"/>
  <c r="AD9" i="2"/>
  <c r="AE9" i="2" s="1"/>
  <c r="E98" i="2"/>
  <c r="BO21" i="1"/>
  <c r="AP17" i="2"/>
  <c r="L24" i="2"/>
  <c r="F34" i="2"/>
  <c r="G34" i="2" s="1"/>
  <c r="AU98" i="2"/>
  <c r="AI114" i="1"/>
  <c r="AI115" i="1" s="1"/>
  <c r="R46" i="2"/>
  <c r="E14" i="2"/>
  <c r="L8" i="2"/>
  <c r="AC12" i="2"/>
  <c r="AC10" i="2"/>
  <c r="AC16" i="2"/>
  <c r="P116" i="1"/>
  <c r="C116" i="1"/>
  <c r="AH72" i="2"/>
  <c r="AI68" i="2" s="1"/>
  <c r="BF91" i="2"/>
  <c r="AT44" i="2"/>
  <c r="J101" i="2"/>
  <c r="Q36" i="1"/>
  <c r="W70" i="1"/>
  <c r="W36" i="1"/>
  <c r="AC69" i="1"/>
  <c r="AA36" i="1"/>
  <c r="AG71" i="1"/>
  <c r="AG70" i="1"/>
  <c r="BS88" i="2"/>
  <c r="P88" i="2"/>
  <c r="AY147" i="1"/>
  <c r="Y147" i="1"/>
  <c r="U52" i="1"/>
  <c r="AM100" i="1"/>
  <c r="AI100" i="1"/>
  <c r="AA100" i="1"/>
  <c r="AB94" i="1" s="1"/>
  <c r="AI36" i="1"/>
  <c r="AQ134" i="1"/>
  <c r="BH45" i="1"/>
  <c r="BH65" i="1" s="1"/>
  <c r="AI68" i="1"/>
  <c r="W100" i="1"/>
  <c r="X94" i="1" s="1"/>
  <c r="AC100" i="1"/>
  <c r="AC101" i="1" s="1"/>
  <c r="BA100" i="1"/>
  <c r="BB94" i="1" s="1"/>
  <c r="AS100" i="1"/>
  <c r="AT94" i="1" s="1"/>
  <c r="C68" i="1"/>
  <c r="O68" i="1"/>
  <c r="BL91" i="2"/>
  <c r="D70" i="1"/>
  <c r="AG36" i="1"/>
  <c r="AN36" i="1"/>
  <c r="AG88" i="2"/>
  <c r="E120" i="1"/>
  <c r="S44" i="1"/>
  <c r="AG98" i="1"/>
  <c r="AK98" i="1" s="1"/>
  <c r="AZ36" i="1"/>
  <c r="AG100" i="1"/>
  <c r="BE71" i="1"/>
  <c r="AZ115" i="1"/>
  <c r="D69" i="1"/>
  <c r="AG69" i="1"/>
  <c r="AS70" i="1"/>
  <c r="U88" i="2"/>
  <c r="BC31" i="1"/>
  <c r="BC69" i="1" s="1"/>
  <c r="M98" i="1"/>
  <c r="Q100" i="1"/>
  <c r="AO100" i="1"/>
  <c r="AP94" i="1" s="1"/>
  <c r="U100" i="1"/>
  <c r="V94" i="1" s="1"/>
  <c r="J71" i="1"/>
  <c r="W52" i="1"/>
  <c r="BI50" i="1"/>
  <c r="O52" i="1"/>
  <c r="E101" i="1"/>
  <c r="I68" i="1"/>
  <c r="R68" i="1"/>
  <c r="AD52" i="1"/>
  <c r="E70" i="1"/>
  <c r="BA68" i="1"/>
  <c r="R24" i="1"/>
  <c r="P70" i="1"/>
  <c r="P24" i="1"/>
  <c r="AV45" i="1"/>
  <c r="AV53" i="1" s="1"/>
  <c r="C147" i="1"/>
  <c r="AH71" i="1"/>
  <c r="G86" i="1"/>
  <c r="AJ88" i="2"/>
  <c r="D36" i="1"/>
  <c r="AA71" i="1"/>
  <c r="P69" i="1"/>
  <c r="AG68" i="1"/>
  <c r="K52" i="1"/>
  <c r="AC151" i="1"/>
  <c r="BC50" i="1"/>
  <c r="V123" i="3"/>
  <c r="U115" i="3"/>
  <c r="U103" i="3" s="1"/>
  <c r="X59" i="3"/>
  <c r="V49" i="3"/>
  <c r="O115" i="3"/>
  <c r="O103" i="3" s="1"/>
  <c r="X88" i="1"/>
  <c r="BI6" i="2"/>
  <c r="BI5" i="4" s="1"/>
  <c r="P115" i="3"/>
  <c r="P103" i="3" s="1"/>
  <c r="G96" i="2"/>
  <c r="V114" i="3"/>
  <c r="V102" i="3" s="1"/>
  <c r="AI49" i="3"/>
  <c r="P133" i="3"/>
  <c r="AP133" i="3"/>
  <c r="AO55" i="4"/>
  <c r="AD72" i="3"/>
  <c r="J123" i="3"/>
  <c r="F114" i="3"/>
  <c r="F102" i="3" s="1"/>
  <c r="BA14" i="3"/>
  <c r="BA50" i="3" s="1"/>
  <c r="BA98" i="3" s="1"/>
  <c r="I81" i="3"/>
  <c r="BK27" i="2"/>
  <c r="BK81" i="1" s="1"/>
  <c r="M20" i="2"/>
  <c r="W107" i="1"/>
  <c r="AQ16" i="2"/>
  <c r="AP84" i="2"/>
  <c r="AP85" i="2" s="1"/>
  <c r="AC17" i="2"/>
  <c r="AU80" i="2"/>
  <c r="AV40" i="2"/>
  <c r="AQ42" i="2"/>
  <c r="V98" i="2"/>
  <c r="K43" i="2"/>
  <c r="J97" i="1"/>
  <c r="BG32" i="2"/>
  <c r="BH32" i="2" s="1"/>
  <c r="W97" i="1"/>
  <c r="AV43" i="2"/>
  <c r="AV62" i="2" s="1"/>
  <c r="AJ9" i="2"/>
  <c r="AW11" i="2"/>
  <c r="BI13" i="2"/>
  <c r="BA23" i="2"/>
  <c r="AC23" i="2"/>
  <c r="BF35" i="2"/>
  <c r="U89" i="2"/>
  <c r="AS89" i="2"/>
  <c r="AB84" i="2"/>
  <c r="AB85" i="2" s="1"/>
  <c r="BG43" i="2"/>
  <c r="BA41" i="2"/>
  <c r="AW38" i="2"/>
  <c r="P44" i="2"/>
  <c r="AI23" i="2"/>
  <c r="AV16" i="2"/>
  <c r="W17" i="2"/>
  <c r="W15" i="2"/>
  <c r="W11" i="2"/>
  <c r="X11" i="2" s="1"/>
  <c r="Q13" i="2"/>
  <c r="K17" i="2"/>
  <c r="L17" i="2" s="1"/>
  <c r="AZ44" i="2"/>
  <c r="Q41" i="2"/>
  <c r="BG41" i="2"/>
  <c r="BH41" i="2" s="1"/>
  <c r="P62" i="2"/>
  <c r="E41" i="2"/>
  <c r="Q15" i="2"/>
  <c r="R15" i="2" s="1"/>
  <c r="P97" i="1"/>
  <c r="BG143" i="1"/>
  <c r="BG89" i="2" s="1"/>
  <c r="AC40" i="2"/>
  <c r="AD41" i="2"/>
  <c r="BF97" i="1"/>
  <c r="BS89" i="2"/>
  <c r="BS139" i="1"/>
  <c r="E8" i="2"/>
  <c r="K16" i="2"/>
  <c r="AH114" i="1"/>
  <c r="AH115" i="1" s="1"/>
  <c r="AH101" i="2"/>
  <c r="AI11" i="2"/>
  <c r="AI17" i="2"/>
  <c r="AT19" i="2"/>
  <c r="AT27" i="2" s="1"/>
  <c r="BA22" i="2"/>
  <c r="BG26" i="2"/>
  <c r="D143" i="1"/>
  <c r="J107" i="1"/>
  <c r="AT143" i="1"/>
  <c r="AT91" i="2" s="1"/>
  <c r="BA42" i="2"/>
  <c r="BG42" i="2"/>
  <c r="BF84" i="2"/>
  <c r="BF85" i="2" s="1"/>
  <c r="BL86" i="2" s="1"/>
  <c r="AI41" i="2"/>
  <c r="AI44" i="2" s="1"/>
  <c r="AT97" i="1"/>
  <c r="BG46" i="2"/>
  <c r="BG70" i="2"/>
  <c r="BH70" i="2" s="1"/>
  <c r="BI70" i="2" s="1"/>
  <c r="BF44" i="2"/>
  <c r="AH44" i="2"/>
  <c r="AD72" i="2"/>
  <c r="AG86" i="2"/>
  <c r="P71" i="1"/>
  <c r="BC64" i="4"/>
  <c r="AA79" i="4"/>
  <c r="AZ6" i="3"/>
  <c r="AE88" i="1"/>
  <c r="AT114" i="3"/>
  <c r="AT102" i="3" s="1"/>
  <c r="BS14" i="4"/>
  <c r="BS90" i="2"/>
  <c r="AY89" i="2"/>
  <c r="AS139" i="1"/>
  <c r="BE89" i="2"/>
  <c r="BS124" i="1"/>
  <c r="AH89" i="2"/>
  <c r="BK91" i="2"/>
  <c r="BI54" i="4"/>
  <c r="BI56" i="4" s="1"/>
  <c r="BF52" i="4"/>
  <c r="BC86" i="4"/>
  <c r="AA18" i="4"/>
  <c r="AB104" i="4"/>
  <c r="AB105" i="4" s="1"/>
  <c r="AS66" i="4"/>
  <c r="AS9" i="3" s="1"/>
  <c r="AS30" i="4"/>
  <c r="U17" i="4"/>
  <c r="AA19" i="4" s="1"/>
  <c r="V18" i="4"/>
  <c r="BY14" i="4"/>
  <c r="BE52" i="4"/>
  <c r="BG33" i="2"/>
  <c r="AO84" i="2"/>
  <c r="AO85" i="2" s="1"/>
  <c r="AU86" i="2" s="1"/>
  <c r="AY27" i="2"/>
  <c r="AV70" i="2"/>
  <c r="AW70" i="2" s="1"/>
  <c r="Q80" i="2"/>
  <c r="AU143" i="1"/>
  <c r="AU144" i="1" s="1"/>
  <c r="AU145" i="1" s="1"/>
  <c r="AU90" i="2" s="1"/>
  <c r="AJ71" i="2"/>
  <c r="AK71" i="2" s="1"/>
  <c r="AK77" i="2" s="1"/>
  <c r="AV71" i="2"/>
  <c r="AW71" i="2" s="1"/>
  <c r="L11" i="2"/>
  <c r="L98" i="2" s="1"/>
  <c r="AN110" i="1"/>
  <c r="E38" i="2"/>
  <c r="F38" i="2" s="1"/>
  <c r="G38" i="2" s="1"/>
  <c r="AQ74" i="2"/>
  <c r="P101" i="2"/>
  <c r="AB101" i="2"/>
  <c r="AN101" i="2"/>
  <c r="AC101" i="2"/>
  <c r="F68" i="1"/>
  <c r="AK39" i="2"/>
  <c r="BG52" i="1"/>
  <c r="AQ86" i="1"/>
  <c r="AM24" i="1"/>
  <c r="AE86" i="1"/>
  <c r="G44" i="1"/>
  <c r="AS149" i="1"/>
  <c r="AS151" i="1" s="1"/>
  <c r="AQ15" i="1"/>
  <c r="AQ24" i="1" s="1"/>
  <c r="AJ24" i="1"/>
  <c r="AN68" i="1"/>
  <c r="AN71" i="1"/>
  <c r="AT24" i="1"/>
  <c r="BF24" i="1"/>
  <c r="BK36" i="1"/>
  <c r="AA101" i="1"/>
  <c r="AC68" i="1"/>
  <c r="AE44" i="1"/>
  <c r="AE177" i="1" s="1"/>
  <c r="AM69" i="1"/>
  <c r="AN24" i="1"/>
  <c r="Y31" i="1"/>
  <c r="J68" i="1"/>
  <c r="O98" i="1"/>
  <c r="S98" i="1" s="1"/>
  <c r="AM98" i="1"/>
  <c r="AQ98" i="1" s="1"/>
  <c r="D100" i="1"/>
  <c r="X100" i="1"/>
  <c r="X101" i="1" s="1"/>
  <c r="AD100" i="1"/>
  <c r="AD101" i="1" s="1"/>
  <c r="AZ100" i="1"/>
  <c r="F52" i="1"/>
  <c r="V52" i="1"/>
  <c r="AV88" i="2"/>
  <c r="AV147" i="1"/>
  <c r="BC147" i="1"/>
  <c r="BC88" i="2"/>
  <c r="K69" i="1"/>
  <c r="K36" i="1"/>
  <c r="O36" i="1"/>
  <c r="U69" i="1"/>
  <c r="U36" i="1"/>
  <c r="U70" i="1"/>
  <c r="AI69" i="1"/>
  <c r="AU69" i="1"/>
  <c r="AU36" i="1"/>
  <c r="M44" i="1"/>
  <c r="D121" i="1"/>
  <c r="D120" i="1"/>
  <c r="AK123" i="1"/>
  <c r="AK130" i="1" s="1"/>
  <c r="AG123" i="1"/>
  <c r="AG124" i="1" s="1"/>
  <c r="AP102" i="2"/>
  <c r="AP130" i="1"/>
  <c r="BI98" i="1"/>
  <c r="W151" i="1"/>
  <c r="AB151" i="1"/>
  <c r="AJ139" i="1"/>
  <c r="AP139" i="1"/>
  <c r="BF139" i="1"/>
  <c r="Y39" i="2"/>
  <c r="BN14" i="4"/>
  <c r="BR14" i="4"/>
  <c r="AQ27" i="4"/>
  <c r="AB35" i="4"/>
  <c r="AV94" i="4"/>
  <c r="BB95" i="4" s="1"/>
  <c r="Y71" i="4"/>
  <c r="AW64" i="4"/>
  <c r="AB19" i="4"/>
  <c r="AW71" i="4"/>
  <c r="AV27" i="4"/>
  <c r="AD17" i="4"/>
  <c r="AD33" i="4" s="1"/>
  <c r="Y6" i="2"/>
  <c r="Y5" i="4" s="1"/>
  <c r="BK94" i="2"/>
  <c r="AO133" i="3"/>
  <c r="AA133" i="3"/>
  <c r="AV49" i="3"/>
  <c r="AG89" i="1"/>
  <c r="AM75" i="1"/>
  <c r="AA91" i="2"/>
  <c r="G147" i="1"/>
  <c r="BY109" i="1"/>
  <c r="AY91" i="2"/>
  <c r="AN88" i="2"/>
  <c r="AH91" i="2"/>
  <c r="BT88" i="2"/>
  <c r="AM91" i="2"/>
  <c r="AK147" i="1"/>
  <c r="AH147" i="1"/>
  <c r="AM147" i="1"/>
  <c r="AA147" i="1"/>
  <c r="S147" i="1"/>
  <c r="AQ129" i="1"/>
  <c r="AQ102" i="2" s="1"/>
  <c r="BT91" i="2"/>
  <c r="Y157" i="1"/>
  <c r="AQ50" i="1"/>
  <c r="O100" i="1"/>
  <c r="O101" i="1" s="1"/>
  <c r="BB100" i="1"/>
  <c r="BB101" i="1" s="1"/>
  <c r="G95" i="1"/>
  <c r="AK157" i="1"/>
  <c r="AP131" i="1"/>
  <c r="BH131" i="1"/>
  <c r="AE140" i="1"/>
  <c r="AI88" i="2"/>
  <c r="D151" i="1"/>
  <c r="L151" i="1"/>
  <c r="P151" i="1"/>
  <c r="AI52" i="1"/>
  <c r="AB52" i="1"/>
  <c r="AZ68" i="1"/>
  <c r="AZ71" i="1"/>
  <c r="AW15" i="1"/>
  <c r="M86" i="1"/>
  <c r="S15" i="1"/>
  <c r="AM149" i="1"/>
  <c r="AM151" i="1" s="1"/>
  <c r="BC86" i="1"/>
  <c r="C71" i="1"/>
  <c r="E71" i="1"/>
  <c r="E24" i="1"/>
  <c r="I24" i="1"/>
  <c r="K68" i="1"/>
  <c r="K24" i="1"/>
  <c r="Q68" i="1"/>
  <c r="Q71" i="1"/>
  <c r="U71" i="1"/>
  <c r="U68" i="1"/>
  <c r="AD24" i="1"/>
  <c r="AO24" i="1"/>
  <c r="AV71" i="1"/>
  <c r="AV68" i="1"/>
  <c r="BB71" i="1"/>
  <c r="AE134" i="1"/>
  <c r="AE135" i="1" s="1"/>
  <c r="M31" i="1"/>
  <c r="M36" i="1" s="1"/>
  <c r="BK157" i="1"/>
  <c r="I71" i="1"/>
  <c r="U24" i="1"/>
  <c r="AK134" i="1"/>
  <c r="AZ94" i="1"/>
  <c r="AZ24" i="1"/>
  <c r="O24" i="1"/>
  <c r="E68" i="1"/>
  <c r="C101" i="1"/>
  <c r="C24" i="1"/>
  <c r="BE68" i="1"/>
  <c r="K71" i="1"/>
  <c r="AK149" i="1"/>
  <c r="AK15" i="1"/>
  <c r="S31" i="1"/>
  <c r="S36" i="1" s="1"/>
  <c r="AK31" i="1"/>
  <c r="C70" i="1"/>
  <c r="C36" i="1"/>
  <c r="C45" i="1" s="1"/>
  <c r="E69" i="1"/>
  <c r="E36" i="1"/>
  <c r="I69" i="1"/>
  <c r="I70" i="1"/>
  <c r="Q70" i="1"/>
  <c r="Q69" i="1"/>
  <c r="V71" i="1"/>
  <c r="V69" i="1"/>
  <c r="V36" i="1"/>
  <c r="V68" i="1"/>
  <c r="X70" i="1"/>
  <c r="AD70" i="1"/>
  <c r="AD36" i="1"/>
  <c r="AN70" i="1"/>
  <c r="AP70" i="1"/>
  <c r="AP69" i="1"/>
  <c r="AP36" i="1"/>
  <c r="AT70" i="1"/>
  <c r="AT69" i="1"/>
  <c r="AY36" i="1"/>
  <c r="AY70" i="1"/>
  <c r="BE36" i="1"/>
  <c r="U98" i="1"/>
  <c r="Y98" i="1" s="1"/>
  <c r="AG95" i="1"/>
  <c r="AK95" i="1" s="1"/>
  <c r="AM95" i="1"/>
  <c r="AQ95" i="1" s="1"/>
  <c r="AS98" i="1"/>
  <c r="AW98" i="1" s="1"/>
  <c r="I45" i="1"/>
  <c r="I65" i="1" s="1"/>
  <c r="P100" i="1"/>
  <c r="P101" i="1" s="1"/>
  <c r="P45" i="1"/>
  <c r="R100" i="1"/>
  <c r="R101" i="1" s="1"/>
  <c r="AB100" i="1"/>
  <c r="AN100" i="1"/>
  <c r="AJ52" i="1"/>
  <c r="AP52" i="1"/>
  <c r="F121" i="1"/>
  <c r="F120" i="1"/>
  <c r="I147" i="1"/>
  <c r="I88" i="2"/>
  <c r="R147" i="1"/>
  <c r="R88" i="2"/>
  <c r="W147" i="1"/>
  <c r="W88" i="2"/>
  <c r="AO88" i="2"/>
  <c r="AO147" i="1"/>
  <c r="AT88" i="2"/>
  <c r="AT147" i="1"/>
  <c r="BI88" i="2"/>
  <c r="BI147" i="1"/>
  <c r="BR88" i="2"/>
  <c r="BX147" i="1"/>
  <c r="BX88" i="2"/>
  <c r="BG139" i="1"/>
  <c r="BC149" i="1"/>
  <c r="L68" i="1"/>
  <c r="AP68" i="1"/>
  <c r="BA52" i="1"/>
  <c r="AU124" i="1"/>
  <c r="AU130" i="1"/>
  <c r="AZ130" i="1"/>
  <c r="AZ124" i="1"/>
  <c r="BI129" i="1"/>
  <c r="BI102" i="2" s="1"/>
  <c r="BH102" i="2"/>
  <c r="L147" i="1"/>
  <c r="L88" i="2"/>
  <c r="Q147" i="1"/>
  <c r="Q88" i="2"/>
  <c r="V147" i="1"/>
  <c r="V88" i="2"/>
  <c r="AS88" i="2"/>
  <c r="AS147" i="1"/>
  <c r="BF88" i="2"/>
  <c r="BF147" i="1"/>
  <c r="BN88" i="2"/>
  <c r="BN147" i="1"/>
  <c r="U91" i="2"/>
  <c r="BE109" i="1"/>
  <c r="AW157" i="1"/>
  <c r="BK24" i="1"/>
  <c r="AK88" i="4"/>
  <c r="AK92" i="4"/>
  <c r="BL88" i="2"/>
  <c r="BL109" i="1"/>
  <c r="BL110" i="1" s="1"/>
  <c r="AT45" i="1"/>
  <c r="AI71" i="1"/>
  <c r="AI24" i="1"/>
  <c r="AV94" i="1"/>
  <c r="AB45" i="1"/>
  <c r="AG52" i="1"/>
  <c r="AP24" i="1"/>
  <c r="AA68" i="1"/>
  <c r="O95" i="1"/>
  <c r="S95" i="1" s="1"/>
  <c r="G15" i="1"/>
  <c r="G24" i="1" s="1"/>
  <c r="O149" i="1"/>
  <c r="Y86" i="1"/>
  <c r="AA149" i="1"/>
  <c r="AA151" i="1" s="1"/>
  <c r="Y15" i="1"/>
  <c r="Y24" i="1" s="1"/>
  <c r="M15" i="1"/>
  <c r="AE15" i="1"/>
  <c r="AG149" i="1"/>
  <c r="AP71" i="1"/>
  <c r="F71" i="1"/>
  <c r="AT68" i="1"/>
  <c r="G31" i="1"/>
  <c r="G69" i="1" s="1"/>
  <c r="BI31" i="1"/>
  <c r="O71" i="1"/>
  <c r="AA95" i="1"/>
  <c r="AE95" i="1" s="1"/>
  <c r="J147" i="1"/>
  <c r="J88" i="2"/>
  <c r="BA147" i="1"/>
  <c r="BZ147" i="1"/>
  <c r="Y44" i="1"/>
  <c r="Y177" i="1" s="1"/>
  <c r="D88" i="2"/>
  <c r="D147" i="1"/>
  <c r="AB147" i="1"/>
  <c r="AB88" i="2"/>
  <c r="AN151" i="1"/>
  <c r="BB151" i="1"/>
  <c r="BI157" i="1"/>
  <c r="BK158" i="1" s="1"/>
  <c r="I91" i="2"/>
  <c r="AT151" i="1"/>
  <c r="AV151" i="1"/>
  <c r="BA151" i="1"/>
  <c r="BF151" i="1"/>
  <c r="BH151" i="1"/>
  <c r="AQ157" i="1"/>
  <c r="BC39" i="2"/>
  <c r="M39" i="2"/>
  <c r="X110" i="1"/>
  <c r="AW9" i="2"/>
  <c r="AW101" i="2" s="1"/>
  <c r="AV114" i="1"/>
  <c r="S40" i="2"/>
  <c r="S80" i="2" s="1"/>
  <c r="G46" i="2"/>
  <c r="Y30" i="2"/>
  <c r="C108" i="1"/>
  <c r="AO14" i="2"/>
  <c r="AN44" i="2"/>
  <c r="AD78" i="2"/>
  <c r="AK74" i="2"/>
  <c r="D101" i="2"/>
  <c r="AU101" i="2"/>
  <c r="P115" i="1"/>
  <c r="AY86" i="2"/>
  <c r="Q101" i="2"/>
  <c r="V101" i="2"/>
  <c r="AT101" i="2"/>
  <c r="AZ101" i="2"/>
  <c r="AV9" i="4"/>
  <c r="X108" i="1"/>
  <c r="AT123" i="3"/>
  <c r="V132" i="3"/>
  <c r="L114" i="3"/>
  <c r="L102" i="3" s="1"/>
  <c r="AD59" i="3"/>
  <c r="X54" i="3"/>
  <c r="X72" i="3"/>
  <c r="V96" i="3"/>
  <c r="J132" i="3"/>
  <c r="AP115" i="3"/>
  <c r="AP103" i="3" s="1"/>
  <c r="AS124" i="3"/>
  <c r="I89" i="1"/>
  <c r="AI94" i="2"/>
  <c r="AI97" i="2" s="1"/>
  <c r="X91" i="1"/>
  <c r="X75" i="4"/>
  <c r="X90" i="1"/>
  <c r="CA6" i="2"/>
  <c r="CA5" i="4" s="1"/>
  <c r="S80" i="3"/>
  <c r="W81" i="3"/>
  <c r="W115" i="3"/>
  <c r="W103" i="3" s="1"/>
  <c r="W133" i="3"/>
  <c r="U123" i="3"/>
  <c r="D124" i="3"/>
  <c r="BF77" i="3"/>
  <c r="U56" i="3"/>
  <c r="AG81" i="3"/>
  <c r="Q96" i="3"/>
  <c r="L81" i="3"/>
  <c r="AA56" i="3"/>
  <c r="AW88" i="1"/>
  <c r="AV6" i="1"/>
  <c r="AA114" i="3"/>
  <c r="AA102" i="3" s="1"/>
  <c r="AA89" i="1"/>
  <c r="AU132" i="3"/>
  <c r="AO124" i="3"/>
  <c r="AB124" i="3"/>
  <c r="G75" i="4"/>
  <c r="E12" i="10"/>
  <c r="AW6" i="1"/>
  <c r="V81" i="3"/>
  <c r="O123" i="3"/>
  <c r="AG133" i="3"/>
  <c r="AD115" i="3"/>
  <c r="AD103" i="3" s="1"/>
  <c r="AY94" i="2"/>
  <c r="AY97" i="2" s="1"/>
  <c r="AY99" i="2" s="1"/>
  <c r="AV94" i="2"/>
  <c r="J133" i="3"/>
  <c r="AV139" i="3"/>
  <c r="C124" i="3"/>
  <c r="D115" i="3"/>
  <c r="D103" i="3" s="1"/>
  <c r="AS133" i="3"/>
  <c r="S90" i="1"/>
  <c r="D75" i="1"/>
  <c r="I138" i="3"/>
  <c r="W124" i="3"/>
  <c r="D133" i="3"/>
  <c r="V115" i="3"/>
  <c r="V103" i="3" s="1"/>
  <c r="AS115" i="3"/>
  <c r="AS103" i="3" s="1"/>
  <c r="BO84" i="2"/>
  <c r="BS91" i="2"/>
  <c r="BS109" i="1"/>
  <c r="Y31" i="3"/>
  <c r="AV115" i="3"/>
  <c r="AV103" i="3" s="1"/>
  <c r="AY77" i="3"/>
  <c r="G6" i="1"/>
  <c r="AE6" i="2"/>
  <c r="AE5" i="4" s="1"/>
  <c r="AP14" i="3"/>
  <c r="AP50" i="3" s="1"/>
  <c r="AG94" i="2"/>
  <c r="AG97" i="2" s="1"/>
  <c r="AG99" i="2" s="1"/>
  <c r="AI115" i="3"/>
  <c r="AI103" i="3" s="1"/>
  <c r="I87" i="1"/>
  <c r="AP94" i="2"/>
  <c r="AP97" i="2" s="1"/>
  <c r="AC138" i="3"/>
  <c r="AP138" i="3"/>
  <c r="AV133" i="3"/>
  <c r="AP132" i="3"/>
  <c r="AH89" i="1"/>
  <c r="AO49" i="3"/>
  <c r="AO14" i="3"/>
  <c r="AO75" i="1"/>
  <c r="AB139" i="3"/>
  <c r="AB138" i="3" s="1"/>
  <c r="D62" i="2"/>
  <c r="AP114" i="3"/>
  <c r="AP102" i="3" s="1"/>
  <c r="AV53" i="3"/>
  <c r="AV123" i="3" s="1"/>
  <c r="AU62" i="3"/>
  <c r="S61" i="3"/>
  <c r="AO53" i="3"/>
  <c r="AO123" i="3" s="1"/>
  <c r="AW18" i="3"/>
  <c r="AO33" i="3"/>
  <c r="S29" i="3"/>
  <c r="S150" i="1" s="1"/>
  <c r="AZ62" i="3"/>
  <c r="AV14" i="3"/>
  <c r="P87" i="1"/>
  <c r="J14" i="3"/>
  <c r="J24" i="3" s="1"/>
  <c r="J49" i="3"/>
  <c r="AU11" i="3"/>
  <c r="AU49" i="3" s="1"/>
  <c r="J33" i="3"/>
  <c r="E137" i="3"/>
  <c r="F136" i="3" s="1"/>
  <c r="J137" i="3"/>
  <c r="K136" i="3" s="1"/>
  <c r="O137" i="3"/>
  <c r="P136" i="3" s="1"/>
  <c r="J75" i="1"/>
  <c r="AP123" i="3"/>
  <c r="AI124" i="3"/>
  <c r="AV79" i="3"/>
  <c r="AK79" i="3"/>
  <c r="BG80" i="3"/>
  <c r="M29" i="3"/>
  <c r="M33" i="3" s="1"/>
  <c r="AO62" i="3"/>
  <c r="AE29" i="3"/>
  <c r="AE150" i="1" s="1"/>
  <c r="BC18" i="3"/>
  <c r="AZ53" i="3"/>
  <c r="AZ56" i="3" s="1"/>
  <c r="BA115" i="3"/>
  <c r="BA103" i="3" s="1"/>
  <c r="G91" i="1"/>
  <c r="M96" i="2"/>
  <c r="AZ49" i="3"/>
  <c r="J94" i="2"/>
  <c r="J97" i="2" s="1"/>
  <c r="S59" i="3"/>
  <c r="J76" i="1"/>
  <c r="AI114" i="3"/>
  <c r="AI102" i="3" s="1"/>
  <c r="AI133" i="3"/>
  <c r="BB79" i="3"/>
  <c r="AO79" i="3"/>
  <c r="AN121" i="3"/>
  <c r="AA33" i="3"/>
  <c r="AZ79" i="3"/>
  <c r="BF79" i="3"/>
  <c r="S88" i="1"/>
  <c r="AV33" i="3"/>
  <c r="AW90" i="3"/>
  <c r="S20" i="3"/>
  <c r="S87" i="1" s="1"/>
  <c r="AO82" i="3"/>
  <c r="BA87" i="1"/>
  <c r="BA64" i="3"/>
  <c r="AS64" i="3"/>
  <c r="AS82" i="3"/>
  <c r="G29" i="3"/>
  <c r="G33" i="3" s="1"/>
  <c r="BA53" i="3"/>
  <c r="BA123" i="3" s="1"/>
  <c r="E150" i="1"/>
  <c r="E151" i="1" s="1"/>
  <c r="J150" i="1"/>
  <c r="J151" i="1" s="1"/>
  <c r="I62" i="2"/>
  <c r="BA96" i="2"/>
  <c r="O81" i="3"/>
  <c r="AS81" i="3"/>
  <c r="AM82" i="3"/>
  <c r="AY82" i="3"/>
  <c r="AY64" i="3"/>
  <c r="G43" i="3"/>
  <c r="AV61" i="3"/>
  <c r="BC90" i="3"/>
  <c r="V150" i="1"/>
  <c r="V151" i="1" s="1"/>
  <c r="AD150" i="1"/>
  <c r="AD151" i="1" s="1"/>
  <c r="AT96" i="2"/>
  <c r="BA95" i="2"/>
  <c r="AK80" i="3"/>
  <c r="AN82" i="3"/>
  <c r="BE89" i="1"/>
  <c r="BE82" i="3"/>
  <c r="J52" i="1"/>
  <c r="F86" i="1"/>
  <c r="C150" i="1"/>
  <c r="C151" i="1" s="1"/>
  <c r="AE7" i="3"/>
  <c r="AE74" i="1" s="1"/>
  <c r="P75" i="1"/>
  <c r="BB62" i="3"/>
  <c r="AQ18" i="3"/>
  <c r="AP87" i="1"/>
  <c r="AP82" i="3"/>
  <c r="BF87" i="1"/>
  <c r="BX87" i="1" s="1"/>
  <c r="CD87" i="1" s="1"/>
  <c r="R33" i="3"/>
  <c r="U33" i="3"/>
  <c r="C137" i="3"/>
  <c r="D136" i="3" s="1"/>
  <c r="I86" i="1"/>
  <c r="AO96" i="2"/>
  <c r="AV95" i="2"/>
  <c r="AU47" i="4"/>
  <c r="AQ88" i="1"/>
  <c r="BY89" i="2"/>
  <c r="Q10" i="2"/>
  <c r="AI10" i="2"/>
  <c r="K10" i="2"/>
  <c r="L10" i="2" s="1"/>
  <c r="BZ90" i="2"/>
  <c r="BZ109" i="1"/>
  <c r="BZ89" i="2"/>
  <c r="BY90" i="2"/>
  <c r="BY124" i="1"/>
  <c r="BY139" i="1"/>
  <c r="BY91" i="2"/>
  <c r="BZ91" i="2"/>
  <c r="BZ124" i="1"/>
  <c r="BW109" i="1"/>
  <c r="BW89" i="2"/>
  <c r="BW90" i="2"/>
  <c r="BW139" i="1"/>
  <c r="BK63" i="2"/>
  <c r="AP51" i="4"/>
  <c r="AC47" i="4"/>
  <c r="AC43" i="4"/>
  <c r="AO115" i="3"/>
  <c r="AO103" i="3" s="1"/>
  <c r="AV124" i="3"/>
  <c r="F115" i="3"/>
  <c r="F103" i="3" s="1"/>
  <c r="R133" i="3"/>
  <c r="C115" i="3"/>
  <c r="C103" i="3" s="1"/>
  <c r="AD123" i="3"/>
  <c r="AY133" i="3"/>
  <c r="AM132" i="3"/>
  <c r="AM96" i="3"/>
  <c r="AD138" i="3"/>
  <c r="AO89" i="1"/>
  <c r="U124" i="3"/>
  <c r="L123" i="3"/>
  <c r="AD114" i="3"/>
  <c r="AD102" i="3" s="1"/>
  <c r="AM114" i="3"/>
  <c r="AM102" i="3" s="1"/>
  <c r="F124" i="3"/>
  <c r="L56" i="3"/>
  <c r="J138" i="3"/>
  <c r="AT132" i="3"/>
  <c r="D114" i="3"/>
  <c r="D102" i="3" s="1"/>
  <c r="U133" i="3"/>
  <c r="L132" i="3"/>
  <c r="AD132" i="3"/>
  <c r="AY124" i="3"/>
  <c r="AM123" i="3"/>
  <c r="AD94" i="2"/>
  <c r="AD97" i="2" s="1"/>
  <c r="AW138" i="3"/>
  <c r="G55" i="10" s="1"/>
  <c r="G56" i="10" s="1"/>
  <c r="G59" i="10" s="1"/>
  <c r="K33" i="10" s="1"/>
  <c r="AT138" i="3"/>
  <c r="AU139" i="3"/>
  <c r="AU138" i="3" s="1"/>
  <c r="Q57" i="3"/>
  <c r="AH81" i="3"/>
  <c r="P14" i="3"/>
  <c r="X138" i="3"/>
  <c r="BS124" i="3"/>
  <c r="Q115" i="3"/>
  <c r="Q103" i="3" s="1"/>
  <c r="AD49" i="3"/>
  <c r="W123" i="3"/>
  <c r="AS87" i="1"/>
  <c r="AM89" i="1"/>
  <c r="AY81" i="3"/>
  <c r="U87" i="1"/>
  <c r="AD76" i="1"/>
  <c r="K138" i="3"/>
  <c r="BS133" i="3"/>
  <c r="AM124" i="3"/>
  <c r="V77" i="3"/>
  <c r="J81" i="3"/>
  <c r="L138" i="3"/>
  <c r="L57" i="3"/>
  <c r="W14" i="3"/>
  <c r="W24" i="3" s="1"/>
  <c r="W163" i="1" s="1"/>
  <c r="P49" i="3"/>
  <c r="AC56" i="3"/>
  <c r="AW6" i="2"/>
  <c r="AW5" i="4" s="1"/>
  <c r="Y37" i="3"/>
  <c r="AS89" i="1"/>
  <c r="AK61" i="3"/>
  <c r="AI24" i="3"/>
  <c r="K76" i="4"/>
  <c r="AA104" i="4"/>
  <c r="AA105" i="4" s="1"/>
  <c r="AN104" i="4"/>
  <c r="AN98" i="4" s="1"/>
  <c r="AO104" i="4"/>
  <c r="AO98" i="4" s="1"/>
  <c r="CA143" i="1"/>
  <c r="AU52" i="1"/>
  <c r="Q52" i="1"/>
  <c r="AB34" i="4"/>
  <c r="AU43" i="4"/>
  <c r="AE92" i="4"/>
  <c r="AD97" i="4"/>
  <c r="AD104" i="4" s="1"/>
  <c r="AD105" i="4" s="1"/>
  <c r="AU19" i="4"/>
  <c r="AU33" i="4"/>
  <c r="AU18" i="4" s="1"/>
  <c r="AV73" i="4"/>
  <c r="AP10" i="3"/>
  <c r="AP16" i="3" s="1"/>
  <c r="AP52" i="3" s="1"/>
  <c r="AP100" i="3" s="1"/>
  <c r="CA88" i="4"/>
  <c r="AY97" i="4"/>
  <c r="W9" i="3"/>
  <c r="W15" i="3" s="1"/>
  <c r="W51" i="3" s="1"/>
  <c r="W99" i="3" s="1"/>
  <c r="AA26" i="4"/>
  <c r="AA66" i="4"/>
  <c r="AA13" i="4"/>
  <c r="AA8" i="4"/>
  <c r="AA30" i="4"/>
  <c r="AV17" i="4"/>
  <c r="AW7" i="4"/>
  <c r="AJ60" i="4"/>
  <c r="BI64" i="4"/>
  <c r="AT33" i="4"/>
  <c r="AT18" i="4" s="1"/>
  <c r="AT19" i="4"/>
  <c r="BI60" i="4"/>
  <c r="AE29" i="4"/>
  <c r="AD31" i="4"/>
  <c r="AZ97" i="4"/>
  <c r="AZ95" i="4"/>
  <c r="M25" i="4"/>
  <c r="AV91" i="4"/>
  <c r="AQ90" i="4"/>
  <c r="BE130" i="3"/>
  <c r="BE100" i="3"/>
  <c r="AH104" i="4"/>
  <c r="AH98" i="4" s="1"/>
  <c r="AH99" i="4" s="1"/>
  <c r="W18" i="4"/>
  <c r="AJ91" i="4"/>
  <c r="AK12" i="4"/>
  <c r="BO48" i="4"/>
  <c r="J79" i="4"/>
  <c r="X7" i="4"/>
  <c r="M71" i="4"/>
  <c r="AW90" i="4"/>
  <c r="AI18" i="4"/>
  <c r="W84" i="4"/>
  <c r="AA9" i="4"/>
  <c r="AW38" i="4"/>
  <c r="BF16" i="3"/>
  <c r="BF52" i="3" s="1"/>
  <c r="BF100" i="3" s="1"/>
  <c r="BI73" i="4"/>
  <c r="AJ93" i="4"/>
  <c r="AU59" i="4"/>
  <c r="AU39" i="4"/>
  <c r="AD72" i="4"/>
  <c r="AT79" i="4"/>
  <c r="AG63" i="2"/>
  <c r="AU72" i="4"/>
  <c r="AD51" i="4"/>
  <c r="AN43" i="4"/>
  <c r="AN47" i="4"/>
  <c r="D66" i="4"/>
  <c r="D84" i="4" s="1"/>
  <c r="J76" i="4"/>
  <c r="AO43" i="4"/>
  <c r="AP55" i="4"/>
  <c r="AP39" i="4"/>
  <c r="AN63" i="4"/>
  <c r="AD59" i="4"/>
  <c r="U76" i="4"/>
  <c r="AU151" i="1"/>
  <c r="AN72" i="4"/>
  <c r="W76" i="4"/>
  <c r="AP47" i="4"/>
  <c r="AP63" i="4"/>
  <c r="AD63" i="4"/>
  <c r="AN39" i="4"/>
  <c r="AN51" i="4"/>
  <c r="AW150" i="1"/>
  <c r="AJ79" i="4"/>
  <c r="AU55" i="4"/>
  <c r="AD39" i="4"/>
  <c r="AH79" i="4"/>
  <c r="AD47" i="4"/>
  <c r="AD43" i="4"/>
  <c r="E74" i="1"/>
  <c r="E75" i="1"/>
  <c r="X16" i="3"/>
  <c r="AQ90" i="1"/>
  <c r="AQ91" i="1"/>
  <c r="AI89" i="1"/>
  <c r="BE94" i="2"/>
  <c r="BE97" i="2" s="1"/>
  <c r="BE99" i="2" s="1"/>
  <c r="V50" i="3"/>
  <c r="V110" i="3" s="1"/>
  <c r="AA59" i="4"/>
  <c r="AA55" i="4"/>
  <c r="AA63" i="4"/>
  <c r="AA47" i="4"/>
  <c r="AA51" i="4"/>
  <c r="AA43" i="4"/>
  <c r="AA39" i="4"/>
  <c r="AA72" i="4"/>
  <c r="AG51" i="4"/>
  <c r="AG55" i="4"/>
  <c r="AG76" i="4"/>
  <c r="AG43" i="4"/>
  <c r="AG39" i="4"/>
  <c r="AG47" i="4"/>
  <c r="AM79" i="4"/>
  <c r="BB94" i="2"/>
  <c r="BB97" i="2" s="1"/>
  <c r="BH77" i="3"/>
  <c r="BB77" i="3"/>
  <c r="AK72" i="3"/>
  <c r="Y96" i="2"/>
  <c r="Y61" i="3"/>
  <c r="W89" i="1"/>
  <c r="C123" i="3"/>
  <c r="C114" i="3"/>
  <c r="C102" i="3" s="1"/>
  <c r="W96" i="3"/>
  <c r="AZ96" i="3"/>
  <c r="AG72" i="4"/>
  <c r="AI128" i="3"/>
  <c r="AA34" i="4"/>
  <c r="P139" i="3"/>
  <c r="O139" i="3" s="1"/>
  <c r="Q138" i="3"/>
  <c r="M54" i="3"/>
  <c r="M133" i="3" s="1"/>
  <c r="S72" i="3"/>
  <c r="S96" i="3" s="1"/>
  <c r="AQ72" i="3"/>
  <c r="AQ96" i="3" s="1"/>
  <c r="D12" i="10"/>
  <c r="AW72" i="3"/>
  <c r="AW59" i="3"/>
  <c r="E115" i="3"/>
  <c r="E103" i="3" s="1"/>
  <c r="E124" i="3"/>
  <c r="Q123" i="3"/>
  <c r="Q114" i="3"/>
  <c r="Q102" i="3" s="1"/>
  <c r="AS96" i="3"/>
  <c r="AG63" i="4"/>
  <c r="AM14" i="3"/>
  <c r="AM77" i="3"/>
  <c r="AM49" i="3"/>
  <c r="I56" i="3"/>
  <c r="AQ96" i="2"/>
  <c r="AI87" i="1"/>
  <c r="AO81" i="3"/>
  <c r="AM115" i="3"/>
  <c r="AM103" i="3" s="1"/>
  <c r="AS57" i="3"/>
  <c r="K133" i="3"/>
  <c r="K124" i="3"/>
  <c r="AA96" i="3"/>
  <c r="AO96" i="3"/>
  <c r="R138" i="3"/>
  <c r="Q132" i="3"/>
  <c r="AG59" i="4"/>
  <c r="AS43" i="4"/>
  <c r="AG56" i="3"/>
  <c r="D97" i="2"/>
  <c r="AY140" i="3"/>
  <c r="AE95" i="2"/>
  <c r="AN79" i="4"/>
  <c r="W76" i="1"/>
  <c r="U132" i="3"/>
  <c r="W57" i="3"/>
  <c r="P77" i="3"/>
  <c r="AV96" i="3"/>
  <c r="AA132" i="3"/>
  <c r="W56" i="3"/>
  <c r="AY57" i="3"/>
  <c r="P76" i="4"/>
  <c r="BE63" i="2"/>
  <c r="AS55" i="4"/>
  <c r="AH51" i="4"/>
  <c r="S75" i="4"/>
  <c r="V79" i="4"/>
  <c r="AU6" i="1"/>
  <c r="W97" i="2"/>
  <c r="AV140" i="3"/>
  <c r="F133" i="3"/>
  <c r="AN115" i="3"/>
  <c r="AN103" i="3" s="1"/>
  <c r="BA100" i="3"/>
  <c r="R81" i="3"/>
  <c r="AC51" i="4"/>
  <c r="BA130" i="3"/>
  <c r="AO77" i="3"/>
  <c r="R132" i="3"/>
  <c r="Q124" i="3"/>
  <c r="AN124" i="3"/>
  <c r="AG14" i="3"/>
  <c r="AJ114" i="3"/>
  <c r="AJ102" i="3" s="1"/>
  <c r="O77" i="3"/>
  <c r="AS49" i="3"/>
  <c r="E114" i="3"/>
  <c r="E102" i="3" s="1"/>
  <c r="J56" i="3"/>
  <c r="I114" i="3"/>
  <c r="I102" i="3" s="1"/>
  <c r="L133" i="3"/>
  <c r="AC59" i="4"/>
  <c r="S91" i="1"/>
  <c r="P94" i="2"/>
  <c r="P97" i="2" s="1"/>
  <c r="U75" i="1"/>
  <c r="L87" i="1"/>
  <c r="R56" i="3"/>
  <c r="BA6" i="3"/>
  <c r="V94" i="2"/>
  <c r="V97" i="2" s="1"/>
  <c r="AN76" i="1"/>
  <c r="O14" i="3"/>
  <c r="L97" i="2"/>
  <c r="BA112" i="3"/>
  <c r="BG77" i="3"/>
  <c r="AA123" i="3"/>
  <c r="AH59" i="4"/>
  <c r="AC55" i="4"/>
  <c r="AS59" i="4"/>
  <c r="U14" i="3"/>
  <c r="U50" i="3" s="1"/>
  <c r="R123" i="3"/>
  <c r="AC132" i="3"/>
  <c r="Q133" i="3"/>
  <c r="AB96" i="3"/>
  <c r="AJ123" i="3"/>
  <c r="J77" i="3"/>
  <c r="AS77" i="3"/>
  <c r="E123" i="3"/>
  <c r="I49" i="3"/>
  <c r="AB81" i="3"/>
  <c r="L115" i="3"/>
  <c r="L103" i="3" s="1"/>
  <c r="AC63" i="4"/>
  <c r="G90" i="1"/>
  <c r="BF89" i="1"/>
  <c r="BX89" i="1" s="1"/>
  <c r="CD89" i="1" s="1"/>
  <c r="AP56" i="3"/>
  <c r="AG75" i="1"/>
  <c r="AA81" i="3"/>
  <c r="AS138" i="3"/>
  <c r="AS34" i="4"/>
  <c r="I14" i="3"/>
  <c r="I50" i="3" s="1"/>
  <c r="I119" i="3" s="1"/>
  <c r="AY79" i="4"/>
  <c r="AV57" i="3"/>
  <c r="AU114" i="3"/>
  <c r="AU102" i="3" s="1"/>
  <c r="D123" i="3"/>
  <c r="AY115" i="3"/>
  <c r="AY103" i="3" s="1"/>
  <c r="AQ11" i="3"/>
  <c r="AQ14" i="3" s="1"/>
  <c r="U57" i="3"/>
  <c r="E132" i="3"/>
  <c r="AP124" i="3"/>
  <c r="AY63" i="2"/>
  <c r="D14" i="3"/>
  <c r="D50" i="3" s="1"/>
  <c r="D110" i="3" s="1"/>
  <c r="AH47" i="4"/>
  <c r="AN94" i="2"/>
  <c r="AN97" i="2" s="1"/>
  <c r="AN99" i="2" s="1"/>
  <c r="P76" i="1"/>
  <c r="Q76" i="1"/>
  <c r="AU6" i="2"/>
  <c r="AU5" i="4" s="1"/>
  <c r="CA6" i="1"/>
  <c r="U94" i="2"/>
  <c r="U97" i="2" s="1"/>
  <c r="U99" i="2" s="1"/>
  <c r="K79" i="4"/>
  <c r="Q79" i="4"/>
  <c r="AI79" i="4"/>
  <c r="X53" i="3"/>
  <c r="AD56" i="3" s="1"/>
  <c r="P56" i="3"/>
  <c r="O140" i="3"/>
  <c r="AO76" i="1"/>
  <c r="AO94" i="2"/>
  <c r="BE121" i="3"/>
  <c r="AI98" i="3"/>
  <c r="D49" i="3"/>
  <c r="O76" i="1"/>
  <c r="I94" i="2"/>
  <c r="I97" i="2" s="1"/>
  <c r="I99" i="2" s="1"/>
  <c r="X11" i="3"/>
  <c r="K76" i="1"/>
  <c r="U49" i="3"/>
  <c r="U77" i="3"/>
  <c r="O49" i="3"/>
  <c r="G11" i="3"/>
  <c r="G14" i="3" s="1"/>
  <c r="G50" i="3" s="1"/>
  <c r="W49" i="3"/>
  <c r="AN100" i="3"/>
  <c r="AN130" i="3"/>
  <c r="AV77" i="3"/>
  <c r="K94" i="2"/>
  <c r="K97" i="2" s="1"/>
  <c r="K75" i="1"/>
  <c r="BF94" i="2"/>
  <c r="BF97" i="2" s="1"/>
  <c r="BF99" i="2" s="1"/>
  <c r="BH94" i="2"/>
  <c r="BL56" i="4"/>
  <c r="BW14" i="4"/>
  <c r="BL14" i="4"/>
  <c r="BA88" i="4"/>
  <c r="BA79" i="4" s="1"/>
  <c r="BG52" i="4"/>
  <c r="BI50" i="4"/>
  <c r="BI52" i="4" s="1"/>
  <c r="BG56" i="4"/>
  <c r="AK101" i="4"/>
  <c r="AG19" i="4"/>
  <c r="AM104" i="4"/>
  <c r="AM98" i="4" s="1"/>
  <c r="BU84" i="2"/>
  <c r="CA147" i="1"/>
  <c r="BB124" i="1"/>
  <c r="AZ116" i="1"/>
  <c r="AG91" i="2"/>
  <c r="BW91" i="2"/>
  <c r="BW147" i="1"/>
  <c r="AV102" i="2"/>
  <c r="AV101" i="2" s="1"/>
  <c r="AO130" i="1"/>
  <c r="BF130" i="1"/>
  <c r="AJ102" i="2"/>
  <c r="BH139" i="1"/>
  <c r="E147" i="1"/>
  <c r="AS91" i="2"/>
  <c r="BG147" i="1"/>
  <c r="AJ131" i="1"/>
  <c r="AK131" i="1" s="1"/>
  <c r="AH130" i="1"/>
  <c r="BA124" i="1"/>
  <c r="BE88" i="2"/>
  <c r="BL147" i="1"/>
  <c r="BU147" i="1"/>
  <c r="BF109" i="1"/>
  <c r="BF110" i="1" s="1"/>
  <c r="AI124" i="1"/>
  <c r="AT130" i="1"/>
  <c r="AV139" i="1"/>
  <c r="AZ88" i="2"/>
  <c r="BG94" i="2"/>
  <c r="BI11" i="3"/>
  <c r="AS114" i="3"/>
  <c r="AS102" i="3" s="1"/>
  <c r="AS123" i="3"/>
  <c r="AT43" i="4"/>
  <c r="AT72" i="4"/>
  <c r="AT47" i="4"/>
  <c r="AS76" i="4"/>
  <c r="BO6" i="2"/>
  <c r="BO5" i="4" s="1"/>
  <c r="AH123" i="3"/>
  <c r="AH132" i="3"/>
  <c r="L66" i="4"/>
  <c r="L9" i="3" s="1"/>
  <c r="L76" i="4"/>
  <c r="Q66" i="4"/>
  <c r="Q9" i="3" s="1"/>
  <c r="Q15" i="3" s="1"/>
  <c r="Q51" i="3" s="1"/>
  <c r="Q120" i="3" s="1"/>
  <c r="Q76" i="4"/>
  <c r="AJ39" i="4"/>
  <c r="AJ55" i="4"/>
  <c r="AJ43" i="4"/>
  <c r="BE112" i="3"/>
  <c r="M7" i="3"/>
  <c r="M74" i="1" s="1"/>
  <c r="AM43" i="4"/>
  <c r="W138" i="3"/>
  <c r="AT55" i="4"/>
  <c r="C66" i="4"/>
  <c r="AM63" i="2"/>
  <c r="AS63" i="2"/>
  <c r="AJ94" i="2"/>
  <c r="AJ97" i="2" s="1"/>
  <c r="AJ77" i="3"/>
  <c r="AJ49" i="3"/>
  <c r="AJ76" i="1"/>
  <c r="AJ133" i="3"/>
  <c r="AP57" i="3"/>
  <c r="AJ115" i="3"/>
  <c r="AJ103" i="3" s="1"/>
  <c r="AV47" i="4"/>
  <c r="AV63" i="4"/>
  <c r="AV55" i="4"/>
  <c r="BB79" i="4"/>
  <c r="AV72" i="4"/>
  <c r="AJ124" i="3"/>
  <c r="I75" i="1"/>
  <c r="AM47" i="4"/>
  <c r="AZ79" i="4"/>
  <c r="BZ133" i="3"/>
  <c r="AH114" i="3"/>
  <c r="AH102" i="3" s="1"/>
  <c r="I76" i="1"/>
  <c r="AM51" i="4"/>
  <c r="AM81" i="3"/>
  <c r="AP81" i="3"/>
  <c r="AP89" i="1"/>
  <c r="AD124" i="3"/>
  <c r="AB79" i="4"/>
  <c r="V76" i="4"/>
  <c r="F74" i="1"/>
  <c r="F76" i="1"/>
  <c r="AN56" i="3"/>
  <c r="AN132" i="3"/>
  <c r="AN114" i="3"/>
  <c r="AN102" i="3" s="1"/>
  <c r="X74" i="1"/>
  <c r="Y7" i="3"/>
  <c r="AJ59" i="4"/>
  <c r="AP79" i="4"/>
  <c r="BZ124" i="3"/>
  <c r="AO139" i="3"/>
  <c r="AN123" i="3"/>
  <c r="BO6" i="1"/>
  <c r="S53" i="3"/>
  <c r="S132" i="3" s="1"/>
  <c r="S62" i="3"/>
  <c r="AH124" i="3"/>
  <c r="AH57" i="3"/>
  <c r="AH115" i="3"/>
  <c r="AH103" i="3" s="1"/>
  <c r="AN57" i="3"/>
  <c r="U63" i="2"/>
  <c r="AA63" i="2"/>
  <c r="AV6" i="2"/>
  <c r="AV5" i="4" s="1"/>
  <c r="AV7" i="3"/>
  <c r="BB6" i="3"/>
  <c r="AM63" i="4"/>
  <c r="AM39" i="4"/>
  <c r="AM72" i="4"/>
  <c r="AM76" i="4"/>
  <c r="AM55" i="4"/>
  <c r="AI59" i="4"/>
  <c r="AO76" i="4"/>
  <c r="AI63" i="4"/>
  <c r="AD89" i="1"/>
  <c r="AD24" i="3"/>
  <c r="AV39" i="4"/>
  <c r="AI43" i="4"/>
  <c r="AZ50" i="3"/>
  <c r="AZ110" i="3" s="1"/>
  <c r="AP77" i="3"/>
  <c r="AJ57" i="3"/>
  <c r="S6" i="1"/>
  <c r="S6" i="2"/>
  <c r="S5" i="4" s="1"/>
  <c r="AK6" i="2"/>
  <c r="AK5" i="4" s="1"/>
  <c r="AK6" i="1"/>
  <c r="AO57" i="3"/>
  <c r="AU123" i="3"/>
  <c r="AK53" i="3"/>
  <c r="W77" i="3"/>
  <c r="BU6" i="1"/>
  <c r="C94" i="2"/>
  <c r="C97" i="2" s="1"/>
  <c r="C99" i="2" s="1"/>
  <c r="C49" i="3"/>
  <c r="I77" i="3"/>
  <c r="C14" i="3"/>
  <c r="AT94" i="2"/>
  <c r="AT77" i="3"/>
  <c r="AT14" i="3"/>
  <c r="AZ78" i="3" s="1"/>
  <c r="AZ77" i="3"/>
  <c r="AZ94" i="2"/>
  <c r="BK77" i="3"/>
  <c r="AK59" i="3"/>
  <c r="AK54" i="3"/>
  <c r="AK133" i="3" s="1"/>
  <c r="AK91" i="1"/>
  <c r="S96" i="2"/>
  <c r="Y80" i="3"/>
  <c r="S54" i="3"/>
  <c r="V89" i="1"/>
  <c r="V24" i="3"/>
  <c r="V163" i="1" s="1"/>
  <c r="AG124" i="3"/>
  <c r="AG115" i="3"/>
  <c r="AG103" i="3" s="1"/>
  <c r="AY123" i="3"/>
  <c r="AY132" i="3"/>
  <c r="I57" i="3"/>
  <c r="O124" i="3"/>
  <c r="O57" i="3"/>
  <c r="O133" i="3"/>
  <c r="V124" i="3"/>
  <c r="V133" i="3"/>
  <c r="AC123" i="3"/>
  <c r="AC114" i="3"/>
  <c r="AC102" i="3" s="1"/>
  <c r="D76" i="1"/>
  <c r="D74" i="1"/>
  <c r="G7" i="3"/>
  <c r="O74" i="1"/>
  <c r="S7" i="3"/>
  <c r="AI81" i="3"/>
  <c r="R96" i="3"/>
  <c r="AN96" i="3"/>
  <c r="W79" i="4"/>
  <c r="AD74" i="1"/>
  <c r="AD75" i="1"/>
  <c r="F75" i="1"/>
  <c r="F14" i="3"/>
  <c r="K14" i="3"/>
  <c r="K24" i="3" s="1"/>
  <c r="K163" i="1" s="1"/>
  <c r="K77" i="3"/>
  <c r="Q94" i="2"/>
  <c r="Q97" i="2" s="1"/>
  <c r="Q14" i="3"/>
  <c r="Q77" i="3"/>
  <c r="Q49" i="3"/>
  <c r="AN14" i="3"/>
  <c r="AN24" i="3" s="1"/>
  <c r="AN163" i="1" s="1"/>
  <c r="AE54" i="3"/>
  <c r="D89" i="1"/>
  <c r="AB87" i="1"/>
  <c r="AJ89" i="1"/>
  <c r="AJ81" i="3"/>
  <c r="C132" i="3"/>
  <c r="I115" i="3"/>
  <c r="I103" i="3" s="1"/>
  <c r="I124" i="3"/>
  <c r="O132" i="3"/>
  <c r="O114" i="3"/>
  <c r="O102" i="3" s="1"/>
  <c r="O56" i="3"/>
  <c r="AA115" i="3"/>
  <c r="AA103" i="3" s="1"/>
  <c r="AA124" i="3"/>
  <c r="AA57" i="3"/>
  <c r="AG76" i="1"/>
  <c r="AG49" i="3"/>
  <c r="M80" i="3"/>
  <c r="M61" i="3"/>
  <c r="G54" i="3"/>
  <c r="G124" i="3" s="1"/>
  <c r="AK95" i="2"/>
  <c r="P81" i="3"/>
  <c r="P89" i="1"/>
  <c r="J57" i="3"/>
  <c r="J115" i="3"/>
  <c r="J103" i="3" s="1"/>
  <c r="R124" i="3"/>
  <c r="R115" i="3"/>
  <c r="R103" i="3" s="1"/>
  <c r="W132" i="3"/>
  <c r="W114" i="3"/>
  <c r="W102" i="3" s="1"/>
  <c r="AB57" i="3"/>
  <c r="AB133" i="3"/>
  <c r="BA96" i="3"/>
  <c r="AC76" i="4"/>
  <c r="AC72" i="4"/>
  <c r="AS51" i="4"/>
  <c r="AS39" i="4"/>
  <c r="AS72" i="4"/>
  <c r="AS63" i="4"/>
  <c r="J66" i="4"/>
  <c r="J9" i="3" s="1"/>
  <c r="J15" i="3" s="1"/>
  <c r="J51" i="3" s="1"/>
  <c r="J120" i="3" s="1"/>
  <c r="P79" i="4"/>
  <c r="O97" i="2"/>
  <c r="O99" i="2" s="1"/>
  <c r="AN77" i="3"/>
  <c r="BI33" i="3"/>
  <c r="P57" i="3"/>
  <c r="P74" i="1"/>
  <c r="AA76" i="4"/>
  <c r="G88" i="1"/>
  <c r="AE91" i="1"/>
  <c r="AS97" i="2"/>
  <c r="AS99" i="2" s="1"/>
  <c r="AM57" i="3"/>
  <c r="I79" i="4"/>
  <c r="AS79" i="4"/>
  <c r="AI80" i="2"/>
  <c r="BB139" i="3"/>
  <c r="AS52" i="1"/>
  <c r="K129" i="3"/>
  <c r="K120" i="3"/>
  <c r="K111" i="3"/>
  <c r="K99" i="3"/>
  <c r="R76" i="1"/>
  <c r="R94" i="2"/>
  <c r="R97" i="2" s="1"/>
  <c r="R14" i="3"/>
  <c r="S11" i="3"/>
  <c r="R75" i="1"/>
  <c r="R77" i="3"/>
  <c r="R49" i="3"/>
  <c r="AB76" i="1"/>
  <c r="AB49" i="3"/>
  <c r="AB77" i="3"/>
  <c r="AB14" i="3"/>
  <c r="AB75" i="1"/>
  <c r="AB94" i="2"/>
  <c r="AB97" i="2" s="1"/>
  <c r="BC6" i="2"/>
  <c r="BC5" i="4" s="1"/>
  <c r="BC6" i="1"/>
  <c r="Y18" i="3"/>
  <c r="X95" i="2"/>
  <c r="X79" i="3"/>
  <c r="AD79" i="3"/>
  <c r="X20" i="3"/>
  <c r="AD62" i="3"/>
  <c r="X62" i="3"/>
  <c r="AM54" i="2"/>
  <c r="AM81" i="1"/>
  <c r="E42" i="2"/>
  <c r="BH42" i="2"/>
  <c r="BI42" i="2" s="1"/>
  <c r="BL102" i="2"/>
  <c r="AE14" i="2"/>
  <c r="AD32" i="2"/>
  <c r="R30" i="2"/>
  <c r="S30" i="2" s="1"/>
  <c r="Q107" i="1"/>
  <c r="K13" i="2"/>
  <c r="BG8" i="2"/>
  <c r="BG16" i="2"/>
  <c r="BO9" i="1"/>
  <c r="AJ40" i="2"/>
  <c r="F30" i="2"/>
  <c r="G30" i="2" s="1"/>
  <c r="F101" i="1"/>
  <c r="AJ42" i="2"/>
  <c r="AK42" i="2" s="1"/>
  <c r="BC44" i="1"/>
  <c r="BC177" i="1" s="1"/>
  <c r="E17" i="2"/>
  <c r="AU13" i="2"/>
  <c r="AE39" i="2"/>
  <c r="F32" i="2"/>
  <c r="K94" i="1"/>
  <c r="BA10" i="2"/>
  <c r="AG18" i="4"/>
  <c r="AG13" i="4"/>
  <c r="AG30" i="4"/>
  <c r="AG66" i="4"/>
  <c r="AG34" i="4"/>
  <c r="AG26" i="4"/>
  <c r="AG35" i="4"/>
  <c r="AG8" i="4"/>
  <c r="L46" i="2"/>
  <c r="AE78" i="2"/>
  <c r="AY96" i="3"/>
  <c r="AQ31" i="1"/>
  <c r="L40" i="2"/>
  <c r="M40" i="2" s="1"/>
  <c r="AP10" i="2"/>
  <c r="AJ45" i="1"/>
  <c r="AY6" i="3"/>
  <c r="AS6" i="2"/>
  <c r="AS5" i="4" s="1"/>
  <c r="AS6" i="1"/>
  <c r="AS7" i="3"/>
  <c r="BG16" i="3"/>
  <c r="BG52" i="3" s="1"/>
  <c r="BI10" i="3"/>
  <c r="BI16" i="3" s="1"/>
  <c r="BI52" i="3" s="1"/>
  <c r="BI112" i="3" s="1"/>
  <c r="AA49" i="3"/>
  <c r="AA75" i="1"/>
  <c r="AA94" i="2"/>
  <c r="AA97" i="2" s="1"/>
  <c r="AA99" i="2" s="1"/>
  <c r="AE11" i="3"/>
  <c r="AA14" i="3"/>
  <c r="AA76" i="1"/>
  <c r="AA77" i="3"/>
  <c r="AG77" i="3"/>
  <c r="BC37" i="3"/>
  <c r="C62" i="2"/>
  <c r="C52" i="1"/>
  <c r="C43" i="3"/>
  <c r="C86" i="1"/>
  <c r="AC124" i="3"/>
  <c r="AC133" i="3"/>
  <c r="AI57" i="3"/>
  <c r="AC115" i="3"/>
  <c r="AC103" i="3" s="1"/>
  <c r="AC57" i="3"/>
  <c r="U140" i="3"/>
  <c r="U138" i="3" s="1"/>
  <c r="V138" i="3"/>
  <c r="AI19" i="4"/>
  <c r="AC33" i="4"/>
  <c r="AC18" i="4" s="1"/>
  <c r="AC19" i="4"/>
  <c r="BK149" i="1"/>
  <c r="AQ44" i="1"/>
  <c r="AQ177" i="1" s="1"/>
  <c r="AH68" i="1"/>
  <c r="AH24" i="1"/>
  <c r="AC94" i="2"/>
  <c r="AC97" i="2" s="1"/>
  <c r="AC75" i="1"/>
  <c r="AI77" i="3"/>
  <c r="AC77" i="3"/>
  <c r="AC49" i="3"/>
  <c r="AC76" i="1"/>
  <c r="AC14" i="3"/>
  <c r="O79" i="4"/>
  <c r="I76" i="4"/>
  <c r="O76" i="4"/>
  <c r="I66" i="4"/>
  <c r="I84" i="4" s="1"/>
  <c r="AK44" i="1"/>
  <c r="AK177" i="1" s="1"/>
  <c r="AB13" i="4"/>
  <c r="AB66" i="4"/>
  <c r="AB67" i="4" s="1"/>
  <c r="AB18" i="4"/>
  <c r="AB8" i="4"/>
  <c r="AK13" i="2"/>
  <c r="AS81" i="1"/>
  <c r="AG114" i="3"/>
  <c r="AG102" i="3" s="1"/>
  <c r="AM56" i="3"/>
  <c r="AG123" i="3"/>
  <c r="K12" i="2"/>
  <c r="Y16" i="2"/>
  <c r="X40" i="2"/>
  <c r="Y40" i="2" s="1"/>
  <c r="L34" i="2"/>
  <c r="L76" i="1"/>
  <c r="M11" i="3"/>
  <c r="L77" i="3"/>
  <c r="L14" i="3"/>
  <c r="L49" i="3"/>
  <c r="L75" i="1"/>
  <c r="AJ72" i="4"/>
  <c r="AP73" i="4"/>
  <c r="AJ73" i="4"/>
  <c r="AK71" i="4"/>
  <c r="AJ10" i="3"/>
  <c r="L24" i="1"/>
  <c r="L71" i="1"/>
  <c r="AW44" i="1"/>
  <c r="AW177" i="1" s="1"/>
  <c r="AY95" i="1"/>
  <c r="BC95" i="1" s="1"/>
  <c r="BC150" i="1"/>
  <c r="AZ151" i="1"/>
  <c r="AV42" i="2"/>
  <c r="AU44" i="2"/>
  <c r="BI40" i="4"/>
  <c r="BA138" i="1"/>
  <c r="BA139" i="1" s="1"/>
  <c r="AZ139" i="1"/>
  <c r="Q24" i="2"/>
  <c r="AJ21" i="2"/>
  <c r="P143" i="1"/>
  <c r="P35" i="2"/>
  <c r="Q31" i="2"/>
  <c r="AM86" i="2"/>
  <c r="AS86" i="2"/>
  <c r="BO39" i="1"/>
  <c r="AC52" i="1"/>
  <c r="U16" i="3"/>
  <c r="Y10" i="3"/>
  <c r="W68" i="1"/>
  <c r="W24" i="1"/>
  <c r="W71" i="1"/>
  <c r="BI150" i="1"/>
  <c r="BG151" i="1"/>
  <c r="AJ24" i="2"/>
  <c r="AI77" i="2"/>
  <c r="BB16" i="2"/>
  <c r="AJ15" i="2"/>
  <c r="BY56" i="3"/>
  <c r="AD60" i="4"/>
  <c r="Y58" i="4"/>
  <c r="L70" i="1"/>
  <c r="L36" i="1"/>
  <c r="L69" i="1"/>
  <c r="BF69" i="1"/>
  <c r="BF70" i="1"/>
  <c r="BF36" i="1"/>
  <c r="BF71" i="1"/>
  <c r="BF68" i="1"/>
  <c r="BT89" i="2"/>
  <c r="BT139" i="1"/>
  <c r="BT124" i="1"/>
  <c r="BT109" i="1"/>
  <c r="X88" i="2"/>
  <c r="X147" i="1"/>
  <c r="Q32" i="2"/>
  <c r="AO31" i="2"/>
  <c r="AN143" i="1"/>
  <c r="AZ85" i="2"/>
  <c r="BB83" i="2"/>
  <c r="BE86" i="2"/>
  <c r="BK86" i="2"/>
  <c r="Y8" i="2"/>
  <c r="BA97" i="1"/>
  <c r="BB43" i="2"/>
  <c r="BA62" i="2"/>
  <c r="BO34" i="1"/>
  <c r="AT6" i="2"/>
  <c r="AT5" i="4" s="1"/>
  <c r="AT7" i="3"/>
  <c r="AU7" i="3"/>
  <c r="AT6" i="1"/>
  <c r="C16" i="3"/>
  <c r="AH75" i="1"/>
  <c r="AH14" i="3"/>
  <c r="AH94" i="2"/>
  <c r="AH97" i="2" s="1"/>
  <c r="AH99" i="2" s="1"/>
  <c r="AH76" i="1"/>
  <c r="AK11" i="3"/>
  <c r="AH77" i="3"/>
  <c r="K84" i="4"/>
  <c r="AS95" i="1"/>
  <c r="AW95" i="1" s="1"/>
  <c r="V100" i="1"/>
  <c r="AC88" i="2"/>
  <c r="W101" i="2"/>
  <c r="AK14" i="2"/>
  <c r="BG78" i="2"/>
  <c r="BZ56" i="3"/>
  <c r="AW31" i="1"/>
  <c r="AO69" i="1"/>
  <c r="AO36" i="1"/>
  <c r="E24" i="2"/>
  <c r="F24" i="2" s="1"/>
  <c r="BG22" i="2"/>
  <c r="BF20" i="2"/>
  <c r="BE19" i="2"/>
  <c r="J143" i="1"/>
  <c r="J35" i="2"/>
  <c r="K31" i="2"/>
  <c r="AB35" i="2"/>
  <c r="AC30" i="2"/>
  <c r="AB107" i="1"/>
  <c r="BH74" i="2"/>
  <c r="K98" i="2"/>
  <c r="BH38" i="2"/>
  <c r="BI38" i="2" s="1"/>
  <c r="BB33" i="2"/>
  <c r="AO62" i="2"/>
  <c r="R34" i="2"/>
  <c r="AI119" i="3"/>
  <c r="AI110" i="3"/>
  <c r="AD12" i="2"/>
  <c r="C133" i="3"/>
  <c r="V75" i="1"/>
  <c r="V74" i="1"/>
  <c r="V76" i="1"/>
  <c r="AH56" i="3"/>
  <c r="AB132" i="3"/>
  <c r="AB123" i="3"/>
  <c r="AB114" i="3"/>
  <c r="AB56" i="3"/>
  <c r="AP60" i="4"/>
  <c r="AP59" i="4"/>
  <c r="AQ58" i="4"/>
  <c r="AV60" i="4"/>
  <c r="AK64" i="4"/>
  <c r="AQ64" i="4"/>
  <c r="AB43" i="4"/>
  <c r="AB51" i="4"/>
  <c r="AB72" i="4"/>
  <c r="AB59" i="4"/>
  <c r="AH76" i="4"/>
  <c r="AB63" i="4"/>
  <c r="AB47" i="4"/>
  <c r="AB39" i="4"/>
  <c r="AB76" i="4"/>
  <c r="AU12" i="2"/>
  <c r="BA17" i="2"/>
  <c r="BG15" i="2"/>
  <c r="BH15" i="2" s="1"/>
  <c r="E25" i="2"/>
  <c r="Y31" i="2"/>
  <c r="W143" i="1"/>
  <c r="AD8" i="2"/>
  <c r="AK102" i="2"/>
  <c r="G95" i="2"/>
  <c r="G53" i="3"/>
  <c r="G20" i="3"/>
  <c r="AE96" i="2"/>
  <c r="AE61" i="3"/>
  <c r="AE80" i="3"/>
  <c r="O89" i="1"/>
  <c r="O87" i="1"/>
  <c r="U81" i="3"/>
  <c r="AH150" i="1"/>
  <c r="AH151" i="1" s="1"/>
  <c r="AH33" i="3"/>
  <c r="I137" i="3"/>
  <c r="J136" i="3" s="1"/>
  <c r="AD27" i="4"/>
  <c r="AJ27" i="4"/>
  <c r="AE25" i="4"/>
  <c r="AK27" i="4" s="1"/>
  <c r="AP31" i="4"/>
  <c r="D68" i="1"/>
  <c r="D71" i="1"/>
  <c r="D24" i="1"/>
  <c r="M149" i="1"/>
  <c r="I149" i="1"/>
  <c r="G149" i="1"/>
  <c r="AE90" i="1"/>
  <c r="AE31" i="1"/>
  <c r="BM90" i="2"/>
  <c r="BM91" i="2"/>
  <c r="AW88" i="2"/>
  <c r="AW147" i="1"/>
  <c r="AZ98" i="2"/>
  <c r="BB11" i="2"/>
  <c r="BC11" i="2" s="1"/>
  <c r="BG9" i="2"/>
  <c r="BH9" i="2" s="1"/>
  <c r="BH17" i="2"/>
  <c r="AB97" i="1"/>
  <c r="AC43" i="2"/>
  <c r="AB44" i="2"/>
  <c r="AB62" i="2"/>
  <c r="AS44" i="2"/>
  <c r="AW39" i="2"/>
  <c r="K101" i="2"/>
  <c r="AD46" i="2"/>
  <c r="BH52" i="1"/>
  <c r="BU90" i="3"/>
  <c r="BW90" i="3" s="1"/>
  <c r="AD16" i="2"/>
  <c r="AD50" i="3"/>
  <c r="BI18" i="3"/>
  <c r="BG95" i="2"/>
  <c r="BG20" i="3"/>
  <c r="BG62" i="3"/>
  <c r="E87" i="1"/>
  <c r="K81" i="3"/>
  <c r="BE81" i="3"/>
  <c r="BE87" i="1"/>
  <c r="Q56" i="3"/>
  <c r="K56" i="3"/>
  <c r="K132" i="3"/>
  <c r="K114" i="3"/>
  <c r="K102" i="3" s="1"/>
  <c r="K123" i="3"/>
  <c r="AN19" i="4"/>
  <c r="AH33" i="4"/>
  <c r="AN35" i="4" s="1"/>
  <c r="AH19" i="4"/>
  <c r="BA71" i="1"/>
  <c r="BA24" i="1"/>
  <c r="I95" i="1"/>
  <c r="M95" i="1" s="1"/>
  <c r="BI44" i="1"/>
  <c r="BI177" i="1" s="1"/>
  <c r="AA52" i="1"/>
  <c r="Q17" i="2"/>
  <c r="AA27" i="2"/>
  <c r="AZ32" i="2"/>
  <c r="AY35" i="2"/>
  <c r="AH84" i="2"/>
  <c r="AH85" i="2" s="1"/>
  <c r="AH86" i="2" s="1"/>
  <c r="AI34" i="2"/>
  <c r="AH35" i="2"/>
  <c r="AN116" i="1"/>
  <c r="AN115" i="1"/>
  <c r="BF101" i="2"/>
  <c r="BF116" i="1"/>
  <c r="BF115" i="1"/>
  <c r="BY57" i="3"/>
  <c r="AO16" i="3"/>
  <c r="AO52" i="3" s="1"/>
  <c r="AO112" i="3" s="1"/>
  <c r="BH95" i="2"/>
  <c r="BH62" i="3"/>
  <c r="BH79" i="3"/>
  <c r="BH20" i="3"/>
  <c r="M95" i="2"/>
  <c r="M20" i="3"/>
  <c r="S79" i="3"/>
  <c r="M53" i="3"/>
  <c r="M62" i="3"/>
  <c r="M79" i="3"/>
  <c r="AK96" i="2"/>
  <c r="AK20" i="3"/>
  <c r="AK64" i="3" s="1"/>
  <c r="AQ80" i="3"/>
  <c r="D137" i="3"/>
  <c r="E136" i="3" s="1"/>
  <c r="AC96" i="3"/>
  <c r="BE69" i="1"/>
  <c r="AT52" i="1"/>
  <c r="AK128" i="1"/>
  <c r="BN90" i="2"/>
  <c r="BN89" i="2"/>
  <c r="BN91" i="2"/>
  <c r="BX124" i="1"/>
  <c r="BX109" i="1"/>
  <c r="BX90" i="2"/>
  <c r="BX91" i="2"/>
  <c r="BX139" i="1"/>
  <c r="AO15" i="2"/>
  <c r="AU8" i="2"/>
  <c r="W22" i="2"/>
  <c r="W33" i="2"/>
  <c r="V35" i="2"/>
  <c r="AO30" i="2"/>
  <c r="AQ33" i="3"/>
  <c r="AI74" i="1"/>
  <c r="AI76" i="1"/>
  <c r="AK7" i="3"/>
  <c r="AK74" i="1" s="1"/>
  <c r="AI75" i="1"/>
  <c r="M88" i="1"/>
  <c r="M75" i="4"/>
  <c r="M59" i="3"/>
  <c r="M91" i="1"/>
  <c r="M72" i="3"/>
  <c r="M96" i="3" s="1"/>
  <c r="AZ96" i="2"/>
  <c r="BF61" i="3"/>
  <c r="AZ54" i="3"/>
  <c r="BC19" i="3"/>
  <c r="D52" i="1"/>
  <c r="D86" i="1"/>
  <c r="AP96" i="3"/>
  <c r="AT96" i="3"/>
  <c r="BZ14" i="4"/>
  <c r="AI30" i="4"/>
  <c r="AI13" i="4"/>
  <c r="AI8" i="4"/>
  <c r="X68" i="1"/>
  <c r="X36" i="1"/>
  <c r="X71" i="1"/>
  <c r="AH70" i="1"/>
  <c r="AH36" i="1"/>
  <c r="AH69" i="1"/>
  <c r="AZ69" i="1"/>
  <c r="AZ70" i="1"/>
  <c r="BG36" i="1"/>
  <c r="D44" i="2"/>
  <c r="E39" i="2"/>
  <c r="AO69" i="2"/>
  <c r="AT78" i="2"/>
  <c r="AW12" i="3"/>
  <c r="BA124" i="3"/>
  <c r="BO31" i="3"/>
  <c r="E86" i="1"/>
  <c r="E43" i="3"/>
  <c r="AI123" i="3"/>
  <c r="AS56" i="3"/>
  <c r="AS132" i="3"/>
  <c r="AY56" i="3"/>
  <c r="V56" i="3"/>
  <c r="P132" i="3"/>
  <c r="P114" i="3"/>
  <c r="P102" i="3" s="1"/>
  <c r="P123" i="3"/>
  <c r="AJ96" i="3"/>
  <c r="AI139" i="3"/>
  <c r="AJ138" i="3"/>
  <c r="BX14" i="4"/>
  <c r="CA14" i="4"/>
  <c r="AI76" i="4"/>
  <c r="AI39" i="4"/>
  <c r="AI47" i="4"/>
  <c r="AI72" i="4"/>
  <c r="AI55" i="4"/>
  <c r="AV51" i="4"/>
  <c r="AV76" i="4"/>
  <c r="AV43" i="4"/>
  <c r="AW91" i="1"/>
  <c r="J69" i="1"/>
  <c r="J70" i="1"/>
  <c r="J36" i="1"/>
  <c r="AA70" i="1"/>
  <c r="BE100" i="1"/>
  <c r="D107" i="1"/>
  <c r="AO11" i="2"/>
  <c r="BA89" i="1"/>
  <c r="BF80" i="3"/>
  <c r="AZ20" i="3"/>
  <c r="W75" i="1"/>
  <c r="M90" i="1"/>
  <c r="BA49" i="3"/>
  <c r="AQ61" i="3"/>
  <c r="AQ54" i="3"/>
  <c r="W87" i="1"/>
  <c r="F150" i="1"/>
  <c r="F151" i="1" s="1"/>
  <c r="F33" i="3"/>
  <c r="J62" i="2"/>
  <c r="AJ56" i="3"/>
  <c r="K115" i="3"/>
  <c r="K103" i="3" s="1"/>
  <c r="K57" i="3"/>
  <c r="E139" i="3"/>
  <c r="F138" i="3"/>
  <c r="R66" i="4"/>
  <c r="R84" i="4" s="1"/>
  <c r="R76" i="4"/>
  <c r="AJ76" i="4"/>
  <c r="AJ51" i="4"/>
  <c r="AJ47" i="4"/>
  <c r="AP76" i="4"/>
  <c r="AW85" i="4"/>
  <c r="AW88" i="4" s="1"/>
  <c r="AV88" i="4"/>
  <c r="AV79" i="4" s="1"/>
  <c r="AE88" i="4"/>
  <c r="AC79" i="4"/>
  <c r="AY149" i="1"/>
  <c r="AY151" i="1" s="1"/>
  <c r="AY86" i="1"/>
  <c r="AY15" i="1"/>
  <c r="AH88" i="1"/>
  <c r="R69" i="1"/>
  <c r="R71" i="1"/>
  <c r="AS69" i="1"/>
  <c r="AS36" i="1"/>
  <c r="U95" i="1"/>
  <c r="Y95" i="1" s="1"/>
  <c r="AO138" i="1"/>
  <c r="AO139" i="1" s="1"/>
  <c r="AN139" i="1"/>
  <c r="AO12" i="2"/>
  <c r="BE44" i="2"/>
  <c r="BI39" i="2"/>
  <c r="AE70" i="2"/>
  <c r="AE76" i="2" s="1"/>
  <c r="AD76" i="2"/>
  <c r="AZ61" i="3"/>
  <c r="AI56" i="3"/>
  <c r="O75" i="1"/>
  <c r="AI130" i="3"/>
  <c r="AI112" i="3"/>
  <c r="AI100" i="3"/>
  <c r="AM94" i="2"/>
  <c r="AM97" i="2" s="1"/>
  <c r="AM99" i="2" s="1"/>
  <c r="AM76" i="1"/>
  <c r="AE53" i="3"/>
  <c r="AK62" i="3"/>
  <c r="AE20" i="3"/>
  <c r="C89" i="1"/>
  <c r="C87" i="1"/>
  <c r="AY89" i="1"/>
  <c r="AY87" i="1"/>
  <c r="I150" i="1"/>
  <c r="AG33" i="3"/>
  <c r="AG150" i="1"/>
  <c r="AK29" i="3"/>
  <c r="J43" i="3"/>
  <c r="I132" i="3"/>
  <c r="I123" i="3"/>
  <c r="R57" i="3"/>
  <c r="L124" i="3"/>
  <c r="AB70" i="1"/>
  <c r="AB69" i="1"/>
  <c r="AN130" i="1"/>
  <c r="AN124" i="1"/>
  <c r="AV131" i="1"/>
  <c r="AV130" i="1"/>
  <c r="AK69" i="2"/>
  <c r="BB70" i="2"/>
  <c r="AE71" i="2"/>
  <c r="AE77" i="2" s="1"/>
  <c r="AD77" i="2"/>
  <c r="AQ7" i="3"/>
  <c r="AS14" i="3"/>
  <c r="AP76" i="1"/>
  <c r="AP75" i="1"/>
  <c r="AQ12" i="3"/>
  <c r="AQ6" i="1"/>
  <c r="BH96" i="2"/>
  <c r="BI19" i="3"/>
  <c r="Q87" i="1"/>
  <c r="AC81" i="3"/>
  <c r="AC87" i="1"/>
  <c r="AM87" i="1"/>
  <c r="K33" i="3"/>
  <c r="K150" i="1"/>
  <c r="K151" i="1" s="1"/>
  <c r="W33" i="3"/>
  <c r="AT63" i="4"/>
  <c r="AT39" i="4"/>
  <c r="AT59" i="4"/>
  <c r="AT51" i="4"/>
  <c r="Y88" i="4"/>
  <c r="U79" i="4"/>
  <c r="AU15" i="1"/>
  <c r="BI149" i="1"/>
  <c r="U149" i="1"/>
  <c r="U151" i="1" s="1"/>
  <c r="S149" i="1"/>
  <c r="Y149" i="1"/>
  <c r="AE149" i="1"/>
  <c r="AQ149" i="1"/>
  <c r="AQ151" i="1" s="1"/>
  <c r="BC15" i="1"/>
  <c r="BE149" i="1"/>
  <c r="BE151" i="1" s="1"/>
  <c r="AB68" i="1"/>
  <c r="AB24" i="1"/>
  <c r="AB184" i="1" s="1"/>
  <c r="AB71" i="1"/>
  <c r="AO68" i="1"/>
  <c r="AO71" i="1"/>
  <c r="F36" i="1"/>
  <c r="O70" i="1"/>
  <c r="AJ71" i="1"/>
  <c r="BE95" i="1"/>
  <c r="BI95" i="1" s="1"/>
  <c r="AJ130" i="1"/>
  <c r="AE157" i="1"/>
  <c r="W10" i="2"/>
  <c r="S39" i="2"/>
  <c r="AH97" i="1"/>
  <c r="AH76" i="2"/>
  <c r="AI70" i="2"/>
  <c r="AU69" i="2"/>
  <c r="AZ78" i="2"/>
  <c r="BC71" i="2"/>
  <c r="AN74" i="1"/>
  <c r="AN75" i="1"/>
  <c r="E14" i="3"/>
  <c r="AJ14" i="3"/>
  <c r="AJ75" i="1"/>
  <c r="BC11" i="3"/>
  <c r="AY14" i="3"/>
  <c r="AU96" i="2"/>
  <c r="BA61" i="3"/>
  <c r="AN81" i="3"/>
  <c r="AN89" i="1"/>
  <c r="X29" i="3"/>
  <c r="BM14" i="4"/>
  <c r="AO47" i="4"/>
  <c r="AO72" i="4"/>
  <c r="AO39" i="4"/>
  <c r="AO59" i="4"/>
  <c r="BH15" i="1"/>
  <c r="AC71" i="1"/>
  <c r="AC24" i="1"/>
  <c r="AM70" i="1"/>
  <c r="AM36" i="1"/>
  <c r="AM68" i="1"/>
  <c r="BA69" i="1"/>
  <c r="BA70" i="1"/>
  <c r="BG100" i="1"/>
  <c r="K88" i="2"/>
  <c r="K147" i="1"/>
  <c r="O150" i="1"/>
  <c r="AO13" i="2"/>
  <c r="AT114" i="1"/>
  <c r="AM44" i="2"/>
  <c r="AQ39" i="2"/>
  <c r="BK16" i="3"/>
  <c r="BK52" i="3" s="1"/>
  <c r="AT56" i="3"/>
  <c r="D132" i="3"/>
  <c r="V57" i="3"/>
  <c r="BC10" i="3"/>
  <c r="BC16" i="3" s="1"/>
  <c r="BC52" i="3" s="1"/>
  <c r="BC130" i="3" s="1"/>
  <c r="Q81" i="3"/>
  <c r="BE77" i="3"/>
  <c r="BK81" i="3"/>
  <c r="AO51" i="4"/>
  <c r="AM71" i="1"/>
  <c r="AT76" i="4"/>
  <c r="E76" i="1"/>
  <c r="Q75" i="1"/>
  <c r="U74" i="1"/>
  <c r="U76" i="1"/>
  <c r="F94" i="2"/>
  <c r="F97" i="2" s="1"/>
  <c r="M6" i="2"/>
  <c r="M5" i="4" s="1"/>
  <c r="J89" i="1"/>
  <c r="J87" i="1"/>
  <c r="AJ150" i="1"/>
  <c r="AJ151" i="1" s="1"/>
  <c r="AJ33" i="3"/>
  <c r="BB33" i="3"/>
  <c r="BC31" i="3"/>
  <c r="E33" i="3"/>
  <c r="G45" i="3"/>
  <c r="F137" i="3"/>
  <c r="G137" i="3" s="1"/>
  <c r="I136" i="3" s="1"/>
  <c r="M136" i="3" s="1"/>
  <c r="K137" i="3"/>
  <c r="L136" i="3" s="1"/>
  <c r="BA80" i="3"/>
  <c r="AQ7" i="4"/>
  <c r="BE14" i="4"/>
  <c r="BT14" i="4"/>
  <c r="BU14" i="4"/>
  <c r="AW25" i="4"/>
  <c r="BB27" i="4"/>
  <c r="AU51" i="4"/>
  <c r="AU76" i="4"/>
  <c r="AU79" i="4"/>
  <c r="AW149" i="1"/>
  <c r="AW86" i="1"/>
  <c r="AD71" i="1"/>
  <c r="AD68" i="1"/>
  <c r="G98" i="1"/>
  <c r="AH139" i="1"/>
  <c r="BH88" i="2"/>
  <c r="P107" i="1"/>
  <c r="V143" i="1"/>
  <c r="R87" i="1"/>
  <c r="E94" i="2"/>
  <c r="E97" i="2" s="1"/>
  <c r="AK88" i="1"/>
  <c r="AQ59" i="3"/>
  <c r="AK90" i="1"/>
  <c r="AU16" i="3"/>
  <c r="AU52" i="3" s="1"/>
  <c r="AW19" i="3"/>
  <c r="K89" i="1"/>
  <c r="O96" i="3"/>
  <c r="BO14" i="4"/>
  <c r="AV31" i="4"/>
  <c r="AH39" i="4"/>
  <c r="AH43" i="4"/>
  <c r="AH72" i="4"/>
  <c r="AH63" i="4"/>
  <c r="AN76" i="4"/>
  <c r="BI14" i="1"/>
  <c r="AS71" i="1"/>
  <c r="AS68" i="1"/>
  <c r="AS24" i="1"/>
  <c r="AA98" i="1"/>
  <c r="AE98" i="1" s="1"/>
  <c r="CA110" i="1"/>
  <c r="AI139" i="1"/>
  <c r="BB88" i="2"/>
  <c r="BB147" i="1"/>
  <c r="BY88" i="2"/>
  <c r="BY147" i="1"/>
  <c r="Q150" i="1"/>
  <c r="Q151" i="1" s="1"/>
  <c r="AW31" i="3"/>
  <c r="V33" i="3"/>
  <c r="AI33" i="3"/>
  <c r="BK14" i="4"/>
  <c r="M88" i="4"/>
  <c r="AU20" i="3"/>
  <c r="C33" i="3"/>
  <c r="F43" i="3"/>
  <c r="BA62" i="3"/>
  <c r="AV59" i="4"/>
  <c r="L79" i="4"/>
  <c r="AV88" i="1"/>
  <c r="BH100" i="1"/>
  <c r="BH101" i="1" s="1"/>
  <c r="I121" i="1"/>
  <c r="AO150" i="1"/>
  <c r="AO151" i="1" s="1"/>
  <c r="BG96" i="2"/>
  <c r="BQ14" i="4"/>
  <c r="BG15" i="1"/>
  <c r="AI150" i="1"/>
  <c r="AI151" i="1" s="1"/>
  <c r="AP150" i="1"/>
  <c r="AP151" i="1" s="1"/>
  <c r="AV20" i="3"/>
  <c r="BA79" i="3"/>
  <c r="BK147" i="1"/>
  <c r="BK88" i="2"/>
  <c r="AD24" i="2"/>
  <c r="AB19" i="2"/>
  <c r="AC20" i="2"/>
  <c r="BG23" i="2"/>
  <c r="BH26" i="2"/>
  <c r="D19" i="2"/>
  <c r="E20" i="2"/>
  <c r="AC21" i="2"/>
  <c r="AG27" i="2"/>
  <c r="AH19" i="2"/>
  <c r="AI25" i="2"/>
  <c r="AO22" i="2"/>
  <c r="AN19" i="2"/>
  <c r="BA25" i="2"/>
  <c r="W24" i="2"/>
  <c r="AV22" i="2"/>
  <c r="I54" i="2"/>
  <c r="Q26" i="2"/>
  <c r="L22" i="2"/>
  <c r="AP20" i="2"/>
  <c r="AQ20" i="2" s="1"/>
  <c r="E22" i="2"/>
  <c r="K25" i="2"/>
  <c r="U27" i="2"/>
  <c r="W25" i="2"/>
  <c r="X20" i="2"/>
  <c r="BB20" i="2"/>
  <c r="BC20" i="2" s="1"/>
  <c r="AZ19" i="2"/>
  <c r="J27" i="2"/>
  <c r="Q22" i="2"/>
  <c r="P19" i="2"/>
  <c r="AO26" i="2"/>
  <c r="AU24" i="2"/>
  <c r="AP23" i="2"/>
  <c r="AC25" i="2"/>
  <c r="O27" i="2"/>
  <c r="V19" i="2"/>
  <c r="AI26" i="2"/>
  <c r="AO24" i="2"/>
  <c r="BA21" i="2"/>
  <c r="BA26" i="2"/>
  <c r="AP21" i="2"/>
  <c r="AU23" i="2"/>
  <c r="L26" i="2"/>
  <c r="V84" i="4"/>
  <c r="V9" i="3"/>
  <c r="AN30" i="4"/>
  <c r="AN8" i="4"/>
  <c r="AN26" i="4"/>
  <c r="AN13" i="4"/>
  <c r="AN66" i="4"/>
  <c r="AN18" i="4"/>
  <c r="AN34" i="4"/>
  <c r="AP97" i="4"/>
  <c r="AP93" i="4"/>
  <c r="AQ92" i="4"/>
  <c r="AC104" i="4"/>
  <c r="AI104" i="4"/>
  <c r="AM52" i="3"/>
  <c r="AH130" i="3"/>
  <c r="AH112" i="3"/>
  <c r="AH121" i="3"/>
  <c r="AS100" i="3"/>
  <c r="AS121" i="3"/>
  <c r="AS130" i="3"/>
  <c r="AS112" i="3"/>
  <c r="AZ121" i="3"/>
  <c r="AZ112" i="3"/>
  <c r="AZ130" i="3"/>
  <c r="AJ17" i="4"/>
  <c r="AP9" i="4"/>
  <c r="AJ9" i="4"/>
  <c r="AK7" i="4"/>
  <c r="AP14" i="4"/>
  <c r="AQ12" i="4"/>
  <c r="AV14" i="4"/>
  <c r="AP17" i="4"/>
  <c r="K16" i="3"/>
  <c r="AG130" i="3"/>
  <c r="AG112" i="3"/>
  <c r="AG121" i="3"/>
  <c r="AG100" i="3"/>
  <c r="AU97" i="4"/>
  <c r="AU104" i="4" s="1"/>
  <c r="BA95" i="4"/>
  <c r="R79" i="4"/>
  <c r="S88" i="4"/>
  <c r="BI44" i="4"/>
  <c r="AG104" i="4"/>
  <c r="AG79" i="4"/>
  <c r="AY112" i="3"/>
  <c r="AY130" i="3"/>
  <c r="AY121" i="3"/>
  <c r="AY100" i="3"/>
  <c r="AM19" i="4"/>
  <c r="AM33" i="4"/>
  <c r="S25" i="4"/>
  <c r="AT121" i="3"/>
  <c r="AT130" i="3"/>
  <c r="AT112" i="3"/>
  <c r="AO33" i="4"/>
  <c r="AO19" i="4"/>
  <c r="BB100" i="3"/>
  <c r="BB130" i="3"/>
  <c r="BB121" i="3"/>
  <c r="AP91" i="4"/>
  <c r="AJ97" i="4"/>
  <c r="AV93" i="4"/>
  <c r="AW92" i="4"/>
  <c r="S71" i="4"/>
  <c r="R10" i="3"/>
  <c r="R16" i="3" s="1"/>
  <c r="S16" i="3" s="1"/>
  <c r="AQ88" i="4"/>
  <c r="AO79" i="4"/>
  <c r="AP72" i="4"/>
  <c r="AQ71" i="4"/>
  <c r="AI66" i="4"/>
  <c r="AI34" i="4"/>
  <c r="AI26" i="4"/>
  <c r="AK29" i="4"/>
  <c r="AQ31" i="4" s="1"/>
  <c r="AJ31" i="4"/>
  <c r="AB116" i="1" l="1"/>
  <c r="V116" i="1"/>
  <c r="V108" i="1"/>
  <c r="AP13" i="72"/>
  <c r="BB87" i="1"/>
  <c r="U101" i="1"/>
  <c r="AE146" i="1"/>
  <c r="R25" i="2"/>
  <c r="S25" i="2" s="1"/>
  <c r="L15" i="2"/>
  <c r="M15" i="2" s="1"/>
  <c r="AV25" i="2"/>
  <c r="AD10" i="2"/>
  <c r="AO114" i="1"/>
  <c r="AO116" i="1" s="1"/>
  <c r="AB99" i="2"/>
  <c r="P99" i="2"/>
  <c r="L21" i="2"/>
  <c r="AJ23" i="2"/>
  <c r="AQ43" i="2"/>
  <c r="AP9" i="2"/>
  <c r="AQ9" i="2" s="1"/>
  <c r="BB31" i="2"/>
  <c r="AO44" i="2"/>
  <c r="X13" i="2"/>
  <c r="Y13" i="2" s="1"/>
  <c r="BB38" i="2"/>
  <c r="BC38" i="2" s="1"/>
  <c r="I101" i="1"/>
  <c r="BS56" i="4"/>
  <c r="AT133" i="3"/>
  <c r="AT115" i="3"/>
  <c r="AT103" i="3" s="1"/>
  <c r="BB82" i="3"/>
  <c r="AT124" i="3"/>
  <c r="BW56" i="4"/>
  <c r="AU57" i="3"/>
  <c r="AT64" i="3"/>
  <c r="BK97" i="2"/>
  <c r="BK99" i="2" s="1"/>
  <c r="AT81" i="3"/>
  <c r="AU133" i="3"/>
  <c r="AT82" i="3"/>
  <c r="AT87" i="1"/>
  <c r="AT57" i="3"/>
  <c r="AU124" i="3"/>
  <c r="BA57" i="3"/>
  <c r="BI70" i="1"/>
  <c r="Q94" i="1"/>
  <c r="I184" i="1"/>
  <c r="AI94" i="1"/>
  <c r="AD88" i="2"/>
  <c r="AS101" i="1"/>
  <c r="AH110" i="1"/>
  <c r="R16" i="2"/>
  <c r="AD33" i="2"/>
  <c r="AP62" i="2"/>
  <c r="O84" i="4"/>
  <c r="AD66" i="3"/>
  <c r="AD163" i="1"/>
  <c r="Y162" i="1"/>
  <c r="AI22" i="3"/>
  <c r="AI64" i="1" s="1"/>
  <c r="AI163" i="1"/>
  <c r="J22" i="3"/>
  <c r="J64" i="1" s="1"/>
  <c r="J163" i="1"/>
  <c r="S177" i="1"/>
  <c r="M177" i="1"/>
  <c r="G177" i="1"/>
  <c r="BB65" i="1"/>
  <c r="AO184" i="1"/>
  <c r="AH183" i="1"/>
  <c r="AH184" i="1"/>
  <c r="BA65" i="1"/>
  <c r="R45" i="1"/>
  <c r="R53" i="1" s="1"/>
  <c r="BI51" i="1"/>
  <c r="AV183" i="1"/>
  <c r="AV184" i="1"/>
  <c r="AM183" i="1"/>
  <c r="AM184" i="1"/>
  <c r="S70" i="1"/>
  <c r="BF183" i="1"/>
  <c r="BF184" i="1"/>
  <c r="X184" i="1"/>
  <c r="X183" i="1"/>
  <c r="AC45" i="1"/>
  <c r="AV47" i="1"/>
  <c r="W45" i="1"/>
  <c r="AU184" i="1"/>
  <c r="AU183" i="1"/>
  <c r="I183" i="1"/>
  <c r="BA47" i="1"/>
  <c r="BE184" i="1"/>
  <c r="BE183" i="1"/>
  <c r="AP184" i="1"/>
  <c r="AS183" i="1"/>
  <c r="AS184" i="1"/>
  <c r="BG183" i="1"/>
  <c r="O184" i="1"/>
  <c r="O183" i="1"/>
  <c r="AB183" i="1"/>
  <c r="L184" i="1"/>
  <c r="L183" i="1"/>
  <c r="AP183" i="1"/>
  <c r="BC51" i="1"/>
  <c r="BG94" i="1"/>
  <c r="V45" i="1"/>
  <c r="V53" i="1" s="1"/>
  <c r="AD183" i="1"/>
  <c r="AD184" i="1"/>
  <c r="Q45" i="1"/>
  <c r="F183" i="1"/>
  <c r="F184" i="1"/>
  <c r="J184" i="1"/>
  <c r="J183" i="1"/>
  <c r="E183" i="1"/>
  <c r="E184" i="1"/>
  <c r="C183" i="1"/>
  <c r="C184" i="1"/>
  <c r="AA184" i="1"/>
  <c r="AA183" i="1"/>
  <c r="AE51" i="1"/>
  <c r="AE52" i="1" s="1"/>
  <c r="P33" i="4"/>
  <c r="E84" i="4"/>
  <c r="E9" i="3"/>
  <c r="E15" i="3" s="1"/>
  <c r="E51" i="3" s="1"/>
  <c r="E129" i="3" s="1"/>
  <c r="AI116" i="1"/>
  <c r="AB91" i="2"/>
  <c r="AZ110" i="1"/>
  <c r="AZ91" i="2"/>
  <c r="J116" i="1"/>
  <c r="X57" i="3"/>
  <c r="P9" i="3"/>
  <c r="P15" i="3" s="1"/>
  <c r="P51" i="3" s="1"/>
  <c r="P129" i="3" s="1"/>
  <c r="AZ63" i="2"/>
  <c r="F111" i="3"/>
  <c r="F120" i="3"/>
  <c r="F129" i="3"/>
  <c r="F84" i="4"/>
  <c r="L75" i="3"/>
  <c r="AO75" i="3"/>
  <c r="R75" i="3"/>
  <c r="AB69" i="4"/>
  <c r="AB28" i="4" s="1"/>
  <c r="O75" i="3"/>
  <c r="I75" i="3"/>
  <c r="AC69" i="4"/>
  <c r="AC57" i="4" s="1"/>
  <c r="P75" i="3"/>
  <c r="W75" i="3"/>
  <c r="AB75" i="3"/>
  <c r="L77" i="4"/>
  <c r="Q75" i="3"/>
  <c r="S66" i="4"/>
  <c r="AN75" i="3"/>
  <c r="AM75" i="3"/>
  <c r="AJ75" i="3"/>
  <c r="AT75" i="3"/>
  <c r="AH69" i="4"/>
  <c r="AH53" i="4" s="1"/>
  <c r="J75" i="3"/>
  <c r="AD76" i="4"/>
  <c r="AA75" i="3"/>
  <c r="X75" i="3"/>
  <c r="AC75" i="3"/>
  <c r="I77" i="4"/>
  <c r="I78" i="4" s="1"/>
  <c r="AS75" i="3"/>
  <c r="AP75" i="3"/>
  <c r="AJ69" i="4"/>
  <c r="AJ24" i="4" s="1"/>
  <c r="AT69" i="4"/>
  <c r="AT24" i="4" s="1"/>
  <c r="AI75" i="3"/>
  <c r="K75" i="3"/>
  <c r="V75" i="3"/>
  <c r="AH75" i="3"/>
  <c r="J77" i="4"/>
  <c r="J78" i="4" s="1"/>
  <c r="AI69" i="4"/>
  <c r="AI24" i="4" s="1"/>
  <c r="K77" i="4"/>
  <c r="K78" i="4" s="1"/>
  <c r="G66" i="4"/>
  <c r="AV75" i="3"/>
  <c r="BB75" i="3"/>
  <c r="AY75" i="3"/>
  <c r="AU75" i="3"/>
  <c r="AZ75" i="3"/>
  <c r="BA75" i="3"/>
  <c r="AJ10" i="2"/>
  <c r="AE32" i="2"/>
  <c r="R8" i="2"/>
  <c r="BB12" i="2"/>
  <c r="G11" i="2"/>
  <c r="G98" i="2" s="1"/>
  <c r="R43" i="2"/>
  <c r="Q98" i="2"/>
  <c r="W62" i="2"/>
  <c r="BH30" i="2"/>
  <c r="P94" i="1"/>
  <c r="P47" i="1"/>
  <c r="AI45" i="1"/>
  <c r="AI65" i="1" s="1"/>
  <c r="L94" i="1"/>
  <c r="AQ91" i="4"/>
  <c r="AZ104" i="4"/>
  <c r="AZ98" i="4" s="1"/>
  <c r="BT159" i="1"/>
  <c r="N33" i="10"/>
  <c r="BC70" i="1"/>
  <c r="BI69" i="1"/>
  <c r="AD94" i="1"/>
  <c r="AG45" i="1"/>
  <c r="AZ45" i="1"/>
  <c r="AZ65" i="1" s="1"/>
  <c r="AQ68" i="1"/>
  <c r="AT101" i="1"/>
  <c r="BI36" i="1"/>
  <c r="K45" i="1"/>
  <c r="AK91" i="4"/>
  <c r="AQ51" i="1"/>
  <c r="AM82" i="1"/>
  <c r="BG91" i="2"/>
  <c r="AT86" i="2"/>
  <c r="R12" i="2"/>
  <c r="G26" i="2"/>
  <c r="BB22" i="2"/>
  <c r="AD23" i="2"/>
  <c r="AS82" i="1"/>
  <c r="BO91" i="2"/>
  <c r="W35" i="2"/>
  <c r="AB90" i="2"/>
  <c r="BK48" i="2"/>
  <c r="BK80" i="1" s="1"/>
  <c r="AC98" i="2"/>
  <c r="AO80" i="2"/>
  <c r="AP8" i="2"/>
  <c r="E107" i="1"/>
  <c r="E108" i="1" s="1"/>
  <c r="BG84" i="2"/>
  <c r="BG85" i="2" s="1"/>
  <c r="BM86" i="2" s="1"/>
  <c r="Q99" i="2"/>
  <c r="AO86" i="2"/>
  <c r="AQ25" i="2"/>
  <c r="AH116" i="1"/>
  <c r="D115" i="1"/>
  <c r="BB34" i="2"/>
  <c r="F33" i="2"/>
  <c r="AD34" i="2"/>
  <c r="AD42" i="2"/>
  <c r="AE15" i="2"/>
  <c r="R11" i="2"/>
  <c r="R98" i="2" s="1"/>
  <c r="R99" i="2" s="1"/>
  <c r="AP32" i="2"/>
  <c r="BH31" i="2"/>
  <c r="K44" i="2"/>
  <c r="BO109" i="1"/>
  <c r="AW31" i="4"/>
  <c r="AW143" i="1"/>
  <c r="AC84" i="2"/>
  <c r="AC85" i="2" s="1"/>
  <c r="AI86" i="2" s="1"/>
  <c r="BH11" i="2"/>
  <c r="F9" i="2"/>
  <c r="I81" i="1"/>
  <c r="BG44" i="2"/>
  <c r="E114" i="1"/>
  <c r="E116" i="1" s="1"/>
  <c r="Y26" i="2"/>
  <c r="BO89" i="2"/>
  <c r="BH43" i="2"/>
  <c r="BI43" i="2" s="1"/>
  <c r="BI97" i="1" s="1"/>
  <c r="AU107" i="1"/>
  <c r="AU110" i="1" s="1"/>
  <c r="AV10" i="2"/>
  <c r="AJ30" i="2"/>
  <c r="AJ107" i="1" s="1"/>
  <c r="AJ108" i="1" s="1"/>
  <c r="I48" i="2"/>
  <c r="AD11" i="2"/>
  <c r="AE11" i="2" s="1"/>
  <c r="AE98" i="2" s="1"/>
  <c r="AZ89" i="2"/>
  <c r="L41" i="2"/>
  <c r="M41" i="2" s="1"/>
  <c r="X23" i="2"/>
  <c r="E101" i="2"/>
  <c r="AP41" i="2"/>
  <c r="E62" i="2"/>
  <c r="L33" i="2"/>
  <c r="Q114" i="1"/>
  <c r="R9" i="2"/>
  <c r="BH25" i="2"/>
  <c r="AV14" i="2"/>
  <c r="BA44" i="2"/>
  <c r="AP97" i="1"/>
  <c r="AQ97" i="1" s="1"/>
  <c r="F15" i="2"/>
  <c r="X12" i="2"/>
  <c r="AJ8" i="2"/>
  <c r="BC24" i="2"/>
  <c r="E99" i="2"/>
  <c r="G12" i="2"/>
  <c r="AD101" i="2"/>
  <c r="BH40" i="2"/>
  <c r="S38" i="2"/>
  <c r="AD31" i="2"/>
  <c r="AE31" i="2" s="1"/>
  <c r="AV143" i="1"/>
  <c r="BB53" i="1"/>
  <c r="G120" i="1"/>
  <c r="AO101" i="1"/>
  <c r="AK71" i="1"/>
  <c r="AG53" i="1"/>
  <c r="P65" i="1"/>
  <c r="BB47" i="1"/>
  <c r="G68" i="1"/>
  <c r="AG151" i="1"/>
  <c r="AT63" i="2"/>
  <c r="V98" i="3"/>
  <c r="AH63" i="2"/>
  <c r="BF63" i="2"/>
  <c r="BH100" i="3"/>
  <c r="BH130" i="3"/>
  <c r="BH112" i="3"/>
  <c r="BN81" i="3"/>
  <c r="BN82" i="3"/>
  <c r="AT30" i="4"/>
  <c r="AW91" i="4"/>
  <c r="G10" i="3"/>
  <c r="AE31" i="4"/>
  <c r="BC60" i="4"/>
  <c r="AK32" i="2"/>
  <c r="AC116" i="1"/>
  <c r="AC115" i="1"/>
  <c r="BC46" i="2"/>
  <c r="BI24" i="2"/>
  <c r="AI78" i="2"/>
  <c r="AP14" i="2"/>
  <c r="R97" i="1"/>
  <c r="S20" i="2"/>
  <c r="X38" i="2"/>
  <c r="Y38" i="2" s="1"/>
  <c r="W114" i="1"/>
  <c r="W116" i="1" s="1"/>
  <c r="X9" i="2"/>
  <c r="Y9" i="2" s="1"/>
  <c r="W80" i="2"/>
  <c r="AV97" i="1"/>
  <c r="M11" i="2"/>
  <c r="AU35" i="2"/>
  <c r="AW30" i="2"/>
  <c r="E35" i="2"/>
  <c r="M17" i="2"/>
  <c r="E23" i="10"/>
  <c r="E24" i="10" s="1"/>
  <c r="F8" i="2"/>
  <c r="W98" i="2"/>
  <c r="W99" i="2" s="1"/>
  <c r="D99" i="2"/>
  <c r="BH10" i="2"/>
  <c r="BI10" i="2" s="1"/>
  <c r="J99" i="2"/>
  <c r="W44" i="2"/>
  <c r="G9" i="2"/>
  <c r="BH46" i="2"/>
  <c r="Q97" i="1"/>
  <c r="F43" i="2"/>
  <c r="AW33" i="2"/>
  <c r="S43" i="2"/>
  <c r="AQ46" i="2"/>
  <c r="AW98" i="2"/>
  <c r="AC143" i="1"/>
  <c r="AC91" i="2" s="1"/>
  <c r="AI107" i="1"/>
  <c r="AI110" i="1" s="1"/>
  <c r="X43" i="2"/>
  <c r="X62" i="2" s="1"/>
  <c r="BA114" i="1"/>
  <c r="BA116" i="1" s="1"/>
  <c r="M10" i="3"/>
  <c r="AS84" i="4"/>
  <c r="AE79" i="3"/>
  <c r="AQ62" i="3"/>
  <c r="AW53" i="3"/>
  <c r="AW132" i="3" s="1"/>
  <c r="BC95" i="2"/>
  <c r="AY81" i="1"/>
  <c r="AV132" i="3"/>
  <c r="X124" i="3"/>
  <c r="X115" i="3"/>
  <c r="X103" i="3" s="1"/>
  <c r="M16" i="3"/>
  <c r="X133" i="3"/>
  <c r="BW62" i="2"/>
  <c r="CC62" i="2" s="1"/>
  <c r="V63" i="2"/>
  <c r="AQ53" i="3"/>
  <c r="AD57" i="3"/>
  <c r="AO97" i="2"/>
  <c r="AN63" i="2"/>
  <c r="AV56" i="3"/>
  <c r="AV114" i="3"/>
  <c r="AV102" i="3" s="1"/>
  <c r="AQ71" i="2"/>
  <c r="AJ104" i="4"/>
  <c r="AJ98" i="4" s="1"/>
  <c r="AJ99" i="4" s="1"/>
  <c r="AE17" i="4"/>
  <c r="AE33" i="4" s="1"/>
  <c r="AE26" i="4" s="1"/>
  <c r="BC73" i="4"/>
  <c r="U33" i="4"/>
  <c r="U66" i="4" s="1"/>
  <c r="U9" i="3" s="1"/>
  <c r="U15" i="3" s="1"/>
  <c r="U51" i="3" s="1"/>
  <c r="U129" i="3" s="1"/>
  <c r="BO56" i="4"/>
  <c r="BM102" i="2"/>
  <c r="BM114" i="1"/>
  <c r="BO114" i="1" s="1"/>
  <c r="G70" i="1"/>
  <c r="AQ69" i="1"/>
  <c r="AK68" i="1"/>
  <c r="P53" i="1"/>
  <c r="AW24" i="1"/>
  <c r="AJ53" i="1"/>
  <c r="I47" i="1"/>
  <c r="BK45" i="1"/>
  <c r="BK65" i="1" s="1"/>
  <c r="U45" i="1"/>
  <c r="BA101" i="1"/>
  <c r="AN45" i="1"/>
  <c r="AN47" i="1" s="1"/>
  <c r="W101" i="1"/>
  <c r="AP34" i="2"/>
  <c r="L32" i="2"/>
  <c r="L42" i="2"/>
  <c r="AJ46" i="2"/>
  <c r="BC40" i="2"/>
  <c r="BB80" i="2"/>
  <c r="F143" i="1"/>
  <c r="S33" i="2"/>
  <c r="G31" i="2"/>
  <c r="Y34" i="2"/>
  <c r="AW46" i="2"/>
  <c r="X46" i="2"/>
  <c r="AV41" i="2"/>
  <c r="AV44" i="2" s="1"/>
  <c r="BA80" i="2"/>
  <c r="R42" i="2"/>
  <c r="F40" i="2"/>
  <c r="E80" i="2"/>
  <c r="BB30" i="2"/>
  <c r="BA107" i="1"/>
  <c r="BA108" i="1" s="1"/>
  <c r="AJ20" i="2"/>
  <c r="L9" i="2"/>
  <c r="F98" i="2"/>
  <c r="F99" i="2" s="1"/>
  <c r="BC8" i="2"/>
  <c r="AI62" i="2"/>
  <c r="AO63" i="2" s="1"/>
  <c r="AI97" i="1"/>
  <c r="AJ43" i="2"/>
  <c r="AK43" i="2" s="1"/>
  <c r="AW20" i="2"/>
  <c r="AU116" i="1"/>
  <c r="AT110" i="1"/>
  <c r="BB114" i="1"/>
  <c r="BB115" i="1" s="1"/>
  <c r="BC9" i="2"/>
  <c r="E90" i="2"/>
  <c r="E89" i="2"/>
  <c r="C81" i="1"/>
  <c r="C54" i="2"/>
  <c r="C48" i="2"/>
  <c r="M14" i="2"/>
  <c r="S46" i="2"/>
  <c r="AQ17" i="2"/>
  <c r="BH69" i="2"/>
  <c r="BN78" i="2" s="1"/>
  <c r="BS69" i="2"/>
  <c r="BY69" i="2" s="1"/>
  <c r="CE69" i="2" s="1"/>
  <c r="BH21" i="2"/>
  <c r="BB13" i="2"/>
  <c r="AW32" i="2"/>
  <c r="AV34" i="2"/>
  <c r="AP33" i="2"/>
  <c r="AJ33" i="2"/>
  <c r="AJ31" i="2"/>
  <c r="AI143" i="1"/>
  <c r="R21" i="2"/>
  <c r="BB15" i="2"/>
  <c r="X14" i="2"/>
  <c r="F16" i="2"/>
  <c r="F10" i="2"/>
  <c r="BC88" i="4"/>
  <c r="BC79" i="3"/>
  <c r="AE72" i="3"/>
  <c r="AE96" i="3" s="1"/>
  <c r="AO50" i="3"/>
  <c r="AO128" i="3" s="1"/>
  <c r="Y91" i="1"/>
  <c r="AW10" i="3"/>
  <c r="AE10" i="3"/>
  <c r="AD121" i="3"/>
  <c r="AV138" i="3"/>
  <c r="AE151" i="1"/>
  <c r="G16" i="3"/>
  <c r="AD112" i="3"/>
  <c r="AE16" i="3"/>
  <c r="AD130" i="3"/>
  <c r="Y88" i="1"/>
  <c r="AE59" i="3"/>
  <c r="Y72" i="3"/>
  <c r="Y75" i="4"/>
  <c r="Y90" i="1"/>
  <c r="Y59" i="3"/>
  <c r="Y54" i="3"/>
  <c r="Y57" i="3" s="1"/>
  <c r="AS99" i="4"/>
  <c r="AE73" i="4"/>
  <c r="AK97" i="4"/>
  <c r="AH105" i="4"/>
  <c r="AY104" i="4"/>
  <c r="AY98" i="4" s="1"/>
  <c r="AY99" i="4" s="1"/>
  <c r="AD96" i="3"/>
  <c r="BF6" i="3"/>
  <c r="BC40" i="4"/>
  <c r="AW94" i="4"/>
  <c r="AP112" i="3"/>
  <c r="G115" i="3"/>
  <c r="G103" i="3" s="1"/>
  <c r="BA56" i="3"/>
  <c r="AO78" i="3"/>
  <c r="AE101" i="2"/>
  <c r="M26" i="2"/>
  <c r="AW42" i="2"/>
  <c r="AW84" i="2" s="1"/>
  <c r="AW85" i="2" s="1"/>
  <c r="R41" i="2"/>
  <c r="BI40" i="2"/>
  <c r="M34" i="2"/>
  <c r="AU91" i="2"/>
  <c r="BG62" i="2"/>
  <c r="BM63" i="2" s="1"/>
  <c r="AD84" i="2"/>
  <c r="AD85" i="2" s="1"/>
  <c r="AD22" i="3"/>
  <c r="AD64" i="1" s="1"/>
  <c r="V99" i="2"/>
  <c r="AW16" i="2"/>
  <c r="R62" i="2"/>
  <c r="F14" i="2"/>
  <c r="M24" i="2"/>
  <c r="L107" i="1"/>
  <c r="M30" i="2"/>
  <c r="X143" i="1"/>
  <c r="G43" i="2"/>
  <c r="M8" i="2"/>
  <c r="BC14" i="2"/>
  <c r="S11" i="2"/>
  <c r="AD114" i="1"/>
  <c r="X84" i="2"/>
  <c r="X85" i="2" s="1"/>
  <c r="Y42" i="2"/>
  <c r="AJ94" i="1"/>
  <c r="AI101" i="1"/>
  <c r="AA45" i="1"/>
  <c r="AM101" i="1"/>
  <c r="AN94" i="1"/>
  <c r="C65" i="1"/>
  <c r="AM77" i="1"/>
  <c r="AK124" i="1"/>
  <c r="AK126" i="1" s="1"/>
  <c r="AQ123" i="1" s="1"/>
  <c r="G52" i="1"/>
  <c r="O151" i="1"/>
  <c r="Y69" i="1"/>
  <c r="Y68" i="1"/>
  <c r="AG130" i="1"/>
  <c r="S24" i="1"/>
  <c r="Y70" i="1"/>
  <c r="BC36" i="1"/>
  <c r="AG101" i="1"/>
  <c r="AH94" i="1"/>
  <c r="R94" i="1"/>
  <c r="Q101" i="1"/>
  <c r="AT47" i="1"/>
  <c r="Y36" i="1"/>
  <c r="D45" i="1"/>
  <c r="D53" i="1" s="1"/>
  <c r="M70" i="1"/>
  <c r="AT53" i="1"/>
  <c r="I53" i="1"/>
  <c r="Y71" i="1"/>
  <c r="AQ70" i="1"/>
  <c r="AV65" i="1"/>
  <c r="BO20" i="1"/>
  <c r="D128" i="3"/>
  <c r="W120" i="3"/>
  <c r="BA24" i="3"/>
  <c r="BA163" i="1" s="1"/>
  <c r="BA119" i="3"/>
  <c r="BA110" i="3"/>
  <c r="J60" i="3"/>
  <c r="AZ6" i="1"/>
  <c r="AP119" i="3"/>
  <c r="BA128" i="3"/>
  <c r="D24" i="3"/>
  <c r="BA84" i="2"/>
  <c r="BA85" i="2" s="1"/>
  <c r="BA86" i="2" s="1"/>
  <c r="BB42" i="2"/>
  <c r="AJ17" i="2"/>
  <c r="L16" i="2"/>
  <c r="AE41" i="2"/>
  <c r="AC80" i="2"/>
  <c r="AD40" i="2"/>
  <c r="BG124" i="1"/>
  <c r="BG126" i="1" s="1"/>
  <c r="BH123" i="1" s="1"/>
  <c r="BH124" i="1" s="1"/>
  <c r="BG90" i="2"/>
  <c r="AK9" i="2"/>
  <c r="AJ114" i="1"/>
  <c r="BC12" i="2"/>
  <c r="BI32" i="2"/>
  <c r="K97" i="1"/>
  <c r="L43" i="2"/>
  <c r="M43" i="2" s="1"/>
  <c r="K62" i="2"/>
  <c r="AW40" i="2"/>
  <c r="W108" i="1"/>
  <c r="W110" i="1"/>
  <c r="AY54" i="2"/>
  <c r="AK22" i="2"/>
  <c r="AC44" i="2"/>
  <c r="BI9" i="2"/>
  <c r="Q44" i="2"/>
  <c r="BU109" i="1"/>
  <c r="X17" i="2"/>
  <c r="AV80" i="2"/>
  <c r="AW80" i="2" s="1"/>
  <c r="AW43" i="2"/>
  <c r="BG97" i="1"/>
  <c r="G33" i="2"/>
  <c r="Y11" i="2"/>
  <c r="Y98" i="2" s="1"/>
  <c r="AJ101" i="2"/>
  <c r="BK54" i="2"/>
  <c r="BG109" i="1"/>
  <c r="BG110" i="1" s="1"/>
  <c r="Y107" i="1"/>
  <c r="Y108" i="1" s="1"/>
  <c r="AJ41" i="2"/>
  <c r="AT90" i="2"/>
  <c r="AT139" i="1"/>
  <c r="AW139" i="1" s="1"/>
  <c r="AT89" i="2"/>
  <c r="J110" i="1"/>
  <c r="J108" i="1"/>
  <c r="D91" i="2"/>
  <c r="D90" i="2"/>
  <c r="D89" i="2"/>
  <c r="AJ11" i="2"/>
  <c r="AI98" i="2"/>
  <c r="AI99" i="2" s="1"/>
  <c r="F41" i="2"/>
  <c r="BI41" i="2"/>
  <c r="R13" i="2"/>
  <c r="X15" i="2"/>
  <c r="BB41" i="2"/>
  <c r="BB23" i="2"/>
  <c r="S14" i="2"/>
  <c r="G13" i="2"/>
  <c r="AQ84" i="2"/>
  <c r="AQ85" i="2" s="1"/>
  <c r="AD17" i="2"/>
  <c r="Y7" i="4"/>
  <c r="AD79" i="4"/>
  <c r="AP98" i="3"/>
  <c r="AP128" i="3"/>
  <c r="G150" i="1"/>
  <c r="G151" i="1" s="1"/>
  <c r="AZ6" i="2"/>
  <c r="AZ5" i="4" s="1"/>
  <c r="AQ20" i="3"/>
  <c r="AQ64" i="3" s="1"/>
  <c r="AT97" i="2"/>
  <c r="AT99" i="2" s="1"/>
  <c r="BA6" i="1"/>
  <c r="M150" i="1"/>
  <c r="M151" i="1" s="1"/>
  <c r="X76" i="4"/>
  <c r="AV50" i="3"/>
  <c r="AV128" i="3" s="1"/>
  <c r="X96" i="3"/>
  <c r="AZ7" i="3"/>
  <c r="AZ74" i="1" s="1"/>
  <c r="CI48" i="4"/>
  <c r="CI49" i="4" s="1"/>
  <c r="AV97" i="2"/>
  <c r="AV99" i="2" s="1"/>
  <c r="AU89" i="2"/>
  <c r="AM48" i="2"/>
  <c r="AM80" i="1" s="1"/>
  <c r="AU88" i="2"/>
  <c r="AU147" i="1"/>
  <c r="AN105" i="4"/>
  <c r="AI19" i="2"/>
  <c r="AI27" i="2" s="1"/>
  <c r="BB25" i="2"/>
  <c r="BI26" i="2"/>
  <c r="G23" i="2"/>
  <c r="BG35" i="2"/>
  <c r="BH33" i="2"/>
  <c r="BI33" i="2" s="1"/>
  <c r="AU45" i="1"/>
  <c r="AG65" i="1"/>
  <c r="AG47" i="1"/>
  <c r="Y45" i="1"/>
  <c r="Y65" i="1" s="1"/>
  <c r="BL154" i="1"/>
  <c r="BL157" i="1" s="1"/>
  <c r="BL158" i="1"/>
  <c r="O45" i="1"/>
  <c r="O53" i="1" s="1"/>
  <c r="BA94" i="1"/>
  <c r="AZ101" i="1"/>
  <c r="E94" i="1"/>
  <c r="D101" i="1"/>
  <c r="AA9" i="3"/>
  <c r="AA15" i="3" s="1"/>
  <c r="W129" i="3"/>
  <c r="AV97" i="4"/>
  <c r="AV104" i="4" s="1"/>
  <c r="V119" i="3"/>
  <c r="AE147" i="1"/>
  <c r="CA109" i="1"/>
  <c r="C47" i="1"/>
  <c r="M45" i="1"/>
  <c r="AE88" i="2"/>
  <c r="DC5" i="3"/>
  <c r="DC4" i="3"/>
  <c r="S68" i="1"/>
  <c r="AG138" i="1"/>
  <c r="AG139" i="1" s="1"/>
  <c r="AK139" i="1" s="1"/>
  <c r="AK138" i="1"/>
  <c r="DC3" i="3"/>
  <c r="AK132" i="1"/>
  <c r="AQ128" i="1" s="1"/>
  <c r="AO52" i="1"/>
  <c r="BE45" i="1"/>
  <c r="AK69" i="1"/>
  <c r="AK36" i="1"/>
  <c r="C53" i="1"/>
  <c r="M69" i="1"/>
  <c r="S69" i="1"/>
  <c r="AK70" i="1"/>
  <c r="AK24" i="1"/>
  <c r="M71" i="1"/>
  <c r="M68" i="1"/>
  <c r="BC151" i="1"/>
  <c r="AB65" i="1"/>
  <c r="S45" i="1"/>
  <c r="S53" i="1" s="1"/>
  <c r="S71" i="1"/>
  <c r="AN52" i="1"/>
  <c r="AH52" i="1"/>
  <c r="AO94" i="1"/>
  <c r="AN101" i="1"/>
  <c r="AC94" i="1"/>
  <c r="AB101" i="1"/>
  <c r="AY45" i="1"/>
  <c r="AP45" i="1"/>
  <c r="AD45" i="1"/>
  <c r="AD53" i="1" s="1"/>
  <c r="E45" i="1"/>
  <c r="E53" i="1" s="1"/>
  <c r="AN99" i="4"/>
  <c r="G71" i="1"/>
  <c r="M24" i="1"/>
  <c r="U47" i="1"/>
  <c r="K47" i="1"/>
  <c r="K65" i="1"/>
  <c r="G36" i="1"/>
  <c r="AE24" i="1"/>
  <c r="K53" i="1"/>
  <c r="AT65" i="1"/>
  <c r="BC43" i="2"/>
  <c r="Y12" i="2"/>
  <c r="BH16" i="2"/>
  <c r="F23" i="10"/>
  <c r="BB21" i="2"/>
  <c r="Y21" i="2"/>
  <c r="BI25" i="2"/>
  <c r="S23" i="2"/>
  <c r="AV115" i="1"/>
  <c r="AV116" i="1"/>
  <c r="J77" i="1"/>
  <c r="X56" i="3"/>
  <c r="E13" i="10"/>
  <c r="W111" i="3"/>
  <c r="AM24" i="3"/>
  <c r="AW95" i="2"/>
  <c r="S89" i="1"/>
  <c r="AM50" i="3"/>
  <c r="BA97" i="2"/>
  <c r="BA99" i="2" s="1"/>
  <c r="BA6" i="2"/>
  <c r="BA5" i="4" s="1"/>
  <c r="AP110" i="3"/>
  <c r="AI66" i="3"/>
  <c r="M80" i="4"/>
  <c r="P24" i="3"/>
  <c r="P163" i="1" s="1"/>
  <c r="P50" i="3"/>
  <c r="V55" i="3" s="1"/>
  <c r="AU56" i="3"/>
  <c r="BC62" i="3"/>
  <c r="AW79" i="3"/>
  <c r="BA132" i="3"/>
  <c r="O63" i="2"/>
  <c r="V78" i="3"/>
  <c r="S33" i="3"/>
  <c r="U24" i="3"/>
  <c r="M79" i="4"/>
  <c r="AV78" i="3"/>
  <c r="P60" i="3"/>
  <c r="BA114" i="3"/>
  <c r="BA102" i="3" s="1"/>
  <c r="AO60" i="3"/>
  <c r="AO77" i="1"/>
  <c r="AO56" i="3"/>
  <c r="S151" i="1"/>
  <c r="AO132" i="3"/>
  <c r="AW62" i="3"/>
  <c r="BA7" i="3"/>
  <c r="BA76" i="1" s="1"/>
  <c r="AP24" i="3"/>
  <c r="V60" i="3"/>
  <c r="AO24" i="3"/>
  <c r="AV60" i="3"/>
  <c r="G33" i="10"/>
  <c r="E33" i="10"/>
  <c r="L33" i="10"/>
  <c r="M33" i="10"/>
  <c r="BU89" i="2"/>
  <c r="BU90" i="2"/>
  <c r="P78" i="3"/>
  <c r="AQ94" i="2"/>
  <c r="AQ49" i="3"/>
  <c r="AU77" i="3"/>
  <c r="AA139" i="3"/>
  <c r="AA138" i="3" s="1"/>
  <c r="V128" i="3"/>
  <c r="O138" i="3"/>
  <c r="P138" i="3"/>
  <c r="AE33" i="3"/>
  <c r="AZ114" i="3"/>
  <c r="AZ102" i="3" s="1"/>
  <c r="AZ123" i="3"/>
  <c r="AZ132" i="3"/>
  <c r="AU94" i="2"/>
  <c r="AU97" i="2" s="1"/>
  <c r="AU99" i="2" s="1"/>
  <c r="AU75" i="1"/>
  <c r="AZ128" i="3"/>
  <c r="I33" i="10"/>
  <c r="AW11" i="3"/>
  <c r="AW49" i="3" s="1"/>
  <c r="AO114" i="3"/>
  <c r="AO102" i="3" s="1"/>
  <c r="BA77" i="3"/>
  <c r="AU14" i="3"/>
  <c r="AN50" i="3"/>
  <c r="AN98" i="3" s="1"/>
  <c r="J50" i="3"/>
  <c r="AU82" i="3"/>
  <c r="AU64" i="3"/>
  <c r="AZ64" i="3"/>
  <c r="AZ82" i="3"/>
  <c r="BF82" i="3"/>
  <c r="BB81" i="3"/>
  <c r="AV82" i="3"/>
  <c r="AV64" i="3"/>
  <c r="BA82" i="3"/>
  <c r="BH82" i="3"/>
  <c r="BG82" i="3"/>
  <c r="AQ79" i="3"/>
  <c r="AQ95" i="2"/>
  <c r="S57" i="3"/>
  <c r="M115" i="3"/>
  <c r="M103" i="3" s="1"/>
  <c r="CA124" i="1"/>
  <c r="R10" i="2"/>
  <c r="CA139" i="1"/>
  <c r="AQ10" i="3"/>
  <c r="M124" i="3"/>
  <c r="F33" i="10"/>
  <c r="H33" i="10"/>
  <c r="AW124" i="3"/>
  <c r="D33" i="10"/>
  <c r="J33" i="10"/>
  <c r="G133" i="3"/>
  <c r="AE124" i="3"/>
  <c r="BF130" i="3"/>
  <c r="AA77" i="4"/>
  <c r="W77" i="1"/>
  <c r="Y79" i="4"/>
  <c r="AI77" i="4"/>
  <c r="W66" i="3"/>
  <c r="W22" i="3"/>
  <c r="W78" i="3"/>
  <c r="O60" i="3"/>
  <c r="BF112" i="3"/>
  <c r="D9" i="3"/>
  <c r="D15" i="3" s="1"/>
  <c r="U77" i="4"/>
  <c r="J66" i="3"/>
  <c r="D98" i="3"/>
  <c r="AE132" i="3"/>
  <c r="X123" i="3"/>
  <c r="W50" i="3"/>
  <c r="AP121" i="3"/>
  <c r="J35" i="3"/>
  <c r="J36" i="3" s="1"/>
  <c r="AP130" i="3"/>
  <c r="BF121" i="3"/>
  <c r="AW151" i="1"/>
  <c r="O24" i="3"/>
  <c r="AD35" i="3"/>
  <c r="AD36" i="3" s="1"/>
  <c r="D119" i="3"/>
  <c r="U78" i="3"/>
  <c r="I98" i="3"/>
  <c r="I24" i="3"/>
  <c r="O50" i="3"/>
  <c r="O55" i="3" s="1"/>
  <c r="J78" i="3"/>
  <c r="CA89" i="2"/>
  <c r="CA91" i="2"/>
  <c r="CA90" i="2"/>
  <c r="J84" i="4"/>
  <c r="Q33" i="4"/>
  <c r="AH77" i="4"/>
  <c r="P77" i="4"/>
  <c r="W77" i="4"/>
  <c r="Q84" i="4"/>
  <c r="Q99" i="3"/>
  <c r="AJ77" i="1"/>
  <c r="AT98" i="4"/>
  <c r="AT99" i="4" s="1"/>
  <c r="AT105" i="4"/>
  <c r="AD13" i="4"/>
  <c r="AD8" i="4"/>
  <c r="AD66" i="4"/>
  <c r="AD9" i="3" s="1"/>
  <c r="AD15" i="3" s="1"/>
  <c r="AD51" i="3" s="1"/>
  <c r="AU66" i="4"/>
  <c r="AU26" i="4"/>
  <c r="AU30" i="4"/>
  <c r="AU8" i="4"/>
  <c r="AU13" i="4"/>
  <c r="AD34" i="4"/>
  <c r="AD26" i="4"/>
  <c r="AV33" i="4"/>
  <c r="AV18" i="4" s="1"/>
  <c r="AT66" i="4"/>
  <c r="AA84" i="4"/>
  <c r="BC100" i="3"/>
  <c r="O77" i="4"/>
  <c r="AD30" i="4"/>
  <c r="BC112" i="3"/>
  <c r="AW17" i="4"/>
  <c r="AW33" i="4" s="1"/>
  <c r="AT34" i="4"/>
  <c r="AT35" i="4"/>
  <c r="AT26" i="4"/>
  <c r="AT8" i="4"/>
  <c r="AT13" i="4"/>
  <c r="AD18" i="4"/>
  <c r="V77" i="4"/>
  <c r="BO52" i="4"/>
  <c r="Y16" i="3"/>
  <c r="AU34" i="4"/>
  <c r="AW40" i="4"/>
  <c r="X17" i="4"/>
  <c r="AD9" i="4"/>
  <c r="AK14" i="4"/>
  <c r="AK93" i="4"/>
  <c r="AE97" i="4"/>
  <c r="AG77" i="1"/>
  <c r="I77" i="1"/>
  <c r="L84" i="4"/>
  <c r="P77" i="1"/>
  <c r="E77" i="1"/>
  <c r="AQ50" i="3"/>
  <c r="AT77" i="4"/>
  <c r="AE123" i="3"/>
  <c r="AK96" i="3"/>
  <c r="BT103" i="3"/>
  <c r="BT54" i="3" s="1"/>
  <c r="BT133" i="3"/>
  <c r="BT124" i="3"/>
  <c r="K78" i="3"/>
  <c r="U60" i="3"/>
  <c r="AM60" i="3"/>
  <c r="O78" i="3"/>
  <c r="AW96" i="3"/>
  <c r="Q77" i="1"/>
  <c r="AG24" i="3"/>
  <c r="BI100" i="3"/>
  <c r="AG50" i="3"/>
  <c r="S74" i="1"/>
  <c r="AM78" i="3"/>
  <c r="L99" i="2"/>
  <c r="BG6" i="3"/>
  <c r="AY138" i="3"/>
  <c r="AZ140" i="3"/>
  <c r="BC121" i="3"/>
  <c r="U77" i="1"/>
  <c r="M57" i="3"/>
  <c r="AZ97" i="2"/>
  <c r="AZ99" i="2" s="1"/>
  <c r="X132" i="3"/>
  <c r="X114" i="3"/>
  <c r="X102" i="3" s="1"/>
  <c r="AD77" i="1"/>
  <c r="I110" i="3"/>
  <c r="I128" i="3"/>
  <c r="AP77" i="1"/>
  <c r="X94" i="2"/>
  <c r="X97" i="2" s="1"/>
  <c r="X76" i="1"/>
  <c r="X75" i="1"/>
  <c r="X49" i="3"/>
  <c r="X14" i="3"/>
  <c r="X60" i="3" s="1"/>
  <c r="AD77" i="3"/>
  <c r="Y11" i="3"/>
  <c r="Y77" i="3" s="1"/>
  <c r="G94" i="2"/>
  <c r="G97" i="2" s="1"/>
  <c r="K99" i="2"/>
  <c r="K50" i="3"/>
  <c r="K119" i="3" s="1"/>
  <c r="K60" i="3"/>
  <c r="AZ119" i="3"/>
  <c r="X77" i="3"/>
  <c r="G49" i="3"/>
  <c r="K77" i="1"/>
  <c r="AC77" i="1"/>
  <c r="D77" i="1"/>
  <c r="AS105" i="4"/>
  <c r="R77" i="4"/>
  <c r="S79" i="4"/>
  <c r="BI121" i="3"/>
  <c r="V77" i="1"/>
  <c r="AK115" i="3"/>
  <c r="AK103" i="3" s="1"/>
  <c r="AE133" i="3"/>
  <c r="Q50" i="3"/>
  <c r="Q24" i="3"/>
  <c r="Q163" i="1" s="1"/>
  <c r="W60" i="3"/>
  <c r="AK132" i="3"/>
  <c r="AK114" i="3"/>
  <c r="AK102" i="3" s="1"/>
  <c r="AK123" i="3"/>
  <c r="AN139" i="3"/>
  <c r="AO138" i="3"/>
  <c r="BI130" i="3"/>
  <c r="S123" i="3"/>
  <c r="AC99" i="2"/>
  <c r="AK124" i="3"/>
  <c r="V66" i="3"/>
  <c r="V22" i="3"/>
  <c r="AT24" i="3"/>
  <c r="AT163" i="1" s="1"/>
  <c r="AT78" i="3"/>
  <c r="AT50" i="3"/>
  <c r="AT60" i="3"/>
  <c r="AZ60" i="3"/>
  <c r="AW123" i="3"/>
  <c r="C9" i="3"/>
  <c r="C15" i="3" s="1"/>
  <c r="C51" i="3" s="1"/>
  <c r="C84" i="4"/>
  <c r="BI94" i="2"/>
  <c r="AE115" i="3"/>
  <c r="AE103" i="3" s="1"/>
  <c r="Q60" i="3"/>
  <c r="AZ98" i="3"/>
  <c r="AB77" i="1"/>
  <c r="AN66" i="3"/>
  <c r="AN35" i="3"/>
  <c r="AN22" i="3"/>
  <c r="F24" i="3"/>
  <c r="F50" i="3"/>
  <c r="C50" i="3"/>
  <c r="C24" i="3"/>
  <c r="C163" i="1" s="1"/>
  <c r="I78" i="3"/>
  <c r="I60" i="3"/>
  <c r="AV76" i="1"/>
  <c r="AV74" i="1"/>
  <c r="AV75" i="1"/>
  <c r="BH97" i="2"/>
  <c r="BG97" i="2"/>
  <c r="BG99" i="2" s="1"/>
  <c r="BB6" i="2"/>
  <c r="BB5" i="4" s="1"/>
  <c r="BB7" i="3"/>
  <c r="BH6" i="3"/>
  <c r="BB6" i="1"/>
  <c r="AC77" i="4"/>
  <c r="Y74" i="1"/>
  <c r="Q78" i="3"/>
  <c r="F77" i="1"/>
  <c r="O77" i="1"/>
  <c r="S114" i="3"/>
  <c r="S102" i="3" s="1"/>
  <c r="AK57" i="3"/>
  <c r="S124" i="3"/>
  <c r="S115" i="3"/>
  <c r="S103" i="3" s="1"/>
  <c r="S133" i="3"/>
  <c r="Q129" i="3"/>
  <c r="Q111" i="3"/>
  <c r="V54" i="1"/>
  <c r="M80" i="2"/>
  <c r="P108" i="1"/>
  <c r="P110" i="1"/>
  <c r="AY60" i="3"/>
  <c r="AY24" i="3"/>
  <c r="AY78" i="3"/>
  <c r="AY50" i="3"/>
  <c r="BC52" i="1"/>
  <c r="AH45" i="1"/>
  <c r="AH53" i="1" s="1"/>
  <c r="AK84" i="2"/>
  <c r="AK85" i="2" s="1"/>
  <c r="BB23" i="4"/>
  <c r="F25" i="2"/>
  <c r="BA63" i="2"/>
  <c r="K22" i="3"/>
  <c r="K66" i="3"/>
  <c r="K35" i="3"/>
  <c r="F17" i="2"/>
  <c r="AU121" i="3"/>
  <c r="AU112" i="3"/>
  <c r="AT116" i="1"/>
  <c r="AT115" i="1"/>
  <c r="AN77" i="1"/>
  <c r="AS78" i="3"/>
  <c r="AS50" i="3"/>
  <c r="AS60" i="3"/>
  <c r="AS24" i="3"/>
  <c r="BB98" i="2"/>
  <c r="BB99" i="2" s="1"/>
  <c r="AP101" i="2"/>
  <c r="AP114" i="1"/>
  <c r="AI35" i="4"/>
  <c r="AC30" i="4"/>
  <c r="AC26" i="4"/>
  <c r="AO130" i="3"/>
  <c r="J99" i="3"/>
  <c r="BG71" i="1"/>
  <c r="BG68" i="1"/>
  <c r="BG24" i="1"/>
  <c r="BG184" i="1" s="1"/>
  <c r="AQ74" i="1"/>
  <c r="AQ75" i="1"/>
  <c r="M10" i="2"/>
  <c r="AY48" i="2"/>
  <c r="BI95" i="2"/>
  <c r="BI79" i="3"/>
  <c r="BI62" i="3"/>
  <c r="BI20" i="3"/>
  <c r="BC33" i="2"/>
  <c r="AK73" i="4"/>
  <c r="AG67" i="4"/>
  <c r="AG84" i="4"/>
  <c r="AG9" i="3"/>
  <c r="AG15" i="3" s="1"/>
  <c r="AG51" i="3" s="1"/>
  <c r="BB10" i="2"/>
  <c r="AE26" i="2"/>
  <c r="AE27" i="4"/>
  <c r="J129" i="3"/>
  <c r="BH22" i="2"/>
  <c r="AP80" i="2"/>
  <c r="AC66" i="4"/>
  <c r="AC67" i="4" s="1"/>
  <c r="V89" i="2"/>
  <c r="V90" i="2"/>
  <c r="V91" i="2"/>
  <c r="BT56" i="4"/>
  <c r="BG101" i="1"/>
  <c r="BH94" i="1"/>
  <c r="AM45" i="1"/>
  <c r="X150" i="1"/>
  <c r="X151" i="1" s="1"/>
  <c r="X33" i="3"/>
  <c r="E50" i="3"/>
  <c r="E24" i="3"/>
  <c r="BC68" i="1"/>
  <c r="BC71" i="1"/>
  <c r="BC24" i="1"/>
  <c r="S52" i="1"/>
  <c r="I151" i="1"/>
  <c r="AE87" i="1"/>
  <c r="AE89" i="1"/>
  <c r="R9" i="3"/>
  <c r="J63" i="2"/>
  <c r="P63" i="2"/>
  <c r="BE101" i="1"/>
  <c r="BF94" i="1"/>
  <c r="M76" i="4"/>
  <c r="S76" i="4"/>
  <c r="M66" i="4"/>
  <c r="X33" i="2"/>
  <c r="AK87" i="1"/>
  <c r="AK81" i="3"/>
  <c r="AK89" i="1"/>
  <c r="M89" i="1"/>
  <c r="M81" i="3"/>
  <c r="M87" i="1"/>
  <c r="AC65" i="1"/>
  <c r="AC47" i="1"/>
  <c r="BG89" i="1"/>
  <c r="BS89" i="1" s="1"/>
  <c r="BY89" i="1" s="1"/>
  <c r="CE89" i="1" s="1"/>
  <c r="BG81" i="3"/>
  <c r="BG87" i="1"/>
  <c r="BS87" i="1" s="1"/>
  <c r="BY87" i="1" s="1"/>
  <c r="CE87" i="1" s="1"/>
  <c r="AE46" i="2"/>
  <c r="AE8" i="2"/>
  <c r="AU63" i="2"/>
  <c r="AG69" i="4"/>
  <c r="AG36" i="4" s="1"/>
  <c r="AG77" i="4"/>
  <c r="AB108" i="1"/>
  <c r="AB110" i="1"/>
  <c r="J90" i="2"/>
  <c r="J91" i="2"/>
  <c r="J89" i="2"/>
  <c r="AH77" i="1"/>
  <c r="AZ86" i="2"/>
  <c r="BF86" i="2"/>
  <c r="BC16" i="2"/>
  <c r="M65" i="1"/>
  <c r="L12" i="2"/>
  <c r="AK45" i="1"/>
  <c r="BK151" i="1"/>
  <c r="I63" i="2"/>
  <c r="AG60" i="3"/>
  <c r="AG78" i="3"/>
  <c r="AA24" i="3"/>
  <c r="AA163" i="1" s="1"/>
  <c r="AA78" i="3"/>
  <c r="AA60" i="3"/>
  <c r="AA50" i="3"/>
  <c r="AQ10" i="2"/>
  <c r="AQ71" i="1"/>
  <c r="AQ36" i="1"/>
  <c r="AE72" i="2"/>
  <c r="AG75" i="2" s="1"/>
  <c r="AQ40" i="2"/>
  <c r="G32" i="2"/>
  <c r="AV13" i="2"/>
  <c r="BH84" i="2"/>
  <c r="BH85" i="2" s="1"/>
  <c r="BN86" i="2" s="1"/>
  <c r="AM55" i="2"/>
  <c r="BC139" i="3"/>
  <c r="AE13" i="2"/>
  <c r="AW54" i="3"/>
  <c r="AW80" i="3"/>
  <c r="AW96" i="2"/>
  <c r="AW20" i="3"/>
  <c r="AW61" i="3"/>
  <c r="AP15" i="2"/>
  <c r="AV12" i="2"/>
  <c r="AE60" i="4"/>
  <c r="P89" i="2"/>
  <c r="P91" i="2"/>
  <c r="P90" i="2"/>
  <c r="AC50" i="3"/>
  <c r="AC24" i="3"/>
  <c r="AC163" i="1" s="1"/>
  <c r="AC60" i="3"/>
  <c r="AI78" i="3"/>
  <c r="AI60" i="3"/>
  <c r="AC78" i="3"/>
  <c r="AW62" i="2"/>
  <c r="V35" i="3"/>
  <c r="BK121" i="3"/>
  <c r="BK100" i="3"/>
  <c r="BK112" i="3"/>
  <c r="BK130" i="3"/>
  <c r="AC53" i="1"/>
  <c r="AK150" i="1"/>
  <c r="AK151" i="1" s="1"/>
  <c r="AK33" i="3"/>
  <c r="D139" i="3"/>
  <c r="E138" i="3"/>
  <c r="AO100" i="3"/>
  <c r="AO121" i="3"/>
  <c r="AH35" i="4"/>
  <c r="AH26" i="4"/>
  <c r="AH8" i="4"/>
  <c r="AH34" i="4"/>
  <c r="AH30" i="4"/>
  <c r="AH66" i="4"/>
  <c r="AH13" i="4"/>
  <c r="AH18" i="4"/>
  <c r="K115" i="1"/>
  <c r="K116" i="1"/>
  <c r="AO45" i="1"/>
  <c r="AK10" i="3"/>
  <c r="AJ16" i="3"/>
  <c r="F107" i="1"/>
  <c r="F35" i="2"/>
  <c r="Q47" i="1"/>
  <c r="Q53" i="1"/>
  <c r="Q65" i="1"/>
  <c r="AW33" i="3"/>
  <c r="X22" i="2"/>
  <c r="AB102" i="3"/>
  <c r="AE114" i="3"/>
  <c r="AE102" i="3" s="1"/>
  <c r="BG20" i="2"/>
  <c r="AT76" i="1"/>
  <c r="AT74" i="1"/>
  <c r="AT75" i="1"/>
  <c r="AK21" i="2"/>
  <c r="AB9" i="3"/>
  <c r="AB15" i="3" s="1"/>
  <c r="AB51" i="3" s="1"/>
  <c r="AB84" i="4"/>
  <c r="AY7" i="3"/>
  <c r="BE6" i="3"/>
  <c r="AY6" i="1"/>
  <c r="AY6" i="2"/>
  <c r="AY5" i="4" s="1"/>
  <c r="Y79" i="3"/>
  <c r="AE62" i="3"/>
  <c r="Y95" i="2"/>
  <c r="Y53" i="3"/>
  <c r="AE56" i="3" s="1"/>
  <c r="Y62" i="3"/>
  <c r="Y20" i="3"/>
  <c r="AE81" i="3" s="1"/>
  <c r="AW27" i="4"/>
  <c r="BC27" i="4"/>
  <c r="AP13" i="2"/>
  <c r="Y52" i="1"/>
  <c r="X45" i="1"/>
  <c r="AZ124" i="3"/>
  <c r="AZ57" i="3"/>
  <c r="AZ133" i="3"/>
  <c r="AZ115" i="3"/>
  <c r="AZ103" i="3" s="1"/>
  <c r="AZ35" i="2"/>
  <c r="BA32" i="2"/>
  <c r="BB32" i="2" s="1"/>
  <c r="AV84" i="2"/>
  <c r="AV85" i="2" s="1"/>
  <c r="AV86" i="2" s="1"/>
  <c r="M49" i="3"/>
  <c r="M75" i="1"/>
  <c r="M77" i="3"/>
  <c r="M14" i="3"/>
  <c r="M76" i="1"/>
  <c r="M94" i="2"/>
  <c r="M97" i="2" s="1"/>
  <c r="I9" i="3"/>
  <c r="I15" i="3" s="1"/>
  <c r="I51" i="3" s="1"/>
  <c r="F42" i="2"/>
  <c r="R50" i="3"/>
  <c r="R78" i="3"/>
  <c r="R24" i="3"/>
  <c r="R163" i="1" s="1"/>
  <c r="R60" i="3"/>
  <c r="AU100" i="3"/>
  <c r="J111" i="3"/>
  <c r="U75" i="3"/>
  <c r="AC34" i="4"/>
  <c r="AQ16" i="3"/>
  <c r="BB52" i="1"/>
  <c r="AU81" i="3"/>
  <c r="AU87" i="1"/>
  <c r="AU89" i="1"/>
  <c r="BA81" i="3"/>
  <c r="AW9" i="4"/>
  <c r="BH68" i="1"/>
  <c r="BH24" i="1"/>
  <c r="BH183" i="1" s="1"/>
  <c r="BH71" i="1"/>
  <c r="AJ70" i="2"/>
  <c r="AK70" i="2" s="1"/>
  <c r="AI76" i="2"/>
  <c r="AB53" i="1"/>
  <c r="AB47" i="1"/>
  <c r="W35" i="3"/>
  <c r="J45" i="1"/>
  <c r="BG45" i="1"/>
  <c r="AI77" i="1"/>
  <c r="AO107" i="1"/>
  <c r="AP30" i="2"/>
  <c r="AQ30" i="2" s="1"/>
  <c r="AO35" i="2"/>
  <c r="AV8" i="2"/>
  <c r="AD98" i="3"/>
  <c r="AD128" i="3"/>
  <c r="AD119" i="3"/>
  <c r="AD110" i="3"/>
  <c r="G24" i="3"/>
  <c r="G163" i="1" s="1"/>
  <c r="G87" i="1"/>
  <c r="G89" i="1"/>
  <c r="AK15" i="2"/>
  <c r="AI72" i="2"/>
  <c r="AJ68" i="2" s="1"/>
  <c r="AK24" i="2"/>
  <c r="BI151" i="1"/>
  <c r="AW52" i="1"/>
  <c r="L77" i="1"/>
  <c r="X80" i="2"/>
  <c r="AI35" i="3"/>
  <c r="BB143" i="1"/>
  <c r="E27" i="10"/>
  <c r="E28" i="10" s="1"/>
  <c r="AD81" i="3"/>
  <c r="X87" i="1"/>
  <c r="X81" i="3"/>
  <c r="X89" i="1"/>
  <c r="AN86" i="2"/>
  <c r="BI15" i="1"/>
  <c r="F45" i="1"/>
  <c r="AC62" i="2"/>
  <c r="AD43" i="2"/>
  <c r="AC97" i="1"/>
  <c r="AE70" i="1"/>
  <c r="AE36" i="1"/>
  <c r="AE68" i="1"/>
  <c r="AE69" i="1"/>
  <c r="AE71" i="1"/>
  <c r="AC35" i="2"/>
  <c r="AD30" i="2"/>
  <c r="AC107" i="1"/>
  <c r="AW70" i="1"/>
  <c r="AW36" i="1"/>
  <c r="AW71" i="1"/>
  <c r="AU74" i="1"/>
  <c r="AU76" i="1"/>
  <c r="AN91" i="2"/>
  <c r="AN90" i="2"/>
  <c r="AN89" i="2"/>
  <c r="AS45" i="1"/>
  <c r="AS53" i="1" s="1"/>
  <c r="BE27" i="2"/>
  <c r="AH50" i="3"/>
  <c r="AH60" i="3"/>
  <c r="AH24" i="3"/>
  <c r="AH163" i="1" s="1"/>
  <c r="AN60" i="3"/>
  <c r="AH78" i="3"/>
  <c r="AN78" i="3"/>
  <c r="AO143" i="1"/>
  <c r="AP31" i="2"/>
  <c r="AQ31" i="2" s="1"/>
  <c r="X10" i="2"/>
  <c r="BC80" i="3"/>
  <c r="BC61" i="3"/>
  <c r="BC96" i="2"/>
  <c r="BI15" i="2"/>
  <c r="BC97" i="1"/>
  <c r="S15" i="2"/>
  <c r="Y80" i="2"/>
  <c r="M46" i="2"/>
  <c r="M22" i="2"/>
  <c r="AV69" i="2"/>
  <c r="AW69" i="2" s="1"/>
  <c r="AU78" i="2"/>
  <c r="BA78" i="2"/>
  <c r="G119" i="3"/>
  <c r="G98" i="3"/>
  <c r="G110" i="3"/>
  <c r="G128" i="3"/>
  <c r="BA53" i="1"/>
  <c r="BI17" i="2"/>
  <c r="W94" i="1"/>
  <c r="V101" i="1"/>
  <c r="BB97" i="1"/>
  <c r="BB62" i="2"/>
  <c r="R32" i="2"/>
  <c r="U98" i="3"/>
  <c r="U110" i="3"/>
  <c r="U119" i="3"/>
  <c r="U128" i="3"/>
  <c r="L13" i="2"/>
  <c r="AU130" i="3"/>
  <c r="AC13" i="4"/>
  <c r="AW22" i="2"/>
  <c r="AV89" i="1"/>
  <c r="AV87" i="1"/>
  <c r="AV81" i="3"/>
  <c r="AV24" i="3"/>
  <c r="BC33" i="3"/>
  <c r="AP78" i="3"/>
  <c r="AJ78" i="3"/>
  <c r="AJ50" i="3"/>
  <c r="AJ24" i="3"/>
  <c r="AJ163" i="1" s="1"/>
  <c r="AJ60" i="3"/>
  <c r="AP60" i="3"/>
  <c r="BC70" i="2"/>
  <c r="BC20" i="3"/>
  <c r="AJ77" i="4"/>
  <c r="AO98" i="2"/>
  <c r="AP11" i="2"/>
  <c r="AQ11" i="2" s="1"/>
  <c r="M132" i="3"/>
  <c r="M123" i="3"/>
  <c r="M114" i="3"/>
  <c r="M102" i="3" s="1"/>
  <c r="M56" i="3"/>
  <c r="AA48" i="2"/>
  <c r="AA54" i="2"/>
  <c r="AA81" i="1"/>
  <c r="AW69" i="1"/>
  <c r="AS48" i="2"/>
  <c r="BG114" i="1"/>
  <c r="G132" i="3"/>
  <c r="G123" i="3"/>
  <c r="G114" i="3"/>
  <c r="G102" i="3" s="1"/>
  <c r="S81" i="3"/>
  <c r="W90" i="2"/>
  <c r="W91" i="2"/>
  <c r="W89" i="2"/>
  <c r="AB77" i="4"/>
  <c r="AQ60" i="4"/>
  <c r="AW60" i="4"/>
  <c r="S34" i="2"/>
  <c r="K143" i="1"/>
  <c r="L31" i="2"/>
  <c r="K35" i="2"/>
  <c r="AE10" i="2"/>
  <c r="V65" i="1"/>
  <c r="V47" i="1"/>
  <c r="BC83" i="2"/>
  <c r="R24" i="2"/>
  <c r="AK52" i="1"/>
  <c r="BO18" i="1"/>
  <c r="BG130" i="3"/>
  <c r="BG121" i="3"/>
  <c r="BG112" i="3"/>
  <c r="BG100" i="3"/>
  <c r="L80" i="2"/>
  <c r="BC31" i="2"/>
  <c r="AW114" i="1"/>
  <c r="R77" i="1"/>
  <c r="X98" i="2"/>
  <c r="AP12" i="2"/>
  <c r="AY71" i="1"/>
  <c r="AY24" i="1"/>
  <c r="AY183" i="1" s="1"/>
  <c r="AY68" i="1"/>
  <c r="AP69" i="2"/>
  <c r="AP78" i="2" s="1"/>
  <c r="AO78" i="2"/>
  <c r="AQ101" i="2"/>
  <c r="D23" i="10"/>
  <c r="AE14" i="3"/>
  <c r="AE94" i="2"/>
  <c r="AE97" i="2" s="1"/>
  <c r="AE76" i="1"/>
  <c r="AE75" i="1"/>
  <c r="AE49" i="3"/>
  <c r="Q110" i="1"/>
  <c r="Q108" i="1"/>
  <c r="AB60" i="3"/>
  <c r="AB78" i="3"/>
  <c r="AB50" i="3"/>
  <c r="AB24" i="3"/>
  <c r="AB163" i="1" s="1"/>
  <c r="BC94" i="2"/>
  <c r="BI77" i="3"/>
  <c r="AK56" i="3"/>
  <c r="AY52" i="1"/>
  <c r="BF81" i="3"/>
  <c r="AZ89" i="1"/>
  <c r="AZ87" i="1"/>
  <c r="AZ24" i="3"/>
  <c r="AZ81" i="3"/>
  <c r="AH139" i="3"/>
  <c r="AI138" i="3"/>
  <c r="F39" i="2"/>
  <c r="E44" i="2"/>
  <c r="L50" i="3"/>
  <c r="L24" i="3"/>
  <c r="L163" i="1" s="1"/>
  <c r="L78" i="3"/>
  <c r="L60" i="3"/>
  <c r="AJ80" i="2"/>
  <c r="AK40" i="2"/>
  <c r="BH89" i="1"/>
  <c r="BH81" i="3"/>
  <c r="BH87" i="1"/>
  <c r="R17" i="2"/>
  <c r="BX90" i="3"/>
  <c r="BY90" i="3" s="1"/>
  <c r="BZ90" i="3" s="1"/>
  <c r="W53" i="1"/>
  <c r="R107" i="1"/>
  <c r="S107" i="1" s="1"/>
  <c r="S108" i="1" s="1"/>
  <c r="S76" i="1"/>
  <c r="S75" i="1"/>
  <c r="S77" i="3"/>
  <c r="S49" i="3"/>
  <c r="S94" i="2"/>
  <c r="S97" i="2" s="1"/>
  <c r="S14" i="3"/>
  <c r="AC8" i="4"/>
  <c r="AK10" i="2"/>
  <c r="L45" i="1"/>
  <c r="AC35" i="4"/>
  <c r="BA104" i="4"/>
  <c r="BA105" i="4" s="1"/>
  <c r="AW25" i="2"/>
  <c r="BF19" i="2"/>
  <c r="AE24" i="2"/>
  <c r="Y29" i="3"/>
  <c r="AU24" i="1"/>
  <c r="AU71" i="1"/>
  <c r="AU68" i="1"/>
  <c r="BI96" i="2"/>
  <c r="BI61" i="3"/>
  <c r="BI80" i="3"/>
  <c r="AK78" i="2"/>
  <c r="AQ133" i="3"/>
  <c r="AQ124" i="3"/>
  <c r="AQ57" i="3"/>
  <c r="AQ115" i="3"/>
  <c r="AQ103" i="3" s="1"/>
  <c r="D108" i="1"/>
  <c r="D110" i="1"/>
  <c r="AJ34" i="2"/>
  <c r="AK34" i="2" s="1"/>
  <c r="AI35" i="2"/>
  <c r="AZ52" i="1"/>
  <c r="AE16" i="2"/>
  <c r="S56" i="3"/>
  <c r="AB63" i="2"/>
  <c r="BH114" i="1"/>
  <c r="AW68" i="1"/>
  <c r="Y143" i="1"/>
  <c r="BB17" i="2"/>
  <c r="AE12" i="2"/>
  <c r="BH44" i="2"/>
  <c r="BT73" i="2"/>
  <c r="BO73" i="2"/>
  <c r="BO74" i="2" s="1"/>
  <c r="BS52" i="4"/>
  <c r="AK94" i="2"/>
  <c r="AK97" i="2" s="1"/>
  <c r="AK76" i="1"/>
  <c r="AK77" i="3"/>
  <c r="AK75" i="1"/>
  <c r="AK49" i="3"/>
  <c r="AK14" i="3"/>
  <c r="AQ77" i="3"/>
  <c r="BF45" i="1"/>
  <c r="Q143" i="1"/>
  <c r="R31" i="2"/>
  <c r="AA77" i="1"/>
  <c r="AS76" i="1"/>
  <c r="AW7" i="3"/>
  <c r="AS74" i="1"/>
  <c r="AS75" i="1"/>
  <c r="AJ47" i="1"/>
  <c r="AJ65" i="1"/>
  <c r="AQ76" i="1"/>
  <c r="BA90" i="2"/>
  <c r="BA109" i="1"/>
  <c r="BA91" i="2"/>
  <c r="BA89" i="2"/>
  <c r="AV107" i="1"/>
  <c r="AV35" i="2"/>
  <c r="AJ84" i="2"/>
  <c r="AJ85" i="2" s="1"/>
  <c r="BH8" i="2"/>
  <c r="Q35" i="2"/>
  <c r="BI84" i="2"/>
  <c r="BI85" i="2" s="1"/>
  <c r="R22" i="2"/>
  <c r="S22" i="2" s="1"/>
  <c r="Q19" i="2"/>
  <c r="X24" i="2"/>
  <c r="AN27" i="2"/>
  <c r="O48" i="2"/>
  <c r="O54" i="2"/>
  <c r="O81" i="1"/>
  <c r="AP22" i="2"/>
  <c r="AD21" i="2"/>
  <c r="M21" i="2"/>
  <c r="AW21" i="2"/>
  <c r="AV24" i="2"/>
  <c r="AZ27" i="2"/>
  <c r="F22" i="2"/>
  <c r="R26" i="2"/>
  <c r="AD20" i="2"/>
  <c r="AE20" i="2" s="1"/>
  <c r="AC19" i="2"/>
  <c r="AE22" i="2"/>
  <c r="AS83" i="1"/>
  <c r="AS56" i="2"/>
  <c r="AK23" i="2"/>
  <c r="I82" i="1"/>
  <c r="I55" i="2"/>
  <c r="AJ25" i="2"/>
  <c r="AB27" i="2"/>
  <c r="AG81" i="1"/>
  <c r="AG48" i="2"/>
  <c r="AG54" i="2"/>
  <c r="AV23" i="2"/>
  <c r="AW23" i="2" s="1"/>
  <c r="AP24" i="2"/>
  <c r="X25" i="2"/>
  <c r="AE23" i="2"/>
  <c r="AJ26" i="2"/>
  <c r="AP26" i="2"/>
  <c r="J81" i="1"/>
  <c r="J54" i="2"/>
  <c r="J48" i="2"/>
  <c r="AH27" i="2"/>
  <c r="E19" i="2"/>
  <c r="F20" i="2"/>
  <c r="AQ21" i="2"/>
  <c r="AQ23" i="2"/>
  <c r="Y20" i="2"/>
  <c r="U48" i="2"/>
  <c r="U54" i="2"/>
  <c r="U81" i="1"/>
  <c r="D27" i="2"/>
  <c r="G21" i="2"/>
  <c r="AO19" i="2"/>
  <c r="BA19" i="2"/>
  <c r="BB26" i="2"/>
  <c r="AU19" i="2"/>
  <c r="V27" i="2"/>
  <c r="AD25" i="2"/>
  <c r="P27" i="2"/>
  <c r="G24" i="2"/>
  <c r="W19" i="2"/>
  <c r="L25" i="2"/>
  <c r="L19" i="2" s="1"/>
  <c r="K19" i="2"/>
  <c r="AT81" i="1"/>
  <c r="AT54" i="2"/>
  <c r="AT48" i="2"/>
  <c r="AW26" i="2"/>
  <c r="BH23" i="2"/>
  <c r="BI23" i="2" s="1"/>
  <c r="AM121" i="3"/>
  <c r="AM100" i="3"/>
  <c r="AM130" i="3"/>
  <c r="AM112" i="3"/>
  <c r="V15" i="3"/>
  <c r="Q77" i="4"/>
  <c r="S80" i="4"/>
  <c r="AA69" i="4"/>
  <c r="AW93" i="4"/>
  <c r="O51" i="3"/>
  <c r="AQ14" i="4"/>
  <c r="AW14" i="4"/>
  <c r="AP104" i="4"/>
  <c r="AO69" i="4"/>
  <c r="AO20" i="4" s="1"/>
  <c r="AO77" i="4"/>
  <c r="AQ73" i="4"/>
  <c r="AW73" i="4"/>
  <c r="AO13" i="4"/>
  <c r="AO66" i="4"/>
  <c r="AO26" i="4"/>
  <c r="AO30" i="4"/>
  <c r="AO18" i="4"/>
  <c r="AO35" i="4"/>
  <c r="AO34" i="4"/>
  <c r="AU35" i="4"/>
  <c r="AO8" i="4"/>
  <c r="AI105" i="4"/>
  <c r="AI98" i="4"/>
  <c r="AO105" i="4"/>
  <c r="AG98" i="4"/>
  <c r="AM105" i="4"/>
  <c r="AG105" i="4"/>
  <c r="AP19" i="4"/>
  <c r="AP33" i="4"/>
  <c r="AP18" i="4" s="1"/>
  <c r="AQ17" i="4"/>
  <c r="AV19" i="4"/>
  <c r="AM30" i="4"/>
  <c r="AM8" i="4"/>
  <c r="AM34" i="4"/>
  <c r="AM13" i="4"/>
  <c r="AM26" i="4"/>
  <c r="AM18" i="4"/>
  <c r="AM66" i="4"/>
  <c r="AM35" i="4"/>
  <c r="AS35" i="4"/>
  <c r="AU77" i="4"/>
  <c r="AU69" i="4"/>
  <c r="AN84" i="4"/>
  <c r="AN9" i="3"/>
  <c r="AN15" i="3" s="1"/>
  <c r="AN51" i="3" s="1"/>
  <c r="AK31" i="4"/>
  <c r="AJ33" i="4"/>
  <c r="AJ18" i="4" s="1"/>
  <c r="AJ19" i="4"/>
  <c r="AK17" i="4"/>
  <c r="AV52" i="3"/>
  <c r="AW16" i="3"/>
  <c r="AI9" i="3"/>
  <c r="AI84" i="4"/>
  <c r="AU105" i="4"/>
  <c r="AU98" i="4"/>
  <c r="AU99" i="4" s="1"/>
  <c r="AK9" i="4"/>
  <c r="AQ9" i="4"/>
  <c r="AC105" i="4"/>
  <c r="AE104" i="4"/>
  <c r="AE105" i="4" s="1"/>
  <c r="AS15" i="3"/>
  <c r="L15" i="3"/>
  <c r="S10" i="3"/>
  <c r="AG75" i="3"/>
  <c r="AQ97" i="4"/>
  <c r="AQ93" i="4"/>
  <c r="AB81" i="4"/>
  <c r="CI62" i="2" l="1"/>
  <c r="CO62" i="2" s="1"/>
  <c r="AQ13" i="72"/>
  <c r="E111" i="3"/>
  <c r="AH45" i="4"/>
  <c r="AK30" i="2"/>
  <c r="BC22" i="2"/>
  <c r="R44" i="2"/>
  <c r="AO115" i="1"/>
  <c r="AQ114" i="1"/>
  <c r="S41" i="2"/>
  <c r="AE34" i="2"/>
  <c r="M42" i="2"/>
  <c r="U65" i="1"/>
  <c r="U53" i="1"/>
  <c r="AV63" i="2"/>
  <c r="AQ62" i="2"/>
  <c r="AW63" i="2" s="1"/>
  <c r="AW114" i="3"/>
  <c r="AW102" i="3" s="1"/>
  <c r="P99" i="3"/>
  <c r="AC74" i="4"/>
  <c r="AC41" i="4"/>
  <c r="G99" i="2"/>
  <c r="G14" i="2"/>
  <c r="M98" i="2"/>
  <c r="BG86" i="2"/>
  <c r="AW97" i="1"/>
  <c r="BC34" i="2"/>
  <c r="AQ32" i="2"/>
  <c r="AJ10" i="4"/>
  <c r="AC61" i="4"/>
  <c r="AC24" i="4"/>
  <c r="AC20" i="4"/>
  <c r="L73" i="3"/>
  <c r="L74" i="3" s="1"/>
  <c r="AC36" i="4"/>
  <c r="AJ74" i="4"/>
  <c r="AJ41" i="4"/>
  <c r="AC49" i="4"/>
  <c r="U18" i="4"/>
  <c r="S84" i="4"/>
  <c r="AJ45" i="4"/>
  <c r="AJ32" i="4"/>
  <c r="AE33" i="2"/>
  <c r="S16" i="2"/>
  <c r="E120" i="3"/>
  <c r="AJ61" i="4"/>
  <c r="AJ65" i="4"/>
  <c r="AC28" i="4"/>
  <c r="AS22" i="3"/>
  <c r="AS163" i="1"/>
  <c r="F35" i="3"/>
  <c r="F38" i="3" s="1"/>
  <c r="F163" i="1"/>
  <c r="AG163" i="1"/>
  <c r="I35" i="3"/>
  <c r="I163" i="1"/>
  <c r="O35" i="3"/>
  <c r="O38" i="3" s="1"/>
  <c r="O163" i="1"/>
  <c r="AO63" i="3"/>
  <c r="AO163" i="1"/>
  <c r="AP66" i="3"/>
  <c r="AP163" i="1"/>
  <c r="AM163" i="1"/>
  <c r="J67" i="3"/>
  <c r="D163" i="1"/>
  <c r="AZ22" i="3"/>
  <c r="AZ163" i="1"/>
  <c r="AV22" i="3"/>
  <c r="AV163" i="1"/>
  <c r="K63" i="3"/>
  <c r="E163" i="1"/>
  <c r="AY22" i="3"/>
  <c r="AY163" i="1"/>
  <c r="AD164" i="1"/>
  <c r="AD165" i="1" s="1"/>
  <c r="AD166" i="1" s="1"/>
  <c r="AD167" i="1" s="1"/>
  <c r="J164" i="1"/>
  <c r="J165" i="1" s="1"/>
  <c r="J166" i="1" s="1"/>
  <c r="J167" i="1" s="1"/>
  <c r="U66" i="3"/>
  <c r="U163" i="1"/>
  <c r="AW75" i="3"/>
  <c r="BO181" i="1"/>
  <c r="BI183" i="1"/>
  <c r="AQ183" i="1"/>
  <c r="U184" i="1"/>
  <c r="U183" i="1"/>
  <c r="AY184" i="1"/>
  <c r="BA183" i="1"/>
  <c r="BA184" i="1"/>
  <c r="AI183" i="1"/>
  <c r="AI184" i="1"/>
  <c r="AJ183" i="1"/>
  <c r="AJ184" i="1"/>
  <c r="AT184" i="1"/>
  <c r="AT183" i="1"/>
  <c r="W47" i="1"/>
  <c r="AE183" i="1"/>
  <c r="K184" i="1"/>
  <c r="K183" i="1"/>
  <c r="AQ184" i="1"/>
  <c r="AN183" i="1"/>
  <c r="AN184" i="1"/>
  <c r="R47" i="1"/>
  <c r="BB54" i="1"/>
  <c r="W65" i="1"/>
  <c r="AI53" i="1"/>
  <c r="G184" i="1"/>
  <c r="BB183" i="1"/>
  <c r="BB184" i="1"/>
  <c r="AZ183" i="1"/>
  <c r="AZ184" i="1"/>
  <c r="AO183" i="1"/>
  <c r="BH184" i="1"/>
  <c r="Y184" i="1"/>
  <c r="W183" i="1"/>
  <c r="W184" i="1"/>
  <c r="BK184" i="1"/>
  <c r="BK183" i="1"/>
  <c r="D184" i="1"/>
  <c r="D183" i="1"/>
  <c r="AZ47" i="1"/>
  <c r="AI47" i="1"/>
  <c r="AZ53" i="1"/>
  <c r="G183" i="1"/>
  <c r="R65" i="1"/>
  <c r="AW183" i="1"/>
  <c r="AE184" i="1"/>
  <c r="AN53" i="1"/>
  <c r="Q184" i="1"/>
  <c r="Q183" i="1"/>
  <c r="V184" i="1"/>
  <c r="V183" i="1"/>
  <c r="P184" i="1"/>
  <c r="P183" i="1"/>
  <c r="AG184" i="1"/>
  <c r="AG183" i="1"/>
  <c r="AC183" i="1"/>
  <c r="AC184" i="1"/>
  <c r="M184" i="1"/>
  <c r="AW184" i="1"/>
  <c r="M183" i="1"/>
  <c r="Y183" i="1"/>
  <c r="R184" i="1"/>
  <c r="R183" i="1"/>
  <c r="AH20" i="4"/>
  <c r="AH57" i="4"/>
  <c r="E99" i="3"/>
  <c r="AI10" i="4"/>
  <c r="P111" i="3"/>
  <c r="AB45" i="4"/>
  <c r="P120" i="3"/>
  <c r="W63" i="2"/>
  <c r="AH74" i="4"/>
  <c r="AC89" i="2"/>
  <c r="W115" i="1"/>
  <c r="S97" i="1"/>
  <c r="E110" i="1"/>
  <c r="AK107" i="1"/>
  <c r="AK108" i="1" s="1"/>
  <c r="S75" i="3"/>
  <c r="AH41" i="4"/>
  <c r="AH36" i="4"/>
  <c r="AI45" i="4"/>
  <c r="AI53" i="4"/>
  <c r="AQ75" i="3"/>
  <c r="AH24" i="4"/>
  <c r="AI41" i="4"/>
  <c r="AI49" i="4"/>
  <c r="AO110" i="3"/>
  <c r="M75" i="3"/>
  <c r="AT74" i="4"/>
  <c r="AB57" i="4"/>
  <c r="AI74" i="4"/>
  <c r="AI15" i="4"/>
  <c r="M77" i="4"/>
  <c r="AB32" i="4"/>
  <c r="AI32" i="4"/>
  <c r="AB15" i="4"/>
  <c r="AB24" i="4"/>
  <c r="AH28" i="4"/>
  <c r="AT65" i="4"/>
  <c r="AT57" i="4"/>
  <c r="AJ20" i="4"/>
  <c r="AJ49" i="4"/>
  <c r="AJ53" i="4"/>
  <c r="AB74" i="4"/>
  <c r="AC10" i="4"/>
  <c r="AC15" i="4"/>
  <c r="AC32" i="4"/>
  <c r="AC53" i="4"/>
  <c r="AI57" i="4"/>
  <c r="AI20" i="4"/>
  <c r="AT53" i="4"/>
  <c r="AT61" i="4"/>
  <c r="AB65" i="4"/>
  <c r="AH15" i="4"/>
  <c r="AH10" i="4"/>
  <c r="AT41" i="4"/>
  <c r="AT45" i="4"/>
  <c r="AJ28" i="4"/>
  <c r="AJ57" i="4"/>
  <c r="AB61" i="4"/>
  <c r="AC65" i="4"/>
  <c r="AT36" i="4"/>
  <c r="G84" i="4"/>
  <c r="AB68" i="4"/>
  <c r="AH32" i="4"/>
  <c r="AH61" i="4"/>
  <c r="AT32" i="4"/>
  <c r="AT10" i="4"/>
  <c r="AB36" i="4"/>
  <c r="Y75" i="3"/>
  <c r="AB41" i="4"/>
  <c r="AJ15" i="4"/>
  <c r="AB49" i="4"/>
  <c r="AB20" i="4"/>
  <c r="AI61" i="4"/>
  <c r="AI28" i="4"/>
  <c r="AT28" i="4"/>
  <c r="AB10" i="4"/>
  <c r="AT49" i="4"/>
  <c r="AT15" i="4"/>
  <c r="AH65" i="4"/>
  <c r="AH49" i="4"/>
  <c r="AT20" i="4"/>
  <c r="L78" i="4"/>
  <c r="AI36" i="4"/>
  <c r="AB53" i="4"/>
  <c r="AC45" i="4"/>
  <c r="AZ105" i="4"/>
  <c r="AI65" i="4"/>
  <c r="AG73" i="3"/>
  <c r="AG76" i="3" s="1"/>
  <c r="V73" i="3"/>
  <c r="V76" i="3" s="1"/>
  <c r="O73" i="3"/>
  <c r="O76" i="3" s="1"/>
  <c r="AH78" i="4"/>
  <c r="U73" i="3"/>
  <c r="U76" i="3" s="1"/>
  <c r="AA73" i="3"/>
  <c r="AA76" i="3" s="1"/>
  <c r="AV69" i="4"/>
  <c r="AV15" i="4" s="1"/>
  <c r="R73" i="3"/>
  <c r="R76" i="3" s="1"/>
  <c r="AN69" i="4"/>
  <c r="AN61" i="4" s="1"/>
  <c r="AT73" i="3"/>
  <c r="AT76" i="3" s="1"/>
  <c r="W78" i="4"/>
  <c r="P78" i="4"/>
  <c r="AI78" i="4"/>
  <c r="AD75" i="3"/>
  <c r="AE75" i="3" s="1"/>
  <c r="Y76" i="4"/>
  <c r="K73" i="3"/>
  <c r="J73" i="3"/>
  <c r="I73" i="3"/>
  <c r="BH98" i="2"/>
  <c r="BI98" i="2" s="1"/>
  <c r="BH107" i="1"/>
  <c r="BI107" i="1" s="1"/>
  <c r="L44" i="2"/>
  <c r="BC98" i="2"/>
  <c r="BH97" i="1"/>
  <c r="Y17" i="2"/>
  <c r="Y101" i="2"/>
  <c r="Y23" i="2"/>
  <c r="S8" i="2"/>
  <c r="AI108" i="1"/>
  <c r="E115" i="1"/>
  <c r="BI30" i="2"/>
  <c r="BW159" i="1"/>
  <c r="AK135" i="1"/>
  <c r="AM123" i="1"/>
  <c r="BI45" i="1"/>
  <c r="BK47" i="1"/>
  <c r="AM128" i="1"/>
  <c r="AM131" i="1" s="1"/>
  <c r="AQ131" i="1" s="1"/>
  <c r="AQ132" i="1" s="1"/>
  <c r="AA67" i="4"/>
  <c r="AA81" i="4" s="1"/>
  <c r="AA82" i="4" s="1"/>
  <c r="AA106" i="4" s="1"/>
  <c r="AA107" i="4" s="1"/>
  <c r="U84" i="4"/>
  <c r="BK53" i="1"/>
  <c r="AE143" i="1"/>
  <c r="AE91" i="2" s="1"/>
  <c r="G41" i="2"/>
  <c r="AW86" i="2"/>
  <c r="BK82" i="1"/>
  <c r="BI31" i="2"/>
  <c r="BH143" i="1"/>
  <c r="S12" i="2"/>
  <c r="AU108" i="1"/>
  <c r="G23" i="10"/>
  <c r="AQ8" i="2"/>
  <c r="Y43" i="2"/>
  <c r="AE42" i="2"/>
  <c r="M33" i="2"/>
  <c r="AC90" i="2"/>
  <c r="X44" i="2"/>
  <c r="AQ69" i="2"/>
  <c r="AQ78" i="2" s="1"/>
  <c r="BI44" i="2"/>
  <c r="X114" i="1"/>
  <c r="Y114" i="1" s="1"/>
  <c r="BC25" i="2"/>
  <c r="AW14" i="2"/>
  <c r="AW10" i="2"/>
  <c r="F101" i="2"/>
  <c r="F114" i="1"/>
  <c r="Q115" i="1"/>
  <c r="Q116" i="1"/>
  <c r="I80" i="1"/>
  <c r="AW107" i="1"/>
  <c r="AW108" i="1" s="1"/>
  <c r="AD98" i="2"/>
  <c r="AD99" i="2" s="1"/>
  <c r="BH62" i="2"/>
  <c r="AV91" i="2"/>
  <c r="AV89" i="2"/>
  <c r="AV90" i="2"/>
  <c r="AQ41" i="2"/>
  <c r="BC21" i="2"/>
  <c r="AQ14" i="2"/>
  <c r="AP44" i="2"/>
  <c r="AD143" i="1"/>
  <c r="BI11" i="2"/>
  <c r="R114" i="1"/>
  <c r="R101" i="2"/>
  <c r="S9" i="2"/>
  <c r="G15" i="2"/>
  <c r="BI46" i="2"/>
  <c r="G101" i="2"/>
  <c r="AK8" i="2"/>
  <c r="AW89" i="2"/>
  <c r="AW90" i="2"/>
  <c r="AW91" i="2"/>
  <c r="X35" i="2"/>
  <c r="X101" i="2"/>
  <c r="G8" i="2"/>
  <c r="S42" i="2"/>
  <c r="BH80" i="2"/>
  <c r="BI80" i="2" s="1"/>
  <c r="S65" i="1"/>
  <c r="BB116" i="1"/>
  <c r="S47" i="1"/>
  <c r="AN65" i="1"/>
  <c r="D47" i="1"/>
  <c r="D65" i="1"/>
  <c r="AK53" i="1"/>
  <c r="BB101" i="2"/>
  <c r="AQ114" i="3"/>
  <c r="AQ102" i="3" s="1"/>
  <c r="U99" i="3"/>
  <c r="AK104" i="4"/>
  <c r="AK98" i="4" s="1"/>
  <c r="AK99" i="4" s="1"/>
  <c r="AJ105" i="4"/>
  <c r="BC95" i="4"/>
  <c r="AO99" i="2"/>
  <c r="AQ132" i="3"/>
  <c r="AQ123" i="3"/>
  <c r="AW56" i="3"/>
  <c r="AQ56" i="3"/>
  <c r="U120" i="3"/>
  <c r="U111" i="3"/>
  <c r="O33" i="4"/>
  <c r="BA115" i="1"/>
  <c r="BA101" i="2"/>
  <c r="X97" i="1"/>
  <c r="Y97" i="1" s="1"/>
  <c r="F62" i="2"/>
  <c r="F97" i="1"/>
  <c r="G97" i="1" s="1"/>
  <c r="AE9" i="4"/>
  <c r="AT22" i="3"/>
  <c r="BA35" i="3"/>
  <c r="BA68" i="3" s="1"/>
  <c r="BA22" i="3"/>
  <c r="BA64" i="1" s="1"/>
  <c r="AY82" i="1"/>
  <c r="AW52" i="3"/>
  <c r="AW130" i="3" s="1"/>
  <c r="AM128" i="3"/>
  <c r="BA75" i="1"/>
  <c r="AV110" i="3"/>
  <c r="BC80" i="2"/>
  <c r="AA35" i="4"/>
  <c r="AA36" i="4" s="1"/>
  <c r="BM116" i="1"/>
  <c r="BM115" i="1"/>
  <c r="BO33" i="1"/>
  <c r="O47" i="1"/>
  <c r="AE21" i="2"/>
  <c r="L114" i="1"/>
  <c r="M9" i="2"/>
  <c r="L101" i="2"/>
  <c r="BB107" i="1"/>
  <c r="BC107" i="1" s="1"/>
  <c r="BC30" i="2"/>
  <c r="F80" i="2"/>
  <c r="G40" i="2"/>
  <c r="Y46" i="2"/>
  <c r="G143" i="1"/>
  <c r="F90" i="2"/>
  <c r="F89" i="2"/>
  <c r="F91" i="2"/>
  <c r="AK46" i="2"/>
  <c r="AJ62" i="2"/>
  <c r="AJ97" i="1"/>
  <c r="AK97" i="1" s="1"/>
  <c r="AK20" i="2"/>
  <c r="AW41" i="2"/>
  <c r="M32" i="2"/>
  <c r="AQ34" i="2"/>
  <c r="BC114" i="1"/>
  <c r="BC101" i="2" s="1"/>
  <c r="G10" i="2"/>
  <c r="Y14" i="2"/>
  <c r="BC15" i="2"/>
  <c r="S21" i="2"/>
  <c r="AK31" i="2"/>
  <c r="AJ143" i="1"/>
  <c r="AW34" i="2"/>
  <c r="C50" i="2"/>
  <c r="C80" i="1"/>
  <c r="C82" i="1"/>
  <c r="C55" i="2"/>
  <c r="G16" i="2"/>
  <c r="AI90" i="2"/>
  <c r="AI91" i="2"/>
  <c r="AI89" i="2"/>
  <c r="AK33" i="2"/>
  <c r="AQ33" i="2"/>
  <c r="BC13" i="2"/>
  <c r="BI21" i="2"/>
  <c r="BH78" i="2"/>
  <c r="BI69" i="2"/>
  <c r="BI78" i="2" s="1"/>
  <c r="AE52" i="3"/>
  <c r="AE112" i="3" s="1"/>
  <c r="AO119" i="3"/>
  <c r="AO55" i="3"/>
  <c r="AO98" i="3"/>
  <c r="AO105" i="3" s="1"/>
  <c r="D35" i="3"/>
  <c r="D68" i="3" s="1"/>
  <c r="X63" i="2"/>
  <c r="AE79" i="4"/>
  <c r="AQ97" i="2"/>
  <c r="BA74" i="1"/>
  <c r="Y115" i="3"/>
  <c r="Y103" i="3" s="1"/>
  <c r="AQ81" i="3"/>
  <c r="AE57" i="3"/>
  <c r="AQ24" i="3"/>
  <c r="AQ87" i="1"/>
  <c r="Y133" i="3"/>
  <c r="Y124" i="3"/>
  <c r="BL6" i="3"/>
  <c r="AQ89" i="1"/>
  <c r="Y96" i="3"/>
  <c r="BF6" i="1"/>
  <c r="D22" i="3"/>
  <c r="AM119" i="3"/>
  <c r="J63" i="3"/>
  <c r="D66" i="3"/>
  <c r="J84" i="3"/>
  <c r="CA50" i="4"/>
  <c r="AY105" i="4"/>
  <c r="BG63" i="2"/>
  <c r="AM98" i="3"/>
  <c r="BF6" i="2"/>
  <c r="BF5" i="4" s="1"/>
  <c r="AT55" i="3"/>
  <c r="AM110" i="3"/>
  <c r="AW94" i="2"/>
  <c r="AW97" i="2" s="1"/>
  <c r="AW99" i="2" s="1"/>
  <c r="AM55" i="3"/>
  <c r="K98" i="3"/>
  <c r="AW97" i="4"/>
  <c r="AQ82" i="3"/>
  <c r="S62" i="2"/>
  <c r="Y84" i="2"/>
  <c r="Y85" i="2" s="1"/>
  <c r="S98" i="2"/>
  <c r="S99" i="2" s="1"/>
  <c r="L108" i="1"/>
  <c r="L110" i="1"/>
  <c r="M107" i="1"/>
  <c r="M108" i="1" s="1"/>
  <c r="AD86" i="2"/>
  <c r="AK101" i="2"/>
  <c r="AE114" i="1"/>
  <c r="AD116" i="1"/>
  <c r="AD115" i="1"/>
  <c r="X89" i="2"/>
  <c r="X90" i="2"/>
  <c r="X91" i="2"/>
  <c r="Y62" i="2"/>
  <c r="AA65" i="1"/>
  <c r="AA47" i="1"/>
  <c r="AA53" i="1"/>
  <c r="AA54" i="1" s="1"/>
  <c r="AQ45" i="1"/>
  <c r="AQ47" i="1" s="1"/>
  <c r="O54" i="1"/>
  <c r="M53" i="1"/>
  <c r="S54" i="1" s="1"/>
  <c r="I54" i="1"/>
  <c r="BG135" i="1"/>
  <c r="Y47" i="1"/>
  <c r="M47" i="1"/>
  <c r="BC45" i="1"/>
  <c r="BC53" i="1" s="1"/>
  <c r="Y53" i="1"/>
  <c r="Y54" i="1" s="1"/>
  <c r="BH130" i="1"/>
  <c r="AZ75" i="1"/>
  <c r="BA66" i="3"/>
  <c r="AN110" i="3"/>
  <c r="AV55" i="3"/>
  <c r="AN119" i="3"/>
  <c r="Q55" i="3"/>
  <c r="AZ76" i="1"/>
  <c r="K55" i="3"/>
  <c r="AV98" i="3"/>
  <c r="AV105" i="3" s="1"/>
  <c r="K128" i="3"/>
  <c r="AN128" i="3"/>
  <c r="I22" i="3"/>
  <c r="AV119" i="3"/>
  <c r="K110" i="3"/>
  <c r="BC41" i="2"/>
  <c r="Y15" i="2"/>
  <c r="AK11" i="2"/>
  <c r="AJ98" i="2"/>
  <c r="AJ99" i="2" s="1"/>
  <c r="BK55" i="2"/>
  <c r="BK83" i="1" s="1"/>
  <c r="Q63" i="2"/>
  <c r="K63" i="2"/>
  <c r="AJ115" i="1"/>
  <c r="AJ116" i="1"/>
  <c r="AK114" i="1"/>
  <c r="BC23" i="2"/>
  <c r="AD80" i="2"/>
  <c r="AK17" i="2"/>
  <c r="BC42" i="2"/>
  <c r="BB84" i="2"/>
  <c r="BB85" i="2" s="1"/>
  <c r="BB86" i="2" s="1"/>
  <c r="AY55" i="2"/>
  <c r="AW24" i="2"/>
  <c r="AJ44" i="2"/>
  <c r="AE17" i="2"/>
  <c r="AE40" i="2"/>
  <c r="S13" i="2"/>
  <c r="AK41" i="2"/>
  <c r="BB44" i="2"/>
  <c r="L62" i="2"/>
  <c r="L97" i="1"/>
  <c r="M97" i="1" s="1"/>
  <c r="M16" i="2"/>
  <c r="BF7" i="3"/>
  <c r="BF75" i="1" s="1"/>
  <c r="BG7" i="3"/>
  <c r="BG76" i="1" s="1"/>
  <c r="CJ48" i="4"/>
  <c r="CJ49" i="4" s="1"/>
  <c r="CC48" i="4"/>
  <c r="BI35" i="2"/>
  <c r="F44" i="2"/>
  <c r="BC10" i="2"/>
  <c r="AW12" i="2"/>
  <c r="BH35" i="2"/>
  <c r="AK140" i="1"/>
  <c r="AM138" i="1" s="1"/>
  <c r="AM139" i="1" s="1"/>
  <c r="AQ139" i="1" s="1"/>
  <c r="BM154" i="1"/>
  <c r="BM156" i="1" s="1"/>
  <c r="BM158" i="1"/>
  <c r="AU65" i="1"/>
  <c r="O65" i="1"/>
  <c r="J10" i="72"/>
  <c r="J23" i="72"/>
  <c r="J38" i="72"/>
  <c r="AJ54" i="1"/>
  <c r="AQ52" i="1"/>
  <c r="AP65" i="1"/>
  <c r="AP47" i="1"/>
  <c r="AP53" i="1"/>
  <c r="BE47" i="1"/>
  <c r="BE65" i="1"/>
  <c r="BE53" i="1"/>
  <c r="E65" i="1"/>
  <c r="E47" i="1"/>
  <c r="AD65" i="1"/>
  <c r="AD47" i="1"/>
  <c r="AY65" i="1"/>
  <c r="BI52" i="1"/>
  <c r="BO40" i="1"/>
  <c r="G45" i="1"/>
  <c r="U54" i="1"/>
  <c r="K54" i="1"/>
  <c r="S17" i="2"/>
  <c r="S32" i="2"/>
  <c r="G39" i="2"/>
  <c r="G25" i="2"/>
  <c r="BI16" i="2"/>
  <c r="I66" i="3"/>
  <c r="I67" i="3"/>
  <c r="U67" i="3"/>
  <c r="U22" i="3"/>
  <c r="U64" i="1" s="1"/>
  <c r="AM22" i="3"/>
  <c r="AM35" i="3"/>
  <c r="AM66" i="3"/>
  <c r="AU78" i="3"/>
  <c r="AO66" i="3"/>
  <c r="AO58" i="3" s="1"/>
  <c r="P67" i="3"/>
  <c r="AO35" i="3"/>
  <c r="AO36" i="3" s="1"/>
  <c r="U35" i="3"/>
  <c r="U36" i="3" s="1"/>
  <c r="X24" i="3"/>
  <c r="AO67" i="3"/>
  <c r="P63" i="3"/>
  <c r="AP22" i="3"/>
  <c r="AP64" i="1" s="1"/>
  <c r="P84" i="3"/>
  <c r="V84" i="3"/>
  <c r="P119" i="3"/>
  <c r="J38" i="3"/>
  <c r="J58" i="1" s="1"/>
  <c r="P66" i="3"/>
  <c r="P58" i="3" s="1"/>
  <c r="P128" i="3"/>
  <c r="V67" i="3"/>
  <c r="V63" i="3"/>
  <c r="AW14" i="3"/>
  <c r="AW77" i="3"/>
  <c r="AP35" i="3"/>
  <c r="AP36" i="3" s="1"/>
  <c r="P98" i="3"/>
  <c r="V105" i="3" s="1"/>
  <c r="P35" i="3"/>
  <c r="AO22" i="3"/>
  <c r="AO84" i="3"/>
  <c r="P110" i="3"/>
  <c r="BC77" i="3"/>
  <c r="P22" i="3"/>
  <c r="P64" i="1" s="1"/>
  <c r="AD38" i="3"/>
  <c r="BI82" i="3"/>
  <c r="I84" i="3"/>
  <c r="AD68" i="3"/>
  <c r="AG66" i="3"/>
  <c r="AU50" i="3"/>
  <c r="V78" i="4"/>
  <c r="AG22" i="3"/>
  <c r="AG64" i="1" s="1"/>
  <c r="J98" i="3"/>
  <c r="J105" i="3" s="1"/>
  <c r="J128" i="3"/>
  <c r="J119" i="3"/>
  <c r="J110" i="3"/>
  <c r="BA60" i="3"/>
  <c r="AU24" i="3"/>
  <c r="AU163" i="1" s="1"/>
  <c r="J55" i="3"/>
  <c r="P55" i="3"/>
  <c r="BA78" i="3"/>
  <c r="AE77" i="3"/>
  <c r="U55" i="3"/>
  <c r="O67" i="3"/>
  <c r="O128" i="3"/>
  <c r="AU60" i="3"/>
  <c r="O66" i="3"/>
  <c r="AG119" i="3"/>
  <c r="BC82" i="3"/>
  <c r="O84" i="3"/>
  <c r="U84" i="3"/>
  <c r="O22" i="3"/>
  <c r="O64" i="1" s="1"/>
  <c r="AW64" i="3"/>
  <c r="AW82" i="3"/>
  <c r="U63" i="3"/>
  <c r="O63" i="3"/>
  <c r="S10" i="2"/>
  <c r="AQ52" i="3"/>
  <c r="AQ121" i="3" s="1"/>
  <c r="W64" i="1"/>
  <c r="AA78" i="4"/>
  <c r="AI73" i="3"/>
  <c r="AI76" i="3" s="1"/>
  <c r="AT78" i="4"/>
  <c r="U78" i="4"/>
  <c r="P73" i="3"/>
  <c r="P74" i="3" s="1"/>
  <c r="O110" i="3"/>
  <c r="O98" i="3"/>
  <c r="O105" i="3" s="1"/>
  <c r="O119" i="3"/>
  <c r="J68" i="3"/>
  <c r="W119" i="3"/>
  <c r="W110" i="3"/>
  <c r="W128" i="3"/>
  <c r="W98" i="3"/>
  <c r="W73" i="3"/>
  <c r="W76" i="3" s="1"/>
  <c r="G9" i="3"/>
  <c r="AH73" i="3"/>
  <c r="AH76" i="3" s="1"/>
  <c r="O78" i="4"/>
  <c r="AN77" i="4"/>
  <c r="AU9" i="3"/>
  <c r="AU15" i="3" s="1"/>
  <c r="AU51" i="3" s="1"/>
  <c r="AU84" i="4"/>
  <c r="AC9" i="3"/>
  <c r="AC15" i="3" s="1"/>
  <c r="AC51" i="3" s="1"/>
  <c r="AC99" i="3" s="1"/>
  <c r="AV13" i="4"/>
  <c r="AV26" i="4"/>
  <c r="AV30" i="4"/>
  <c r="AV34" i="4"/>
  <c r="AV66" i="4"/>
  <c r="AV8" i="4"/>
  <c r="AZ99" i="4"/>
  <c r="AD84" i="4"/>
  <c r="AD19" i="4"/>
  <c r="Y17" i="4"/>
  <c r="X33" i="4"/>
  <c r="AT9" i="3"/>
  <c r="AT84" i="4"/>
  <c r="AN67" i="4"/>
  <c r="AN81" i="4" s="1"/>
  <c r="AN82" i="4" s="1"/>
  <c r="R78" i="4"/>
  <c r="AI67" i="4"/>
  <c r="AI68" i="4" s="1"/>
  <c r="AT67" i="4"/>
  <c r="BX62" i="2"/>
  <c r="CD62" i="2" s="1"/>
  <c r="CJ62" i="2" s="1"/>
  <c r="CP62" i="2" s="1"/>
  <c r="AQ77" i="1"/>
  <c r="BG6" i="1"/>
  <c r="BG6" i="2"/>
  <c r="BG5" i="4" s="1"/>
  <c r="BM6" i="3"/>
  <c r="BZ57" i="3"/>
  <c r="X78" i="3"/>
  <c r="AG98" i="3"/>
  <c r="AG110" i="3"/>
  <c r="AG128" i="3"/>
  <c r="AM67" i="3"/>
  <c r="AM63" i="3"/>
  <c r="AM84" i="3"/>
  <c r="BA140" i="3"/>
  <c r="AZ138" i="3"/>
  <c r="AG35" i="3"/>
  <c r="AG68" i="3" s="1"/>
  <c r="AQ128" i="3"/>
  <c r="AQ98" i="3"/>
  <c r="AQ119" i="3"/>
  <c r="AQ110" i="3"/>
  <c r="M99" i="2"/>
  <c r="X77" i="1"/>
  <c r="Y49" i="3"/>
  <c r="Y94" i="2"/>
  <c r="Y97" i="2" s="1"/>
  <c r="Y99" i="2" s="1"/>
  <c r="Y14" i="3"/>
  <c r="X99" i="2"/>
  <c r="C35" i="3"/>
  <c r="I63" i="3"/>
  <c r="Y76" i="1"/>
  <c r="Y75" i="1"/>
  <c r="X50" i="3"/>
  <c r="AD60" i="3"/>
  <c r="AD78" i="3"/>
  <c r="AV77" i="1"/>
  <c r="AG78" i="4"/>
  <c r="F98" i="3"/>
  <c r="F119" i="3"/>
  <c r="F128" i="3"/>
  <c r="F110" i="3"/>
  <c r="K67" i="3"/>
  <c r="F22" i="3"/>
  <c r="F66" i="3"/>
  <c r="AT63" i="3"/>
  <c r="AT35" i="3"/>
  <c r="AT66" i="3"/>
  <c r="AT67" i="3"/>
  <c r="AT84" i="3"/>
  <c r="AM139" i="3"/>
  <c r="AM138" i="3" s="1"/>
  <c r="AN138" i="3"/>
  <c r="BH6" i="2"/>
  <c r="BH5" i="4" s="1"/>
  <c r="BH7" i="3"/>
  <c r="BH6" i="1"/>
  <c r="BN6" i="3"/>
  <c r="W63" i="3"/>
  <c r="Q22" i="3"/>
  <c r="W84" i="3"/>
  <c r="W67" i="3"/>
  <c r="Q35" i="3"/>
  <c r="Q66" i="3"/>
  <c r="Q63" i="3"/>
  <c r="Q128" i="3"/>
  <c r="Q110" i="3"/>
  <c r="Q98" i="3"/>
  <c r="Q119" i="3"/>
  <c r="W55" i="3"/>
  <c r="AS77" i="1"/>
  <c r="C66" i="3"/>
  <c r="C22" i="3"/>
  <c r="AN64" i="1"/>
  <c r="C111" i="3"/>
  <c r="C120" i="3"/>
  <c r="C99" i="3"/>
  <c r="C129" i="3"/>
  <c r="V64" i="1"/>
  <c r="BB75" i="1"/>
  <c r="BB76" i="1"/>
  <c r="AT119" i="3"/>
  <c r="AT128" i="3"/>
  <c r="AT110" i="3"/>
  <c r="AT98" i="3"/>
  <c r="AZ55" i="3"/>
  <c r="Q67" i="3"/>
  <c r="Q84" i="3"/>
  <c r="C98" i="3"/>
  <c r="I105" i="3" s="1"/>
  <c r="C119" i="3"/>
  <c r="C128" i="3"/>
  <c r="C110" i="3"/>
  <c r="I55" i="3"/>
  <c r="AN38" i="3"/>
  <c r="AN68" i="3"/>
  <c r="AN36" i="3"/>
  <c r="M9" i="3"/>
  <c r="AU77" i="1"/>
  <c r="AV77" i="4"/>
  <c r="AC73" i="3"/>
  <c r="AC78" i="4"/>
  <c r="AQ98" i="2"/>
  <c r="AH54" i="1"/>
  <c r="AN54" i="1"/>
  <c r="BB35" i="2"/>
  <c r="BC32" i="2"/>
  <c r="AK76" i="2"/>
  <c r="AK72" i="2"/>
  <c r="AM68" i="2" s="1"/>
  <c r="AD62" i="2"/>
  <c r="AE62" i="2" s="1"/>
  <c r="AD97" i="1"/>
  <c r="AE97" i="1" s="1"/>
  <c r="AD44" i="2"/>
  <c r="AG111" i="3"/>
  <c r="AG120" i="3"/>
  <c r="AG129" i="3"/>
  <c r="AG99" i="3"/>
  <c r="AZ66" i="3"/>
  <c r="AZ35" i="3"/>
  <c r="AZ84" i="3"/>
  <c r="AZ67" i="3"/>
  <c r="AZ63" i="3"/>
  <c r="BE48" i="2"/>
  <c r="BE81" i="1"/>
  <c r="BE54" i="2"/>
  <c r="G35" i="3"/>
  <c r="G66" i="3"/>
  <c r="G22" i="3"/>
  <c r="AP35" i="2"/>
  <c r="AP107" i="1"/>
  <c r="AQ107" i="1" s="1"/>
  <c r="AQ108" i="1" s="1"/>
  <c r="S77" i="1"/>
  <c r="AJ78" i="4"/>
  <c r="AJ73" i="3"/>
  <c r="AD35" i="2"/>
  <c r="AD107" i="1"/>
  <c r="AE107" i="1" s="1"/>
  <c r="AE108" i="1" s="1"/>
  <c r="AD99" i="3"/>
  <c r="AD111" i="3"/>
  <c r="AD129" i="3"/>
  <c r="AD120" i="3"/>
  <c r="AW66" i="4"/>
  <c r="AW30" i="4"/>
  <c r="AW8" i="4"/>
  <c r="AW18" i="4"/>
  <c r="AW13" i="4"/>
  <c r="BY52" i="4"/>
  <c r="AO47" i="1"/>
  <c r="AO65" i="1"/>
  <c r="AO53" i="1"/>
  <c r="AC98" i="3"/>
  <c r="AC128" i="3"/>
  <c r="AC119" i="3"/>
  <c r="AC110" i="3"/>
  <c r="AC55" i="3"/>
  <c r="AI55" i="3"/>
  <c r="AG81" i="4"/>
  <c r="AG82" i="4" s="1"/>
  <c r="AG68" i="4"/>
  <c r="BI89" i="1"/>
  <c r="BI90" i="1"/>
  <c r="BI81" i="3"/>
  <c r="BI87" i="1"/>
  <c r="S44" i="2"/>
  <c r="Y22" i="2"/>
  <c r="AC84" i="4"/>
  <c r="Y24" i="2"/>
  <c r="BF27" i="2"/>
  <c r="BF48" i="2" s="1"/>
  <c r="AK35" i="2"/>
  <c r="AW13" i="2"/>
  <c r="BS62" i="2"/>
  <c r="BS34" i="1"/>
  <c r="BH115" i="1"/>
  <c r="BH116" i="1"/>
  <c r="BH101" i="2"/>
  <c r="AZ54" i="1"/>
  <c r="AJ35" i="2"/>
  <c r="Y33" i="3"/>
  <c r="Y150" i="1"/>
  <c r="Y151" i="1" s="1"/>
  <c r="L47" i="1"/>
  <c r="L65" i="1"/>
  <c r="AK80" i="2"/>
  <c r="AK44" i="2"/>
  <c r="L35" i="3"/>
  <c r="L84" i="3"/>
  <c r="L63" i="3"/>
  <c r="L22" i="3"/>
  <c r="L67" i="3"/>
  <c r="L66" i="3"/>
  <c r="AM130" i="1"/>
  <c r="AM124" i="1"/>
  <c r="AQ124" i="1" s="1"/>
  <c r="AQ126" i="1" s="1"/>
  <c r="AY53" i="1"/>
  <c r="AY47" i="1"/>
  <c r="L35" i="2"/>
  <c r="L143" i="1"/>
  <c r="BC17" i="2"/>
  <c r="AA80" i="1"/>
  <c r="AM69" i="4"/>
  <c r="AM36" i="4" s="1"/>
  <c r="AM77" i="4"/>
  <c r="BC90" i="1"/>
  <c r="BC89" i="1"/>
  <c r="BC87" i="1"/>
  <c r="BC81" i="3"/>
  <c r="AJ67" i="3"/>
  <c r="AP63" i="3"/>
  <c r="AJ35" i="3"/>
  <c r="AJ66" i="3"/>
  <c r="AJ63" i="3"/>
  <c r="AP84" i="3"/>
  <c r="AJ84" i="3"/>
  <c r="AJ22" i="3"/>
  <c r="AP67" i="3"/>
  <c r="BT52" i="4"/>
  <c r="AV78" i="2"/>
  <c r="BB78" i="2"/>
  <c r="G17" i="2"/>
  <c r="AO108" i="1"/>
  <c r="AO110" i="1"/>
  <c r="AB54" i="1"/>
  <c r="AW26" i="4"/>
  <c r="Y87" i="1"/>
  <c r="Y81" i="3"/>
  <c r="Y89" i="1"/>
  <c r="AA66" i="3"/>
  <c r="AG84" i="3"/>
  <c r="AA67" i="3"/>
  <c r="AG63" i="3"/>
  <c r="AA63" i="3"/>
  <c r="AA22" i="3"/>
  <c r="AG67" i="3"/>
  <c r="AA84" i="3"/>
  <c r="AA35" i="3"/>
  <c r="M84" i="4"/>
  <c r="AM53" i="1"/>
  <c r="AS54" i="1" s="1"/>
  <c r="AM47" i="1"/>
  <c r="AM65" i="1"/>
  <c r="BI22" i="2"/>
  <c r="K68" i="3"/>
  <c r="K36" i="3"/>
  <c r="K38" i="3"/>
  <c r="AY110" i="3"/>
  <c r="AY128" i="3"/>
  <c r="AY119" i="3"/>
  <c r="AY98" i="3"/>
  <c r="AY55" i="3"/>
  <c r="AE99" i="2"/>
  <c r="M31" i="2"/>
  <c r="BS48" i="4"/>
  <c r="AH119" i="3"/>
  <c r="AH98" i="3"/>
  <c r="AN105" i="3" s="1"/>
  <c r="AH55" i="3"/>
  <c r="AH128" i="3"/>
  <c r="AH110" i="3"/>
  <c r="BC7" i="3"/>
  <c r="AY75" i="1"/>
  <c r="AY74" i="1"/>
  <c r="AY76" i="1"/>
  <c r="AW133" i="3"/>
  <c r="AW115" i="3"/>
  <c r="AW103" i="3" s="1"/>
  <c r="AW57" i="3"/>
  <c r="Y10" i="2"/>
  <c r="AI63" i="2"/>
  <c r="AC63" i="2"/>
  <c r="F108" i="1"/>
  <c r="F110" i="1"/>
  <c r="Q89" i="2"/>
  <c r="Q90" i="2"/>
  <c r="Q91" i="2"/>
  <c r="BZ73" i="2"/>
  <c r="BU73" i="2"/>
  <c r="BU74" i="2" s="1"/>
  <c r="W54" i="1"/>
  <c r="AQ130" i="1"/>
  <c r="S78" i="3"/>
  <c r="S24" i="3"/>
  <c r="S163" i="1" s="1"/>
  <c r="S60" i="3"/>
  <c r="S50" i="3"/>
  <c r="L128" i="3"/>
  <c r="L119" i="3"/>
  <c r="L110" i="3"/>
  <c r="L55" i="3"/>
  <c r="L98" i="3"/>
  <c r="K90" i="2"/>
  <c r="K89" i="2"/>
  <c r="K91" i="2"/>
  <c r="AV84" i="3"/>
  <c r="AV66" i="3"/>
  <c r="AV67" i="3"/>
  <c r="AV63" i="3"/>
  <c r="AV35" i="3"/>
  <c r="AE45" i="1"/>
  <c r="J53" i="1"/>
  <c r="J47" i="1"/>
  <c r="J65" i="1"/>
  <c r="BL87" i="4"/>
  <c r="BL64" i="4"/>
  <c r="M77" i="1"/>
  <c r="AK16" i="3"/>
  <c r="AK52" i="3" s="1"/>
  <c r="AJ52" i="3"/>
  <c r="AE66" i="4"/>
  <c r="AE8" i="4"/>
  <c r="AE13" i="4"/>
  <c r="AE30" i="4"/>
  <c r="AO36" i="4"/>
  <c r="AQ15" i="2"/>
  <c r="AU53" i="1"/>
  <c r="AU47" i="1"/>
  <c r="AE18" i="4"/>
  <c r="R110" i="1"/>
  <c r="R108" i="1"/>
  <c r="CA90" i="3"/>
  <c r="CC90" i="3" s="1"/>
  <c r="L53" i="1"/>
  <c r="BO19" i="1"/>
  <c r="BG101" i="2"/>
  <c r="BG115" i="1"/>
  <c r="BI114" i="1"/>
  <c r="BG116" i="1"/>
  <c r="AP143" i="1"/>
  <c r="M44" i="2"/>
  <c r="AW8" i="2"/>
  <c r="Y123" i="3"/>
  <c r="Y56" i="3"/>
  <c r="Y114" i="3"/>
  <c r="Y102" i="3" s="1"/>
  <c r="Y132" i="3"/>
  <c r="AH9" i="3"/>
  <c r="AH15" i="3" s="1"/>
  <c r="AH51" i="3" s="1"/>
  <c r="AH67" i="4"/>
  <c r="AH84" i="4"/>
  <c r="BE139" i="3"/>
  <c r="AQ80" i="2"/>
  <c r="AK65" i="1"/>
  <c r="AK47" i="1"/>
  <c r="M12" i="2"/>
  <c r="R15" i="3"/>
  <c r="S9" i="3"/>
  <c r="AS84" i="3"/>
  <c r="AS63" i="3"/>
  <c r="AS66" i="3"/>
  <c r="AS67" i="3"/>
  <c r="AS35" i="3"/>
  <c r="K64" i="1"/>
  <c r="AQ86" i="2"/>
  <c r="AW76" i="1"/>
  <c r="AW74" i="1"/>
  <c r="AW75" i="1"/>
  <c r="AE50" i="3"/>
  <c r="AE24" i="3"/>
  <c r="M13" i="2"/>
  <c r="D27" i="10"/>
  <c r="AY80" i="1"/>
  <c r="AB67" i="3"/>
  <c r="AB84" i="3"/>
  <c r="AB66" i="3"/>
  <c r="AB35" i="3"/>
  <c r="AB22" i="3"/>
  <c r="AB63" i="3"/>
  <c r="BC143" i="1"/>
  <c r="S24" i="2"/>
  <c r="AC108" i="1"/>
  <c r="AC110" i="1"/>
  <c r="AI68" i="3"/>
  <c r="AI38" i="3"/>
  <c r="AI36" i="3"/>
  <c r="AC66" i="3"/>
  <c r="AC35" i="3"/>
  <c r="AC84" i="3"/>
  <c r="AC67" i="3"/>
  <c r="AC22" i="3"/>
  <c r="AC63" i="3"/>
  <c r="AI67" i="3"/>
  <c r="AI84" i="3"/>
  <c r="AI63" i="3"/>
  <c r="AM83" i="1"/>
  <c r="AM56" i="2"/>
  <c r="AG28" i="4"/>
  <c r="AG74" i="4"/>
  <c r="AG10" i="4"/>
  <c r="AG57" i="4"/>
  <c r="AG32" i="4"/>
  <c r="AG41" i="4"/>
  <c r="AG53" i="4"/>
  <c r="AG15" i="4"/>
  <c r="AG65" i="4"/>
  <c r="AG45" i="4"/>
  <c r="AG20" i="4"/>
  <c r="AG61" i="4"/>
  <c r="AG49" i="4"/>
  <c r="AG24" i="4"/>
  <c r="AJ86" i="2"/>
  <c r="AP86" i="2"/>
  <c r="AK77" i="1"/>
  <c r="AB128" i="3"/>
  <c r="AB110" i="3"/>
  <c r="AB119" i="3"/>
  <c r="AB98" i="3"/>
  <c r="AB105" i="3" s="1"/>
  <c r="AB55" i="3"/>
  <c r="BC78" i="2"/>
  <c r="Y91" i="2"/>
  <c r="Y89" i="2"/>
  <c r="Y90" i="2"/>
  <c r="BB63" i="2"/>
  <c r="BA35" i="2"/>
  <c r="AB129" i="3"/>
  <c r="AB120" i="3"/>
  <c r="AB111" i="3"/>
  <c r="AB99" i="3"/>
  <c r="C139" i="3"/>
  <c r="C138" i="3" s="1"/>
  <c r="D138" i="3"/>
  <c r="V36" i="3"/>
  <c r="V38" i="3"/>
  <c r="V68" i="3"/>
  <c r="AW90" i="1"/>
  <c r="AW89" i="1"/>
  <c r="AW81" i="3"/>
  <c r="AW87" i="1"/>
  <c r="E66" i="3"/>
  <c r="E22" i="3"/>
  <c r="E35" i="3"/>
  <c r="AH65" i="1"/>
  <c r="AH47" i="1"/>
  <c r="BA98" i="4"/>
  <c r="BA99" i="4" s="1"/>
  <c r="BG19" i="2"/>
  <c r="AV110" i="1"/>
  <c r="AV108" i="1"/>
  <c r="AK60" i="3"/>
  <c r="AK24" i="3"/>
  <c r="AQ60" i="3"/>
  <c r="AK50" i="3"/>
  <c r="AQ78" i="3"/>
  <c r="AK78" i="3"/>
  <c r="AQ143" i="1"/>
  <c r="BC97" i="2"/>
  <c r="BC99" i="2" s="1"/>
  <c r="AE77" i="1"/>
  <c r="AQ12" i="2"/>
  <c r="BL101" i="2"/>
  <c r="AH63" i="3"/>
  <c r="AH22" i="3"/>
  <c r="AH66" i="3"/>
  <c r="AH84" i="3"/>
  <c r="AN84" i="3"/>
  <c r="AH67" i="3"/>
  <c r="AN63" i="3"/>
  <c r="AH35" i="3"/>
  <c r="AN67" i="3"/>
  <c r="AE43" i="2"/>
  <c r="BW48" i="4"/>
  <c r="BB89" i="2"/>
  <c r="BB90" i="2"/>
  <c r="BB91" i="2"/>
  <c r="BB109" i="1"/>
  <c r="AW45" i="1"/>
  <c r="AJ72" i="2"/>
  <c r="AJ77" i="2"/>
  <c r="BG47" i="1"/>
  <c r="BG65" i="1"/>
  <c r="R98" i="3"/>
  <c r="R128" i="3"/>
  <c r="R110" i="3"/>
  <c r="R55" i="3"/>
  <c r="R119" i="3"/>
  <c r="M50" i="3"/>
  <c r="M24" i="3"/>
  <c r="M163" i="1" s="1"/>
  <c r="M60" i="3"/>
  <c r="M78" i="3"/>
  <c r="X47" i="1"/>
  <c r="X53" i="1"/>
  <c r="X65" i="1"/>
  <c r="AQ13" i="2"/>
  <c r="BE6" i="2"/>
  <c r="BE5" i="4" s="1"/>
  <c r="BE7" i="3"/>
  <c r="BE6" i="1"/>
  <c r="BK6" i="3"/>
  <c r="AT77" i="1"/>
  <c r="Q54" i="1"/>
  <c r="BI8" i="2"/>
  <c r="E98" i="3"/>
  <c r="E110" i="3"/>
  <c r="E128" i="3"/>
  <c r="E119" i="3"/>
  <c r="BI97" i="2"/>
  <c r="AP116" i="1"/>
  <c r="AP115" i="1"/>
  <c r="G35" i="2"/>
  <c r="BO23" i="1"/>
  <c r="AA55" i="2"/>
  <c r="AA82" i="1"/>
  <c r="G42" i="2"/>
  <c r="AN55" i="3"/>
  <c r="R143" i="1"/>
  <c r="S31" i="2"/>
  <c r="AB78" i="4"/>
  <c r="AB73" i="3"/>
  <c r="AJ98" i="3"/>
  <c r="AJ55" i="3"/>
  <c r="AJ128" i="3"/>
  <c r="AJ110" i="3"/>
  <c r="AP55" i="3"/>
  <c r="AJ119" i="3"/>
  <c r="F53" i="1"/>
  <c r="F47" i="1"/>
  <c r="F65" i="1"/>
  <c r="R66" i="3"/>
  <c r="R35" i="3"/>
  <c r="R84" i="3"/>
  <c r="R67" i="3"/>
  <c r="R63" i="3"/>
  <c r="R22" i="3"/>
  <c r="AC54" i="1"/>
  <c r="BO85" i="2"/>
  <c r="BX56" i="4"/>
  <c r="BC62" i="2"/>
  <c r="X19" i="2"/>
  <c r="X27" i="2" s="1"/>
  <c r="BA110" i="1"/>
  <c r="BF47" i="1"/>
  <c r="BF65" i="1"/>
  <c r="BF53" i="1"/>
  <c r="G107" i="1"/>
  <c r="R35" i="2"/>
  <c r="BO42" i="1"/>
  <c r="BQ98" i="1" s="1"/>
  <c r="AG139" i="3"/>
  <c r="AG138" i="3" s="1"/>
  <c r="AH138" i="3"/>
  <c r="AS80" i="1"/>
  <c r="AP98" i="2"/>
  <c r="AP99" i="2" s="1"/>
  <c r="AO91" i="2"/>
  <c r="AO89" i="2"/>
  <c r="AO90" i="2"/>
  <c r="AS47" i="1"/>
  <c r="AS65" i="1"/>
  <c r="BI71" i="1"/>
  <c r="BI24" i="1"/>
  <c r="BI68" i="1"/>
  <c r="W68" i="3"/>
  <c r="W36" i="3"/>
  <c r="W38" i="3"/>
  <c r="AJ76" i="2"/>
  <c r="BH47" i="1"/>
  <c r="BH53" i="1"/>
  <c r="I120" i="3"/>
  <c r="I111" i="3"/>
  <c r="I99" i="3"/>
  <c r="I129" i="3"/>
  <c r="BH20" i="2"/>
  <c r="AA119" i="3"/>
  <c r="AA110" i="3"/>
  <c r="AA128" i="3"/>
  <c r="AA98" i="3"/>
  <c r="AA55" i="3"/>
  <c r="AG55" i="3"/>
  <c r="Y33" i="2"/>
  <c r="BT48" i="4"/>
  <c r="BG53" i="1"/>
  <c r="AS55" i="3"/>
  <c r="AS128" i="3"/>
  <c r="AS110" i="3"/>
  <c r="AS119" i="3"/>
  <c r="AS98" i="3"/>
  <c r="K84" i="3"/>
  <c r="AZ23" i="4"/>
  <c r="AY67" i="3"/>
  <c r="AY63" i="3"/>
  <c r="AY66" i="3"/>
  <c r="AY35" i="3"/>
  <c r="AY84" i="3"/>
  <c r="AE30" i="2"/>
  <c r="L27" i="2"/>
  <c r="V81" i="1"/>
  <c r="V54" i="2"/>
  <c r="V48" i="2"/>
  <c r="AB48" i="2"/>
  <c r="AB81" i="1"/>
  <c r="AB54" i="2"/>
  <c r="AT80" i="1"/>
  <c r="AU27" i="2"/>
  <c r="U55" i="2"/>
  <c r="U82" i="1"/>
  <c r="E27" i="2"/>
  <c r="G22" i="2"/>
  <c r="AC27" i="2"/>
  <c r="AZ48" i="2"/>
  <c r="AZ54" i="2"/>
  <c r="AZ81" i="1"/>
  <c r="BC26" i="2"/>
  <c r="U80" i="1"/>
  <c r="AG55" i="2"/>
  <c r="AG82" i="1"/>
  <c r="AK25" i="2"/>
  <c r="AJ19" i="2"/>
  <c r="BB19" i="2"/>
  <c r="AD19" i="2"/>
  <c r="O80" i="1"/>
  <c r="R19" i="2"/>
  <c r="AQ26" i="2"/>
  <c r="O82" i="1"/>
  <c r="O55" i="2"/>
  <c r="F19" i="2"/>
  <c r="G20" i="2"/>
  <c r="Q27" i="2"/>
  <c r="AT82" i="1"/>
  <c r="AT55" i="2"/>
  <c r="J80" i="1"/>
  <c r="Y25" i="2"/>
  <c r="AP19" i="2"/>
  <c r="AH48" i="2"/>
  <c r="AH54" i="2"/>
  <c r="AH81" i="1"/>
  <c r="J82" i="1"/>
  <c r="J55" i="2"/>
  <c r="AQ24" i="2"/>
  <c r="AQ22" i="2"/>
  <c r="M25" i="2"/>
  <c r="W27" i="2"/>
  <c r="P54" i="2"/>
  <c r="P81" i="1"/>
  <c r="P48" i="2"/>
  <c r="D48" i="2"/>
  <c r="D54" i="2"/>
  <c r="D81" i="1"/>
  <c r="AN54" i="2"/>
  <c r="AN81" i="1"/>
  <c r="AN48" i="2"/>
  <c r="AE25" i="2"/>
  <c r="BA27" i="2"/>
  <c r="AK26" i="2"/>
  <c r="AG80" i="1"/>
  <c r="I83" i="1"/>
  <c r="I56" i="2"/>
  <c r="S26" i="2"/>
  <c r="AI48" i="2"/>
  <c r="AI81" i="1"/>
  <c r="AI54" i="2"/>
  <c r="K27" i="2"/>
  <c r="AO27" i="2"/>
  <c r="AV19" i="2"/>
  <c r="AK75" i="3"/>
  <c r="AM84" i="4"/>
  <c r="AM9" i="3"/>
  <c r="AS67" i="4"/>
  <c r="AM67" i="4"/>
  <c r="AA51" i="3"/>
  <c r="AO67" i="4"/>
  <c r="AO9" i="3"/>
  <c r="AO15" i="3" s="1"/>
  <c r="AO51" i="3" s="1"/>
  <c r="AO84" i="4"/>
  <c r="AU67" i="4"/>
  <c r="AK19" i="4"/>
  <c r="AN111" i="3"/>
  <c r="AN99" i="3"/>
  <c r="AN120" i="3"/>
  <c r="AN129" i="3"/>
  <c r="AU53" i="4"/>
  <c r="AU15" i="4"/>
  <c r="AU20" i="4"/>
  <c r="AU10" i="4"/>
  <c r="AU24" i="4"/>
  <c r="AU65" i="4"/>
  <c r="AU45" i="4"/>
  <c r="AU57" i="4"/>
  <c r="AU49" i="4"/>
  <c r="AU61" i="4"/>
  <c r="AU28" i="4"/>
  <c r="AU41" i="4"/>
  <c r="AU32" i="4"/>
  <c r="AU74" i="4"/>
  <c r="AO99" i="4"/>
  <c r="AI99" i="4"/>
  <c r="Q73" i="3"/>
  <c r="Q78" i="4"/>
  <c r="S77" i="4"/>
  <c r="D51" i="3"/>
  <c r="G15" i="3"/>
  <c r="AI15" i="3"/>
  <c r="AU78" i="4"/>
  <c r="AU73" i="3"/>
  <c r="AP30" i="4"/>
  <c r="AP34" i="4"/>
  <c r="AP13" i="4"/>
  <c r="AV35" i="4"/>
  <c r="AP26" i="4"/>
  <c r="AP8" i="4"/>
  <c r="AP35" i="4"/>
  <c r="AP66" i="4"/>
  <c r="AO73" i="3"/>
  <c r="AO78" i="4"/>
  <c r="V51" i="3"/>
  <c r="AS77" i="4"/>
  <c r="AS69" i="4"/>
  <c r="AS36" i="4" s="1"/>
  <c r="AM99" i="4"/>
  <c r="AG99" i="4"/>
  <c r="AO32" i="4"/>
  <c r="AO10" i="4"/>
  <c r="AO61" i="4"/>
  <c r="AO53" i="4"/>
  <c r="AO15" i="4"/>
  <c r="AO41" i="4"/>
  <c r="AO65" i="4"/>
  <c r="AO57" i="4"/>
  <c r="AO28" i="4"/>
  <c r="AO24" i="4"/>
  <c r="AO74" i="4"/>
  <c r="AO49" i="4"/>
  <c r="AO45" i="4"/>
  <c r="AV105" i="4"/>
  <c r="AV98" i="4"/>
  <c r="AP69" i="4"/>
  <c r="AP20" i="4" s="1"/>
  <c r="AP77" i="4"/>
  <c r="AB82" i="4"/>
  <c r="AC81" i="4"/>
  <c r="AC82" i="4" s="1"/>
  <c r="AC68" i="4"/>
  <c r="AJ26" i="4"/>
  <c r="AJ30" i="4"/>
  <c r="AJ34" i="4"/>
  <c r="AJ66" i="4"/>
  <c r="AJ35" i="4"/>
  <c r="AJ36" i="4" s="1"/>
  <c r="AJ13" i="4"/>
  <c r="AJ8" i="4"/>
  <c r="AP98" i="4"/>
  <c r="AP99" i="4" s="1"/>
  <c r="AP105" i="4"/>
  <c r="AQ104" i="4"/>
  <c r="AW104" i="4"/>
  <c r="L51" i="3"/>
  <c r="M15" i="3"/>
  <c r="AS51" i="3"/>
  <c r="AK33" i="4"/>
  <c r="AK18" i="4" s="1"/>
  <c r="AU36" i="4"/>
  <c r="O111" i="3"/>
  <c r="O120" i="3"/>
  <c r="O99" i="3"/>
  <c r="O129" i="3"/>
  <c r="AV130" i="3"/>
  <c r="AV121" i="3"/>
  <c r="AV112" i="3"/>
  <c r="AV100" i="3"/>
  <c r="AQ33" i="4"/>
  <c r="AQ19" i="4"/>
  <c r="AW19" i="4"/>
  <c r="AA65" i="4"/>
  <c r="AA61" i="4"/>
  <c r="AA74" i="4"/>
  <c r="AA28" i="4"/>
  <c r="AA32" i="4"/>
  <c r="AA49" i="4"/>
  <c r="AA45" i="4"/>
  <c r="AA41" i="4"/>
  <c r="AA24" i="4"/>
  <c r="AA10" i="4"/>
  <c r="AA57" i="4"/>
  <c r="AA20" i="4"/>
  <c r="AA15" i="4"/>
  <c r="AA53" i="4"/>
  <c r="AR13" i="72" l="1"/>
  <c r="CD48" i="4"/>
  <c r="AI54" i="1"/>
  <c r="I38" i="3"/>
  <c r="I57" i="1" s="1"/>
  <c r="AK105" i="4"/>
  <c r="O68" i="3"/>
  <c r="O36" i="3"/>
  <c r="I36" i="3"/>
  <c r="I68" i="3"/>
  <c r="AV20" i="4"/>
  <c r="AV53" i="4"/>
  <c r="F68" i="3"/>
  <c r="L76" i="3"/>
  <c r="F36" i="3"/>
  <c r="AN24" i="4"/>
  <c r="AN32" i="4"/>
  <c r="AA83" i="4"/>
  <c r="AD187" i="1"/>
  <c r="AD59" i="1" s="1"/>
  <c r="AD186" i="1"/>
  <c r="J186" i="1"/>
  <c r="AI164" i="1"/>
  <c r="AI165" i="1" s="1"/>
  <c r="AI166" i="1" s="1"/>
  <c r="AI167" i="1" s="1"/>
  <c r="AE163" i="1"/>
  <c r="K164" i="1"/>
  <c r="K165" i="1" s="1"/>
  <c r="K166" i="1" s="1"/>
  <c r="K167" i="1" s="1"/>
  <c r="AP164" i="1"/>
  <c r="AP165" i="1" s="1"/>
  <c r="AP166" i="1" s="1"/>
  <c r="X84" i="3"/>
  <c r="X163" i="1"/>
  <c r="U164" i="1"/>
  <c r="U165" i="1" s="1"/>
  <c r="U166" i="1" s="1"/>
  <c r="V164" i="1"/>
  <c r="V165" i="1" s="1"/>
  <c r="V166" i="1" s="1"/>
  <c r="V167" i="1" s="1"/>
  <c r="W164" i="1"/>
  <c r="W165" i="1" s="1"/>
  <c r="W166" i="1" s="1"/>
  <c r="W167" i="1" s="1"/>
  <c r="AK163" i="1"/>
  <c r="AN164" i="1"/>
  <c r="AN165" i="1" s="1"/>
  <c r="AN166" i="1" s="1"/>
  <c r="AN167" i="1" s="1"/>
  <c r="AO164" i="1"/>
  <c r="AO165" i="1" s="1"/>
  <c r="AO166" i="1" s="1"/>
  <c r="AQ163" i="1"/>
  <c r="J187" i="1"/>
  <c r="J59" i="1" s="1"/>
  <c r="BO182" i="1"/>
  <c r="BQ181" i="1"/>
  <c r="BC184" i="1"/>
  <c r="AK184" i="1"/>
  <c r="AT54" i="1"/>
  <c r="S183" i="1"/>
  <c r="BC183" i="1"/>
  <c r="AK183" i="1"/>
  <c r="BI184" i="1"/>
  <c r="BI65" i="1"/>
  <c r="S184" i="1"/>
  <c r="AN20" i="4"/>
  <c r="AN36" i="4"/>
  <c r="AE90" i="2"/>
  <c r="G110" i="1"/>
  <c r="G111" i="1" s="1"/>
  <c r="I106" i="1" s="1"/>
  <c r="AE89" i="2"/>
  <c r="K105" i="3"/>
  <c r="M78" i="4"/>
  <c r="AN28" i="4"/>
  <c r="AT74" i="3"/>
  <c r="AA74" i="3"/>
  <c r="V74" i="3"/>
  <c r="AN53" i="4"/>
  <c r="AV36" i="4"/>
  <c r="AV41" i="4"/>
  <c r="AV28" i="4"/>
  <c r="AV74" i="4"/>
  <c r="AV57" i="4"/>
  <c r="R74" i="3"/>
  <c r="AN78" i="4"/>
  <c r="I76" i="3"/>
  <c r="I74" i="3"/>
  <c r="J76" i="3"/>
  <c r="J74" i="3"/>
  <c r="K76" i="3"/>
  <c r="K74" i="3"/>
  <c r="AG74" i="3"/>
  <c r="AV61" i="4"/>
  <c r="AV10" i="4"/>
  <c r="AV45" i="4"/>
  <c r="AV24" i="4"/>
  <c r="AV49" i="4"/>
  <c r="AV65" i="4"/>
  <c r="AV73" i="3"/>
  <c r="AV74" i="3" s="1"/>
  <c r="U74" i="3"/>
  <c r="AV32" i="4"/>
  <c r="AN15" i="4"/>
  <c r="AN74" i="4"/>
  <c r="AN10" i="4"/>
  <c r="AN45" i="4"/>
  <c r="AN57" i="4"/>
  <c r="O74" i="3"/>
  <c r="AN65" i="4"/>
  <c r="AN41" i="4"/>
  <c r="AN49" i="4"/>
  <c r="AD69" i="4"/>
  <c r="AD49" i="4" s="1"/>
  <c r="M73" i="3"/>
  <c r="AW19" i="2"/>
  <c r="G27" i="10"/>
  <c r="BH99" i="2"/>
  <c r="AA68" i="4"/>
  <c r="BX159" i="1"/>
  <c r="BK54" i="1"/>
  <c r="BH109" i="1"/>
  <c r="BH91" i="2"/>
  <c r="BH89" i="2"/>
  <c r="BH90" i="2"/>
  <c r="Y44" i="2"/>
  <c r="X115" i="1"/>
  <c r="BN63" i="2"/>
  <c r="AE84" i="2"/>
  <c r="AE85" i="2" s="1"/>
  <c r="AK86" i="2" s="1"/>
  <c r="BI143" i="1"/>
  <c r="X116" i="1"/>
  <c r="R116" i="1"/>
  <c r="R115" i="1"/>
  <c r="G114" i="1"/>
  <c r="F115" i="1"/>
  <c r="F116" i="1"/>
  <c r="G116" i="1" s="1"/>
  <c r="BG27" i="2"/>
  <c r="BG48" i="2" s="1"/>
  <c r="BH63" i="2"/>
  <c r="BI62" i="2"/>
  <c r="AD90" i="2"/>
  <c r="AD109" i="1"/>
  <c r="AE109" i="1" s="1"/>
  <c r="AD89" i="2"/>
  <c r="AD91" i="2"/>
  <c r="S114" i="1"/>
  <c r="S101" i="2"/>
  <c r="AQ44" i="2"/>
  <c r="AQ35" i="2"/>
  <c r="BB110" i="1"/>
  <c r="AW78" i="2"/>
  <c r="AQ65" i="1"/>
  <c r="BC47" i="1"/>
  <c r="AQ53" i="1"/>
  <c r="BC65" i="1"/>
  <c r="AQ66" i="3"/>
  <c r="BA38" i="3"/>
  <c r="BA69" i="3" s="1"/>
  <c r="J58" i="3"/>
  <c r="J106" i="3"/>
  <c r="AW112" i="3"/>
  <c r="AW121" i="3"/>
  <c r="AE121" i="3"/>
  <c r="BA36" i="3"/>
  <c r="AQ22" i="3"/>
  <c r="AQ64" i="1" s="1"/>
  <c r="AE100" i="3"/>
  <c r="AW100" i="3"/>
  <c r="G62" i="2"/>
  <c r="BA77" i="1"/>
  <c r="AK65" i="3"/>
  <c r="AE78" i="3"/>
  <c r="BA67" i="3"/>
  <c r="AU22" i="3"/>
  <c r="AU64" i="1" s="1"/>
  <c r="AW60" i="3"/>
  <c r="AD91" i="3"/>
  <c r="AD92" i="3" s="1"/>
  <c r="D38" i="3"/>
  <c r="D46" i="3" s="1"/>
  <c r="U38" i="3"/>
  <c r="U69" i="3" s="1"/>
  <c r="D36" i="3"/>
  <c r="AU119" i="3"/>
  <c r="AI81" i="4"/>
  <c r="AI82" i="4" s="1"/>
  <c r="AE130" i="3"/>
  <c r="AW44" i="2"/>
  <c r="AP63" i="2"/>
  <c r="F27" i="10"/>
  <c r="M101" i="2"/>
  <c r="AK62" i="2"/>
  <c r="AK63" i="2" s="1"/>
  <c r="G90" i="2"/>
  <c r="G89" i="2"/>
  <c r="G91" i="2"/>
  <c r="G80" i="2"/>
  <c r="L116" i="1"/>
  <c r="L115" i="1"/>
  <c r="M114" i="1"/>
  <c r="BT69" i="2"/>
  <c r="BO69" i="2"/>
  <c r="BO78" i="2" s="1"/>
  <c r="C56" i="2"/>
  <c r="C83" i="1"/>
  <c r="AW35" i="2"/>
  <c r="C51" i="2"/>
  <c r="D49" i="2"/>
  <c r="AJ89" i="2"/>
  <c r="AJ109" i="1"/>
  <c r="AJ91" i="2"/>
  <c r="AJ90" i="2"/>
  <c r="AK143" i="1"/>
  <c r="AU67" i="3"/>
  <c r="AU66" i="3"/>
  <c r="AU106" i="3" s="1"/>
  <c r="U68" i="3"/>
  <c r="AQ65" i="3"/>
  <c r="D14" i="10"/>
  <c r="D19" i="10" s="1"/>
  <c r="D21" i="10" s="1"/>
  <c r="AQ99" i="2"/>
  <c r="AQ35" i="3"/>
  <c r="X66" i="3"/>
  <c r="BL6" i="1"/>
  <c r="BR6" i="3"/>
  <c r="X63" i="3"/>
  <c r="BL6" i="2"/>
  <c r="BL5" i="4" s="1"/>
  <c r="BF76" i="1"/>
  <c r="AU110" i="3"/>
  <c r="P105" i="3"/>
  <c r="AD84" i="3"/>
  <c r="AD63" i="3"/>
  <c r="X35" i="3"/>
  <c r="X38" i="3" s="1"/>
  <c r="AD67" i="3"/>
  <c r="BG75" i="1"/>
  <c r="AU98" i="3"/>
  <c r="BA105" i="3" s="1"/>
  <c r="D64" i="1"/>
  <c r="X67" i="3"/>
  <c r="AG36" i="3"/>
  <c r="X22" i="3"/>
  <c r="X64" i="1" s="1"/>
  <c r="AU128" i="3"/>
  <c r="AY83" i="1"/>
  <c r="AS105" i="3"/>
  <c r="I64" i="1"/>
  <c r="AM105" i="3"/>
  <c r="AY56" i="2"/>
  <c r="O106" i="3"/>
  <c r="J91" i="3"/>
  <c r="J40" i="3" s="1"/>
  <c r="W105" i="3"/>
  <c r="BZ56" i="4"/>
  <c r="AE80" i="4"/>
  <c r="Y60" i="3"/>
  <c r="AO68" i="3"/>
  <c r="P38" i="3"/>
  <c r="P57" i="1" s="1"/>
  <c r="AD77" i="4"/>
  <c r="Y63" i="2"/>
  <c r="AG54" i="1"/>
  <c r="AQ138" i="1"/>
  <c r="AQ140" i="1" s="1"/>
  <c r="AW138" i="1" s="1"/>
  <c r="AW140" i="1" s="1"/>
  <c r="AY138" i="1" s="1"/>
  <c r="AY139" i="1" s="1"/>
  <c r="BC139" i="1" s="1"/>
  <c r="AZ77" i="1"/>
  <c r="J69" i="3"/>
  <c r="P68" i="3"/>
  <c r="BA84" i="3"/>
  <c r="V58" i="3"/>
  <c r="P36" i="3"/>
  <c r="CA73" i="2"/>
  <c r="CA74" i="2" s="1"/>
  <c r="CF73" i="2"/>
  <c r="CG73" i="2" s="1"/>
  <c r="AE80" i="2"/>
  <c r="BC84" i="2"/>
  <c r="BC85" i="2" s="1"/>
  <c r="BK56" i="2"/>
  <c r="BC44" i="2"/>
  <c r="BH86" i="2"/>
  <c r="L63" i="2"/>
  <c r="R63" i="2"/>
  <c r="M62" i="2"/>
  <c r="AK98" i="2"/>
  <c r="AK99" i="2" s="1"/>
  <c r="CD90" i="3"/>
  <c r="CE90" i="3" s="1"/>
  <c r="CF90" i="3" s="1"/>
  <c r="Y80" i="4"/>
  <c r="X77" i="4"/>
  <c r="BM7" i="3"/>
  <c r="AM106" i="3"/>
  <c r="CI52" i="4"/>
  <c r="CI53" i="4" s="1"/>
  <c r="CK48" i="4"/>
  <c r="CK49" i="4" s="1"/>
  <c r="CL48" i="4"/>
  <c r="CL49" i="4" s="1"/>
  <c r="BY56" i="4"/>
  <c r="CA46" i="4"/>
  <c r="BN158" i="1"/>
  <c r="BN154" i="1"/>
  <c r="BN156" i="1" s="1"/>
  <c r="BO156" i="1" s="1"/>
  <c r="K23" i="72"/>
  <c r="K10" i="72"/>
  <c r="K38" i="72"/>
  <c r="J11" i="72"/>
  <c r="J24" i="72"/>
  <c r="J25" i="72" s="1"/>
  <c r="J28" i="72"/>
  <c r="J39" i="72"/>
  <c r="BC109" i="1"/>
  <c r="AV54" i="1"/>
  <c r="AP54" i="1"/>
  <c r="AQ130" i="3"/>
  <c r="G53" i="1"/>
  <c r="G65" i="1"/>
  <c r="G47" i="1"/>
  <c r="BS21" i="1"/>
  <c r="Y19" i="2"/>
  <c r="BC35" i="2"/>
  <c r="L8" i="72"/>
  <c r="AM64" i="1"/>
  <c r="AM38" i="3"/>
  <c r="AM36" i="3"/>
  <c r="AM68" i="3"/>
  <c r="AW50" i="3"/>
  <c r="AW119" i="3" s="1"/>
  <c r="AW78" i="3"/>
  <c r="AO38" i="3"/>
  <c r="AO106" i="3"/>
  <c r="O58" i="3"/>
  <c r="P106" i="3"/>
  <c r="P76" i="3"/>
  <c r="AO64" i="1"/>
  <c r="V106" i="3"/>
  <c r="J143" i="3"/>
  <c r="U58" i="3"/>
  <c r="BA55" i="3"/>
  <c r="J46" i="3"/>
  <c r="AQ112" i="3"/>
  <c r="AW24" i="3"/>
  <c r="AQ100" i="3"/>
  <c r="AU55" i="3"/>
  <c r="J57" i="1"/>
  <c r="AP68" i="3"/>
  <c r="U106" i="3"/>
  <c r="AP38" i="3"/>
  <c r="AP91" i="3" s="1"/>
  <c r="BM135" i="1"/>
  <c r="AD143" i="3"/>
  <c r="AD58" i="1"/>
  <c r="AD46" i="3"/>
  <c r="AD57" i="1"/>
  <c r="AD69" i="3"/>
  <c r="BA63" i="3"/>
  <c r="AU84" i="3"/>
  <c r="AU63" i="3"/>
  <c r="AI74" i="3"/>
  <c r="AU35" i="3"/>
  <c r="AU68" i="3" s="1"/>
  <c r="AM58" i="3"/>
  <c r="AH74" i="3"/>
  <c r="W74" i="3"/>
  <c r="BF81" i="1"/>
  <c r="AK73" i="3"/>
  <c r="I58" i="3"/>
  <c r="AC129" i="3"/>
  <c r="C36" i="3"/>
  <c r="Q105" i="3"/>
  <c r="Y77" i="1"/>
  <c r="AC111" i="3"/>
  <c r="C68" i="3"/>
  <c r="U105" i="3"/>
  <c r="G51" i="3"/>
  <c r="G120" i="3" s="1"/>
  <c r="S78" i="4"/>
  <c r="AN73" i="3"/>
  <c r="AN76" i="3" s="1"/>
  <c r="BI99" i="2"/>
  <c r="AT68" i="4"/>
  <c r="AT81" i="4"/>
  <c r="AT82" i="4" s="1"/>
  <c r="AT106" i="4" s="1"/>
  <c r="AT102" i="4" s="1"/>
  <c r="X66" i="4"/>
  <c r="R33" i="4" s="1"/>
  <c r="AD35" i="4"/>
  <c r="AC120" i="3"/>
  <c r="X18" i="4"/>
  <c r="AN68" i="4"/>
  <c r="AV84" i="4"/>
  <c r="AV9" i="3"/>
  <c r="AW9" i="3" s="1"/>
  <c r="AE9" i="3"/>
  <c r="Y33" i="4"/>
  <c r="AE19" i="4"/>
  <c r="AU111" i="3"/>
  <c r="AU99" i="3"/>
  <c r="AU120" i="3"/>
  <c r="AU129" i="3"/>
  <c r="AE15" i="3"/>
  <c r="AT15" i="3"/>
  <c r="AT51" i="3" s="1"/>
  <c r="M51" i="3"/>
  <c r="M120" i="3" s="1"/>
  <c r="BB140" i="3"/>
  <c r="BA138" i="3"/>
  <c r="BM6" i="2"/>
  <c r="BM5" i="4" s="1"/>
  <c r="BM6" i="1"/>
  <c r="BS6" i="3"/>
  <c r="AG38" i="3"/>
  <c r="X98" i="3"/>
  <c r="AD105" i="3" s="1"/>
  <c r="X119" i="3"/>
  <c r="X110" i="3"/>
  <c r="X128" i="3"/>
  <c r="AD55" i="3"/>
  <c r="Y50" i="3"/>
  <c r="Y55" i="3" s="1"/>
  <c r="AE128" i="3"/>
  <c r="X55" i="3"/>
  <c r="AE60" i="3"/>
  <c r="C38" i="3"/>
  <c r="C143" i="3" s="1"/>
  <c r="Y78" i="3"/>
  <c r="AY105" i="3"/>
  <c r="Y24" i="3"/>
  <c r="I106" i="3"/>
  <c r="BX48" i="4"/>
  <c r="AV78" i="4"/>
  <c r="AN69" i="3"/>
  <c r="AN143" i="3"/>
  <c r="AN46" i="3"/>
  <c r="AN91" i="3"/>
  <c r="AN40" i="3" s="1"/>
  <c r="AN58" i="1"/>
  <c r="AN57" i="1"/>
  <c r="AT68" i="3"/>
  <c r="AT38" i="3"/>
  <c r="AT36" i="3"/>
  <c r="AT106" i="3"/>
  <c r="AT58" i="3"/>
  <c r="Q64" i="1"/>
  <c r="L105" i="3"/>
  <c r="F64" i="1"/>
  <c r="AT64" i="1"/>
  <c r="AC74" i="3"/>
  <c r="AC76" i="3"/>
  <c r="AE110" i="3"/>
  <c r="C64" i="1"/>
  <c r="Q106" i="3"/>
  <c r="W58" i="3"/>
  <c r="Q58" i="3"/>
  <c r="W106" i="3"/>
  <c r="Q68" i="3"/>
  <c r="Q38" i="3"/>
  <c r="W85" i="3" s="1"/>
  <c r="Q36" i="3"/>
  <c r="BH76" i="1"/>
  <c r="BH75" i="1"/>
  <c r="AP36" i="4"/>
  <c r="AT105" i="3"/>
  <c r="AZ105" i="3"/>
  <c r="BT6" i="3"/>
  <c r="BN7" i="3"/>
  <c r="BN6" i="2"/>
  <c r="BN5" i="4" s="1"/>
  <c r="BN6" i="1"/>
  <c r="BI101" i="2"/>
  <c r="AY58" i="3"/>
  <c r="AY106" i="3"/>
  <c r="AB64" i="1"/>
  <c r="R51" i="3"/>
  <c r="S15" i="3"/>
  <c r="S51" i="3" s="1"/>
  <c r="AP89" i="2"/>
  <c r="AP91" i="2"/>
  <c r="AP90" i="2"/>
  <c r="AG58" i="3"/>
  <c r="AA106" i="3"/>
  <c r="AG106" i="3"/>
  <c r="AA58" i="3"/>
  <c r="AJ58" i="3"/>
  <c r="AJ106" i="3"/>
  <c r="AP58" i="3"/>
  <c r="AP106" i="3"/>
  <c r="BG54" i="1"/>
  <c r="Y35" i="2"/>
  <c r="BI20" i="2"/>
  <c r="O58" i="1"/>
  <c r="O91" i="3"/>
  <c r="O143" i="3"/>
  <c r="O57" i="1"/>
  <c r="O46" i="3"/>
  <c r="O69" i="3"/>
  <c r="AE63" i="2"/>
  <c r="BC63" i="2"/>
  <c r="R68" i="3"/>
  <c r="R38" i="3"/>
  <c r="R36" i="3"/>
  <c r="AB74" i="3"/>
  <c r="AB76" i="3"/>
  <c r="BK6" i="1"/>
  <c r="BK6" i="2"/>
  <c r="BK5" i="4" s="1"/>
  <c r="BQ6" i="3"/>
  <c r="BK7" i="3"/>
  <c r="AE44" i="2"/>
  <c r="AN106" i="3"/>
  <c r="AN58" i="3"/>
  <c r="AH106" i="3"/>
  <c r="AH58" i="3"/>
  <c r="AK55" i="3"/>
  <c r="AQ55" i="3"/>
  <c r="AK119" i="3"/>
  <c r="AK110" i="3"/>
  <c r="AK128" i="3"/>
  <c r="AK98" i="3"/>
  <c r="AB38" i="3"/>
  <c r="AB36" i="3"/>
  <c r="AB68" i="3"/>
  <c r="AS36" i="3"/>
  <c r="AS38" i="3"/>
  <c r="AS68" i="3"/>
  <c r="AY69" i="4"/>
  <c r="AH99" i="3"/>
  <c r="AH111" i="3"/>
  <c r="AH120" i="3"/>
  <c r="AH129" i="3"/>
  <c r="AJ38" i="3"/>
  <c r="AJ68" i="3"/>
  <c r="AJ36" i="3"/>
  <c r="L36" i="3"/>
  <c r="L38" i="3"/>
  <c r="L68" i="3"/>
  <c r="G38" i="3"/>
  <c r="G68" i="3"/>
  <c r="G36" i="3"/>
  <c r="BE80" i="1"/>
  <c r="AD63" i="2"/>
  <c r="AJ63" i="2"/>
  <c r="BH19" i="2"/>
  <c r="BF54" i="2"/>
  <c r="BU54" i="4"/>
  <c r="R58" i="3"/>
  <c r="R106" i="3"/>
  <c r="S143" i="1"/>
  <c r="S35" i="2"/>
  <c r="X54" i="1"/>
  <c r="AD54" i="1"/>
  <c r="M35" i="3"/>
  <c r="M66" i="3"/>
  <c r="M67" i="3"/>
  <c r="M63" i="3"/>
  <c r="M84" i="3"/>
  <c r="M22" i="3"/>
  <c r="R105" i="3"/>
  <c r="AH64" i="1"/>
  <c r="AQ90" i="2"/>
  <c r="AQ91" i="2"/>
  <c r="AQ89" i="2"/>
  <c r="BZ52" i="4"/>
  <c r="AC64" i="1"/>
  <c r="AB58" i="3"/>
  <c r="AB106" i="3"/>
  <c r="BF139" i="3"/>
  <c r="L54" i="1"/>
  <c r="R54" i="1"/>
  <c r="J54" i="1"/>
  <c r="P54" i="1"/>
  <c r="AV64" i="1"/>
  <c r="AY77" i="1"/>
  <c r="M143" i="1"/>
  <c r="M35" i="2"/>
  <c r="AA64" i="1"/>
  <c r="BT34" i="1"/>
  <c r="AG83" i="4"/>
  <c r="AG106" i="4"/>
  <c r="BZ48" i="4"/>
  <c r="AY38" i="3"/>
  <c r="AY68" i="3"/>
  <c r="AY36" i="3"/>
  <c r="E36" i="3"/>
  <c r="E68" i="3"/>
  <c r="E38" i="3"/>
  <c r="AH81" i="4"/>
  <c r="AH82" i="4" s="1"/>
  <c r="AH106" i="4" s="1"/>
  <c r="AH102" i="4" s="1"/>
  <c r="AH103" i="4" s="1"/>
  <c r="AH68" i="4"/>
  <c r="AA38" i="3"/>
  <c r="AA68" i="3"/>
  <c r="AA36" i="3"/>
  <c r="BH54" i="1"/>
  <c r="AW128" i="1"/>
  <c r="AS128" i="1"/>
  <c r="AS131" i="1" s="1"/>
  <c r="AW131" i="1" s="1"/>
  <c r="AS64" i="1"/>
  <c r="AE35" i="2"/>
  <c r="AA83" i="1"/>
  <c r="AA56" i="2"/>
  <c r="AI69" i="3"/>
  <c r="AI91" i="3"/>
  <c r="AI40" i="3" s="1"/>
  <c r="AI143" i="3"/>
  <c r="AI46" i="3"/>
  <c r="AI58" i="1"/>
  <c r="AI57" i="1"/>
  <c r="BS9" i="1"/>
  <c r="AE47" i="1"/>
  <c r="AE53" i="1"/>
  <c r="AE65" i="1"/>
  <c r="S119" i="3"/>
  <c r="S98" i="3"/>
  <c r="S128" i="3"/>
  <c r="S55" i="3"/>
  <c r="S110" i="3"/>
  <c r="AQ135" i="1"/>
  <c r="AS123" i="1"/>
  <c r="AW123" i="1"/>
  <c r="AM54" i="1"/>
  <c r="AM73" i="3"/>
  <c r="AM78" i="4"/>
  <c r="L89" i="2"/>
  <c r="L90" i="2"/>
  <c r="L91" i="2"/>
  <c r="L58" i="3"/>
  <c r="L106" i="3"/>
  <c r="AW75" i="4"/>
  <c r="AD108" i="1"/>
  <c r="AP108" i="1"/>
  <c r="AP110" i="1"/>
  <c r="AZ64" i="1"/>
  <c r="E64" i="1"/>
  <c r="AV68" i="3"/>
  <c r="AV36" i="3"/>
  <c r="AV38" i="3"/>
  <c r="AQ68" i="2"/>
  <c r="AM75" i="2"/>
  <c r="AM76" i="2"/>
  <c r="AM77" i="2"/>
  <c r="AM72" i="2"/>
  <c r="AN68" i="2" s="1"/>
  <c r="BO86" i="2"/>
  <c r="BN102" i="2"/>
  <c r="R89" i="2"/>
  <c r="R90" i="2"/>
  <c r="R91" i="2"/>
  <c r="AH68" i="3"/>
  <c r="AH36" i="3"/>
  <c r="AH38" i="3"/>
  <c r="BF54" i="1"/>
  <c r="G44" i="2"/>
  <c r="M119" i="3"/>
  <c r="M110" i="3"/>
  <c r="M98" i="3"/>
  <c r="M105" i="3" s="1"/>
  <c r="M128" i="3"/>
  <c r="M55" i="3"/>
  <c r="AE35" i="3"/>
  <c r="AE66" i="3"/>
  <c r="AE22" i="3"/>
  <c r="AS58" i="3"/>
  <c r="AS106" i="3"/>
  <c r="AE75" i="4"/>
  <c r="BT62" i="2"/>
  <c r="BU62" i="2" s="1"/>
  <c r="AQ19" i="2"/>
  <c r="AQ27" i="2" s="1"/>
  <c r="BU50" i="4"/>
  <c r="CA52" i="4" s="1"/>
  <c r="BW52" i="4"/>
  <c r="BL7" i="3"/>
  <c r="AK35" i="3"/>
  <c r="AK67" i="3"/>
  <c r="AK84" i="3"/>
  <c r="AK66" i="3"/>
  <c r="AQ84" i="3"/>
  <c r="AK63" i="3"/>
  <c r="AK22" i="3"/>
  <c r="AQ67" i="3"/>
  <c r="AQ63" i="3"/>
  <c r="K106" i="3"/>
  <c r="BC90" i="2"/>
  <c r="BC89" i="2"/>
  <c r="BC91" i="2"/>
  <c r="BX52" i="4"/>
  <c r="AW77" i="1"/>
  <c r="F57" i="1"/>
  <c r="F46" i="3"/>
  <c r="F69" i="3"/>
  <c r="F143" i="3"/>
  <c r="F58" i="1"/>
  <c r="F91" i="3"/>
  <c r="AJ112" i="3"/>
  <c r="AJ130" i="3"/>
  <c r="AJ121" i="3"/>
  <c r="AJ100" i="3"/>
  <c r="AV58" i="3"/>
  <c r="AV106" i="3"/>
  <c r="S35" i="3"/>
  <c r="S67" i="3"/>
  <c r="S84" i="3"/>
  <c r="S22" i="3"/>
  <c r="S63" i="3"/>
  <c r="S66" i="3"/>
  <c r="BC76" i="1"/>
  <c r="BC75" i="1"/>
  <c r="AH105" i="3"/>
  <c r="K69" i="3"/>
  <c r="K91" i="3"/>
  <c r="K46" i="3"/>
  <c r="K58" i="1"/>
  <c r="K57" i="1"/>
  <c r="K143" i="3"/>
  <c r="L64" i="1"/>
  <c r="BY62" i="2"/>
  <c r="CE62" i="2" s="1"/>
  <c r="CK62" i="2" s="1"/>
  <c r="CQ62" i="2" s="1"/>
  <c r="AI105" i="3"/>
  <c r="AC105" i="3"/>
  <c r="BS31" i="3"/>
  <c r="AA105" i="3"/>
  <c r="AG105" i="3"/>
  <c r="AC106" i="3"/>
  <c r="AC58" i="3"/>
  <c r="AI106" i="3"/>
  <c r="AI58" i="3"/>
  <c r="BE55" i="2"/>
  <c r="BE82" i="1"/>
  <c r="AZ58" i="3"/>
  <c r="AZ106" i="3"/>
  <c r="G108" i="1"/>
  <c r="AW47" i="1"/>
  <c r="AW65" i="1"/>
  <c r="AW53" i="1"/>
  <c r="BY48" i="4"/>
  <c r="AY64" i="1"/>
  <c r="R64" i="1"/>
  <c r="V91" i="3"/>
  <c r="V40" i="3" s="1"/>
  <c r="V58" i="1"/>
  <c r="V46" i="3"/>
  <c r="V143" i="3"/>
  <c r="V69" i="3"/>
  <c r="V57" i="1"/>
  <c r="AJ64" i="1"/>
  <c r="AM32" i="4"/>
  <c r="AM57" i="4"/>
  <c r="AM45" i="4"/>
  <c r="AM61" i="4"/>
  <c r="AM49" i="4"/>
  <c r="AM10" i="4"/>
  <c r="AM15" i="4"/>
  <c r="AM53" i="4"/>
  <c r="AM74" i="4"/>
  <c r="AM28" i="4"/>
  <c r="AM24" i="4"/>
  <c r="AM41" i="4"/>
  <c r="AM65" i="4"/>
  <c r="AM20" i="4"/>
  <c r="AY54" i="1"/>
  <c r="BE54" i="1"/>
  <c r="BO62" i="2"/>
  <c r="AO54" i="1"/>
  <c r="W143" i="3"/>
  <c r="W58" i="1"/>
  <c r="W46" i="3"/>
  <c r="W91" i="3"/>
  <c r="W69" i="3"/>
  <c r="W57" i="1"/>
  <c r="BI53" i="1"/>
  <c r="AJ105" i="3"/>
  <c r="AP105" i="3"/>
  <c r="BU46" i="4"/>
  <c r="BU48" i="4" s="1"/>
  <c r="BE75" i="1"/>
  <c r="BE76" i="1"/>
  <c r="BI7" i="3"/>
  <c r="K58" i="3"/>
  <c r="BI47" i="1"/>
  <c r="AC36" i="3"/>
  <c r="AC38" i="3"/>
  <c r="AC68" i="3"/>
  <c r="AE119" i="3"/>
  <c r="AE98" i="3"/>
  <c r="AU54" i="1"/>
  <c r="AK121" i="3"/>
  <c r="AK130" i="3"/>
  <c r="AK100" i="3"/>
  <c r="AK112" i="3"/>
  <c r="BA54" i="1"/>
  <c r="BS39" i="1"/>
  <c r="AJ76" i="3"/>
  <c r="AJ74" i="3"/>
  <c r="G64" i="1"/>
  <c r="AZ68" i="3"/>
  <c r="AZ38" i="3"/>
  <c r="AZ36" i="3"/>
  <c r="P82" i="1"/>
  <c r="P55" i="2"/>
  <c r="Q54" i="2"/>
  <c r="Q81" i="1"/>
  <c r="Q48" i="2"/>
  <c r="E54" i="2"/>
  <c r="E81" i="1"/>
  <c r="E48" i="2"/>
  <c r="AI80" i="1"/>
  <c r="AH80" i="1"/>
  <c r="M19" i="2"/>
  <c r="AC48" i="2"/>
  <c r="AC54" i="2"/>
  <c r="AC81" i="1"/>
  <c r="V80" i="1"/>
  <c r="AO54" i="2"/>
  <c r="AO48" i="2"/>
  <c r="AO81" i="1"/>
  <c r="AW27" i="2"/>
  <c r="D82" i="1"/>
  <c r="D55" i="2"/>
  <c r="W48" i="2"/>
  <c r="W54" i="2"/>
  <c r="W81" i="1"/>
  <c r="AP27" i="2"/>
  <c r="AE19" i="2"/>
  <c r="V55" i="2"/>
  <c r="V82" i="1"/>
  <c r="K54" i="2"/>
  <c r="K81" i="1"/>
  <c r="K48" i="2"/>
  <c r="AN80" i="1"/>
  <c r="D80" i="1"/>
  <c r="J83" i="1"/>
  <c r="J56" i="2"/>
  <c r="AD27" i="2"/>
  <c r="AB82" i="1"/>
  <c r="AB55" i="2"/>
  <c r="G19" i="2"/>
  <c r="AI82" i="1"/>
  <c r="AI55" i="2"/>
  <c r="F27" i="2"/>
  <c r="BB27" i="2"/>
  <c r="U83" i="1"/>
  <c r="U56" i="2"/>
  <c r="AB80" i="1"/>
  <c r="BF80" i="1"/>
  <c r="AN82" i="1"/>
  <c r="AN55" i="2"/>
  <c r="P80" i="1"/>
  <c r="BC19" i="2"/>
  <c r="AH55" i="2"/>
  <c r="AH82" i="1"/>
  <c r="AJ27" i="2"/>
  <c r="AZ82" i="1"/>
  <c r="AZ55" i="2"/>
  <c r="BG54" i="2"/>
  <c r="BG81" i="1"/>
  <c r="AU48" i="2"/>
  <c r="AU81" i="1"/>
  <c r="AU54" i="2"/>
  <c r="L81" i="1"/>
  <c r="L48" i="2"/>
  <c r="L54" i="2"/>
  <c r="AT83" i="1"/>
  <c r="AT56" i="2"/>
  <c r="AG83" i="1"/>
  <c r="AG56" i="2"/>
  <c r="R27" i="2"/>
  <c r="S19" i="2"/>
  <c r="AV27" i="2"/>
  <c r="BA48" i="2"/>
  <c r="BA81" i="1"/>
  <c r="BA54" i="2"/>
  <c r="O56" i="2"/>
  <c r="O83" i="1"/>
  <c r="AK19" i="2"/>
  <c r="AZ80" i="1"/>
  <c r="X54" i="2"/>
  <c r="X48" i="2"/>
  <c r="X81" i="1"/>
  <c r="AQ35" i="4"/>
  <c r="AQ8" i="4"/>
  <c r="AQ30" i="4"/>
  <c r="AQ66" i="4"/>
  <c r="AQ26" i="4"/>
  <c r="AW35" i="4"/>
  <c r="AQ13" i="4"/>
  <c r="AU74" i="3"/>
  <c r="AU76" i="3"/>
  <c r="AS111" i="3"/>
  <c r="AS99" i="3"/>
  <c r="AS129" i="3"/>
  <c r="AS120" i="3"/>
  <c r="AO120" i="3"/>
  <c r="AO129" i="3"/>
  <c r="AO111" i="3"/>
  <c r="AO99" i="3"/>
  <c r="AM15" i="3"/>
  <c r="AS41" i="4"/>
  <c r="AS74" i="4"/>
  <c r="AS49" i="4"/>
  <c r="AS65" i="4"/>
  <c r="AS53" i="4"/>
  <c r="AS32" i="4"/>
  <c r="AS28" i="4"/>
  <c r="AS10" i="4"/>
  <c r="AS20" i="4"/>
  <c r="AS45" i="4"/>
  <c r="AS15" i="4"/>
  <c r="AS61" i="4"/>
  <c r="AS24" i="4"/>
  <c r="AS57" i="4"/>
  <c r="Q76" i="3"/>
  <c r="Q74" i="3"/>
  <c r="S73" i="3"/>
  <c r="AO81" i="4"/>
  <c r="AO82" i="4" s="1"/>
  <c r="AO68" i="4"/>
  <c r="AN106" i="4"/>
  <c r="V99" i="3"/>
  <c r="V129" i="3"/>
  <c r="V111" i="3"/>
  <c r="V120" i="3"/>
  <c r="AK26" i="4"/>
  <c r="AK13" i="4"/>
  <c r="AK35" i="4"/>
  <c r="AK66" i="4"/>
  <c r="AK30" i="4"/>
  <c r="AK8" i="4"/>
  <c r="AS73" i="3"/>
  <c r="AS78" i="4"/>
  <c r="AJ9" i="3"/>
  <c r="AJ84" i="4"/>
  <c r="AJ67" i="4"/>
  <c r="AM81" i="4"/>
  <c r="AM82" i="4" s="1"/>
  <c r="AM68" i="4"/>
  <c r="AQ18" i="4"/>
  <c r="AB83" i="4"/>
  <c r="AB106" i="4"/>
  <c r="AP65" i="4"/>
  <c r="AP53" i="4"/>
  <c r="AP24" i="4"/>
  <c r="AP32" i="4"/>
  <c r="AP28" i="4"/>
  <c r="AP61" i="4"/>
  <c r="AP45" i="4"/>
  <c r="AP57" i="4"/>
  <c r="AP74" i="4"/>
  <c r="AP41" i="4"/>
  <c r="AP49" i="4"/>
  <c r="AP15" i="4"/>
  <c r="AP10" i="4"/>
  <c r="AV99" i="4"/>
  <c r="AP9" i="3"/>
  <c r="AP15" i="3" s="1"/>
  <c r="AP51" i="3" s="1"/>
  <c r="AP84" i="4"/>
  <c r="AV67" i="4"/>
  <c r="AP67" i="4"/>
  <c r="AU81" i="4"/>
  <c r="AU82" i="4" s="1"/>
  <c r="AU68" i="4"/>
  <c r="AC106" i="4"/>
  <c r="AC107" i="4" s="1"/>
  <c r="AC83" i="4"/>
  <c r="D99" i="3"/>
  <c r="D111" i="3"/>
  <c r="D120" i="3"/>
  <c r="D129" i="3"/>
  <c r="AA129" i="3"/>
  <c r="AA120" i="3"/>
  <c r="AA111" i="3"/>
  <c r="AA99" i="3"/>
  <c r="L129" i="3"/>
  <c r="L120" i="3"/>
  <c r="L111" i="3"/>
  <c r="L99" i="3"/>
  <c r="AP78" i="4"/>
  <c r="AP73" i="3"/>
  <c r="AO74" i="3"/>
  <c r="AO76" i="3"/>
  <c r="AW98" i="4"/>
  <c r="AW105" i="4"/>
  <c r="AQ105" i="4"/>
  <c r="AQ98" i="4"/>
  <c r="AQ99" i="4" s="1"/>
  <c r="AI51" i="3"/>
  <c r="AS68" i="4"/>
  <c r="AS81" i="4"/>
  <c r="AS82" i="4" s="1"/>
  <c r="CF48" i="4" l="1"/>
  <c r="O164" i="1"/>
  <c r="O165" i="1" s="1"/>
  <c r="O166" i="1" s="1"/>
  <c r="O167" i="1" s="1"/>
  <c r="I58" i="1"/>
  <c r="I69" i="3"/>
  <c r="I143" i="3"/>
  <c r="O85" i="3"/>
  <c r="I46" i="3"/>
  <c r="I91" i="3"/>
  <c r="I164" i="1"/>
  <c r="I165" i="1" s="1"/>
  <c r="I166" i="1" s="1"/>
  <c r="I167" i="1" s="1"/>
  <c r="Y27" i="2"/>
  <c r="AV76" i="3"/>
  <c r="K187" i="1"/>
  <c r="K59" i="1" s="1"/>
  <c r="F164" i="1"/>
  <c r="F165" i="1" s="1"/>
  <c r="F166" i="1" s="1"/>
  <c r="F167" i="1" s="1"/>
  <c r="E25" i="10"/>
  <c r="E26" i="10" s="1"/>
  <c r="AI186" i="1"/>
  <c r="CA54" i="4"/>
  <c r="AD15" i="4"/>
  <c r="U167" i="1"/>
  <c r="U187" i="1"/>
  <c r="U59" i="1" s="1"/>
  <c r="AI187" i="1"/>
  <c r="AI59" i="1" s="1"/>
  <c r="K186" i="1"/>
  <c r="W186" i="1"/>
  <c r="U186" i="1"/>
  <c r="AN187" i="1"/>
  <c r="AN59" i="1" s="1"/>
  <c r="V186" i="1"/>
  <c r="AZ164" i="1"/>
  <c r="AZ165" i="1" s="1"/>
  <c r="AZ166" i="1" s="1"/>
  <c r="AV164" i="1"/>
  <c r="AV165" i="1" s="1"/>
  <c r="AV166" i="1" s="1"/>
  <c r="AA164" i="1"/>
  <c r="AA165" i="1" s="1"/>
  <c r="AA166" i="1" s="1"/>
  <c r="E164" i="1"/>
  <c r="E165" i="1" s="1"/>
  <c r="E166" i="1" s="1"/>
  <c r="AY164" i="1"/>
  <c r="AY165" i="1" s="1"/>
  <c r="AY166" i="1" s="1"/>
  <c r="AB164" i="1"/>
  <c r="AB165" i="1" s="1"/>
  <c r="AB166" i="1" s="1"/>
  <c r="Y163" i="1"/>
  <c r="P164" i="1"/>
  <c r="P165" i="1" s="1"/>
  <c r="P166" i="1" s="1"/>
  <c r="AG164" i="1"/>
  <c r="AG165" i="1" s="1"/>
  <c r="AG166" i="1" s="1"/>
  <c r="D164" i="1"/>
  <c r="D165" i="1" s="1"/>
  <c r="D166" i="1" s="1"/>
  <c r="AO167" i="1"/>
  <c r="AO187" i="1"/>
  <c r="AO59" i="1" s="1"/>
  <c r="AN186" i="1"/>
  <c r="AO186" i="1"/>
  <c r="AC164" i="1"/>
  <c r="AC165" i="1" s="1"/>
  <c r="AC166" i="1" s="1"/>
  <c r="AH164" i="1"/>
  <c r="AH165" i="1" s="1"/>
  <c r="AH166" i="1" s="1"/>
  <c r="G164" i="1"/>
  <c r="G165" i="1" s="1"/>
  <c r="G166" i="1" s="1"/>
  <c r="L164" i="1"/>
  <c r="L165" i="1" s="1"/>
  <c r="L166" i="1" s="1"/>
  <c r="AJ164" i="1"/>
  <c r="AJ165" i="1" s="1"/>
  <c r="AJ166" i="1" s="1"/>
  <c r="AS164" i="1"/>
  <c r="AS165" i="1" s="1"/>
  <c r="AS166" i="1" s="1"/>
  <c r="R164" i="1"/>
  <c r="R165" i="1" s="1"/>
  <c r="R166" i="1" s="1"/>
  <c r="Q164" i="1"/>
  <c r="Q165" i="1" s="1"/>
  <c r="Q166" i="1" s="1"/>
  <c r="AT164" i="1"/>
  <c r="AT165" i="1" s="1"/>
  <c r="AT166" i="1" s="1"/>
  <c r="C164" i="1"/>
  <c r="C165" i="1" s="1"/>
  <c r="C166" i="1" s="1"/>
  <c r="AW163" i="1"/>
  <c r="AM164" i="1"/>
  <c r="AM165" i="1" s="1"/>
  <c r="AM166" i="1" s="1"/>
  <c r="BA164" i="1"/>
  <c r="BA165" i="1" s="1"/>
  <c r="BA166" i="1" s="1"/>
  <c r="AP167" i="1"/>
  <c r="AP186" i="1"/>
  <c r="AP187" i="1"/>
  <c r="AP59" i="1" s="1"/>
  <c r="W187" i="1"/>
  <c r="W59" i="1" s="1"/>
  <c r="V187" i="1"/>
  <c r="V59" i="1" s="1"/>
  <c r="BR181" i="1"/>
  <c r="AQ54" i="1"/>
  <c r="AD61" i="4"/>
  <c r="AD110" i="1"/>
  <c r="BA143" i="3"/>
  <c r="M76" i="3"/>
  <c r="AD36" i="4"/>
  <c r="AD28" i="4"/>
  <c r="AD65" i="4"/>
  <c r="AD57" i="4"/>
  <c r="AD74" i="4"/>
  <c r="AD10" i="4"/>
  <c r="AD32" i="4"/>
  <c r="AD53" i="4"/>
  <c r="AD41" i="4"/>
  <c r="AD20" i="4"/>
  <c r="AD24" i="4"/>
  <c r="AD45" i="4"/>
  <c r="M74" i="3"/>
  <c r="AE77" i="4"/>
  <c r="AE69" i="4"/>
  <c r="AE49" i="4" s="1"/>
  <c r="AZ69" i="4"/>
  <c r="AZ24" i="4" s="1"/>
  <c r="AN83" i="4"/>
  <c r="BY159" i="1"/>
  <c r="AS138" i="1"/>
  <c r="AS140" i="1" s="1"/>
  <c r="AT138" i="1" s="1"/>
  <c r="BF55" i="2"/>
  <c r="BF83" i="1" s="1"/>
  <c r="BN76" i="1"/>
  <c r="BN75" i="1"/>
  <c r="BT75" i="1" s="1"/>
  <c r="BZ75" i="1" s="1"/>
  <c r="CF75" i="1" s="1"/>
  <c r="BL75" i="1"/>
  <c r="BL76" i="1"/>
  <c r="BK76" i="1"/>
  <c r="BK75" i="1"/>
  <c r="BM75" i="1"/>
  <c r="BM76" i="1"/>
  <c r="BS76" i="1" s="1"/>
  <c r="BY76" i="1" s="1"/>
  <c r="CE76" i="1" s="1"/>
  <c r="BI91" i="2"/>
  <c r="BI90" i="2"/>
  <c r="BI89" i="2"/>
  <c r="AE86" i="2"/>
  <c r="BH110" i="1"/>
  <c r="BI109" i="1"/>
  <c r="BA91" i="3"/>
  <c r="BA96" i="1" s="1"/>
  <c r="BA99" i="1" s="1"/>
  <c r="BA58" i="1"/>
  <c r="D50" i="2"/>
  <c r="D51" i="2" s="1"/>
  <c r="G115" i="1"/>
  <c r="G117" i="1"/>
  <c r="I113" i="1" s="1"/>
  <c r="BI63" i="2"/>
  <c r="BA46" i="3"/>
  <c r="BA64" i="2" s="1"/>
  <c r="BA57" i="1"/>
  <c r="BA58" i="3"/>
  <c r="AU58" i="3"/>
  <c r="AE51" i="3"/>
  <c r="X68" i="3"/>
  <c r="AD96" i="1"/>
  <c r="AD99" i="1" s="1"/>
  <c r="D58" i="1"/>
  <c r="X58" i="3"/>
  <c r="D69" i="3"/>
  <c r="BA106" i="3"/>
  <c r="AT83" i="4"/>
  <c r="D143" i="3"/>
  <c r="X36" i="3"/>
  <c r="U58" i="1"/>
  <c r="J85" i="3"/>
  <c r="D91" i="3"/>
  <c r="D40" i="3" s="1"/>
  <c r="U143" i="3"/>
  <c r="D57" i="1"/>
  <c r="AD58" i="3"/>
  <c r="U85" i="3"/>
  <c r="BX6" i="3"/>
  <c r="CD6" i="3" s="1"/>
  <c r="AD106" i="3"/>
  <c r="P143" i="3"/>
  <c r="AE67" i="3"/>
  <c r="AW22" i="3"/>
  <c r="AW64" i="1" s="1"/>
  <c r="U46" i="3"/>
  <c r="U64" i="2" s="1"/>
  <c r="U91" i="3"/>
  <c r="U96" i="1" s="1"/>
  <c r="U57" i="1"/>
  <c r="BH27" i="2"/>
  <c r="BS18" i="1"/>
  <c r="AQ63" i="2"/>
  <c r="CG74" i="2"/>
  <c r="AK91" i="2"/>
  <c r="AK90" i="2"/>
  <c r="AK89" i="2"/>
  <c r="AJ110" i="1"/>
  <c r="AK109" i="1"/>
  <c r="BZ69" i="2"/>
  <c r="BU69" i="2"/>
  <c r="BU78" i="2" s="1"/>
  <c r="P69" i="3"/>
  <c r="X106" i="3"/>
  <c r="AW66" i="3"/>
  <c r="AW58" i="3" s="1"/>
  <c r="AW65" i="3"/>
  <c r="BR6" i="2"/>
  <c r="BR5" i="4" s="1"/>
  <c r="J92" i="3"/>
  <c r="BR6" i="1"/>
  <c r="J96" i="1"/>
  <c r="J99" i="1" s="1"/>
  <c r="AQ38" i="3"/>
  <c r="AQ68" i="3"/>
  <c r="AQ36" i="3"/>
  <c r="P85" i="3"/>
  <c r="P58" i="1"/>
  <c r="P46" i="3"/>
  <c r="P86" i="3" s="1"/>
  <c r="V85" i="3"/>
  <c r="P91" i="3"/>
  <c r="P40" i="3" s="1"/>
  <c r="AD64" i="2"/>
  <c r="AU105" i="3"/>
  <c r="J64" i="2"/>
  <c r="AD78" i="4"/>
  <c r="AD73" i="3"/>
  <c r="AD74" i="3" s="1"/>
  <c r="G99" i="3"/>
  <c r="AP58" i="1"/>
  <c r="BS20" i="1"/>
  <c r="BC138" i="1"/>
  <c r="BC140" i="1" s="1"/>
  <c r="BI138" i="1" s="1"/>
  <c r="AM85" i="3"/>
  <c r="Q85" i="3"/>
  <c r="M63" i="2"/>
  <c r="S63" i="2"/>
  <c r="BC86" i="2"/>
  <c r="BI86" i="2"/>
  <c r="X73" i="3"/>
  <c r="Y77" i="4"/>
  <c r="X78" i="4"/>
  <c r="BR7" i="3"/>
  <c r="BS7" i="3"/>
  <c r="CG90" i="3"/>
  <c r="CE48" i="4"/>
  <c r="CG46" i="4"/>
  <c r="CM48" i="4" s="1"/>
  <c r="CJ52" i="4"/>
  <c r="CJ53" i="4" s="1"/>
  <c r="CC52" i="4"/>
  <c r="BQ154" i="1"/>
  <c r="BQ157" i="1" s="1"/>
  <c r="BR158" i="1" s="1"/>
  <c r="BO157" i="1"/>
  <c r="BO158" i="1"/>
  <c r="BO30" i="3"/>
  <c r="P11" i="72"/>
  <c r="J40" i="72"/>
  <c r="J29" i="72"/>
  <c r="K24" i="72"/>
  <c r="K25" i="72" s="1"/>
  <c r="K28" i="72"/>
  <c r="K39" i="72"/>
  <c r="K11" i="72"/>
  <c r="AT107" i="4"/>
  <c r="AW132" i="1"/>
  <c r="BC128" i="1" s="1"/>
  <c r="M54" i="1"/>
  <c r="BT21" i="1"/>
  <c r="L37" i="72"/>
  <c r="L27" i="72"/>
  <c r="G129" i="3"/>
  <c r="AP92" i="3"/>
  <c r="AP96" i="1"/>
  <c r="AP99" i="1" s="1"/>
  <c r="AW128" i="3"/>
  <c r="AP143" i="3"/>
  <c r="I85" i="3"/>
  <c r="AW110" i="3"/>
  <c r="AP46" i="3"/>
  <c r="AP57" i="1"/>
  <c r="AW98" i="3"/>
  <c r="AW105" i="3" s="1"/>
  <c r="AW55" i="3"/>
  <c r="AO143" i="3"/>
  <c r="AO91" i="3"/>
  <c r="AO40" i="3" s="1"/>
  <c r="AO69" i="3"/>
  <c r="AO46" i="3"/>
  <c r="AO57" i="1"/>
  <c r="AO58" i="1"/>
  <c r="AM69" i="3"/>
  <c r="AM57" i="1"/>
  <c r="AM46" i="3"/>
  <c r="AM143" i="3"/>
  <c r="AM58" i="1"/>
  <c r="AM91" i="3"/>
  <c r="AO85" i="3"/>
  <c r="AU36" i="3"/>
  <c r="AW35" i="3"/>
  <c r="AW67" i="3"/>
  <c r="AW63" i="3"/>
  <c r="E14" i="10"/>
  <c r="E15" i="10" s="1"/>
  <c r="J86" i="3"/>
  <c r="AU38" i="3"/>
  <c r="AU91" i="3" s="1"/>
  <c r="AU40" i="3" s="1"/>
  <c r="AW84" i="3"/>
  <c r="AP69" i="3"/>
  <c r="AG58" i="1"/>
  <c r="C91" i="3"/>
  <c r="C40" i="3" s="1"/>
  <c r="AG91" i="3"/>
  <c r="AG40" i="3" s="1"/>
  <c r="AK74" i="3"/>
  <c r="Y66" i="3"/>
  <c r="Y58" i="3" s="1"/>
  <c r="Y84" i="3"/>
  <c r="AE63" i="3"/>
  <c r="G111" i="3"/>
  <c r="M99" i="3"/>
  <c r="M129" i="3"/>
  <c r="X105" i="3"/>
  <c r="AG69" i="3"/>
  <c r="C69" i="3"/>
  <c r="AG46" i="3"/>
  <c r="AG143" i="3"/>
  <c r="C46" i="3"/>
  <c r="AG57" i="1"/>
  <c r="AN74" i="3"/>
  <c r="AH83" i="4"/>
  <c r="AV15" i="3"/>
  <c r="M111" i="3"/>
  <c r="Y66" i="4"/>
  <c r="Y18" i="4"/>
  <c r="AE35" i="4"/>
  <c r="X84" i="4"/>
  <c r="X9" i="3"/>
  <c r="AD67" i="4"/>
  <c r="AT129" i="3"/>
  <c r="AT120" i="3"/>
  <c r="AT99" i="3"/>
  <c r="AT111" i="3"/>
  <c r="AE55" i="3"/>
  <c r="BC140" i="3"/>
  <c r="BB138" i="3"/>
  <c r="BY6" i="3"/>
  <c r="BS6" i="2"/>
  <c r="BS5" i="4" s="1"/>
  <c r="BS6" i="1"/>
  <c r="Y35" i="3"/>
  <c r="Y68" i="3" s="1"/>
  <c r="Y67" i="3"/>
  <c r="Y63" i="3"/>
  <c r="Y22" i="3"/>
  <c r="Y64" i="1" s="1"/>
  <c r="AE84" i="3"/>
  <c r="Y128" i="3"/>
  <c r="Y119" i="3"/>
  <c r="Y98" i="3"/>
  <c r="AE105" i="3" s="1"/>
  <c r="Y110" i="3"/>
  <c r="AK76" i="3"/>
  <c r="AQ9" i="3"/>
  <c r="D64" i="2"/>
  <c r="AN96" i="1"/>
  <c r="AN99" i="1" s="1"/>
  <c r="AN92" i="3"/>
  <c r="AT91" i="3"/>
  <c r="AT69" i="3"/>
  <c r="AT143" i="3"/>
  <c r="AT57" i="1"/>
  <c r="AT58" i="1"/>
  <c r="AT46" i="3"/>
  <c r="AT85" i="3"/>
  <c r="BT6" i="1"/>
  <c r="BZ6" i="3"/>
  <c r="BT7" i="3"/>
  <c r="BT6" i="2"/>
  <c r="BT5" i="4" s="1"/>
  <c r="AN64" i="2"/>
  <c r="I92" i="3"/>
  <c r="I96" i="1"/>
  <c r="I40" i="3"/>
  <c r="Q69" i="3"/>
  <c r="Q46" i="3"/>
  <c r="Q86" i="3" s="1"/>
  <c r="Q58" i="1"/>
  <c r="Q143" i="3"/>
  <c r="Q91" i="3"/>
  <c r="Q57" i="1"/>
  <c r="BU63" i="2"/>
  <c r="AC143" i="3"/>
  <c r="AC57" i="1"/>
  <c r="AC46" i="3"/>
  <c r="AI86" i="3" s="1"/>
  <c r="AC91" i="3"/>
  <c r="AC40" i="3" s="1"/>
  <c r="AC85" i="3"/>
  <c r="AC58" i="1"/>
  <c r="AC69" i="3"/>
  <c r="BS33" i="1"/>
  <c r="BT31" i="3"/>
  <c r="BU31" i="3" s="1"/>
  <c r="K64" i="2"/>
  <c r="BO22" i="1"/>
  <c r="E58" i="1"/>
  <c r="E143" i="3"/>
  <c r="E57" i="1"/>
  <c r="E46" i="3"/>
  <c r="K86" i="3" s="1"/>
  <c r="E91" i="3"/>
  <c r="E69" i="3"/>
  <c r="AY91" i="3"/>
  <c r="AY143" i="3"/>
  <c r="AY85" i="3"/>
  <c r="AY69" i="3"/>
  <c r="AY46" i="3"/>
  <c r="AY57" i="1"/>
  <c r="AY58" i="1"/>
  <c r="O92" i="3"/>
  <c r="O96" i="1"/>
  <c r="O40" i="3"/>
  <c r="X46" i="3"/>
  <c r="X69" i="3"/>
  <c r="X57" i="1"/>
  <c r="X58" i="1"/>
  <c r="X85" i="3"/>
  <c r="X143" i="3"/>
  <c r="X91" i="3"/>
  <c r="X40" i="3" s="1"/>
  <c r="AD85" i="3"/>
  <c r="AW54" i="1"/>
  <c r="BE83" i="1"/>
  <c r="BE56" i="2"/>
  <c r="K92" i="3"/>
  <c r="K96" i="1"/>
  <c r="K99" i="1" s="1"/>
  <c r="AK68" i="3"/>
  <c r="AK36" i="3"/>
  <c r="AK38" i="3"/>
  <c r="AE84" i="4"/>
  <c r="AE72" i="4"/>
  <c r="AE47" i="4"/>
  <c r="AK79" i="4"/>
  <c r="AE39" i="4"/>
  <c r="AE76" i="4"/>
  <c r="AE59" i="4"/>
  <c r="AE55" i="4"/>
  <c r="AK80" i="4"/>
  <c r="AE43" i="4"/>
  <c r="AE51" i="4"/>
  <c r="AE63" i="4"/>
  <c r="AK77" i="4"/>
  <c r="AK78" i="4"/>
  <c r="AE34" i="4"/>
  <c r="AN72" i="2"/>
  <c r="AO68" i="2" s="1"/>
  <c r="AN77" i="2"/>
  <c r="AN76" i="2"/>
  <c r="AJ69" i="3"/>
  <c r="AJ46" i="3"/>
  <c r="AJ91" i="3"/>
  <c r="AJ58" i="1"/>
  <c r="AJ57" i="1"/>
  <c r="AJ85" i="3"/>
  <c r="AJ143" i="3"/>
  <c r="AP85" i="3"/>
  <c r="R58" i="1"/>
  <c r="R91" i="3"/>
  <c r="R46" i="3"/>
  <c r="R143" i="3"/>
  <c r="R57" i="1"/>
  <c r="R69" i="3"/>
  <c r="R85" i="3"/>
  <c r="S58" i="3"/>
  <c r="S106" i="3"/>
  <c r="BS19" i="1"/>
  <c r="AE68" i="3"/>
  <c r="AE38" i="3"/>
  <c r="AE36" i="3"/>
  <c r="BO102" i="2"/>
  <c r="AI85" i="3"/>
  <c r="M90" i="2"/>
  <c r="M91" i="2"/>
  <c r="M89" i="2"/>
  <c r="AB85" i="3"/>
  <c r="AB57" i="1"/>
  <c r="AB91" i="3"/>
  <c r="AB143" i="3"/>
  <c r="AB46" i="3"/>
  <c r="AB58" i="1"/>
  <c r="AB69" i="3"/>
  <c r="D25" i="10"/>
  <c r="D29" i="10" s="1"/>
  <c r="D35" i="10" s="1"/>
  <c r="F64" i="2"/>
  <c r="AE54" i="1"/>
  <c r="AK54" i="1"/>
  <c r="M106" i="3"/>
  <c r="M58" i="3"/>
  <c r="AS57" i="1"/>
  <c r="AS91" i="3"/>
  <c r="AS69" i="3"/>
  <c r="AS46" i="3"/>
  <c r="AS85" i="3"/>
  <c r="AS58" i="1"/>
  <c r="AS143" i="3"/>
  <c r="BI19" i="2"/>
  <c r="S111" i="3"/>
  <c r="S99" i="3"/>
  <c r="S120" i="3"/>
  <c r="S129" i="3"/>
  <c r="AK64" i="1"/>
  <c r="W64" i="2"/>
  <c r="BO63" i="2"/>
  <c r="BU52" i="4"/>
  <c r="AQ72" i="2"/>
  <c r="AS68" i="2" s="1"/>
  <c r="AQ77" i="2"/>
  <c r="AQ76" i="2"/>
  <c r="AW47" i="4"/>
  <c r="AW51" i="4"/>
  <c r="AW43" i="4"/>
  <c r="AW39" i="4"/>
  <c r="AW72" i="4"/>
  <c r="BC79" i="4"/>
  <c r="AW55" i="4"/>
  <c r="AW84" i="4"/>
  <c r="AW63" i="4"/>
  <c r="AW59" i="4"/>
  <c r="AW34" i="4"/>
  <c r="AS124" i="1"/>
  <c r="AW124" i="1" s="1"/>
  <c r="AW126" i="1" s="1"/>
  <c r="AS130" i="1"/>
  <c r="BT9" i="1"/>
  <c r="AI64" i="2"/>
  <c r="M68" i="3"/>
  <c r="M36" i="3"/>
  <c r="M38" i="3"/>
  <c r="G46" i="3"/>
  <c r="G69" i="3"/>
  <c r="G143" i="3"/>
  <c r="G91" i="3"/>
  <c r="BO7" i="3"/>
  <c r="AV85" i="3"/>
  <c r="AV91" i="3"/>
  <c r="AV57" i="1"/>
  <c r="AV58" i="1"/>
  <c r="AV143" i="3"/>
  <c r="AV69" i="3"/>
  <c r="AV46" i="3"/>
  <c r="BG139" i="3"/>
  <c r="AZ46" i="3"/>
  <c r="AZ91" i="3"/>
  <c r="AZ58" i="1"/>
  <c r="AZ85" i="3"/>
  <c r="AZ57" i="1"/>
  <c r="AZ143" i="3"/>
  <c r="AZ69" i="3"/>
  <c r="BI75" i="1"/>
  <c r="BI76" i="1"/>
  <c r="W92" i="3"/>
  <c r="W96" i="1"/>
  <c r="W99" i="1" s="1"/>
  <c r="V64" i="2"/>
  <c r="K85" i="3"/>
  <c r="S64" i="1"/>
  <c r="AK106" i="3"/>
  <c r="AK58" i="3"/>
  <c r="AQ58" i="3"/>
  <c r="AQ106" i="3"/>
  <c r="AE64" i="1"/>
  <c r="AM74" i="3"/>
  <c r="AM76" i="3"/>
  <c r="AW130" i="1"/>
  <c r="CA48" i="4"/>
  <c r="AG102" i="4"/>
  <c r="AG103" i="4" s="1"/>
  <c r="AG107" i="4"/>
  <c r="S91" i="2"/>
  <c r="S90" i="2"/>
  <c r="S89" i="2"/>
  <c r="BU56" i="4"/>
  <c r="AQ105" i="3"/>
  <c r="AK105" i="3"/>
  <c r="O64" i="2"/>
  <c r="R111" i="3"/>
  <c r="R120" i="3"/>
  <c r="R129" i="3"/>
  <c r="R99" i="3"/>
  <c r="BF82" i="1"/>
  <c r="BT39" i="1"/>
  <c r="V96" i="1"/>
  <c r="V99" i="1" s="1"/>
  <c r="V92" i="3"/>
  <c r="BC21" i="4"/>
  <c r="AY23" i="4"/>
  <c r="AY24" i="4" s="1"/>
  <c r="AY7" i="4"/>
  <c r="I110" i="1"/>
  <c r="M110" i="1" s="1"/>
  <c r="I115" i="1"/>
  <c r="M106" i="1"/>
  <c r="F96" i="1"/>
  <c r="F99" i="1" s="1"/>
  <c r="F92" i="3"/>
  <c r="BC54" i="1"/>
  <c r="S105" i="3"/>
  <c r="M64" i="1"/>
  <c r="L91" i="3"/>
  <c r="L40" i="3" s="1"/>
  <c r="L46" i="3"/>
  <c r="L58" i="1"/>
  <c r="L85" i="3"/>
  <c r="L143" i="3"/>
  <c r="L69" i="3"/>
  <c r="L57" i="1"/>
  <c r="BQ6" i="2"/>
  <c r="BQ5" i="4" s="1"/>
  <c r="BQ6" i="1"/>
  <c r="BW6" i="3"/>
  <c r="BQ7" i="3"/>
  <c r="BI54" i="1"/>
  <c r="S36" i="3"/>
  <c r="S38" i="3"/>
  <c r="S68" i="3"/>
  <c r="BZ62" i="2"/>
  <c r="CF62" i="2" s="1"/>
  <c r="CL62" i="2" s="1"/>
  <c r="CR62" i="2" s="1"/>
  <c r="AH57" i="1"/>
  <c r="AH58" i="1"/>
  <c r="AH91" i="3"/>
  <c r="AH85" i="3"/>
  <c r="AH143" i="3"/>
  <c r="AH69" i="3"/>
  <c r="AH46" i="3"/>
  <c r="AN85" i="3"/>
  <c r="AI96" i="1"/>
  <c r="AI99" i="1" s="1"/>
  <c r="AI92" i="3"/>
  <c r="AA69" i="3"/>
  <c r="AA91" i="3"/>
  <c r="AA143" i="3"/>
  <c r="AA57" i="1"/>
  <c r="AA46" i="3"/>
  <c r="AA58" i="1"/>
  <c r="AA85" i="3"/>
  <c r="BU34" i="1"/>
  <c r="AG85" i="3"/>
  <c r="AY65" i="4"/>
  <c r="AY74" i="4"/>
  <c r="AY45" i="4"/>
  <c r="AY57" i="4"/>
  <c r="AY15" i="4"/>
  <c r="AY28" i="4"/>
  <c r="AY41" i="4"/>
  <c r="AY53" i="4"/>
  <c r="AY61" i="4"/>
  <c r="AY49" i="4"/>
  <c r="AY32" i="4"/>
  <c r="R48" i="2"/>
  <c r="R81" i="1"/>
  <c r="R54" i="2"/>
  <c r="AK27" i="2"/>
  <c r="L80" i="1"/>
  <c r="AJ54" i="2"/>
  <c r="AJ48" i="2"/>
  <c r="AJ81" i="1"/>
  <c r="BB54" i="2"/>
  <c r="BB48" i="2"/>
  <c r="BB81" i="1"/>
  <c r="AD48" i="2"/>
  <c r="AD81" i="1"/>
  <c r="AD54" i="2"/>
  <c r="AP54" i="2"/>
  <c r="AP48" i="2"/>
  <c r="AP81" i="1"/>
  <c r="D83" i="1"/>
  <c r="D56" i="2"/>
  <c r="AO55" i="2"/>
  <c r="AO82" i="1"/>
  <c r="BG55" i="2"/>
  <c r="BG82" i="1"/>
  <c r="Y54" i="2"/>
  <c r="Y48" i="2"/>
  <c r="Y81" i="1"/>
  <c r="AZ56" i="2"/>
  <c r="AZ83" i="1"/>
  <c r="AB56" i="2"/>
  <c r="AB83" i="1"/>
  <c r="W82" i="1"/>
  <c r="W55" i="2"/>
  <c r="W40" i="3"/>
  <c r="P56" i="2"/>
  <c r="P83" i="1"/>
  <c r="AC80" i="1"/>
  <c r="X80" i="1"/>
  <c r="AV54" i="2"/>
  <c r="AV48" i="2"/>
  <c r="AV81" i="1"/>
  <c r="AU55" i="2"/>
  <c r="AU82" i="1"/>
  <c r="F54" i="2"/>
  <c r="F81" i="1"/>
  <c r="F48" i="2"/>
  <c r="V83" i="1"/>
  <c r="V56" i="2"/>
  <c r="BH54" i="2"/>
  <c r="X55" i="2"/>
  <c r="X82" i="1"/>
  <c r="AH56" i="2"/>
  <c r="AH83" i="1"/>
  <c r="AN56" i="2"/>
  <c r="AN83" i="1"/>
  <c r="AI56" i="2"/>
  <c r="AI83" i="1"/>
  <c r="AQ48" i="2"/>
  <c r="AQ81" i="1"/>
  <c r="AQ54" i="2"/>
  <c r="K80" i="1"/>
  <c r="AC55" i="2"/>
  <c r="AC82" i="1"/>
  <c r="E55" i="2"/>
  <c r="E82" i="1"/>
  <c r="S27" i="2"/>
  <c r="Q80" i="1"/>
  <c r="BA55" i="2"/>
  <c r="BA82" i="1"/>
  <c r="W80" i="1"/>
  <c r="AU80" i="1"/>
  <c r="BC27" i="2"/>
  <c r="F25" i="10"/>
  <c r="E49" i="2"/>
  <c r="K55" i="2"/>
  <c r="K82" i="1"/>
  <c r="K40" i="3"/>
  <c r="M27" i="2"/>
  <c r="AW54" i="2"/>
  <c r="AW48" i="2"/>
  <c r="AW81" i="1"/>
  <c r="BA80" i="1"/>
  <c r="L82" i="1"/>
  <c r="L55" i="2"/>
  <c r="BG80" i="1"/>
  <c r="G27" i="2"/>
  <c r="AE27" i="2"/>
  <c r="AO80" i="1"/>
  <c r="E80" i="1"/>
  <c r="Q55" i="2"/>
  <c r="Q82" i="1"/>
  <c r="AW99" i="4"/>
  <c r="AM106" i="4"/>
  <c r="AM83" i="4"/>
  <c r="AJ81" i="4"/>
  <c r="AJ68" i="4"/>
  <c r="AS74" i="3"/>
  <c r="AS76" i="3"/>
  <c r="AW73" i="3"/>
  <c r="AK75" i="4"/>
  <c r="AK67" i="4"/>
  <c r="AM51" i="3"/>
  <c r="AQ15" i="3"/>
  <c r="AI99" i="3"/>
  <c r="AI129" i="3"/>
  <c r="AI120" i="3"/>
  <c r="AI111" i="3"/>
  <c r="AP74" i="3"/>
  <c r="AP76" i="3"/>
  <c r="AQ73" i="3"/>
  <c r="AP120" i="3"/>
  <c r="AP129" i="3"/>
  <c r="AP99" i="3"/>
  <c r="AP111" i="3"/>
  <c r="S74" i="3"/>
  <c r="AV81" i="4"/>
  <c r="AV82" i="4" s="1"/>
  <c r="AV68" i="4"/>
  <c r="AJ15" i="3"/>
  <c r="AK9" i="3"/>
  <c r="AS83" i="4"/>
  <c r="AS106" i="4"/>
  <c r="AB107" i="4"/>
  <c r="AH107" i="4"/>
  <c r="AI83" i="4"/>
  <c r="AI106" i="4"/>
  <c r="AO106" i="4"/>
  <c r="AO83" i="4"/>
  <c r="S76" i="3"/>
  <c r="AQ67" i="4"/>
  <c r="AW67" i="4"/>
  <c r="AQ75" i="4"/>
  <c r="AU106" i="4"/>
  <c r="AU83" i="4"/>
  <c r="AP81" i="4"/>
  <c r="AP82" i="4" s="1"/>
  <c r="AP68" i="4"/>
  <c r="AN107" i="4"/>
  <c r="AN102" i="4"/>
  <c r="AN103" i="4" s="1"/>
  <c r="CS62" i="2" l="1"/>
  <c r="CM62" i="2"/>
  <c r="I186" i="1"/>
  <c r="O186" i="1"/>
  <c r="O187" i="1"/>
  <c r="O59" i="1" s="1"/>
  <c r="CG48" i="4"/>
  <c r="CD52" i="4"/>
  <c r="O86" i="3"/>
  <c r="I64" i="2"/>
  <c r="I187" i="1"/>
  <c r="I59" i="1" s="1"/>
  <c r="BQ158" i="1"/>
  <c r="BS156" i="1"/>
  <c r="F187" i="1"/>
  <c r="BR76" i="1"/>
  <c r="BX76" i="1" s="1"/>
  <c r="CD76" i="1" s="1"/>
  <c r="BR75" i="1"/>
  <c r="BX75" i="1" s="1"/>
  <c r="CD75" i="1" s="1"/>
  <c r="U92" i="3"/>
  <c r="BX6" i="1"/>
  <c r="BX6" i="2"/>
  <c r="BX5" i="4" s="1"/>
  <c r="BF56" i="2"/>
  <c r="AE36" i="4"/>
  <c r="BA92" i="3"/>
  <c r="AZ53" i="4"/>
  <c r="AZ61" i="4"/>
  <c r="AZ49" i="4"/>
  <c r="BA40" i="3"/>
  <c r="F186" i="1"/>
  <c r="AZ74" i="4"/>
  <c r="AZ57" i="4"/>
  <c r="AZ28" i="4"/>
  <c r="CA56" i="4"/>
  <c r="AZ41" i="4"/>
  <c r="AZ32" i="4"/>
  <c r="AZ65" i="4"/>
  <c r="AZ45" i="4"/>
  <c r="BQ76" i="1"/>
  <c r="BW76" i="1" s="1"/>
  <c r="CC76" i="1" s="1"/>
  <c r="BQ75" i="1"/>
  <c r="BW75" i="1" s="1"/>
  <c r="CC75" i="1" s="1"/>
  <c r="M164" i="1"/>
  <c r="M165" i="1" s="1"/>
  <c r="M166" i="1" s="1"/>
  <c r="AT167" i="1"/>
  <c r="AT187" i="1"/>
  <c r="AT59" i="1" s="1"/>
  <c r="AT186" i="1"/>
  <c r="Q167" i="1"/>
  <c r="Q187" i="1"/>
  <c r="Q59" i="1" s="1"/>
  <c r="Q186" i="1"/>
  <c r="R167" i="1"/>
  <c r="R187" i="1"/>
  <c r="R59" i="1" s="1"/>
  <c r="R186" i="1"/>
  <c r="AS167" i="1"/>
  <c r="AS187" i="1"/>
  <c r="AS59" i="1" s="1"/>
  <c r="AS186" i="1"/>
  <c r="AJ167" i="1"/>
  <c r="AJ187" i="1"/>
  <c r="AJ59" i="1" s="1"/>
  <c r="AJ186" i="1"/>
  <c r="L167" i="1"/>
  <c r="L187" i="1"/>
  <c r="L59" i="1" s="1"/>
  <c r="L186" i="1"/>
  <c r="G167" i="1"/>
  <c r="G186" i="1"/>
  <c r="G187" i="1"/>
  <c r="AH167" i="1"/>
  <c r="AH187" i="1"/>
  <c r="AH59" i="1" s="1"/>
  <c r="AH186" i="1"/>
  <c r="AC167" i="1"/>
  <c r="AC187" i="1"/>
  <c r="AC59" i="1" s="1"/>
  <c r="AC186" i="1"/>
  <c r="S164" i="1"/>
  <c r="S165" i="1" s="1"/>
  <c r="S166" i="1" s="1"/>
  <c r="AE164" i="1"/>
  <c r="AE165" i="1" s="1"/>
  <c r="AE166" i="1" s="1"/>
  <c r="AK164" i="1"/>
  <c r="AK165" i="1" s="1"/>
  <c r="AK166" i="1" s="1"/>
  <c r="AU164" i="1"/>
  <c r="AU165" i="1" s="1"/>
  <c r="AU166" i="1" s="1"/>
  <c r="AQ164" i="1"/>
  <c r="AQ165" i="1" s="1"/>
  <c r="AQ166" i="1" s="1"/>
  <c r="X164" i="1"/>
  <c r="X165" i="1" s="1"/>
  <c r="X166" i="1" s="1"/>
  <c r="BA167" i="1"/>
  <c r="BA187" i="1"/>
  <c r="BA59" i="1" s="1"/>
  <c r="BA186" i="1"/>
  <c r="AM167" i="1"/>
  <c r="AM187" i="1"/>
  <c r="AM59" i="1" s="1"/>
  <c r="AM186" i="1"/>
  <c r="C167" i="1"/>
  <c r="C186" i="1"/>
  <c r="C187" i="1"/>
  <c r="D167" i="1"/>
  <c r="D186" i="1"/>
  <c r="D187" i="1"/>
  <c r="AG167" i="1"/>
  <c r="AG187" i="1"/>
  <c r="AG59" i="1" s="1"/>
  <c r="AG186" i="1"/>
  <c r="P167" i="1"/>
  <c r="P187" i="1"/>
  <c r="P59" i="1" s="1"/>
  <c r="P186" i="1"/>
  <c r="AB167" i="1"/>
  <c r="AB187" i="1"/>
  <c r="AB59" i="1" s="1"/>
  <c r="AB186" i="1"/>
  <c r="AY167" i="1"/>
  <c r="AY186" i="1"/>
  <c r="AY187" i="1"/>
  <c r="AY59" i="1" s="1"/>
  <c r="E167" i="1"/>
  <c r="E187" i="1"/>
  <c r="E186" i="1"/>
  <c r="AA167" i="1"/>
  <c r="AA187" i="1"/>
  <c r="AA59" i="1" s="1"/>
  <c r="AA186" i="1"/>
  <c r="AV167" i="1"/>
  <c r="AV186" i="1"/>
  <c r="AV187" i="1"/>
  <c r="AV59" i="1" s="1"/>
  <c r="AZ167" i="1"/>
  <c r="AZ186" i="1"/>
  <c r="AZ187" i="1"/>
  <c r="AZ59" i="1" s="1"/>
  <c r="BS181" i="1"/>
  <c r="BW34" i="1"/>
  <c r="AE57" i="4"/>
  <c r="AE20" i="4"/>
  <c r="AE74" i="4"/>
  <c r="AE32" i="4"/>
  <c r="AE10" i="4"/>
  <c r="AE24" i="4"/>
  <c r="AE65" i="4"/>
  <c r="AQ91" i="3"/>
  <c r="AQ96" i="1" s="1"/>
  <c r="AE45" i="4"/>
  <c r="AE41" i="4"/>
  <c r="AE15" i="4"/>
  <c r="AE61" i="4"/>
  <c r="AE28" i="4"/>
  <c r="AE53" i="4"/>
  <c r="AW78" i="4"/>
  <c r="BC75" i="3"/>
  <c r="Y78" i="4"/>
  <c r="AE78" i="4"/>
  <c r="AK69" i="4"/>
  <c r="AK57" i="4" s="1"/>
  <c r="BA69" i="4"/>
  <c r="BA28" i="4" s="1"/>
  <c r="BZ159" i="1"/>
  <c r="AY128" i="1"/>
  <c r="AY131" i="1" s="1"/>
  <c r="BC131" i="1" s="1"/>
  <c r="BC132" i="1" s="1"/>
  <c r="BI128" i="1" s="1"/>
  <c r="BT76" i="1"/>
  <c r="I116" i="1"/>
  <c r="M116" i="1" s="1"/>
  <c r="M113" i="1"/>
  <c r="AE99" i="3"/>
  <c r="AE111" i="3"/>
  <c r="AE129" i="3"/>
  <c r="AE120" i="3"/>
  <c r="AQ46" i="3"/>
  <c r="AQ58" i="1"/>
  <c r="AQ143" i="3"/>
  <c r="AQ57" i="1"/>
  <c r="AQ69" i="3"/>
  <c r="U86" i="3"/>
  <c r="P64" i="2"/>
  <c r="D96" i="1"/>
  <c r="D99" i="1" s="1"/>
  <c r="D92" i="3"/>
  <c r="AW106" i="3"/>
  <c r="V86" i="3"/>
  <c r="BH48" i="2"/>
  <c r="BH80" i="1" s="1"/>
  <c r="BH81" i="1"/>
  <c r="U40" i="3"/>
  <c r="BS75" i="1"/>
  <c r="BY75" i="1" s="1"/>
  <c r="CE75" i="1" s="1"/>
  <c r="BT18" i="1"/>
  <c r="BW18" i="1" s="1"/>
  <c r="CF69" i="2"/>
  <c r="CG69" i="2" s="1"/>
  <c r="CA69" i="2"/>
  <c r="CA78" i="2" s="1"/>
  <c r="P96" i="1"/>
  <c r="P99" i="1" s="1"/>
  <c r="AW36" i="3"/>
  <c r="AW68" i="3"/>
  <c r="P92" i="3"/>
  <c r="AG96" i="1"/>
  <c r="AD76" i="3"/>
  <c r="AE73" i="3"/>
  <c r="Q11" i="72"/>
  <c r="BR25" i="3" s="1"/>
  <c r="BR27" i="3" s="1"/>
  <c r="BL25" i="3"/>
  <c r="AG92" i="3"/>
  <c r="AE106" i="3"/>
  <c r="BT20" i="1"/>
  <c r="AU85" i="3"/>
  <c r="AU46" i="3"/>
  <c r="AU86" i="3" s="1"/>
  <c r="AU57" i="1"/>
  <c r="AU69" i="3"/>
  <c r="AM86" i="3"/>
  <c r="CG62" i="2"/>
  <c r="CC6" i="3"/>
  <c r="CF6" i="3"/>
  <c r="CE6" i="3"/>
  <c r="X74" i="3"/>
  <c r="X76" i="3"/>
  <c r="Y73" i="3"/>
  <c r="CD6" i="2"/>
  <c r="CD6" i="1"/>
  <c r="CK52" i="4"/>
  <c r="CK53" i="4" s="1"/>
  <c r="CC56" i="4"/>
  <c r="CL52" i="4"/>
  <c r="CL53" i="4" s="1"/>
  <c r="CA62" i="2"/>
  <c r="BO35" i="1"/>
  <c r="BO170" i="1" s="1"/>
  <c r="BO39" i="2"/>
  <c r="BO159" i="1"/>
  <c r="BU154" i="1"/>
  <c r="BQ25" i="3"/>
  <c r="BE138" i="1"/>
  <c r="BE139" i="1" s="1"/>
  <c r="BI139" i="1" s="1"/>
  <c r="BI140" i="1" s="1"/>
  <c r="BS40" i="1"/>
  <c r="BU21" i="1"/>
  <c r="AO64" i="2"/>
  <c r="AE58" i="3"/>
  <c r="AO96" i="1"/>
  <c r="AO99" i="1" s="1"/>
  <c r="AO92" i="3"/>
  <c r="AO86" i="3"/>
  <c r="AW38" i="3"/>
  <c r="AM64" i="2"/>
  <c r="Y106" i="3"/>
  <c r="AM92" i="3"/>
  <c r="AM40" i="3"/>
  <c r="AM96" i="1"/>
  <c r="AP64" i="2"/>
  <c r="C92" i="3"/>
  <c r="C96" i="1"/>
  <c r="C99" i="1" s="1"/>
  <c r="AG64" i="2"/>
  <c r="AU58" i="1"/>
  <c r="Y38" i="3"/>
  <c r="BU7" i="3"/>
  <c r="BA85" i="3"/>
  <c r="AU143" i="3"/>
  <c r="C64" i="2"/>
  <c r="I86" i="3"/>
  <c r="X15" i="3"/>
  <c r="Y9" i="3"/>
  <c r="AV51" i="3"/>
  <c r="AW15" i="3"/>
  <c r="AW51" i="3" s="1"/>
  <c r="AD81" i="4"/>
  <c r="AD68" i="4"/>
  <c r="S33" i="4"/>
  <c r="Y84" i="4"/>
  <c r="AE67" i="4"/>
  <c r="AE68" i="4" s="1"/>
  <c r="W86" i="3"/>
  <c r="Y105" i="3"/>
  <c r="Y36" i="3"/>
  <c r="BY6" i="1"/>
  <c r="BY6" i="2"/>
  <c r="BY5" i="4" s="1"/>
  <c r="BY7" i="3"/>
  <c r="BE140" i="3"/>
  <c r="BC138" i="3"/>
  <c r="AQ51" i="3"/>
  <c r="AQ111" i="3" s="1"/>
  <c r="AQ76" i="3"/>
  <c r="AT86" i="3"/>
  <c r="AT64" i="2"/>
  <c r="Q96" i="1"/>
  <c r="Q99" i="1" s="1"/>
  <c r="Q92" i="3"/>
  <c r="Q40" i="3"/>
  <c r="BZ6" i="2"/>
  <c r="BZ5" i="4" s="1"/>
  <c r="BZ7" i="3"/>
  <c r="BZ6" i="1"/>
  <c r="Q64" i="2"/>
  <c r="AT96" i="1"/>
  <c r="AT99" i="1" s="1"/>
  <c r="AT92" i="3"/>
  <c r="AT40" i="3"/>
  <c r="AY123" i="1"/>
  <c r="AW134" i="1"/>
  <c r="AW135" i="1" s="1"/>
  <c r="BC123" i="1"/>
  <c r="AZ12" i="4"/>
  <c r="AY17" i="4"/>
  <c r="AY9" i="4"/>
  <c r="AY10" i="4" s="1"/>
  <c r="AZ7" i="4"/>
  <c r="E96" i="1"/>
  <c r="E99" i="1" s="1"/>
  <c r="E92" i="3"/>
  <c r="BT33" i="1"/>
  <c r="AA64" i="2"/>
  <c r="AA86" i="3"/>
  <c r="S143" i="3"/>
  <c r="S69" i="3"/>
  <c r="S91" i="3"/>
  <c r="S57" i="1"/>
  <c r="S85" i="3"/>
  <c r="S46" i="3"/>
  <c r="S58" i="1"/>
  <c r="BC23" i="4"/>
  <c r="BU39" i="1"/>
  <c r="AZ96" i="1"/>
  <c r="AZ99" i="1" s="1"/>
  <c r="AZ92" i="3"/>
  <c r="AZ40" i="3"/>
  <c r="AS86" i="3"/>
  <c r="AS64" i="2"/>
  <c r="AB86" i="3"/>
  <c r="AB64" i="2"/>
  <c r="AG86" i="3"/>
  <c r="R86" i="3"/>
  <c r="R64" i="2"/>
  <c r="AK58" i="1"/>
  <c r="AK69" i="3"/>
  <c r="AK57" i="1"/>
  <c r="AK91" i="3"/>
  <c r="AK143" i="3"/>
  <c r="AK85" i="3"/>
  <c r="AK46" i="3"/>
  <c r="AQ85" i="3"/>
  <c r="AY64" i="2"/>
  <c r="AY86" i="3"/>
  <c r="E64" i="2"/>
  <c r="AZ86" i="3"/>
  <c r="AZ64" i="2"/>
  <c r="AE143" i="3"/>
  <c r="AE57" i="1"/>
  <c r="AE58" i="1"/>
  <c r="AE91" i="3"/>
  <c r="AE46" i="3"/>
  <c r="AE69" i="3"/>
  <c r="R92" i="3"/>
  <c r="R96" i="1"/>
  <c r="R99" i="1" s="1"/>
  <c r="AJ92" i="3"/>
  <c r="AJ96" i="1"/>
  <c r="AJ99" i="1" s="1"/>
  <c r="G92" i="3"/>
  <c r="G96" i="1"/>
  <c r="AS96" i="1"/>
  <c r="AS92" i="3"/>
  <c r="AS40" i="3"/>
  <c r="E50" i="2"/>
  <c r="F49" i="2" s="1"/>
  <c r="L64" i="2"/>
  <c r="L86" i="3"/>
  <c r="AV96" i="1"/>
  <c r="AV99" i="1" s="1"/>
  <c r="AV92" i="3"/>
  <c r="G64" i="2"/>
  <c r="M46" i="3"/>
  <c r="M58" i="1"/>
  <c r="M57" i="1"/>
  <c r="M143" i="3"/>
  <c r="M91" i="3"/>
  <c r="M69" i="3"/>
  <c r="M85" i="3"/>
  <c r="BU9" i="1"/>
  <c r="AB96" i="1"/>
  <c r="AB99" i="1" s="1"/>
  <c r="AB92" i="3"/>
  <c r="AB40" i="3"/>
  <c r="AJ86" i="3"/>
  <c r="AJ64" i="2"/>
  <c r="AP86" i="3"/>
  <c r="BW31" i="3"/>
  <c r="BW6" i="2"/>
  <c r="BW5" i="4" s="1"/>
  <c r="BW7" i="3"/>
  <c r="BW6" i="1"/>
  <c r="E40" i="3"/>
  <c r="BX34" i="1"/>
  <c r="AA96" i="1"/>
  <c r="AA92" i="3"/>
  <c r="AA40" i="3"/>
  <c r="L96" i="1"/>
  <c r="L99" i="1" s="1"/>
  <c r="L92" i="3"/>
  <c r="M111" i="1"/>
  <c r="O106" i="1" s="1"/>
  <c r="M115" i="1"/>
  <c r="AO72" i="2"/>
  <c r="AP68" i="2" s="1"/>
  <c r="AO77" i="2"/>
  <c r="AO76" i="2"/>
  <c r="AY96" i="1"/>
  <c r="AY92" i="3"/>
  <c r="AY40" i="3"/>
  <c r="AC92" i="3"/>
  <c r="AC96" i="1"/>
  <c r="AC99" i="1" s="1"/>
  <c r="BS42" i="1"/>
  <c r="X92" i="3"/>
  <c r="X96" i="1"/>
  <c r="X99" i="1" s="1"/>
  <c r="BH139" i="3"/>
  <c r="AH96" i="1"/>
  <c r="AH99" i="1" s="1"/>
  <c r="AH92" i="3"/>
  <c r="AH40" i="3"/>
  <c r="AS76" i="2"/>
  <c r="AS77" i="2"/>
  <c r="AW68" i="2"/>
  <c r="AS72" i="2"/>
  <c r="AT68" i="2" s="1"/>
  <c r="AH86" i="3"/>
  <c r="AH64" i="2"/>
  <c r="AN86" i="3"/>
  <c r="AV86" i="3"/>
  <c r="AV64" i="2"/>
  <c r="BX7" i="3"/>
  <c r="BI27" i="2"/>
  <c r="G25" i="10"/>
  <c r="BT19" i="1"/>
  <c r="AU92" i="3"/>
  <c r="AU96" i="1"/>
  <c r="AU99" i="1" s="1"/>
  <c r="X64" i="2"/>
  <c r="X86" i="3"/>
  <c r="AD86" i="3"/>
  <c r="AC86" i="3"/>
  <c r="AC64" i="2"/>
  <c r="M48" i="2"/>
  <c r="M54" i="2"/>
  <c r="M81" i="1"/>
  <c r="BB55" i="2"/>
  <c r="BB82" i="1"/>
  <c r="AK54" i="2"/>
  <c r="AK81" i="1"/>
  <c r="AK48" i="2"/>
  <c r="Q83" i="1"/>
  <c r="Q56" i="2"/>
  <c r="AE81" i="1"/>
  <c r="AE54" i="2"/>
  <c r="AE48" i="2"/>
  <c r="AV80" i="1"/>
  <c r="AD80" i="1"/>
  <c r="AQ80" i="1"/>
  <c r="BH55" i="2"/>
  <c r="BH82" i="1"/>
  <c r="BG83" i="1"/>
  <c r="BG56" i="2"/>
  <c r="L56" i="2"/>
  <c r="L83" i="1"/>
  <c r="K83" i="1"/>
  <c r="K56" i="2"/>
  <c r="E56" i="2"/>
  <c r="E83" i="1"/>
  <c r="W56" i="2"/>
  <c r="W83" i="1"/>
  <c r="G54" i="2"/>
  <c r="G81" i="1"/>
  <c r="G48" i="2"/>
  <c r="F82" i="1"/>
  <c r="F40" i="3"/>
  <c r="F55" i="2"/>
  <c r="AV55" i="2"/>
  <c r="AV82" i="1"/>
  <c r="AV40" i="3"/>
  <c r="Y80" i="1"/>
  <c r="AP80" i="1"/>
  <c r="AJ80" i="1"/>
  <c r="R40" i="3"/>
  <c r="R82" i="1"/>
  <c r="R55" i="2"/>
  <c r="AQ55" i="2"/>
  <c r="AQ82" i="1"/>
  <c r="AW80" i="1"/>
  <c r="X83" i="1"/>
  <c r="X56" i="2"/>
  <c r="AO83" i="1"/>
  <c r="AO56" i="2"/>
  <c r="AP40" i="3"/>
  <c r="AP55" i="2"/>
  <c r="AP82" i="1"/>
  <c r="BB80" i="1"/>
  <c r="AJ40" i="3"/>
  <c r="AJ82" i="1"/>
  <c r="AJ55" i="2"/>
  <c r="AW55" i="2"/>
  <c r="AW82" i="1"/>
  <c r="BC54" i="2"/>
  <c r="BC81" i="1"/>
  <c r="BC48" i="2"/>
  <c r="S54" i="2"/>
  <c r="S81" i="1"/>
  <c r="S48" i="2"/>
  <c r="AU56" i="2"/>
  <c r="AU83" i="1"/>
  <c r="R80" i="1"/>
  <c r="AC56" i="2"/>
  <c r="AC83" i="1"/>
  <c r="Y55" i="2"/>
  <c r="Y82" i="1"/>
  <c r="BA56" i="2"/>
  <c r="BA83" i="1"/>
  <c r="F80" i="1"/>
  <c r="AD82" i="1"/>
  <c r="AD55" i="2"/>
  <c r="AD40" i="3"/>
  <c r="AM102" i="4"/>
  <c r="AM103" i="4" s="1"/>
  <c r="AM107" i="4"/>
  <c r="AW76" i="3"/>
  <c r="AU107" i="4"/>
  <c r="AU102" i="4"/>
  <c r="BE31" i="4"/>
  <c r="BB93" i="4"/>
  <c r="BC92" i="4"/>
  <c r="AT103" i="4"/>
  <c r="AV83" i="4"/>
  <c r="AV106" i="4"/>
  <c r="AW74" i="3"/>
  <c r="AM99" i="3"/>
  <c r="AM111" i="3"/>
  <c r="AM129" i="3"/>
  <c r="AM120" i="3"/>
  <c r="AO102" i="4"/>
  <c r="AO107" i="4"/>
  <c r="AK76" i="4"/>
  <c r="AQ77" i="4"/>
  <c r="AK84" i="4"/>
  <c r="AK43" i="4"/>
  <c r="AQ78" i="4"/>
  <c r="AK72" i="4"/>
  <c r="AQ80" i="4"/>
  <c r="AK55" i="4"/>
  <c r="AK63" i="4"/>
  <c r="AK39" i="4"/>
  <c r="AK47" i="4"/>
  <c r="AK51" i="4"/>
  <c r="AK59" i="4"/>
  <c r="AQ79" i="4"/>
  <c r="AK34" i="4"/>
  <c r="AJ82" i="4"/>
  <c r="AK81" i="4"/>
  <c r="AK82" i="4" s="1"/>
  <c r="AQ74" i="3"/>
  <c r="AP106" i="4"/>
  <c r="AE74" i="3"/>
  <c r="AS107" i="4"/>
  <c r="AS102" i="4"/>
  <c r="AJ51" i="3"/>
  <c r="AK15" i="3"/>
  <c r="AK51" i="3" s="1"/>
  <c r="AW81" i="4"/>
  <c r="AW82" i="4" s="1"/>
  <c r="AQ81" i="4"/>
  <c r="AQ82" i="4" s="1"/>
  <c r="AQ39" i="4"/>
  <c r="AW80" i="4"/>
  <c r="AW76" i="4"/>
  <c r="AQ84" i="4"/>
  <c r="AW77" i="4"/>
  <c r="AQ51" i="4"/>
  <c r="AQ43" i="4"/>
  <c r="AQ63" i="4"/>
  <c r="AQ55" i="4"/>
  <c r="AQ59" i="4"/>
  <c r="AQ76" i="4"/>
  <c r="AQ47" i="4"/>
  <c r="AW79" i="4"/>
  <c r="AQ72" i="4"/>
  <c r="AQ34" i="4"/>
  <c r="AI107" i="4"/>
  <c r="AI102" i="4"/>
  <c r="AI103" i="4" s="1"/>
  <c r="CS63" i="2" l="1"/>
  <c r="CM63" i="2"/>
  <c r="CF52" i="4"/>
  <c r="CE52" i="4"/>
  <c r="CD56" i="4"/>
  <c r="AK45" i="4"/>
  <c r="BA61" i="4"/>
  <c r="BR82" i="3"/>
  <c r="AK61" i="4"/>
  <c r="AK15" i="4"/>
  <c r="AK20" i="4"/>
  <c r="AK49" i="4"/>
  <c r="Y164" i="1"/>
  <c r="Y165" i="1" s="1"/>
  <c r="Y166" i="1" s="1"/>
  <c r="AW164" i="1"/>
  <c r="AW165" i="1" s="1"/>
  <c r="AW166" i="1" s="1"/>
  <c r="M167" i="1"/>
  <c r="M187" i="1"/>
  <c r="M59" i="1" s="1"/>
  <c r="M186" i="1"/>
  <c r="X167" i="1"/>
  <c r="X186" i="1"/>
  <c r="X187" i="1"/>
  <c r="X59" i="1" s="1"/>
  <c r="AQ167" i="1"/>
  <c r="AQ186" i="1"/>
  <c r="AQ187" i="1"/>
  <c r="AQ59" i="1" s="1"/>
  <c r="AU167" i="1"/>
  <c r="AU186" i="1"/>
  <c r="AU187" i="1"/>
  <c r="AU59" i="1" s="1"/>
  <c r="AK167" i="1"/>
  <c r="AK187" i="1"/>
  <c r="AK59" i="1" s="1"/>
  <c r="AK186" i="1"/>
  <c r="AE167" i="1"/>
  <c r="AE187" i="1"/>
  <c r="AE59" i="1" s="1"/>
  <c r="AE186" i="1"/>
  <c r="S167" i="1"/>
  <c r="S186" i="1"/>
  <c r="S187" i="1"/>
  <c r="S59" i="1" s="1"/>
  <c r="BT181" i="1"/>
  <c r="BW9" i="1"/>
  <c r="AQ40" i="3"/>
  <c r="BA65" i="4"/>
  <c r="AQ92" i="3"/>
  <c r="BA57" i="4"/>
  <c r="AK32" i="4"/>
  <c r="AK24" i="4"/>
  <c r="AK10" i="4"/>
  <c r="AK41" i="4"/>
  <c r="AK68" i="4"/>
  <c r="AK28" i="4"/>
  <c r="AK53" i="4"/>
  <c r="BA53" i="4"/>
  <c r="BA74" i="4"/>
  <c r="AK36" i="4"/>
  <c r="AK65" i="4"/>
  <c r="BA24" i="4"/>
  <c r="BA41" i="4"/>
  <c r="BA49" i="4"/>
  <c r="BA45" i="4"/>
  <c r="AQ69" i="4"/>
  <c r="AQ68" i="4" s="1"/>
  <c r="AW69" i="4"/>
  <c r="AW41" i="4" s="1"/>
  <c r="BB69" i="4"/>
  <c r="BB65" i="4" s="1"/>
  <c r="CC159" i="1"/>
  <c r="BO50" i="1"/>
  <c r="BZ76" i="1"/>
  <c r="BK138" i="1"/>
  <c r="BK139" i="1" s="1"/>
  <c r="BO139" i="1" s="1"/>
  <c r="BO138" i="1"/>
  <c r="BU18" i="1"/>
  <c r="M117" i="1"/>
  <c r="O113" i="1" s="1"/>
  <c r="AQ64" i="2"/>
  <c r="AW69" i="3"/>
  <c r="Y91" i="3"/>
  <c r="Y40" i="3" s="1"/>
  <c r="E20" i="10"/>
  <c r="E19" i="10" s="1"/>
  <c r="E21" i="10" s="1"/>
  <c r="E29" i="10" s="1"/>
  <c r="E31" i="10" s="1"/>
  <c r="BE128" i="1"/>
  <c r="BE131" i="1" s="1"/>
  <c r="BI131" i="1" s="1"/>
  <c r="BI132" i="1" s="1"/>
  <c r="BO128" i="1" s="1"/>
  <c r="CG78" i="2"/>
  <c r="BA86" i="3"/>
  <c r="AE76" i="3"/>
  <c r="Y69" i="3"/>
  <c r="Y57" i="1"/>
  <c r="BL27" i="3"/>
  <c r="BL82" i="3" s="1"/>
  <c r="BM31" i="4"/>
  <c r="AU64" i="2"/>
  <c r="CA63" i="2"/>
  <c r="BF31" i="4"/>
  <c r="BU20" i="1"/>
  <c r="AW143" i="3"/>
  <c r="AW91" i="3"/>
  <c r="AW40" i="3" s="1"/>
  <c r="AE85" i="3"/>
  <c r="Y74" i="3"/>
  <c r="CE6" i="2"/>
  <c r="CE6" i="1"/>
  <c r="CE7" i="3"/>
  <c r="CF7" i="3"/>
  <c r="CF6" i="2"/>
  <c r="CF6" i="1"/>
  <c r="CC6" i="2"/>
  <c r="CC6" i="1"/>
  <c r="CC7" i="3"/>
  <c r="CG63" i="2"/>
  <c r="CD7" i="3"/>
  <c r="Y76" i="3"/>
  <c r="CG50" i="4"/>
  <c r="CM52" i="4" s="1"/>
  <c r="BR154" i="1"/>
  <c r="BR156" i="1" s="1"/>
  <c r="BT40" i="1"/>
  <c r="BW21" i="1"/>
  <c r="AW57" i="1"/>
  <c r="AW46" i="3"/>
  <c r="Y143" i="3"/>
  <c r="G99" i="1"/>
  <c r="G100" i="1" s="1"/>
  <c r="AW85" i="3"/>
  <c r="AW58" i="1"/>
  <c r="AQ129" i="3"/>
  <c r="Y46" i="3"/>
  <c r="Y85" i="3"/>
  <c r="Y58" i="1"/>
  <c r="AQ99" i="3"/>
  <c r="AQ120" i="3"/>
  <c r="AV120" i="3"/>
  <c r="AV129" i="3"/>
  <c r="AV111" i="3"/>
  <c r="AV99" i="3"/>
  <c r="AW129" i="3"/>
  <c r="AW111" i="3"/>
  <c r="AW99" i="3"/>
  <c r="AW120" i="3"/>
  <c r="AD82" i="4"/>
  <c r="AJ83" i="4" s="1"/>
  <c r="AE81" i="4"/>
  <c r="AE82" i="4" s="1"/>
  <c r="AK83" i="4" s="1"/>
  <c r="X51" i="3"/>
  <c r="Y15" i="3"/>
  <c r="Y51" i="3" s="1"/>
  <c r="BF140" i="3"/>
  <c r="BE138" i="3"/>
  <c r="BC80" i="4"/>
  <c r="F50" i="2"/>
  <c r="F51" i="2" s="1"/>
  <c r="AK86" i="3"/>
  <c r="AK64" i="2"/>
  <c r="AQ86" i="3"/>
  <c r="AZ14" i="4"/>
  <c r="AZ15" i="4" s="1"/>
  <c r="BF14" i="4"/>
  <c r="BA12" i="4"/>
  <c r="BX18" i="1"/>
  <c r="BW39" i="1"/>
  <c r="AE64" i="2"/>
  <c r="AT72" i="2"/>
  <c r="AU68" i="2" s="1"/>
  <c r="AT76" i="2"/>
  <c r="AT77" i="2"/>
  <c r="BI139" i="3"/>
  <c r="S86" i="3"/>
  <c r="S64" i="2"/>
  <c r="BC130" i="1"/>
  <c r="BT42" i="1"/>
  <c r="BS98" i="1"/>
  <c r="AS103" i="4"/>
  <c r="E51" i="2"/>
  <c r="BI81" i="1"/>
  <c r="BI48" i="2"/>
  <c r="BI54" i="2"/>
  <c r="AW72" i="2"/>
  <c r="AY68" i="2" s="1"/>
  <c r="AW76" i="2"/>
  <c r="AW77" i="2"/>
  <c r="AE92" i="3"/>
  <c r="AE96" i="1"/>
  <c r="AK96" i="1"/>
  <c r="AK92" i="3"/>
  <c r="AZ9" i="4"/>
  <c r="AZ10" i="4" s="1"/>
  <c r="AZ17" i="4"/>
  <c r="CA7" i="3"/>
  <c r="M92" i="3"/>
  <c r="M96" i="1"/>
  <c r="BG31" i="4"/>
  <c r="BU19" i="1"/>
  <c r="BW19" i="1"/>
  <c r="O115" i="1"/>
  <c r="S106" i="1"/>
  <c r="O110" i="1"/>
  <c r="S110" i="1" s="1"/>
  <c r="M86" i="3"/>
  <c r="M64" i="2"/>
  <c r="AP76" i="2"/>
  <c r="AP72" i="2"/>
  <c r="AP77" i="2"/>
  <c r="BY34" i="1"/>
  <c r="BX31" i="3"/>
  <c r="BA31" i="4"/>
  <c r="BA32" i="4" s="1"/>
  <c r="S92" i="3"/>
  <c r="S96" i="1"/>
  <c r="BU33" i="1"/>
  <c r="AY19" i="4"/>
  <c r="AY20" i="4" s="1"/>
  <c r="AY33" i="4"/>
  <c r="AY18" i="4" s="1"/>
  <c r="AY124" i="1"/>
  <c r="BC124" i="1" s="1"/>
  <c r="BC126" i="1" s="1"/>
  <c r="AY130" i="1"/>
  <c r="BC80" i="1"/>
  <c r="AK80" i="1"/>
  <c r="Y56" i="2"/>
  <c r="Y83" i="1"/>
  <c r="AW56" i="2"/>
  <c r="AW83" i="1"/>
  <c r="BH56" i="2"/>
  <c r="BH83" i="1"/>
  <c r="AD83" i="1"/>
  <c r="AD56" i="2"/>
  <c r="M55" i="2"/>
  <c r="M82" i="1"/>
  <c r="M40" i="3"/>
  <c r="AE80" i="1"/>
  <c r="AE55" i="2"/>
  <c r="AE82" i="1"/>
  <c r="AE40" i="3"/>
  <c r="BB56" i="2"/>
  <c r="BB83" i="1"/>
  <c r="S55" i="2"/>
  <c r="S40" i="3"/>
  <c r="S82" i="1"/>
  <c r="AQ56" i="2"/>
  <c r="AQ83" i="1"/>
  <c r="G80" i="1"/>
  <c r="G50" i="2"/>
  <c r="AK40" i="3"/>
  <c r="AK55" i="2"/>
  <c r="AK82" i="1"/>
  <c r="AV83" i="1"/>
  <c r="AV56" i="2"/>
  <c r="AP83" i="1"/>
  <c r="AP56" i="2"/>
  <c r="R83" i="1"/>
  <c r="R56" i="2"/>
  <c r="F83" i="1"/>
  <c r="F56" i="2"/>
  <c r="G82" i="1"/>
  <c r="G40" i="3"/>
  <c r="G55" i="2"/>
  <c r="M80" i="1"/>
  <c r="AJ83" i="1"/>
  <c r="AJ56" i="2"/>
  <c r="S80" i="1"/>
  <c r="BC55" i="2"/>
  <c r="BC82" i="1"/>
  <c r="AO103" i="4"/>
  <c r="AP102" i="4"/>
  <c r="AJ106" i="4"/>
  <c r="AU103" i="4"/>
  <c r="AQ83" i="4"/>
  <c r="AQ106" i="4"/>
  <c r="AK120" i="3"/>
  <c r="AK111" i="3"/>
  <c r="AK99" i="3"/>
  <c r="AK129" i="3"/>
  <c r="AV107" i="4"/>
  <c r="AV102" i="4"/>
  <c r="AW106" i="4"/>
  <c r="AW83" i="4"/>
  <c r="BK31" i="4"/>
  <c r="AJ129" i="3"/>
  <c r="AJ111" i="3"/>
  <c r="AJ120" i="3"/>
  <c r="AJ99" i="3"/>
  <c r="BC93" i="4"/>
  <c r="BB31" i="4"/>
  <c r="BC29" i="4"/>
  <c r="AP83" i="4"/>
  <c r="AK106" i="4"/>
  <c r="CF56" i="4" l="1"/>
  <c r="CG52" i="4"/>
  <c r="BS158" i="1"/>
  <c r="BS30" i="3" s="1"/>
  <c r="BB49" i="4"/>
  <c r="BB24" i="4"/>
  <c r="AW24" i="4"/>
  <c r="AQ20" i="4"/>
  <c r="AW15" i="4"/>
  <c r="BB41" i="4"/>
  <c r="AW53" i="4"/>
  <c r="BB74" i="4"/>
  <c r="BB57" i="4"/>
  <c r="AW68" i="4"/>
  <c r="BB32" i="4"/>
  <c r="BB53" i="4"/>
  <c r="BB61" i="4"/>
  <c r="BB45" i="4"/>
  <c r="AW45" i="4"/>
  <c r="BB28" i="4"/>
  <c r="AQ49" i="4"/>
  <c r="AW65" i="4"/>
  <c r="AW10" i="4"/>
  <c r="AW49" i="4"/>
  <c r="AW61" i="4"/>
  <c r="AW167" i="1"/>
  <c r="AW187" i="1"/>
  <c r="AW59" i="1" s="1"/>
  <c r="AW186" i="1"/>
  <c r="Y167" i="1"/>
  <c r="Y187" i="1"/>
  <c r="Y59" i="1" s="1"/>
  <c r="Y186" i="1"/>
  <c r="BU181" i="1"/>
  <c r="BQ170" i="1"/>
  <c r="BX9" i="1"/>
  <c r="BW181" i="1"/>
  <c r="AQ10" i="4"/>
  <c r="AQ41" i="4"/>
  <c r="AQ53" i="4"/>
  <c r="AQ36" i="4"/>
  <c r="AQ28" i="4"/>
  <c r="AW74" i="4"/>
  <c r="AW32" i="4"/>
  <c r="AQ15" i="4"/>
  <c r="AQ45" i="4"/>
  <c r="AW57" i="4"/>
  <c r="AQ24" i="4"/>
  <c r="AQ32" i="4"/>
  <c r="AQ57" i="4"/>
  <c r="AW36" i="4"/>
  <c r="AW28" i="4"/>
  <c r="AQ74" i="4"/>
  <c r="AQ61" i="4"/>
  <c r="AQ65" i="4"/>
  <c r="AW20" i="4"/>
  <c r="BC69" i="4"/>
  <c r="BC61" i="4" s="1"/>
  <c r="BE69" i="4"/>
  <c r="BE15" i="4" s="1"/>
  <c r="CD159" i="1"/>
  <c r="BO140" i="1"/>
  <c r="BQ138" i="1" s="1"/>
  <c r="BQ139" i="1" s="1"/>
  <c r="BU139" i="1" s="1"/>
  <c r="CF76" i="1"/>
  <c r="O116" i="1"/>
  <c r="S116" i="1" s="1"/>
  <c r="S113" i="1"/>
  <c r="Y96" i="1"/>
  <c r="Y92" i="3"/>
  <c r="E35" i="10"/>
  <c r="AE86" i="3"/>
  <c r="AW86" i="3"/>
  <c r="E30" i="10"/>
  <c r="AW92" i="3"/>
  <c r="AW96" i="1"/>
  <c r="Y86" i="3"/>
  <c r="AW64" i="2"/>
  <c r="Y64" i="2"/>
  <c r="BL31" i="4"/>
  <c r="BW20" i="1"/>
  <c r="CG7" i="3"/>
  <c r="CE56" i="4"/>
  <c r="CG54" i="4"/>
  <c r="CM56" i="4" s="1"/>
  <c r="BS154" i="1"/>
  <c r="BS157" i="1" s="1"/>
  <c r="BU40" i="1"/>
  <c r="BX21" i="1"/>
  <c r="Y111" i="3"/>
  <c r="Y129" i="3"/>
  <c r="Y120" i="3"/>
  <c r="Y99" i="3"/>
  <c r="X129" i="3"/>
  <c r="X111" i="3"/>
  <c r="X120" i="3"/>
  <c r="X99" i="3"/>
  <c r="AE106" i="4"/>
  <c r="AE107" i="4" s="1"/>
  <c r="AE83" i="4"/>
  <c r="AD83" i="4"/>
  <c r="AD106" i="4"/>
  <c r="AD107" i="4" s="1"/>
  <c r="BG140" i="3"/>
  <c r="BF138" i="3"/>
  <c r="BC134" i="1"/>
  <c r="BC135" i="1" s="1"/>
  <c r="BE123" i="1"/>
  <c r="BI123" i="1"/>
  <c r="BX19" i="1"/>
  <c r="BI55" i="2"/>
  <c r="BI82" i="1"/>
  <c r="AU72" i="2"/>
  <c r="AV68" i="2" s="1"/>
  <c r="AU76" i="2"/>
  <c r="AU77" i="2"/>
  <c r="BW33" i="1"/>
  <c r="BY31" i="3"/>
  <c r="BI80" i="1"/>
  <c r="BY18" i="1"/>
  <c r="BZ34" i="1"/>
  <c r="S111" i="1"/>
  <c r="U106" i="1" s="1"/>
  <c r="S115" i="1"/>
  <c r="AZ33" i="4"/>
  <c r="AZ18" i="4" s="1"/>
  <c r="AZ19" i="4"/>
  <c r="AZ20" i="4" s="1"/>
  <c r="BK128" i="1"/>
  <c r="BK131" i="1" s="1"/>
  <c r="BO131" i="1" s="1"/>
  <c r="BO132" i="1" s="1"/>
  <c r="BQ128" i="1" s="1"/>
  <c r="BQ131" i="1" s="1"/>
  <c r="BU131" i="1" s="1"/>
  <c r="BC68" i="2"/>
  <c r="AY77" i="2"/>
  <c r="AY72" i="2"/>
  <c r="AZ68" i="2" s="1"/>
  <c r="AY76" i="2"/>
  <c r="BT98" i="1"/>
  <c r="BU98" i="1" s="1"/>
  <c r="BU42" i="1"/>
  <c r="M94" i="1"/>
  <c r="G101" i="1"/>
  <c r="I94" i="1"/>
  <c r="I99" i="1" s="1"/>
  <c r="M99" i="1" s="1"/>
  <c r="AY30" i="4"/>
  <c r="AY13" i="4"/>
  <c r="AY66" i="4"/>
  <c r="AY35" i="4"/>
  <c r="AY36" i="4" s="1"/>
  <c r="AY26" i="4"/>
  <c r="AY22" i="4"/>
  <c r="AY8" i="4"/>
  <c r="BX39" i="1"/>
  <c r="BK139" i="3"/>
  <c r="BL139" i="3" s="1"/>
  <c r="BM139" i="3" s="1"/>
  <c r="BN139" i="3" s="1"/>
  <c r="BA7" i="4"/>
  <c r="BB12" i="4" s="1"/>
  <c r="BG14" i="4"/>
  <c r="BA14" i="4"/>
  <c r="BA15" i="4" s="1"/>
  <c r="M83" i="1"/>
  <c r="M56" i="2"/>
  <c r="I49" i="2"/>
  <c r="G51" i="2"/>
  <c r="S56" i="2"/>
  <c r="S83" i="1"/>
  <c r="G56" i="2"/>
  <c r="G83" i="1"/>
  <c r="AK83" i="1"/>
  <c r="AK56" i="2"/>
  <c r="BC83" i="1"/>
  <c r="BC56" i="2"/>
  <c r="AE83" i="1"/>
  <c r="AE56" i="2"/>
  <c r="AV103" i="4"/>
  <c r="AK102" i="4"/>
  <c r="AK103" i="4" s="1"/>
  <c r="BH31" i="4"/>
  <c r="BC31" i="4"/>
  <c r="BQ31" i="4"/>
  <c r="AW102" i="4"/>
  <c r="AW107" i="4"/>
  <c r="AQ107" i="4"/>
  <c r="AQ102" i="4"/>
  <c r="AJ102" i="4"/>
  <c r="AJ103" i="4" s="1"/>
  <c r="AP107" i="4"/>
  <c r="CG56" i="4" l="1"/>
  <c r="BC45" i="4"/>
  <c r="BE49" i="4"/>
  <c r="BC41" i="4"/>
  <c r="BY9" i="1"/>
  <c r="BX181" i="1"/>
  <c r="BC28" i="4"/>
  <c r="BC65" i="4"/>
  <c r="BC53" i="4"/>
  <c r="BC49" i="4"/>
  <c r="BC74" i="4"/>
  <c r="BC32" i="4"/>
  <c r="BC57" i="4"/>
  <c r="BC24" i="4"/>
  <c r="CC31" i="4"/>
  <c r="BE74" i="4"/>
  <c r="BE32" i="4"/>
  <c r="BE45" i="4"/>
  <c r="BE57" i="4"/>
  <c r="BE53" i="4"/>
  <c r="BE61" i="4"/>
  <c r="BE41" i="4"/>
  <c r="BE65" i="4"/>
  <c r="BF69" i="4"/>
  <c r="BF74" i="4" s="1"/>
  <c r="CE159" i="1"/>
  <c r="S117" i="1"/>
  <c r="U113" i="1" s="1"/>
  <c r="BO139" i="3"/>
  <c r="BQ139" i="3" s="1"/>
  <c r="BR139" i="3" s="1"/>
  <c r="AK107" i="4"/>
  <c r="BR31" i="4"/>
  <c r="AJ107" i="4"/>
  <c r="BX20" i="1"/>
  <c r="BU128" i="1"/>
  <c r="BW40" i="1"/>
  <c r="BY21" i="1"/>
  <c r="BW29" i="1"/>
  <c r="BH140" i="3"/>
  <c r="BG138" i="3"/>
  <c r="AQ103" i="4"/>
  <c r="BI56" i="2"/>
  <c r="BI83" i="1"/>
  <c r="AZ76" i="2"/>
  <c r="AZ77" i="2"/>
  <c r="AZ72" i="2"/>
  <c r="BA68" i="2" s="1"/>
  <c r="BZ18" i="1"/>
  <c r="CC18" i="1" s="1"/>
  <c r="AY67" i="4"/>
  <c r="AY75" i="4"/>
  <c r="AY9" i="3"/>
  <c r="AY15" i="3" s="1"/>
  <c r="AY51" i="3" s="1"/>
  <c r="BI130" i="1"/>
  <c r="M100" i="1"/>
  <c r="BC72" i="2"/>
  <c r="BE68" i="2" s="1"/>
  <c r="BC77" i="2"/>
  <c r="BC76" i="2"/>
  <c r="CA34" i="1"/>
  <c r="BZ31" i="3"/>
  <c r="BY39" i="1"/>
  <c r="BB14" i="4"/>
  <c r="BB15" i="4" s="1"/>
  <c r="BH14" i="4"/>
  <c r="BC12" i="4"/>
  <c r="AZ30" i="4"/>
  <c r="AZ66" i="4"/>
  <c r="AZ35" i="4"/>
  <c r="AZ36" i="4" s="1"/>
  <c r="AZ22" i="4"/>
  <c r="AZ26" i="4"/>
  <c r="AZ13" i="4"/>
  <c r="AZ8" i="4"/>
  <c r="BX33" i="1"/>
  <c r="AV72" i="2"/>
  <c r="AV77" i="2"/>
  <c r="AV76" i="2"/>
  <c r="BE124" i="1"/>
  <c r="BI124" i="1" s="1"/>
  <c r="BI126" i="1" s="1"/>
  <c r="BO123" i="1" s="1"/>
  <c r="BE130" i="1"/>
  <c r="BA17" i="4"/>
  <c r="BA9" i="4"/>
  <c r="BA10" i="4" s="1"/>
  <c r="BB7" i="4"/>
  <c r="BC7" i="4" s="1"/>
  <c r="BW42" i="1"/>
  <c r="BU138" i="1"/>
  <c r="BU140" i="1" s="1"/>
  <c r="Y106" i="1"/>
  <c r="U110" i="1"/>
  <c r="Y110" i="1" s="1"/>
  <c r="U115" i="1"/>
  <c r="BS31" i="4"/>
  <c r="BY19" i="1"/>
  <c r="M49" i="2"/>
  <c r="I50" i="2"/>
  <c r="BN31" i="4"/>
  <c r="BB91" i="4"/>
  <c r="BC90" i="4"/>
  <c r="AP103" i="4"/>
  <c r="AW103" i="4"/>
  <c r="BI31" i="4"/>
  <c r="BF41" i="4" l="1"/>
  <c r="BF15" i="4"/>
  <c r="BF57" i="4"/>
  <c r="BZ9" i="1"/>
  <c r="BY181" i="1"/>
  <c r="CC34" i="1"/>
  <c r="CD34" i="1" s="1"/>
  <c r="BF32" i="4"/>
  <c r="BF65" i="4"/>
  <c r="BF45" i="4"/>
  <c r="BF49" i="4"/>
  <c r="BF61" i="4"/>
  <c r="BF53" i="4"/>
  <c r="BW31" i="4"/>
  <c r="BG69" i="4"/>
  <c r="BG15" i="4" s="1"/>
  <c r="CF159" i="1"/>
  <c r="CI159" i="1" s="1"/>
  <c r="CJ159" i="1" s="1"/>
  <c r="CK159" i="1" s="1"/>
  <c r="CL159" i="1" s="1"/>
  <c r="CO159" i="1" s="1"/>
  <c r="CP159" i="1" s="1"/>
  <c r="CQ159" i="1" s="1"/>
  <c r="CR159" i="1" s="1"/>
  <c r="BO130" i="1"/>
  <c r="U116" i="1"/>
  <c r="Y116" i="1" s="1"/>
  <c r="Y113" i="1"/>
  <c r="BX31" i="4"/>
  <c r="CD31" i="4"/>
  <c r="BY20" i="1"/>
  <c r="CD18" i="1"/>
  <c r="CC31" i="3"/>
  <c r="CF31" i="4"/>
  <c r="BY31" i="4"/>
  <c r="BX40" i="1"/>
  <c r="BZ21" i="1"/>
  <c r="CA31" i="3"/>
  <c r="BX29" i="1"/>
  <c r="BI140" i="3"/>
  <c r="BH138" i="3"/>
  <c r="BC9" i="4"/>
  <c r="BC10" i="4" s="1"/>
  <c r="BK123" i="1"/>
  <c r="BK130" i="1" s="1"/>
  <c r="BI134" i="1"/>
  <c r="BI135" i="1" s="1"/>
  <c r="BA19" i="4"/>
  <c r="BA20" i="4" s="1"/>
  <c r="BA33" i="4"/>
  <c r="AY68" i="4"/>
  <c r="AY81" i="4"/>
  <c r="AY82" i="4" s="1"/>
  <c r="M101" i="1"/>
  <c r="S94" i="1"/>
  <c r="O94" i="1"/>
  <c r="O99" i="1" s="1"/>
  <c r="S99" i="1" s="1"/>
  <c r="BZ19" i="1"/>
  <c r="CC19" i="1" s="1"/>
  <c r="CA138" i="1"/>
  <c r="CA140" i="1" s="1"/>
  <c r="BW138" i="1"/>
  <c r="BW140" i="1" s="1"/>
  <c r="BB9" i="4"/>
  <c r="BB10" i="4" s="1"/>
  <c r="BB17" i="4"/>
  <c r="BC17" i="4" s="1"/>
  <c r="BC33" i="4" s="1"/>
  <c r="BL40" i="4"/>
  <c r="BC14" i="4"/>
  <c r="BC15" i="4" s="1"/>
  <c r="BI14" i="4"/>
  <c r="BA76" i="2"/>
  <c r="BA72" i="2"/>
  <c r="BB68" i="2" s="1"/>
  <c r="BA77" i="2"/>
  <c r="BZ39" i="1"/>
  <c r="BQ182" i="1"/>
  <c r="Y111" i="1"/>
  <c r="AA106" i="1" s="1"/>
  <c r="Y115" i="1"/>
  <c r="AZ67" i="4"/>
  <c r="AZ75" i="4"/>
  <c r="AZ9" i="3"/>
  <c r="AZ15" i="3" s="1"/>
  <c r="AZ51" i="3" s="1"/>
  <c r="AY111" i="3"/>
  <c r="AY99" i="3"/>
  <c r="AY129" i="3"/>
  <c r="AY120" i="3"/>
  <c r="CA18" i="1"/>
  <c r="BW98" i="1"/>
  <c r="BX42" i="1"/>
  <c r="BY33" i="1"/>
  <c r="BL44" i="4"/>
  <c r="BZ31" i="4"/>
  <c r="BE76" i="2"/>
  <c r="BE77" i="2"/>
  <c r="BI68" i="2"/>
  <c r="BE72" i="2"/>
  <c r="BF68" i="2" s="1"/>
  <c r="AY43" i="4"/>
  <c r="AY76" i="4"/>
  <c r="AY63" i="4"/>
  <c r="AY55" i="4"/>
  <c r="AY59" i="4"/>
  <c r="AY39" i="4"/>
  <c r="AY47" i="4"/>
  <c r="AY51" i="4"/>
  <c r="AY72" i="4"/>
  <c r="AY84" i="4"/>
  <c r="AY34" i="4"/>
  <c r="I51" i="2"/>
  <c r="J49" i="2"/>
  <c r="M50" i="2"/>
  <c r="BO31" i="4"/>
  <c r="BT31" i="4"/>
  <c r="BC91" i="4"/>
  <c r="BG45" i="4" l="1"/>
  <c r="BG65" i="4"/>
  <c r="CA9" i="1"/>
  <c r="BZ181" i="1"/>
  <c r="BG41" i="4"/>
  <c r="BG57" i="4"/>
  <c r="BG53" i="4"/>
  <c r="BG74" i="4"/>
  <c r="BG32" i="4"/>
  <c r="BG49" i="4"/>
  <c r="BG61" i="4"/>
  <c r="AY77" i="4"/>
  <c r="Y117" i="1"/>
  <c r="AA113" i="1" s="1"/>
  <c r="AA116" i="1" s="1"/>
  <c r="AE116" i="1" s="1"/>
  <c r="BZ20" i="1"/>
  <c r="CD19" i="1"/>
  <c r="CC138" i="1"/>
  <c r="CC140" i="1" s="1"/>
  <c r="CG138" i="1"/>
  <c r="CG140" i="1" s="1"/>
  <c r="CE18" i="1"/>
  <c r="CE34" i="1"/>
  <c r="CE31" i="4"/>
  <c r="CD31" i="3"/>
  <c r="BY40" i="1"/>
  <c r="CA21" i="1"/>
  <c r="CC21" i="1" s="1"/>
  <c r="BY29" i="1"/>
  <c r="BK140" i="3"/>
  <c r="BI138" i="3"/>
  <c r="BC18" i="4"/>
  <c r="BC19" i="4"/>
  <c r="BC20" i="4" s="1"/>
  <c r="BB77" i="2"/>
  <c r="BB72" i="2"/>
  <c r="BB76" i="2"/>
  <c r="CA19" i="1"/>
  <c r="AY106" i="4"/>
  <c r="AY83" i="4"/>
  <c r="AZ39" i="4"/>
  <c r="AZ76" i="4"/>
  <c r="AZ72" i="4"/>
  <c r="AZ43" i="4"/>
  <c r="AZ55" i="4"/>
  <c r="AZ59" i="4"/>
  <c r="AZ51" i="4"/>
  <c r="AZ84" i="4"/>
  <c r="AZ63" i="4"/>
  <c r="BF79" i="4"/>
  <c r="AZ47" i="4"/>
  <c r="AZ34" i="4"/>
  <c r="CA39" i="1"/>
  <c r="BR182" i="1"/>
  <c r="BS138" i="1"/>
  <c r="BS140" i="1" s="1"/>
  <c r="AZ99" i="3"/>
  <c r="AZ120" i="3"/>
  <c r="AZ129" i="3"/>
  <c r="AZ111" i="3"/>
  <c r="AZ68" i="4"/>
  <c r="AZ81" i="4"/>
  <c r="AZ82" i="4" s="1"/>
  <c r="BW23" i="1"/>
  <c r="BW182" i="1" s="1"/>
  <c r="BX138" i="1"/>
  <c r="BX140" i="1" s="1"/>
  <c r="BA26" i="4"/>
  <c r="BA35" i="4"/>
  <c r="BA36" i="4" s="1"/>
  <c r="BA66" i="4"/>
  <c r="BA30" i="4"/>
  <c r="BA22" i="4"/>
  <c r="BA13" i="4"/>
  <c r="BA8" i="4"/>
  <c r="BF77" i="2"/>
  <c r="BF76" i="2"/>
  <c r="BF72" i="2"/>
  <c r="BG68" i="2" s="1"/>
  <c r="BZ33" i="1"/>
  <c r="S100" i="1"/>
  <c r="BA18" i="4"/>
  <c r="BK124" i="1"/>
  <c r="BO124" i="1" s="1"/>
  <c r="BO126" i="1" s="1"/>
  <c r="BI72" i="2"/>
  <c r="BK68" i="2" s="1"/>
  <c r="BI76" i="2"/>
  <c r="BI77" i="2"/>
  <c r="BX98" i="1"/>
  <c r="BY42" i="1"/>
  <c r="AE106" i="1"/>
  <c r="AA115" i="1"/>
  <c r="AA110" i="1"/>
  <c r="AE110" i="1" s="1"/>
  <c r="BB19" i="4"/>
  <c r="BB20" i="4" s="1"/>
  <c r="BB33" i="4"/>
  <c r="M51" i="2"/>
  <c r="O49" i="2"/>
  <c r="J50" i="2"/>
  <c r="BU31" i="4"/>
  <c r="CA31" i="4"/>
  <c r="CI138" i="1" l="1"/>
  <c r="CI140" i="1" s="1"/>
  <c r="CM138" i="1"/>
  <c r="CM140" i="1" s="1"/>
  <c r="BO134" i="1"/>
  <c r="BO135" i="1" s="1"/>
  <c r="BQ123" i="1"/>
  <c r="CC9" i="1"/>
  <c r="CA181" i="1"/>
  <c r="BF75" i="3"/>
  <c r="AY78" i="4"/>
  <c r="AY73" i="3"/>
  <c r="AY74" i="3" s="1"/>
  <c r="AZ77" i="4"/>
  <c r="AE113" i="1"/>
  <c r="AE117" i="1" s="1"/>
  <c r="AG113" i="1" s="1"/>
  <c r="BC30" i="4"/>
  <c r="CA20" i="1"/>
  <c r="CC39" i="1"/>
  <c r="CD21" i="1"/>
  <c r="CF18" i="1"/>
  <c r="CI18" i="1" s="1"/>
  <c r="CJ18" i="1" s="1"/>
  <c r="CK18" i="1" s="1"/>
  <c r="CL18" i="1" s="1"/>
  <c r="CD138" i="1"/>
  <c r="CD140" i="1" s="1"/>
  <c r="CC23" i="1"/>
  <c r="CC182" i="1" s="1"/>
  <c r="CF34" i="1"/>
  <c r="CE19" i="1"/>
  <c r="CG31" i="4"/>
  <c r="CE31" i="3"/>
  <c r="BZ40" i="1"/>
  <c r="BK138" i="3"/>
  <c r="BL140" i="3"/>
  <c r="BZ29" i="1"/>
  <c r="BC13" i="4"/>
  <c r="BC22" i="4"/>
  <c r="BC8" i="4"/>
  <c r="BC35" i="4"/>
  <c r="BC36" i="4" s="1"/>
  <c r="BC66" i="4"/>
  <c r="Y94" i="1"/>
  <c r="U94" i="1"/>
  <c r="U99" i="1" s="1"/>
  <c r="Y99" i="1" s="1"/>
  <c r="S101" i="1"/>
  <c r="BU123" i="1"/>
  <c r="BB18" i="4"/>
  <c r="BB66" i="4"/>
  <c r="BB8" i="4"/>
  <c r="BB13" i="4"/>
  <c r="BB30" i="4"/>
  <c r="BB22" i="4"/>
  <c r="BB35" i="4"/>
  <c r="BB36" i="4" s="1"/>
  <c r="BB26" i="4"/>
  <c r="CA33" i="1"/>
  <c r="BK72" i="2"/>
  <c r="BL68" i="2" s="1"/>
  <c r="BK76" i="2"/>
  <c r="BO68" i="2"/>
  <c r="BK77" i="2"/>
  <c r="BY138" i="1"/>
  <c r="BY140" i="1" s="1"/>
  <c r="BX23" i="1"/>
  <c r="BX182" i="1" s="1"/>
  <c r="BT138" i="1"/>
  <c r="BT140" i="1" s="1"/>
  <c r="BT23" i="1" s="1"/>
  <c r="BT182" i="1" s="1"/>
  <c r="BS23" i="1"/>
  <c r="BS182" i="1" s="1"/>
  <c r="AY102" i="4"/>
  <c r="AY103" i="4" s="1"/>
  <c r="AY107" i="4"/>
  <c r="AE115" i="1"/>
  <c r="AE111" i="1"/>
  <c r="BY98" i="1"/>
  <c r="BZ42" i="1"/>
  <c r="BO38" i="4"/>
  <c r="BA75" i="4"/>
  <c r="BA9" i="3"/>
  <c r="BA15" i="3" s="1"/>
  <c r="BA51" i="3" s="1"/>
  <c r="BA67" i="4"/>
  <c r="AZ83" i="4"/>
  <c r="AZ106" i="4"/>
  <c r="BG77" i="2"/>
  <c r="BG76" i="2"/>
  <c r="BG72" i="2"/>
  <c r="BH68" i="2" s="1"/>
  <c r="S49" i="2"/>
  <c r="O50" i="2"/>
  <c r="J51" i="2"/>
  <c r="K49" i="2"/>
  <c r="CS138" i="1" l="1"/>
  <c r="CS140" i="1" s="1"/>
  <c r="CO138" i="1"/>
  <c r="CO140" i="1" s="1"/>
  <c r="CO18" i="1"/>
  <c r="CP18" i="1" s="1"/>
  <c r="CQ18" i="1" s="1"/>
  <c r="CR18" i="1" s="1"/>
  <c r="CS18" i="1" s="1"/>
  <c r="CM18" i="1"/>
  <c r="CJ138" i="1"/>
  <c r="CJ140" i="1" s="1"/>
  <c r="CI23" i="1"/>
  <c r="CI182" i="1" s="1"/>
  <c r="BQ130" i="1"/>
  <c r="BS130" i="1" s="1"/>
  <c r="BT130" i="1" s="1"/>
  <c r="BW130" i="1" s="1"/>
  <c r="BX130" i="1" s="1"/>
  <c r="BY130" i="1" s="1"/>
  <c r="BZ130" i="1" s="1"/>
  <c r="CC130" i="1" s="1"/>
  <c r="CD130" i="1" s="1"/>
  <c r="CE130" i="1" s="1"/>
  <c r="CF130" i="1" s="1"/>
  <c r="CI130" i="1" s="1"/>
  <c r="CJ130" i="1" s="1"/>
  <c r="CK130" i="1" s="1"/>
  <c r="CL130" i="1" s="1"/>
  <c r="CO130" i="1" s="1"/>
  <c r="CP130" i="1" s="1"/>
  <c r="CQ130" i="1" s="1"/>
  <c r="CR130" i="1" s="1"/>
  <c r="BQ124" i="1"/>
  <c r="BU124" i="1" s="1"/>
  <c r="BU126" i="1" s="1"/>
  <c r="AZ73" i="3"/>
  <c r="AZ76" i="3" s="1"/>
  <c r="CC33" i="1"/>
  <c r="CC181" i="1"/>
  <c r="CD9" i="1"/>
  <c r="AZ78" i="4"/>
  <c r="AY76" i="3"/>
  <c r="AG116" i="1"/>
  <c r="AK116" i="1" s="1"/>
  <c r="AK113" i="1"/>
  <c r="BL138" i="3"/>
  <c r="BM140" i="3"/>
  <c r="CC20" i="1"/>
  <c r="CF19" i="1"/>
  <c r="CI19" i="1" s="1"/>
  <c r="CJ19" i="1" s="1"/>
  <c r="CK19" i="1" s="1"/>
  <c r="CL19" i="1" s="1"/>
  <c r="CG34" i="1"/>
  <c r="CI34" i="1" s="1"/>
  <c r="CG18" i="1"/>
  <c r="CD39" i="1"/>
  <c r="CE138" i="1"/>
  <c r="CE140" i="1" s="1"/>
  <c r="CD23" i="1"/>
  <c r="CD182" i="1" s="1"/>
  <c r="CE21" i="1"/>
  <c r="CF31" i="3"/>
  <c r="CI31" i="3" s="1"/>
  <c r="BL72" i="2"/>
  <c r="BM68" i="2" s="1"/>
  <c r="BL76" i="2"/>
  <c r="BL77" i="2"/>
  <c r="CA40" i="1"/>
  <c r="CA29" i="1"/>
  <c r="BC75" i="4"/>
  <c r="BC67" i="4"/>
  <c r="BC81" i="4" s="1"/>
  <c r="BC82" i="4" s="1"/>
  <c r="Y100" i="1"/>
  <c r="AE94" i="1" s="1"/>
  <c r="BA120" i="3"/>
  <c r="BA111" i="3"/>
  <c r="BA99" i="3"/>
  <c r="BA129" i="3"/>
  <c r="BA55" i="4"/>
  <c r="BA39" i="4"/>
  <c r="BA72" i="4"/>
  <c r="BA47" i="4"/>
  <c r="BA63" i="4"/>
  <c r="BA84" i="4"/>
  <c r="BA43" i="4"/>
  <c r="BA59" i="4"/>
  <c r="BA76" i="4"/>
  <c r="BA51" i="4"/>
  <c r="BA34" i="4"/>
  <c r="BU23" i="1"/>
  <c r="BH23" i="4"/>
  <c r="AG106" i="1"/>
  <c r="AE119" i="1"/>
  <c r="AE120" i="1" s="1"/>
  <c r="BB9" i="3"/>
  <c r="BB75" i="4"/>
  <c r="BB67" i="4"/>
  <c r="BA81" i="4"/>
  <c r="BA82" i="4" s="1"/>
  <c r="BA68" i="4"/>
  <c r="BO40" i="4"/>
  <c r="CA42" i="1"/>
  <c r="CC42" i="1" s="1"/>
  <c r="BZ98" i="1"/>
  <c r="CA98" i="1" s="1"/>
  <c r="AZ102" i="4"/>
  <c r="AZ103" i="4" s="1"/>
  <c r="AZ107" i="4"/>
  <c r="BY23" i="1"/>
  <c r="BY182" i="1" s="1"/>
  <c r="BZ138" i="1"/>
  <c r="BZ140" i="1" s="1"/>
  <c r="BZ23" i="1" s="1"/>
  <c r="BZ182" i="1" s="1"/>
  <c r="BH72" i="2"/>
  <c r="BH76" i="2"/>
  <c r="BH77" i="2"/>
  <c r="K50" i="2"/>
  <c r="O51" i="2"/>
  <c r="P49" i="2"/>
  <c r="S50" i="2"/>
  <c r="CM19" i="1" l="1"/>
  <c r="CO19" i="1"/>
  <c r="CP19" i="1" s="1"/>
  <c r="CQ19" i="1" s="1"/>
  <c r="CR19" i="1" s="1"/>
  <c r="CS19" i="1" s="1"/>
  <c r="CO23" i="1"/>
  <c r="CO182" i="1" s="1"/>
  <c r="CP138" i="1"/>
  <c r="CP140" i="1" s="1"/>
  <c r="CJ34" i="1"/>
  <c r="CK138" i="1"/>
  <c r="CK140" i="1" s="1"/>
  <c r="CJ23" i="1"/>
  <c r="CJ182" i="1" s="1"/>
  <c r="CJ31" i="3"/>
  <c r="CI33" i="3"/>
  <c r="AZ74" i="3"/>
  <c r="BW123" i="1"/>
  <c r="BW129" i="1" s="1"/>
  <c r="CA123" i="1"/>
  <c r="CA126" i="1" s="1"/>
  <c r="CG123" i="1" s="1"/>
  <c r="CG126" i="1" s="1"/>
  <c r="CD33" i="1"/>
  <c r="CC29" i="1"/>
  <c r="CD29" i="1" s="1"/>
  <c r="BU182" i="1"/>
  <c r="CD181" i="1"/>
  <c r="CE9" i="1"/>
  <c r="BC76" i="4"/>
  <c r="BA77" i="4"/>
  <c r="AK117" i="1"/>
  <c r="AM113" i="1" s="1"/>
  <c r="AQ113" i="1" s="1"/>
  <c r="BM138" i="3"/>
  <c r="BN140" i="3"/>
  <c r="BM72" i="2"/>
  <c r="BM76" i="2"/>
  <c r="BM77" i="2"/>
  <c r="BC55" i="4"/>
  <c r="CD20" i="1"/>
  <c r="CC40" i="1"/>
  <c r="CE39" i="1"/>
  <c r="CC98" i="1"/>
  <c r="CD42" i="1"/>
  <c r="CF21" i="1"/>
  <c r="CF138" i="1"/>
  <c r="CF140" i="1" s="1"/>
  <c r="CF23" i="1" s="1"/>
  <c r="CF182" i="1" s="1"/>
  <c r="CE23" i="1"/>
  <c r="CE182" i="1" s="1"/>
  <c r="CG19" i="1"/>
  <c r="CG31" i="3"/>
  <c r="BC34" i="4"/>
  <c r="BC72" i="4"/>
  <c r="BC43" i="4"/>
  <c r="BC51" i="4"/>
  <c r="BC59" i="4"/>
  <c r="BC39" i="4"/>
  <c r="BC68" i="4"/>
  <c r="BC47" i="4"/>
  <c r="BC84" i="4"/>
  <c r="BC63" i="4"/>
  <c r="Y101" i="1"/>
  <c r="AA94" i="1"/>
  <c r="AA99" i="1" s="1"/>
  <c r="AE99" i="1" s="1"/>
  <c r="AE100" i="1" s="1"/>
  <c r="BC9" i="3"/>
  <c r="BC15" i="3" s="1"/>
  <c r="BC51" i="3" s="1"/>
  <c r="BB15" i="3"/>
  <c r="BB51" i="3" s="1"/>
  <c r="BA83" i="4"/>
  <c r="BA106" i="4"/>
  <c r="AK106" i="1"/>
  <c r="AG110" i="1"/>
  <c r="AK110" i="1" s="1"/>
  <c r="AG115" i="1"/>
  <c r="BB63" i="4"/>
  <c r="BB47" i="4"/>
  <c r="BB84" i="4"/>
  <c r="BB34" i="4"/>
  <c r="BB55" i="4"/>
  <c r="BB43" i="4"/>
  <c r="BB72" i="4"/>
  <c r="BB39" i="4"/>
  <c r="BB59" i="4"/>
  <c r="BH79" i="4"/>
  <c r="BB51" i="4"/>
  <c r="BB76" i="4"/>
  <c r="BB8" i="3"/>
  <c r="BB162" i="1" s="1"/>
  <c r="CA23" i="1"/>
  <c r="BB68" i="4"/>
  <c r="BB81" i="4"/>
  <c r="BB82" i="4" s="1"/>
  <c r="BB83" i="4" s="1"/>
  <c r="P50" i="2"/>
  <c r="S51" i="2"/>
  <c r="U49" i="2"/>
  <c r="K51" i="2"/>
  <c r="L49" i="2"/>
  <c r="BC83" i="4"/>
  <c r="CL138" i="1" l="1"/>
  <c r="CL140" i="1" s="1"/>
  <c r="CL23" i="1" s="1"/>
  <c r="CK23" i="1"/>
  <c r="CK182" i="1" s="1"/>
  <c r="CQ138" i="1"/>
  <c r="CQ140" i="1" s="1"/>
  <c r="CP23" i="1"/>
  <c r="CP182" i="1" s="1"/>
  <c r="CK34" i="1"/>
  <c r="CM123" i="1"/>
  <c r="CM126" i="1" s="1"/>
  <c r="CI123" i="1"/>
  <c r="CK31" i="3"/>
  <c r="CJ33" i="3"/>
  <c r="CC123" i="1"/>
  <c r="CC129" i="1" s="1"/>
  <c r="BW126" i="1"/>
  <c r="BX123" i="1" s="1"/>
  <c r="BA73" i="3"/>
  <c r="BA74" i="3" s="1"/>
  <c r="CE33" i="1"/>
  <c r="CA182" i="1"/>
  <c r="CE181" i="1"/>
  <c r="CF9" i="1"/>
  <c r="AM116" i="1"/>
  <c r="AQ116" i="1" s="1"/>
  <c r="AQ117" i="1" s="1"/>
  <c r="AS113" i="1" s="1"/>
  <c r="AW113" i="1" s="1"/>
  <c r="BH75" i="3"/>
  <c r="BA78" i="4"/>
  <c r="BB77" i="4"/>
  <c r="BB78" i="4" s="1"/>
  <c r="BO140" i="3"/>
  <c r="BN138" i="3"/>
  <c r="CE20" i="1"/>
  <c r="CG21" i="1"/>
  <c r="CI21" i="1" s="1"/>
  <c r="CJ21" i="1" s="1"/>
  <c r="CK21" i="1" s="1"/>
  <c r="CL21" i="1" s="1"/>
  <c r="CM21" i="1" s="1"/>
  <c r="CO21" i="1" s="1"/>
  <c r="CP21" i="1" s="1"/>
  <c r="CQ21" i="1" s="1"/>
  <c r="CR21" i="1" s="1"/>
  <c r="CS21" i="1" s="1"/>
  <c r="CE29" i="1"/>
  <c r="CF39" i="1"/>
  <c r="CD40" i="1"/>
  <c r="CG23" i="1"/>
  <c r="CD98" i="1"/>
  <c r="CE42" i="1"/>
  <c r="BB64" i="3"/>
  <c r="BG23" i="4"/>
  <c r="BG24" i="4" s="1"/>
  <c r="BU38" i="4"/>
  <c r="AK111" i="1"/>
  <c r="AK115" i="1"/>
  <c r="BB91" i="1"/>
  <c r="BB72" i="3"/>
  <c r="BB74" i="1"/>
  <c r="BB77" i="1" s="1"/>
  <c r="BB49" i="3"/>
  <c r="BC8" i="3"/>
  <c r="BB54" i="3"/>
  <c r="BB53" i="3"/>
  <c r="BB108" i="1"/>
  <c r="BB88" i="1"/>
  <c r="BB59" i="3"/>
  <c r="BB14" i="3"/>
  <c r="BB90" i="1"/>
  <c r="BS40" i="4"/>
  <c r="BB111" i="3"/>
  <c r="BB120" i="3"/>
  <c r="BB129" i="3"/>
  <c r="BB99" i="3"/>
  <c r="BW102" i="2"/>
  <c r="BA107" i="4"/>
  <c r="BA102" i="4"/>
  <c r="BA103" i="4" s="1"/>
  <c r="BC129" i="3"/>
  <c r="BC111" i="3"/>
  <c r="BC99" i="3"/>
  <c r="BC120" i="3"/>
  <c r="BF23" i="4"/>
  <c r="AG94" i="1"/>
  <c r="AG99" i="1" s="1"/>
  <c r="AK99" i="1" s="1"/>
  <c r="AE101" i="1"/>
  <c r="AK94" i="1"/>
  <c r="L50" i="2"/>
  <c r="Y49" i="2"/>
  <c r="U50" i="2"/>
  <c r="Q49" i="2"/>
  <c r="P51" i="2"/>
  <c r="CS123" i="1" l="1"/>
  <c r="CS126" i="1" s="1"/>
  <c r="CO123" i="1"/>
  <c r="CL34" i="1"/>
  <c r="CL182" i="1"/>
  <c r="CM23" i="1"/>
  <c r="CM182" i="1" s="1"/>
  <c r="CI126" i="1"/>
  <c r="CI129" i="1"/>
  <c r="CR138" i="1"/>
  <c r="CR140" i="1" s="1"/>
  <c r="CR23" i="1" s="1"/>
  <c r="CQ23" i="1"/>
  <c r="CQ182" i="1" s="1"/>
  <c r="CC126" i="1"/>
  <c r="CD123" i="1" s="1"/>
  <c r="CL31" i="3"/>
  <c r="CK33" i="3"/>
  <c r="CF33" i="1"/>
  <c r="BA76" i="3"/>
  <c r="BC162" i="1"/>
  <c r="CF181" i="1"/>
  <c r="CG9" i="1"/>
  <c r="CI9" i="1" s="1"/>
  <c r="CG182" i="1"/>
  <c r="AS116" i="1"/>
  <c r="AW116" i="1" s="1"/>
  <c r="AW117" i="1" s="1"/>
  <c r="AY113" i="1" s="1"/>
  <c r="BC113" i="1" s="1"/>
  <c r="BO138" i="3"/>
  <c r="BQ140" i="3"/>
  <c r="BB73" i="3"/>
  <c r="BB74" i="3" s="1"/>
  <c r="BC78" i="4"/>
  <c r="BC77" i="4"/>
  <c r="BN23" i="4"/>
  <c r="BT23" i="4"/>
  <c r="CF20" i="1"/>
  <c r="CC102" i="2"/>
  <c r="CF29" i="1"/>
  <c r="CF42" i="1"/>
  <c r="CE98" i="1"/>
  <c r="CE40" i="1"/>
  <c r="CG39" i="1"/>
  <c r="BC64" i="3"/>
  <c r="AK100" i="1"/>
  <c r="AK101" i="1" s="1"/>
  <c r="BE23" i="4"/>
  <c r="BE24" i="4" s="1"/>
  <c r="BZ23" i="4"/>
  <c r="BU40" i="4"/>
  <c r="BB96" i="3"/>
  <c r="BB123" i="3"/>
  <c r="BC123" i="3" s="1"/>
  <c r="BB132" i="3"/>
  <c r="BC132" i="3" s="1"/>
  <c r="BB114" i="3"/>
  <c r="BB102" i="3" s="1"/>
  <c r="BB56" i="3"/>
  <c r="AM106" i="1"/>
  <c r="AK119" i="1"/>
  <c r="AK120" i="1" s="1"/>
  <c r="BX129" i="1"/>
  <c r="BX126" i="1"/>
  <c r="BB124" i="3"/>
  <c r="BC124" i="3" s="1"/>
  <c r="BB115" i="3"/>
  <c r="BB103" i="3" s="1"/>
  <c r="BB57" i="3"/>
  <c r="BB133" i="3"/>
  <c r="BC133" i="3" s="1"/>
  <c r="BT40" i="4"/>
  <c r="BB60" i="3"/>
  <c r="BB78" i="3"/>
  <c r="BB24" i="3"/>
  <c r="BB163" i="1" s="1"/>
  <c r="BB50" i="3"/>
  <c r="BS123" i="1"/>
  <c r="BC54" i="3"/>
  <c r="BC74" i="1"/>
  <c r="BC77" i="1" s="1"/>
  <c r="BC53" i="3"/>
  <c r="BC72" i="3"/>
  <c r="BC59" i="3"/>
  <c r="BC49" i="3"/>
  <c r="BC14" i="3"/>
  <c r="F12" i="10"/>
  <c r="BC108" i="1"/>
  <c r="BC88" i="1"/>
  <c r="BC91" i="1"/>
  <c r="BS128" i="1"/>
  <c r="BN68" i="2"/>
  <c r="L51" i="2"/>
  <c r="Q50" i="2"/>
  <c r="V49" i="2"/>
  <c r="U51" i="2"/>
  <c r="Y50" i="2"/>
  <c r="CI39" i="1" l="1"/>
  <c r="CM34" i="1"/>
  <c r="CO129" i="1"/>
  <c r="CO126" i="1"/>
  <c r="CR182" i="1"/>
  <c r="CS23" i="1"/>
  <c r="CS182" i="1" s="1"/>
  <c r="CI181" i="1"/>
  <c r="CJ9" i="1"/>
  <c r="CI102" i="2"/>
  <c r="CJ123" i="1"/>
  <c r="CG33" i="1"/>
  <c r="CI33" i="1" s="1"/>
  <c r="CO31" i="3"/>
  <c r="CL33" i="3"/>
  <c r="CM31" i="3"/>
  <c r="CM33" i="3" s="1"/>
  <c r="BQ138" i="3"/>
  <c r="BR140" i="3"/>
  <c r="BR138" i="3" s="1"/>
  <c r="BS138" i="3" s="1"/>
  <c r="BT138" i="3" s="1"/>
  <c r="BU138" i="3" s="1"/>
  <c r="BW138" i="3" s="1"/>
  <c r="BX138" i="3" s="1"/>
  <c r="BY138" i="3" s="1"/>
  <c r="BZ138" i="3" s="1"/>
  <c r="CA138" i="3" s="1"/>
  <c r="CC138" i="3" s="1"/>
  <c r="CD138" i="3" s="1"/>
  <c r="CE138" i="3" s="1"/>
  <c r="CF138" i="3" s="1"/>
  <c r="CG138" i="3" s="1"/>
  <c r="CG181" i="1"/>
  <c r="AY116" i="1"/>
  <c r="BC116" i="1" s="1"/>
  <c r="BC117" i="1" s="1"/>
  <c r="BE113" i="1" s="1"/>
  <c r="BC73" i="3"/>
  <c r="BB76" i="3"/>
  <c r="BC74" i="3"/>
  <c r="BB22" i="3"/>
  <c r="BN77" i="2"/>
  <c r="BN76" i="2"/>
  <c r="BS23" i="4"/>
  <c r="BM23" i="4"/>
  <c r="CG20" i="1"/>
  <c r="CI20" i="1" s="1"/>
  <c r="CJ20" i="1" s="1"/>
  <c r="CK20" i="1" s="1"/>
  <c r="CL20" i="1" s="1"/>
  <c r="CM20" i="1" s="1"/>
  <c r="CO20" i="1" s="1"/>
  <c r="CP20" i="1" s="1"/>
  <c r="CQ20" i="1" s="1"/>
  <c r="CR20" i="1" s="1"/>
  <c r="CS20" i="1" s="1"/>
  <c r="CF40" i="1"/>
  <c r="CG29" i="1"/>
  <c r="CI29" i="1" s="1"/>
  <c r="CD126" i="1"/>
  <c r="CD129" i="1"/>
  <c r="CF98" i="1"/>
  <c r="CG98" i="1" s="1"/>
  <c r="CG42" i="1"/>
  <c r="CI42" i="1" s="1"/>
  <c r="AQ94" i="1"/>
  <c r="AM94" i="1"/>
  <c r="AM99" i="1" s="1"/>
  <c r="AQ99" i="1" s="1"/>
  <c r="BY23" i="4"/>
  <c r="BL23" i="4"/>
  <c r="BK23" i="4"/>
  <c r="BC57" i="3"/>
  <c r="BC115" i="3"/>
  <c r="BC103" i="3" s="1"/>
  <c r="AM110" i="1"/>
  <c r="AQ110" i="1" s="1"/>
  <c r="AM115" i="1"/>
  <c r="AQ106" i="1"/>
  <c r="F13" i="10"/>
  <c r="F24" i="10"/>
  <c r="F28" i="10"/>
  <c r="F26" i="10"/>
  <c r="BW40" i="4"/>
  <c r="BY123" i="1"/>
  <c r="BC96" i="3"/>
  <c r="BO71" i="2"/>
  <c r="BO77" i="2" s="1"/>
  <c r="BC114" i="3"/>
  <c r="BC102" i="3" s="1"/>
  <c r="BC56" i="3"/>
  <c r="BS129" i="1"/>
  <c r="BS126" i="1"/>
  <c r="BC60" i="3"/>
  <c r="BC50" i="3"/>
  <c r="BC24" i="3"/>
  <c r="BC78" i="3"/>
  <c r="BB119" i="3"/>
  <c r="BB128" i="3"/>
  <c r="BB55" i="3"/>
  <c r="BB98" i="3"/>
  <c r="BB105" i="3" s="1"/>
  <c r="BB110" i="3"/>
  <c r="BB67" i="3"/>
  <c r="BB63" i="3"/>
  <c r="BB84" i="3"/>
  <c r="BB66" i="3"/>
  <c r="BB35" i="3"/>
  <c r="BX102" i="2"/>
  <c r="BB97" i="4"/>
  <c r="BC100" i="4"/>
  <c r="R49" i="2"/>
  <c r="Q51" i="2"/>
  <c r="V50" i="2"/>
  <c r="Y51" i="2"/>
  <c r="AA49" i="2"/>
  <c r="BI23" i="4"/>
  <c r="CJ29" i="1" l="1"/>
  <c r="CJ33" i="1"/>
  <c r="CO34" i="1"/>
  <c r="CP123" i="1"/>
  <c r="CJ42" i="1"/>
  <c r="CI98" i="1"/>
  <c r="CO102" i="2"/>
  <c r="CJ39" i="1"/>
  <c r="CJ181" i="1"/>
  <c r="CK9" i="1"/>
  <c r="CJ126" i="1"/>
  <c r="CJ129" i="1"/>
  <c r="CM38" i="4"/>
  <c r="CO33" i="3"/>
  <c r="CP31" i="3"/>
  <c r="BC76" i="3"/>
  <c r="BC163" i="1"/>
  <c r="BC65" i="3"/>
  <c r="BC22" i="3"/>
  <c r="CE123" i="1"/>
  <c r="CG40" i="1"/>
  <c r="CD102" i="2"/>
  <c r="CF23" i="4"/>
  <c r="BE116" i="1"/>
  <c r="BI116" i="1" s="1"/>
  <c r="BI113" i="1"/>
  <c r="AQ100" i="1"/>
  <c r="AW94" i="1" s="1"/>
  <c r="BY129" i="1"/>
  <c r="BY126" i="1"/>
  <c r="BT123" i="1"/>
  <c r="BH69" i="4"/>
  <c r="BI80" i="4"/>
  <c r="BL44" i="2"/>
  <c r="BB38" i="3"/>
  <c r="BB36" i="3"/>
  <c r="BB68" i="3"/>
  <c r="BS102" i="2"/>
  <c r="BB106" i="3"/>
  <c r="BB58" i="3"/>
  <c r="BC119" i="3"/>
  <c r="BC110" i="3"/>
  <c r="BC55" i="3"/>
  <c r="BC98" i="3"/>
  <c r="BC105" i="3" s="1"/>
  <c r="BC128" i="3"/>
  <c r="BO70" i="2"/>
  <c r="BO76" i="2" s="1"/>
  <c r="BN72" i="2"/>
  <c r="BC63" i="3"/>
  <c r="F14" i="10"/>
  <c r="BC67" i="3"/>
  <c r="BC66" i="3"/>
  <c r="BC84" i="3"/>
  <c r="BC35" i="3"/>
  <c r="AQ111" i="1"/>
  <c r="AQ115" i="1"/>
  <c r="BX40" i="4"/>
  <c r="BS132" i="1"/>
  <c r="BT128" i="1" s="1"/>
  <c r="BB64" i="1"/>
  <c r="M18" i="72"/>
  <c r="M16" i="72" s="1"/>
  <c r="BC97" i="4"/>
  <c r="BB104" i="4"/>
  <c r="AA50" i="2"/>
  <c r="AE49" i="2"/>
  <c r="R50" i="2"/>
  <c r="V51" i="2"/>
  <c r="W49" i="2"/>
  <c r="BO23" i="4"/>
  <c r="CP34" i="1" l="1"/>
  <c r="CK123" i="1"/>
  <c r="CJ98" i="1"/>
  <c r="CK42" i="1"/>
  <c r="CJ102" i="2"/>
  <c r="CK181" i="1"/>
  <c r="CL9" i="1"/>
  <c r="CP129" i="1"/>
  <c r="CP102" i="2" s="1"/>
  <c r="CP126" i="1"/>
  <c r="CI40" i="1"/>
  <c r="CK33" i="1"/>
  <c r="CK39" i="1"/>
  <c r="CK29" i="1"/>
  <c r="CP40" i="4"/>
  <c r="CP41" i="4" s="1"/>
  <c r="CP33" i="3"/>
  <c r="CQ31" i="3"/>
  <c r="BW23" i="4"/>
  <c r="BX23" i="4"/>
  <c r="BR23" i="4"/>
  <c r="BQ23" i="4"/>
  <c r="BB164" i="1"/>
  <c r="BB165" i="1" s="1"/>
  <c r="BB166" i="1" s="1"/>
  <c r="BI69" i="4"/>
  <c r="BI41" i="4" s="1"/>
  <c r="CE129" i="1"/>
  <c r="CE126" i="1"/>
  <c r="CE23" i="4"/>
  <c r="BI117" i="1"/>
  <c r="BK113" i="1" s="1"/>
  <c r="BO113" i="1" s="1"/>
  <c r="AQ101" i="1"/>
  <c r="AS94" i="1"/>
  <c r="AS99" i="1" s="1"/>
  <c r="AW99" i="1" s="1"/>
  <c r="AW100" i="1" s="1"/>
  <c r="N16" i="72"/>
  <c r="N17" i="72" s="1"/>
  <c r="M17" i="72"/>
  <c r="CA38" i="4"/>
  <c r="BZ123" i="1"/>
  <c r="BB69" i="3"/>
  <c r="BB85" i="3"/>
  <c r="BB46" i="3"/>
  <c r="BB58" i="1"/>
  <c r="BB57" i="1"/>
  <c r="BB143" i="3"/>
  <c r="BB91" i="3"/>
  <c r="BH41" i="4"/>
  <c r="BH32" i="4"/>
  <c r="BH61" i="4"/>
  <c r="BH45" i="4"/>
  <c r="BH49" i="4"/>
  <c r="BH65" i="4"/>
  <c r="BH15" i="4"/>
  <c r="BH53" i="4"/>
  <c r="BH57" i="4"/>
  <c r="BH24" i="4"/>
  <c r="BH74" i="4"/>
  <c r="BC38" i="3"/>
  <c r="BC68" i="3"/>
  <c r="BC36" i="3"/>
  <c r="BC164" i="1" s="1"/>
  <c r="BC165" i="1" s="1"/>
  <c r="BC166" i="1" s="1"/>
  <c r="BO72" i="2"/>
  <c r="BQ68" i="2" s="1"/>
  <c r="BT129" i="1"/>
  <c r="BT126" i="1"/>
  <c r="M19" i="72"/>
  <c r="N19" i="72" s="1"/>
  <c r="BC58" i="3"/>
  <c r="BC106" i="3"/>
  <c r="BY102" i="2"/>
  <c r="BB98" i="4"/>
  <c r="BB99" i="4" s="1"/>
  <c r="BC104" i="4"/>
  <c r="BB105" i="4"/>
  <c r="BB106" i="4"/>
  <c r="AQ119" i="1"/>
  <c r="AQ120" i="1" s="1"/>
  <c r="AS106" i="1"/>
  <c r="BY40" i="4"/>
  <c r="BS134" i="1"/>
  <c r="BS22" i="1" s="1"/>
  <c r="BO80" i="2"/>
  <c r="BC64" i="1"/>
  <c r="BZ40" i="4"/>
  <c r="BM44" i="2"/>
  <c r="F16" i="10"/>
  <c r="F15" i="10"/>
  <c r="W50" i="2"/>
  <c r="R51" i="2"/>
  <c r="AA51" i="2"/>
  <c r="AB49" i="2"/>
  <c r="AE50" i="2"/>
  <c r="CL181" i="1" l="1"/>
  <c r="CM9" i="1"/>
  <c r="CL29" i="1"/>
  <c r="CL39" i="1"/>
  <c r="CL33" i="1"/>
  <c r="CK98" i="1"/>
  <c r="CL42" i="1"/>
  <c r="CQ123" i="1"/>
  <c r="CK126" i="1"/>
  <c r="CK129" i="1"/>
  <c r="CJ40" i="1"/>
  <c r="CQ34" i="1"/>
  <c r="CK102" i="2"/>
  <c r="CQ40" i="4"/>
  <c r="CQ41" i="4" s="1"/>
  <c r="CO40" i="4"/>
  <c r="CO41" i="4" s="1"/>
  <c r="CR31" i="3"/>
  <c r="CQ33" i="3"/>
  <c r="CA40" i="4"/>
  <c r="BU23" i="4"/>
  <c r="BI53" i="4"/>
  <c r="BQ76" i="2"/>
  <c r="BQ77" i="2"/>
  <c r="BI15" i="4"/>
  <c r="BI61" i="4"/>
  <c r="BI65" i="4"/>
  <c r="BI32" i="4"/>
  <c r="BI45" i="4"/>
  <c r="BC167" i="1"/>
  <c r="BC186" i="1"/>
  <c r="BC187" i="1"/>
  <c r="BC59" i="1" s="1"/>
  <c r="BB167" i="1"/>
  <c r="BB187" i="1"/>
  <c r="BB59" i="1" s="1"/>
  <c r="BB186" i="1"/>
  <c r="BI24" i="4"/>
  <c r="BI49" i="4"/>
  <c r="BI57" i="4"/>
  <c r="BI74" i="4"/>
  <c r="CF123" i="1"/>
  <c r="CE102" i="2"/>
  <c r="CI40" i="4"/>
  <c r="CI41" i="4" s="1"/>
  <c r="CC23" i="4"/>
  <c r="CD23" i="4"/>
  <c r="BK116" i="1"/>
  <c r="BO116" i="1" s="1"/>
  <c r="BO117" i="1" s="1"/>
  <c r="BQ113" i="1" s="1"/>
  <c r="BQ116" i="1" s="1"/>
  <c r="BO44" i="3"/>
  <c r="AW101" i="1"/>
  <c r="AY94" i="1"/>
  <c r="AY99" i="1" s="1"/>
  <c r="BC94" i="1"/>
  <c r="BB86" i="3"/>
  <c r="BB64" i="2"/>
  <c r="BT102" i="2"/>
  <c r="BU129" i="1"/>
  <c r="BT132" i="1"/>
  <c r="BT134" i="1" s="1"/>
  <c r="BT22" i="1" s="1"/>
  <c r="BZ129" i="1"/>
  <c r="BZ126" i="1"/>
  <c r="BU68" i="2"/>
  <c r="BO40" i="2"/>
  <c r="BO45" i="3"/>
  <c r="F20" i="10"/>
  <c r="F19" i="10" s="1"/>
  <c r="F21" i="10" s="1"/>
  <c r="F29" i="10" s="1"/>
  <c r="BS135" i="1"/>
  <c r="AW106" i="1"/>
  <c r="AS110" i="1"/>
  <c r="AW110" i="1" s="1"/>
  <c r="AS115" i="1"/>
  <c r="BC57" i="1"/>
  <c r="BC69" i="3"/>
  <c r="BC143" i="3"/>
  <c r="BC46" i="3"/>
  <c r="BC91" i="3"/>
  <c r="BC85" i="3"/>
  <c r="BC58" i="1"/>
  <c r="BO42" i="3"/>
  <c r="BC105" i="4"/>
  <c r="BC98" i="4"/>
  <c r="BC99" i="4" s="1"/>
  <c r="BC106" i="4"/>
  <c r="BB102" i="4"/>
  <c r="BB103" i="4" s="1"/>
  <c r="BB107" i="4"/>
  <c r="BB40" i="3"/>
  <c r="BB96" i="1"/>
  <c r="BB99" i="1" s="1"/>
  <c r="BB92" i="3"/>
  <c r="AB50" i="2"/>
  <c r="AG49" i="2"/>
  <c r="AE51" i="2"/>
  <c r="W51" i="2"/>
  <c r="X49" i="2"/>
  <c r="CK40" i="1" l="1"/>
  <c r="CQ126" i="1"/>
  <c r="CQ129" i="1"/>
  <c r="CL98" i="1"/>
  <c r="CM98" i="1" s="1"/>
  <c r="CM42" i="1"/>
  <c r="CO42" i="1" s="1"/>
  <c r="CR34" i="1"/>
  <c r="CM39" i="1"/>
  <c r="CM29" i="1"/>
  <c r="CM33" i="1"/>
  <c r="CM181" i="1"/>
  <c r="CO9" i="1"/>
  <c r="CL123" i="1"/>
  <c r="CR33" i="3"/>
  <c r="CS31" i="3"/>
  <c r="CS33" i="3" s="1"/>
  <c r="CA23" i="4"/>
  <c r="CF126" i="1"/>
  <c r="CF129" i="1"/>
  <c r="CC40" i="4"/>
  <c r="CJ40" i="4"/>
  <c r="CJ41" i="4" s="1"/>
  <c r="CG23" i="4"/>
  <c r="BQ72" i="2"/>
  <c r="BR68" i="2" s="1"/>
  <c r="N18" i="72"/>
  <c r="BU22" i="1"/>
  <c r="BO43" i="2"/>
  <c r="BO97" i="1" s="1"/>
  <c r="BC40" i="3"/>
  <c r="BC96" i="1"/>
  <c r="BC92" i="3"/>
  <c r="BC64" i="2"/>
  <c r="BC86" i="3"/>
  <c r="BC102" i="4"/>
  <c r="BC103" i="4" s="1"/>
  <c r="BC107" i="4"/>
  <c r="BU102" i="2"/>
  <c r="BU130" i="1"/>
  <c r="BU132" i="1"/>
  <c r="BT135" i="1"/>
  <c r="BZ102" i="2"/>
  <c r="CA129" i="1"/>
  <c r="F30" i="10"/>
  <c r="F31" i="10"/>
  <c r="F35" i="10"/>
  <c r="AW111" i="1"/>
  <c r="AW115" i="1"/>
  <c r="P18" i="72"/>
  <c r="P16" i="72" s="1"/>
  <c r="BU136" i="3"/>
  <c r="BN44" i="2"/>
  <c r="BC99" i="1"/>
  <c r="BO43" i="3"/>
  <c r="X50" i="2"/>
  <c r="AK49" i="2"/>
  <c r="AG50" i="2"/>
  <c r="AC49" i="2"/>
  <c r="AB51" i="2"/>
  <c r="CS34" i="1" l="1"/>
  <c r="CO181" i="1"/>
  <c r="CP9" i="1"/>
  <c r="CO33" i="1"/>
  <c r="CO29" i="1"/>
  <c r="CO98" i="1"/>
  <c r="CP42" i="1"/>
  <c r="CO39" i="1"/>
  <c r="CL129" i="1"/>
  <c r="CM129" i="1" s="1"/>
  <c r="CM130" i="1" s="1"/>
  <c r="CL126" i="1"/>
  <c r="CR123" i="1"/>
  <c r="CL40" i="1"/>
  <c r="CQ102" i="2"/>
  <c r="CR40" i="4"/>
  <c r="CR41" i="4" s="1"/>
  <c r="CS38" i="4"/>
  <c r="CS40" i="4" s="1"/>
  <c r="BR72" i="2"/>
  <c r="BR77" i="2"/>
  <c r="BR76" i="2"/>
  <c r="CF102" i="2"/>
  <c r="CG129" i="1"/>
  <c r="CD40" i="4"/>
  <c r="CK40" i="4"/>
  <c r="CK41" i="4" s="1"/>
  <c r="P17" i="72"/>
  <c r="CA128" i="1"/>
  <c r="CA132" i="1" s="1"/>
  <c r="BW128" i="1"/>
  <c r="BW132" i="1" s="1"/>
  <c r="BU134" i="1"/>
  <c r="BU135" i="1" s="1"/>
  <c r="BE19" i="4"/>
  <c r="BE20" i="4" s="1"/>
  <c r="BC100" i="1"/>
  <c r="AW119" i="1"/>
  <c r="AW120" i="1" s="1"/>
  <c r="AY106" i="1"/>
  <c r="BE9" i="4"/>
  <c r="BE10" i="4" s="1"/>
  <c r="BO44" i="2"/>
  <c r="CA130" i="1"/>
  <c r="CA102" i="2"/>
  <c r="BE33" i="4"/>
  <c r="BF19" i="4"/>
  <c r="BF20" i="4" s="1"/>
  <c r="AG51" i="2"/>
  <c r="AH49" i="2"/>
  <c r="X51" i="2"/>
  <c r="AC50" i="2"/>
  <c r="AK50" i="2"/>
  <c r="CM40" i="1" l="1"/>
  <c r="CP33" i="1"/>
  <c r="CP39" i="1"/>
  <c r="CP98" i="1"/>
  <c r="CQ42" i="1"/>
  <c r="CR126" i="1"/>
  <c r="CR129" i="1"/>
  <c r="CS129" i="1" s="1"/>
  <c r="CS130" i="1" s="1"/>
  <c r="CP181" i="1"/>
  <c r="CQ9" i="1"/>
  <c r="CP29" i="1"/>
  <c r="CS102" i="2"/>
  <c r="CL102" i="2"/>
  <c r="CR102" i="2"/>
  <c r="CL40" i="4"/>
  <c r="CL41" i="4" s="1"/>
  <c r="BS68" i="2"/>
  <c r="CG128" i="1"/>
  <c r="CG132" i="1" s="1"/>
  <c r="CC128" i="1"/>
  <c r="CC132" i="1" s="1"/>
  <c r="CG102" i="2"/>
  <c r="CG130" i="1"/>
  <c r="CE40" i="4"/>
  <c r="P19" i="72"/>
  <c r="BE27" i="4"/>
  <c r="BE28" i="4" s="1"/>
  <c r="BS136" i="3"/>
  <c r="BF33" i="4"/>
  <c r="BX128" i="1"/>
  <c r="BX132" i="1" s="1"/>
  <c r="BW134" i="1"/>
  <c r="BW22" i="1" s="1"/>
  <c r="BG19" i="4"/>
  <c r="BG20" i="4" s="1"/>
  <c r="BI94" i="1"/>
  <c r="BE94" i="1"/>
  <c r="BC101" i="1"/>
  <c r="CA134" i="1"/>
  <c r="CA135" i="1" s="1"/>
  <c r="BF9" i="4"/>
  <c r="BF10" i="4" s="1"/>
  <c r="BQ44" i="2"/>
  <c r="BC106" i="1"/>
  <c r="AY115" i="1"/>
  <c r="AY110" i="1"/>
  <c r="BC110" i="1" s="1"/>
  <c r="AD49" i="2"/>
  <c r="AC51" i="2"/>
  <c r="AH50" i="2"/>
  <c r="AK51" i="2"/>
  <c r="AQ49" i="2"/>
  <c r="AM49" i="2"/>
  <c r="CQ39" i="1" l="1"/>
  <c r="CQ33" i="1"/>
  <c r="CQ29" i="1"/>
  <c r="CM128" i="1"/>
  <c r="CM132" i="1" s="1"/>
  <c r="CI128" i="1"/>
  <c r="CI132" i="1" s="1"/>
  <c r="CQ181" i="1"/>
  <c r="CR9" i="1"/>
  <c r="CO40" i="1"/>
  <c r="CQ98" i="1"/>
  <c r="CR42" i="1"/>
  <c r="CM102" i="2"/>
  <c r="CG134" i="1"/>
  <c r="CG135" i="1" s="1"/>
  <c r="CG38" i="4"/>
  <c r="CM40" i="4" s="1"/>
  <c r="CF40" i="4"/>
  <c r="BS70" i="2"/>
  <c r="BS80" i="2" s="1"/>
  <c r="BS40" i="2" s="1"/>
  <c r="BS71" i="2"/>
  <c r="CD128" i="1"/>
  <c r="CD132" i="1" s="1"/>
  <c r="CC134" i="1"/>
  <c r="CC22" i="1" s="1"/>
  <c r="BF27" i="4"/>
  <c r="BF28" i="4" s="1"/>
  <c r="BG9" i="4"/>
  <c r="BG10" i="4" s="1"/>
  <c r="BI17" i="4"/>
  <c r="BE26" i="4"/>
  <c r="BE35" i="4"/>
  <c r="BE36" i="4" s="1"/>
  <c r="BE30" i="4"/>
  <c r="BE66" i="4"/>
  <c r="BE18" i="4"/>
  <c r="BE8" i="4"/>
  <c r="BE22" i="4"/>
  <c r="BE13" i="4"/>
  <c r="BW135" i="1"/>
  <c r="BC115" i="1"/>
  <c r="BC111" i="1"/>
  <c r="BG33" i="4"/>
  <c r="BY128" i="1"/>
  <c r="BY132" i="1" s="1"/>
  <c r="BX134" i="1"/>
  <c r="BX22" i="1" s="1"/>
  <c r="Q18" i="72"/>
  <c r="Q16" i="72" s="1"/>
  <c r="AM50" i="2"/>
  <c r="AQ50" i="2"/>
  <c r="AH51" i="2"/>
  <c r="AI49" i="2"/>
  <c r="AD50" i="2"/>
  <c r="CR29" i="1" l="1"/>
  <c r="CR181" i="1"/>
  <c r="CS9" i="1"/>
  <c r="CS181" i="1" s="1"/>
  <c r="CR98" i="1"/>
  <c r="CS98" i="1" s="1"/>
  <c r="CS42" i="1"/>
  <c r="CJ128" i="1"/>
  <c r="CJ132" i="1" s="1"/>
  <c r="CI134" i="1"/>
  <c r="CI22" i="1" s="1"/>
  <c r="CP40" i="1"/>
  <c r="CR33" i="1"/>
  <c r="CS128" i="1"/>
  <c r="CS132" i="1" s="1"/>
  <c r="CO128" i="1"/>
  <c r="CO132" i="1" s="1"/>
  <c r="CM134" i="1"/>
  <c r="CM135" i="1"/>
  <c r="CR39" i="1"/>
  <c r="CG40" i="4"/>
  <c r="BS72" i="2"/>
  <c r="BT68" i="2" s="1"/>
  <c r="BT71" i="2" s="1"/>
  <c r="BU71" i="2" s="1"/>
  <c r="BU77" i="2" s="1"/>
  <c r="CC135" i="1"/>
  <c r="CE128" i="1"/>
  <c r="CE132" i="1" s="1"/>
  <c r="CD134" i="1"/>
  <c r="CD22" i="1" s="1"/>
  <c r="Q19" i="72"/>
  <c r="Q17" i="72"/>
  <c r="BX135" i="1"/>
  <c r="BI19" i="4"/>
  <c r="BI20" i="4" s="1"/>
  <c r="BF35" i="4"/>
  <c r="BF36" i="4" s="1"/>
  <c r="BF66" i="4"/>
  <c r="BF8" i="4"/>
  <c r="BF30" i="4"/>
  <c r="BF22" i="4"/>
  <c r="BF18" i="4"/>
  <c r="BF13" i="4"/>
  <c r="BG27" i="4"/>
  <c r="BG28" i="4" s="1"/>
  <c r="BH9" i="4"/>
  <c r="BH10" i="4" s="1"/>
  <c r="BZ128" i="1"/>
  <c r="BZ132" i="1" s="1"/>
  <c r="BY134" i="1"/>
  <c r="BY22" i="1" s="1"/>
  <c r="BH33" i="4"/>
  <c r="BI33" i="4"/>
  <c r="BE106" i="1"/>
  <c r="BC119" i="1"/>
  <c r="BC120" i="1" s="1"/>
  <c r="BH19" i="4"/>
  <c r="BH20" i="4" s="1"/>
  <c r="BE67" i="4"/>
  <c r="BE9" i="3"/>
  <c r="BE75" i="4"/>
  <c r="BF26" i="4"/>
  <c r="AQ51" i="2"/>
  <c r="AS49" i="2"/>
  <c r="AW49" i="2"/>
  <c r="AI50" i="2"/>
  <c r="AM51" i="2"/>
  <c r="AN49" i="2"/>
  <c r="AD51" i="2"/>
  <c r="CS33" i="1" l="1"/>
  <c r="CQ40" i="1"/>
  <c r="CP128" i="1"/>
  <c r="CP132" i="1" s="1"/>
  <c r="CO134" i="1"/>
  <c r="CO22" i="1" s="1"/>
  <c r="CO135" i="1"/>
  <c r="CI135" i="1"/>
  <c r="CS29" i="1"/>
  <c r="CS134" i="1"/>
  <c r="CS135" i="1"/>
  <c r="CK128" i="1"/>
  <c r="CK132" i="1" s="1"/>
  <c r="CJ134" i="1"/>
  <c r="CJ22" i="1" s="1"/>
  <c r="CS39" i="1"/>
  <c r="BT70" i="2"/>
  <c r="BT72" i="2" s="1"/>
  <c r="CD135" i="1"/>
  <c r="CF128" i="1"/>
  <c r="CF132" i="1" s="1"/>
  <c r="CE134" i="1"/>
  <c r="CE22" i="1" s="1"/>
  <c r="BG30" i="4"/>
  <c r="BG35" i="4"/>
  <c r="BG36" i="4" s="1"/>
  <c r="BG8" i="4"/>
  <c r="BG66" i="4"/>
  <c r="BG13" i="4"/>
  <c r="BG22" i="4"/>
  <c r="BG18" i="4"/>
  <c r="BK33" i="4"/>
  <c r="BK19" i="4"/>
  <c r="BR97" i="1"/>
  <c r="BE84" i="4"/>
  <c r="BE43" i="4"/>
  <c r="BE63" i="4"/>
  <c r="BE51" i="4"/>
  <c r="BE88" i="4"/>
  <c r="BE76" i="4"/>
  <c r="BE8" i="3"/>
  <c r="BE162" i="1" s="1"/>
  <c r="BE39" i="4"/>
  <c r="BE55" i="4"/>
  <c r="BE47" i="4"/>
  <c r="BE72" i="4"/>
  <c r="BE34" i="4"/>
  <c r="BE59" i="4"/>
  <c r="BI27" i="4"/>
  <c r="BI28" i="4" s="1"/>
  <c r="BK9" i="4"/>
  <c r="BE110" i="1"/>
  <c r="BI110" i="1" s="1"/>
  <c r="BI106" i="1"/>
  <c r="BE115" i="1"/>
  <c r="BH27" i="4"/>
  <c r="BH28" i="4" s="1"/>
  <c r="BZ134" i="1"/>
  <c r="BZ22" i="1" s="1"/>
  <c r="BF75" i="4"/>
  <c r="BF9" i="3"/>
  <c r="BF67" i="4"/>
  <c r="BE15" i="3"/>
  <c r="BE51" i="3" s="1"/>
  <c r="BE81" i="4"/>
  <c r="BE68" i="4"/>
  <c r="BY135" i="1"/>
  <c r="BG26" i="4"/>
  <c r="BI9" i="4"/>
  <c r="BI10" i="4" s="1"/>
  <c r="AJ49" i="2"/>
  <c r="AI51" i="2"/>
  <c r="AW50" i="2"/>
  <c r="AS50" i="2"/>
  <c r="AN50" i="2"/>
  <c r="CR40" i="1" l="1"/>
  <c r="CQ128" i="1"/>
  <c r="CQ132" i="1" s="1"/>
  <c r="CP134" i="1"/>
  <c r="CP22" i="1" s="1"/>
  <c r="CP135" i="1"/>
  <c r="CJ135" i="1"/>
  <c r="CL128" i="1"/>
  <c r="CL132" i="1" s="1"/>
  <c r="CK134" i="1"/>
  <c r="CK22" i="1" s="1"/>
  <c r="CK135" i="1"/>
  <c r="BE77" i="4"/>
  <c r="BE73" i="3" s="1"/>
  <c r="BT80" i="2"/>
  <c r="BU70" i="2"/>
  <c r="BM33" i="4"/>
  <c r="BM19" i="4"/>
  <c r="CE135" i="1"/>
  <c r="CF134" i="1"/>
  <c r="CF22" i="1" s="1"/>
  <c r="BE64" i="3"/>
  <c r="BK27" i="4"/>
  <c r="BK26" i="4"/>
  <c r="BL9" i="4"/>
  <c r="BE99" i="3"/>
  <c r="BE129" i="3"/>
  <c r="BE120" i="3"/>
  <c r="BE111" i="3"/>
  <c r="CA22" i="1"/>
  <c r="BH22" i="4"/>
  <c r="BH66" i="4"/>
  <c r="BH30" i="4"/>
  <c r="BH35" i="4"/>
  <c r="BH36" i="4" s="1"/>
  <c r="BH13" i="4"/>
  <c r="BH8" i="4"/>
  <c r="BH18" i="4"/>
  <c r="BF81" i="4"/>
  <c r="BF82" i="4" s="1"/>
  <c r="BF83" i="4" s="1"/>
  <c r="BF68" i="4"/>
  <c r="BG75" i="4"/>
  <c r="BG67" i="4"/>
  <c r="BG9" i="3"/>
  <c r="BI111" i="1"/>
  <c r="BI115" i="1"/>
  <c r="BI26" i="4"/>
  <c r="BI66" i="4"/>
  <c r="BI30" i="4"/>
  <c r="BI35" i="4"/>
  <c r="BI36" i="4" s="1"/>
  <c r="BI22" i="4"/>
  <c r="BI13" i="4"/>
  <c r="BI18" i="4"/>
  <c r="BZ135" i="1"/>
  <c r="BI8" i="4"/>
  <c r="BL33" i="4"/>
  <c r="BH26" i="4"/>
  <c r="BL19" i="4"/>
  <c r="BE14" i="3"/>
  <c r="BE88" i="1"/>
  <c r="BE49" i="3"/>
  <c r="BE59" i="3"/>
  <c r="BE90" i="1"/>
  <c r="BE53" i="3"/>
  <c r="BE91" i="1"/>
  <c r="BE72" i="3"/>
  <c r="BE108" i="1"/>
  <c r="BE74" i="1"/>
  <c r="BE77" i="1" s="1"/>
  <c r="BE54" i="3"/>
  <c r="BF15" i="3"/>
  <c r="BF51" i="3" s="1"/>
  <c r="BF47" i="4"/>
  <c r="BF76" i="4"/>
  <c r="BF55" i="4"/>
  <c r="BF8" i="3"/>
  <c r="BF162" i="1" s="1"/>
  <c r="BF39" i="4"/>
  <c r="BF84" i="4"/>
  <c r="BF59" i="4"/>
  <c r="BF72" i="4"/>
  <c r="BF63" i="4"/>
  <c r="BF43" i="4"/>
  <c r="BF51" i="4"/>
  <c r="BF34" i="4"/>
  <c r="AS51" i="2"/>
  <c r="AT49" i="2"/>
  <c r="AW51" i="2"/>
  <c r="AY49" i="2"/>
  <c r="BC49" i="2"/>
  <c r="AJ50" i="2"/>
  <c r="AN51" i="2"/>
  <c r="AO49" i="2"/>
  <c r="BE79" i="4"/>
  <c r="BE82" i="4"/>
  <c r="BE83" i="4" s="1"/>
  <c r="CL134" i="1" l="1"/>
  <c r="CL22" i="1" s="1"/>
  <c r="CM22" i="1" s="1"/>
  <c r="CR128" i="1"/>
  <c r="CR132" i="1" s="1"/>
  <c r="CQ134" i="1"/>
  <c r="CQ22" i="1" s="1"/>
  <c r="CS40" i="1"/>
  <c r="BF77" i="4"/>
  <c r="BU76" i="2"/>
  <c r="BU72" i="2"/>
  <c r="BW68" i="2" s="1"/>
  <c r="BT40" i="2"/>
  <c r="BU80" i="2"/>
  <c r="BM27" i="4"/>
  <c r="BG15" i="3"/>
  <c r="BG51" i="3" s="1"/>
  <c r="BG111" i="3" s="1"/>
  <c r="CF135" i="1"/>
  <c r="CG22" i="1"/>
  <c r="BF64" i="3"/>
  <c r="BE76" i="3"/>
  <c r="BE96" i="3"/>
  <c r="BF53" i="3"/>
  <c r="BF74" i="1"/>
  <c r="BF49" i="3"/>
  <c r="BF91" i="1"/>
  <c r="BF88" i="1"/>
  <c r="BF59" i="3"/>
  <c r="BF108" i="1"/>
  <c r="BF54" i="3"/>
  <c r="BF90" i="1"/>
  <c r="BF14" i="3"/>
  <c r="BF72" i="3"/>
  <c r="BE124" i="3"/>
  <c r="BE57" i="3"/>
  <c r="BE115" i="3"/>
  <c r="BE103" i="3" s="1"/>
  <c r="BE133" i="3"/>
  <c r="BI119" i="1"/>
  <c r="BI120" i="1" s="1"/>
  <c r="BK106" i="1"/>
  <c r="BO106" i="1" s="1"/>
  <c r="BG68" i="4"/>
  <c r="BG81" i="4"/>
  <c r="BM9" i="4"/>
  <c r="BE50" i="3"/>
  <c r="BE60" i="3"/>
  <c r="BE24" i="3"/>
  <c r="BE163" i="1" s="1"/>
  <c r="BE78" i="3"/>
  <c r="BL27" i="4"/>
  <c r="BI75" i="4"/>
  <c r="BI67" i="4"/>
  <c r="BE114" i="3"/>
  <c r="BE102" i="3" s="1"/>
  <c r="BE56" i="3"/>
  <c r="BE132" i="3"/>
  <c r="BE123" i="3"/>
  <c r="BH67" i="4"/>
  <c r="BH75" i="4"/>
  <c r="BH9" i="3"/>
  <c r="BK22" i="4"/>
  <c r="BK30" i="4"/>
  <c r="BK35" i="4"/>
  <c r="BK13" i="4"/>
  <c r="BK66" i="4"/>
  <c r="BK9" i="3" s="1"/>
  <c r="BK18" i="4"/>
  <c r="BK8" i="4"/>
  <c r="BF99" i="3"/>
  <c r="BF111" i="3"/>
  <c r="BF129" i="3"/>
  <c r="BF120" i="3"/>
  <c r="BG51" i="4"/>
  <c r="BG43" i="4"/>
  <c r="BG63" i="4"/>
  <c r="BG55" i="4"/>
  <c r="BG76" i="4"/>
  <c r="BG39" i="4"/>
  <c r="BG72" i="4"/>
  <c r="BG59" i="4"/>
  <c r="BG8" i="3"/>
  <c r="BG162" i="1" s="1"/>
  <c r="BG84" i="4"/>
  <c r="BG47" i="4"/>
  <c r="BG34" i="4"/>
  <c r="BC50" i="2"/>
  <c r="AY50" i="2"/>
  <c r="AT50" i="2"/>
  <c r="AO50" i="2"/>
  <c r="AJ51" i="2"/>
  <c r="BE75" i="3"/>
  <c r="BE74" i="3" s="1"/>
  <c r="BE78" i="4"/>
  <c r="CR134" i="1" l="1"/>
  <c r="CR22" i="1" s="1"/>
  <c r="CS22" i="1" s="1"/>
  <c r="CQ135" i="1"/>
  <c r="CL135" i="1"/>
  <c r="BF78" i="4"/>
  <c r="BF73" i="3"/>
  <c r="BF74" i="3" s="1"/>
  <c r="BG77" i="4"/>
  <c r="BO115" i="1"/>
  <c r="BW70" i="2"/>
  <c r="CA68" i="2"/>
  <c r="BW71" i="2"/>
  <c r="BU40" i="2"/>
  <c r="BH15" i="3"/>
  <c r="BH51" i="3" s="1"/>
  <c r="BE65" i="3"/>
  <c r="BE22" i="3"/>
  <c r="BG120" i="3"/>
  <c r="BG99" i="3"/>
  <c r="BM66" i="4"/>
  <c r="BM9" i="3" s="1"/>
  <c r="BM15" i="3" s="1"/>
  <c r="BM51" i="3" s="1"/>
  <c r="BM35" i="4"/>
  <c r="BM30" i="4"/>
  <c r="BM22" i="4"/>
  <c r="BM18" i="4"/>
  <c r="BM26" i="4"/>
  <c r="BG129" i="3"/>
  <c r="BG64" i="3"/>
  <c r="BL66" i="4"/>
  <c r="BL9" i="3" s="1"/>
  <c r="BF78" i="3"/>
  <c r="BF24" i="3"/>
  <c r="BF163" i="1" s="1"/>
  <c r="BF60" i="3"/>
  <c r="BF50" i="3"/>
  <c r="BI51" i="4"/>
  <c r="BI39" i="4"/>
  <c r="BI76" i="4"/>
  <c r="BI63" i="4"/>
  <c r="BI84" i="4"/>
  <c r="BI72" i="4"/>
  <c r="BI47" i="4"/>
  <c r="BI55" i="4"/>
  <c r="BI43" i="4"/>
  <c r="BI59" i="4"/>
  <c r="BI34" i="4"/>
  <c r="BK75" i="4"/>
  <c r="BQ79" i="4" s="1"/>
  <c r="BK67" i="4"/>
  <c r="BK81" i="4" s="1"/>
  <c r="BL18" i="4"/>
  <c r="BL22" i="4"/>
  <c r="BL13" i="4"/>
  <c r="BL30" i="4"/>
  <c r="BL35" i="4"/>
  <c r="BL8" i="4"/>
  <c r="BF57" i="3"/>
  <c r="BF115" i="3"/>
  <c r="BF103" i="3" s="1"/>
  <c r="BF124" i="3"/>
  <c r="BF133" i="3"/>
  <c r="BN19" i="4"/>
  <c r="BO17" i="4"/>
  <c r="BN9" i="4"/>
  <c r="BE63" i="3"/>
  <c r="BE35" i="3"/>
  <c r="BE66" i="3"/>
  <c r="BE67" i="3"/>
  <c r="BE84" i="3"/>
  <c r="BK110" i="1"/>
  <c r="BO110" i="1" s="1"/>
  <c r="BO111" i="1" s="1"/>
  <c r="BK115" i="1"/>
  <c r="BH84" i="4"/>
  <c r="BH63" i="4"/>
  <c r="BH51" i="4"/>
  <c r="BH72" i="4"/>
  <c r="BH59" i="4"/>
  <c r="BH8" i="3"/>
  <c r="BH162" i="1" s="1"/>
  <c r="BH39" i="4"/>
  <c r="BH43" i="4"/>
  <c r="BH47" i="4"/>
  <c r="BH76" i="4"/>
  <c r="BH55" i="4"/>
  <c r="BH34" i="4"/>
  <c r="BI68" i="4"/>
  <c r="BI81" i="4"/>
  <c r="BG49" i="3"/>
  <c r="BG72" i="3"/>
  <c r="BG59" i="3"/>
  <c r="BG54" i="3"/>
  <c r="BG74" i="1"/>
  <c r="BG91" i="1"/>
  <c r="BG14" i="3"/>
  <c r="BG108" i="1"/>
  <c r="BG53" i="3"/>
  <c r="BG88" i="1"/>
  <c r="BG90" i="1"/>
  <c r="BO9" i="4"/>
  <c r="BF77" i="1"/>
  <c r="BI9" i="3"/>
  <c r="BI15" i="3" s="1"/>
  <c r="BI51" i="3" s="1"/>
  <c r="BL26" i="4"/>
  <c r="BF96" i="3"/>
  <c r="BF56" i="3"/>
  <c r="BF114" i="3"/>
  <c r="BF102" i="3" s="1"/>
  <c r="BF123" i="3"/>
  <c r="BF132" i="3"/>
  <c r="BH68" i="4"/>
  <c r="BH81" i="4"/>
  <c r="BH82" i="4" s="1"/>
  <c r="BH83" i="4" s="1"/>
  <c r="BE98" i="3"/>
  <c r="BE105" i="3" s="1"/>
  <c r="BE128" i="3"/>
  <c r="BE119" i="3"/>
  <c r="BE110" i="3"/>
  <c r="BE55" i="3"/>
  <c r="AO51" i="2"/>
  <c r="AP49" i="2"/>
  <c r="AU49" i="2"/>
  <c r="AT51" i="2"/>
  <c r="BI49" i="2"/>
  <c r="BE49" i="2"/>
  <c r="BC51" i="2"/>
  <c r="AZ49" i="2"/>
  <c r="AY51" i="2"/>
  <c r="CR135" i="1" l="1"/>
  <c r="BO119" i="1"/>
  <c r="BQ106" i="1"/>
  <c r="BG73" i="3"/>
  <c r="BG76" i="3" s="1"/>
  <c r="BF76" i="3"/>
  <c r="BH77" i="4"/>
  <c r="BH129" i="3"/>
  <c r="BH111" i="3"/>
  <c r="BH99" i="3"/>
  <c r="BH120" i="3"/>
  <c r="BW80" i="2"/>
  <c r="BW40" i="2" s="1"/>
  <c r="BW72" i="2"/>
  <c r="BX68" i="2" s="1"/>
  <c r="BF65" i="3"/>
  <c r="BF22" i="3"/>
  <c r="BN33" i="4"/>
  <c r="BM120" i="3"/>
  <c r="BM129" i="3"/>
  <c r="BM111" i="3"/>
  <c r="BM99" i="3"/>
  <c r="BM67" i="4"/>
  <c r="BM81" i="4" s="1"/>
  <c r="BM75" i="4"/>
  <c r="BH64" i="3"/>
  <c r="BL75" i="4"/>
  <c r="BG114" i="3"/>
  <c r="BG102" i="3" s="1"/>
  <c r="BG123" i="3"/>
  <c r="BG56" i="3"/>
  <c r="BG132" i="3"/>
  <c r="BO19" i="4"/>
  <c r="BQ33" i="4"/>
  <c r="BG115" i="3"/>
  <c r="BG103" i="3" s="1"/>
  <c r="BG57" i="3"/>
  <c r="BG133" i="3"/>
  <c r="BG124" i="3"/>
  <c r="BH91" i="1"/>
  <c r="BH14" i="3"/>
  <c r="BH72" i="3"/>
  <c r="BH59" i="3"/>
  <c r="BH88" i="1"/>
  <c r="BH74" i="1"/>
  <c r="BH77" i="1" s="1"/>
  <c r="BH108" i="1"/>
  <c r="BH54" i="3"/>
  <c r="BH49" i="3"/>
  <c r="BH90" i="1"/>
  <c r="BH53" i="3"/>
  <c r="BI8" i="3"/>
  <c r="BK69" i="4"/>
  <c r="BI129" i="3"/>
  <c r="BI99" i="3"/>
  <c r="BI120" i="3"/>
  <c r="BI111" i="3"/>
  <c r="BG78" i="3"/>
  <c r="BG50" i="3"/>
  <c r="BG60" i="3"/>
  <c r="BG24" i="3"/>
  <c r="BG163" i="1" s="1"/>
  <c r="BE64" i="1"/>
  <c r="BQ9" i="4"/>
  <c r="BN27" i="4"/>
  <c r="BG96" i="3"/>
  <c r="BQ19" i="4"/>
  <c r="BG77" i="1"/>
  <c r="BE58" i="3"/>
  <c r="BE106" i="3"/>
  <c r="BK47" i="4"/>
  <c r="BK84" i="4"/>
  <c r="BK72" i="4"/>
  <c r="BK76" i="4"/>
  <c r="BK43" i="4"/>
  <c r="BK63" i="4"/>
  <c r="BK39" i="4"/>
  <c r="BK8" i="3"/>
  <c r="BK162" i="1" s="1"/>
  <c r="BK55" i="4"/>
  <c r="BK51" i="4"/>
  <c r="BK59" i="4"/>
  <c r="BK34" i="4"/>
  <c r="BO25" i="4"/>
  <c r="BO33" i="4" s="1"/>
  <c r="BF66" i="3"/>
  <c r="BF67" i="3"/>
  <c r="BF35" i="3"/>
  <c r="BF84" i="3"/>
  <c r="BF63" i="3"/>
  <c r="BK15" i="3"/>
  <c r="BK51" i="3" s="1"/>
  <c r="BM13" i="4"/>
  <c r="BM8" i="4"/>
  <c r="BE38" i="3"/>
  <c r="BE68" i="3"/>
  <c r="BE36" i="3"/>
  <c r="BE164" i="1" s="1"/>
  <c r="BE165" i="1" s="1"/>
  <c r="BE166" i="1" s="1"/>
  <c r="BF98" i="3"/>
  <c r="BF105" i="3" s="1"/>
  <c r="BF119" i="3"/>
  <c r="BF110" i="3"/>
  <c r="BF55" i="3"/>
  <c r="BF128" i="3"/>
  <c r="BI50" i="2"/>
  <c r="AU50" i="2"/>
  <c r="AP50" i="2"/>
  <c r="AZ50" i="2"/>
  <c r="BE50" i="2"/>
  <c r="BR79" i="4" l="1"/>
  <c r="BQ110" i="1"/>
  <c r="BQ115" i="1"/>
  <c r="BH73" i="3"/>
  <c r="BH74" i="3" s="1"/>
  <c r="BH78" i="4"/>
  <c r="BI77" i="4"/>
  <c r="BI162" i="1"/>
  <c r="BE167" i="1"/>
  <c r="BE187" i="1"/>
  <c r="BE59" i="1" s="1"/>
  <c r="BE186" i="1"/>
  <c r="BQ66" i="4"/>
  <c r="BQ9" i="3" s="1"/>
  <c r="BQ15" i="3" s="1"/>
  <c r="BQ51" i="3" s="1"/>
  <c r="BK77" i="4"/>
  <c r="BK91" i="1"/>
  <c r="BK88" i="1"/>
  <c r="BK90" i="1"/>
  <c r="BK74" i="1"/>
  <c r="BK77" i="1" s="1"/>
  <c r="BN66" i="4"/>
  <c r="BN9" i="3" s="1"/>
  <c r="BN15" i="3" s="1"/>
  <c r="BN51" i="3" s="1"/>
  <c r="BX71" i="2"/>
  <c r="BX70" i="2"/>
  <c r="BG65" i="3"/>
  <c r="BG22" i="3"/>
  <c r="BL8" i="3"/>
  <c r="BM8" i="3"/>
  <c r="BM162" i="1" s="1"/>
  <c r="BM88" i="4"/>
  <c r="BM79" i="4" s="1"/>
  <c r="BM72" i="4"/>
  <c r="BM76" i="4"/>
  <c r="BM84" i="4"/>
  <c r="BI64" i="3"/>
  <c r="BK64" i="3"/>
  <c r="BN26" i="4"/>
  <c r="BH78" i="3"/>
  <c r="BH50" i="3"/>
  <c r="BH60" i="3"/>
  <c r="BH24" i="3"/>
  <c r="BH163" i="1" s="1"/>
  <c r="G12" i="10"/>
  <c r="BI14" i="3"/>
  <c r="BI54" i="3"/>
  <c r="BI49" i="3"/>
  <c r="BI59" i="3"/>
  <c r="BI88" i="1"/>
  <c r="BI72" i="3"/>
  <c r="BI91" i="1"/>
  <c r="BI108" i="1"/>
  <c r="BI53" i="3"/>
  <c r="BI74" i="1"/>
  <c r="BI77" i="1" s="1"/>
  <c r="BF64" i="1"/>
  <c r="BO27" i="4"/>
  <c r="BO26" i="4"/>
  <c r="BN30" i="4"/>
  <c r="BN13" i="4"/>
  <c r="BN22" i="4"/>
  <c r="BN35" i="4"/>
  <c r="BN18" i="4"/>
  <c r="BN8" i="4"/>
  <c r="BG63" i="3"/>
  <c r="BG67" i="3"/>
  <c r="BG66" i="3"/>
  <c r="BG35" i="3"/>
  <c r="BG84" i="3"/>
  <c r="BG88" i="4"/>
  <c r="BI86" i="4"/>
  <c r="BI88" i="4" s="1"/>
  <c r="BF58" i="3"/>
  <c r="BF106" i="3"/>
  <c r="BH132" i="3"/>
  <c r="BI132" i="3" s="1"/>
  <c r="BH123" i="3"/>
  <c r="BI123" i="3" s="1"/>
  <c r="BH56" i="3"/>
  <c r="BH114" i="3"/>
  <c r="BH102" i="3" s="1"/>
  <c r="BH115" i="3"/>
  <c r="BH103" i="3" s="1"/>
  <c r="BH124" i="3"/>
  <c r="BI124" i="3" s="1"/>
  <c r="BH57" i="3"/>
  <c r="BH133" i="3"/>
  <c r="BI133" i="3" s="1"/>
  <c r="BR19" i="4"/>
  <c r="BE46" i="3"/>
  <c r="BE57" i="1"/>
  <c r="BE69" i="3"/>
  <c r="BE85" i="3"/>
  <c r="BE91" i="3"/>
  <c r="BE58" i="1"/>
  <c r="BE143" i="3"/>
  <c r="BF36" i="3"/>
  <c r="BF164" i="1" s="1"/>
  <c r="BF165" i="1" s="1"/>
  <c r="BF166" i="1" s="1"/>
  <c r="BF38" i="3"/>
  <c r="BF68" i="3"/>
  <c r="BG128" i="3"/>
  <c r="BG98" i="3"/>
  <c r="BG55" i="3"/>
  <c r="BG110" i="3"/>
  <c r="BG119" i="3"/>
  <c r="BK41" i="4"/>
  <c r="BK28" i="4"/>
  <c r="BK10" i="4"/>
  <c r="BK45" i="4"/>
  <c r="BK36" i="4"/>
  <c r="BK74" i="4"/>
  <c r="BK15" i="4"/>
  <c r="BK57" i="4"/>
  <c r="BK68" i="4"/>
  <c r="BK53" i="4"/>
  <c r="BK65" i="4"/>
  <c r="BK49" i="4"/>
  <c r="BK32" i="4"/>
  <c r="BK24" i="4"/>
  <c r="BK61" i="4"/>
  <c r="BK20" i="4"/>
  <c r="BH96" i="3"/>
  <c r="BK14" i="3"/>
  <c r="BK108" i="1"/>
  <c r="BK72" i="3"/>
  <c r="BK49" i="3"/>
  <c r="BK53" i="3"/>
  <c r="BK54" i="3"/>
  <c r="BK59" i="3"/>
  <c r="BK99" i="3"/>
  <c r="BK120" i="3"/>
  <c r="BK111" i="3"/>
  <c r="BK129" i="3"/>
  <c r="BR9" i="4"/>
  <c r="BQ27" i="4"/>
  <c r="AZ51" i="2"/>
  <c r="BA49" i="2"/>
  <c r="AU51" i="2"/>
  <c r="AV49" i="2"/>
  <c r="AP51" i="2"/>
  <c r="BF49" i="2"/>
  <c r="BE51" i="2"/>
  <c r="BO49" i="2"/>
  <c r="BK49" i="2"/>
  <c r="BI51" i="2"/>
  <c r="BR33" i="4" l="1"/>
  <c r="BR66" i="4" s="1"/>
  <c r="BR9" i="3" s="1"/>
  <c r="BQ111" i="3"/>
  <c r="BQ129" i="3"/>
  <c r="BQ120" i="3"/>
  <c r="BQ99" i="3"/>
  <c r="BW115" i="1"/>
  <c r="BL162" i="1"/>
  <c r="BL14" i="3"/>
  <c r="BL60" i="3" s="1"/>
  <c r="BH76" i="3"/>
  <c r="BI73" i="3"/>
  <c r="BF167" i="1"/>
  <c r="BF186" i="1"/>
  <c r="BF187" i="1"/>
  <c r="BF59" i="1" s="1"/>
  <c r="BQ75" i="4"/>
  <c r="BQ8" i="3" s="1"/>
  <c r="BQ67" i="4"/>
  <c r="BM75" i="3"/>
  <c r="BK73" i="3"/>
  <c r="BK76" i="3" s="1"/>
  <c r="BM69" i="4"/>
  <c r="BM74" i="4" s="1"/>
  <c r="BL90" i="1"/>
  <c r="BL88" i="1"/>
  <c r="BL91" i="1"/>
  <c r="BL74" i="1"/>
  <c r="BL77" i="1" s="1"/>
  <c r="BM90" i="1"/>
  <c r="BS90" i="1" s="1"/>
  <c r="BM91" i="1"/>
  <c r="BM88" i="1"/>
  <c r="BS88" i="1" s="1"/>
  <c r="BY88" i="1" s="1"/>
  <c r="CE88" i="1" s="1"/>
  <c r="CK88" i="1" s="1"/>
  <c r="CQ88" i="1" s="1"/>
  <c r="BM74" i="1"/>
  <c r="BM77" i="1" s="1"/>
  <c r="BN99" i="3"/>
  <c r="BN129" i="3"/>
  <c r="BN120" i="3"/>
  <c r="BN111" i="3"/>
  <c r="BN67" i="4"/>
  <c r="BN75" i="4"/>
  <c r="BL59" i="3"/>
  <c r="BH22" i="3"/>
  <c r="BL53" i="3"/>
  <c r="BL54" i="3"/>
  <c r="BL49" i="3"/>
  <c r="BL108" i="1"/>
  <c r="BX72" i="2"/>
  <c r="BY68" i="2" s="1"/>
  <c r="BX80" i="2"/>
  <c r="BX40" i="2" s="1"/>
  <c r="BH65" i="3"/>
  <c r="BM108" i="1"/>
  <c r="BL69" i="4"/>
  <c r="BL28" i="4" s="1"/>
  <c r="BM49" i="3"/>
  <c r="BM14" i="3"/>
  <c r="BM54" i="3"/>
  <c r="BM53" i="3"/>
  <c r="BM59" i="3"/>
  <c r="BM82" i="4"/>
  <c r="BM77" i="4"/>
  <c r="BG105" i="3"/>
  <c r="BK24" i="3"/>
  <c r="BK163" i="1" s="1"/>
  <c r="BF46" i="3"/>
  <c r="BF69" i="3"/>
  <c r="BF57" i="1"/>
  <c r="BF85" i="3"/>
  <c r="BF91" i="3"/>
  <c r="BF58" i="1"/>
  <c r="BF143" i="3"/>
  <c r="BK88" i="4"/>
  <c r="BI24" i="3"/>
  <c r="BI78" i="3"/>
  <c r="BI50" i="3"/>
  <c r="BI60" i="3"/>
  <c r="BI56" i="3"/>
  <c r="BI114" i="3"/>
  <c r="BI102" i="3" s="1"/>
  <c r="G26" i="10"/>
  <c r="G13" i="10"/>
  <c r="G28" i="10"/>
  <c r="G24" i="10"/>
  <c r="BQ26" i="4"/>
  <c r="BQ30" i="4"/>
  <c r="BQ13" i="4"/>
  <c r="BQ35" i="4"/>
  <c r="BQ22" i="4"/>
  <c r="BQ8" i="4"/>
  <c r="BQ18" i="4"/>
  <c r="BK115" i="3"/>
  <c r="BK103" i="3" s="1"/>
  <c r="BK124" i="3"/>
  <c r="BK57" i="3"/>
  <c r="BK133" i="3"/>
  <c r="BE86" i="3"/>
  <c r="BE64" i="2"/>
  <c r="BG82" i="4"/>
  <c r="BG79" i="4"/>
  <c r="BG106" i="3"/>
  <c r="BG58" i="3"/>
  <c r="BG64" i="1"/>
  <c r="BS19" i="4"/>
  <c r="BI96" i="3"/>
  <c r="BH55" i="3"/>
  <c r="BH98" i="3"/>
  <c r="BH110" i="3"/>
  <c r="BH119" i="3"/>
  <c r="BH128" i="3"/>
  <c r="BI79" i="4"/>
  <c r="BI82" i="4"/>
  <c r="BI83" i="4" s="1"/>
  <c r="BK123" i="3"/>
  <c r="BK132" i="3"/>
  <c r="BK114" i="3"/>
  <c r="BK102" i="3" s="1"/>
  <c r="BK56" i="3"/>
  <c r="BS33" i="4"/>
  <c r="BO13" i="4"/>
  <c r="BO35" i="4"/>
  <c r="BO22" i="4"/>
  <c r="BO30" i="4"/>
  <c r="BO8" i="4"/>
  <c r="BO18" i="4"/>
  <c r="BI115" i="3"/>
  <c r="BI103" i="3" s="1"/>
  <c r="BI57" i="3"/>
  <c r="BR27" i="4"/>
  <c r="BG36" i="3"/>
  <c r="BG164" i="1" s="1"/>
  <c r="BG165" i="1" s="1"/>
  <c r="BG166" i="1" s="1"/>
  <c r="BG68" i="3"/>
  <c r="BG38" i="3"/>
  <c r="BK50" i="3"/>
  <c r="BK78" i="3"/>
  <c r="BK60" i="3"/>
  <c r="BH35" i="3"/>
  <c r="BH66" i="3"/>
  <c r="BH63" i="3"/>
  <c r="BH84" i="3"/>
  <c r="BH67" i="3"/>
  <c r="BK96" i="3"/>
  <c r="BE92" i="3"/>
  <c r="BE96" i="1"/>
  <c r="BE99" i="1" s="1"/>
  <c r="BE40" i="3"/>
  <c r="BS9" i="4"/>
  <c r="BK50" i="2"/>
  <c r="AV50" i="2"/>
  <c r="BA50" i="2"/>
  <c r="BF50" i="2"/>
  <c r="BR67" i="4" l="1"/>
  <c r="BR75" i="4"/>
  <c r="BR8" i="3" s="1"/>
  <c r="BQ90" i="1"/>
  <c r="BW90" i="1" s="1"/>
  <c r="CC90" i="1" s="1"/>
  <c r="CI90" i="1" s="1"/>
  <c r="BQ88" i="1"/>
  <c r="BW88" i="1" s="1"/>
  <c r="CC88" i="1" s="1"/>
  <c r="CI88" i="1" s="1"/>
  <c r="CO88" i="1" s="1"/>
  <c r="BQ91" i="1"/>
  <c r="BQ108" i="1"/>
  <c r="BQ162" i="1"/>
  <c r="BQ53" i="3"/>
  <c r="BQ54" i="3"/>
  <c r="BQ14" i="3"/>
  <c r="BQ49" i="3"/>
  <c r="BQ74" i="1"/>
  <c r="BQ77" i="1" s="1"/>
  <c r="BQ59" i="3"/>
  <c r="BQ72" i="3"/>
  <c r="BQ96" i="3" s="1"/>
  <c r="BL57" i="3"/>
  <c r="BL50" i="3"/>
  <c r="BL128" i="3" s="1"/>
  <c r="BI76" i="3"/>
  <c r="BM45" i="4"/>
  <c r="BM28" i="4"/>
  <c r="BM53" i="4"/>
  <c r="BG167" i="1"/>
  <c r="BG186" i="1"/>
  <c r="BG187" i="1"/>
  <c r="BG59" i="1" s="1"/>
  <c r="BI163" i="1"/>
  <c r="BM68" i="4"/>
  <c r="BM24" i="4"/>
  <c r="BM65" i="4"/>
  <c r="BM61" i="4"/>
  <c r="BL45" i="4"/>
  <c r="BQ81" i="4"/>
  <c r="BQ82" i="4" s="1"/>
  <c r="BQ39" i="4"/>
  <c r="BQ47" i="4"/>
  <c r="BQ43" i="4"/>
  <c r="BQ63" i="4"/>
  <c r="BQ72" i="4"/>
  <c r="BQ76" i="4"/>
  <c r="BQ51" i="4"/>
  <c r="BQ59" i="4"/>
  <c r="BQ84" i="4"/>
  <c r="BQ55" i="4"/>
  <c r="BM10" i="4"/>
  <c r="BM15" i="4"/>
  <c r="BM36" i="4"/>
  <c r="BM20" i="4"/>
  <c r="BM32" i="4"/>
  <c r="BM49" i="4"/>
  <c r="BM41" i="4"/>
  <c r="BM57" i="4"/>
  <c r="BI75" i="3"/>
  <c r="BL133" i="3"/>
  <c r="BL114" i="3"/>
  <c r="BL102" i="3" s="1"/>
  <c r="BK22" i="3"/>
  <c r="BK64" i="1" s="1"/>
  <c r="BL132" i="3"/>
  <c r="BL61" i="4"/>
  <c r="BL74" i="4"/>
  <c r="BL65" i="4"/>
  <c r="BL53" i="4"/>
  <c r="BL20" i="4"/>
  <c r="BL124" i="3"/>
  <c r="BN8" i="3"/>
  <c r="BN162" i="1" s="1"/>
  <c r="BN76" i="4"/>
  <c r="BN55" i="4"/>
  <c r="BN43" i="4"/>
  <c r="BN72" i="4"/>
  <c r="BN51" i="4"/>
  <c r="BN59" i="4"/>
  <c r="BN39" i="4"/>
  <c r="BN84" i="4"/>
  <c r="BN47" i="4"/>
  <c r="BN63" i="4"/>
  <c r="BN81" i="4"/>
  <c r="BL57" i="4"/>
  <c r="BL24" i="4"/>
  <c r="BH105" i="3"/>
  <c r="BL32" i="4"/>
  <c r="BL49" i="4"/>
  <c r="BL15" i="4"/>
  <c r="BL10" i="4"/>
  <c r="BL41" i="4"/>
  <c r="BL36" i="4"/>
  <c r="BL56" i="3"/>
  <c r="BL123" i="3"/>
  <c r="BL115" i="3"/>
  <c r="BL103" i="3" s="1"/>
  <c r="BY71" i="2"/>
  <c r="BY70" i="2"/>
  <c r="BI65" i="3"/>
  <c r="BI22" i="3"/>
  <c r="BS74" i="1"/>
  <c r="BS91" i="1"/>
  <c r="BY90" i="1"/>
  <c r="BM78" i="4"/>
  <c r="BM73" i="3"/>
  <c r="BK28" i="3"/>
  <c r="BM114" i="3"/>
  <c r="BM102" i="3" s="1"/>
  <c r="BM123" i="3"/>
  <c r="BM132" i="3"/>
  <c r="BS56" i="3"/>
  <c r="BM56" i="3"/>
  <c r="BM115" i="3"/>
  <c r="BM103" i="3" s="1"/>
  <c r="BM124" i="3"/>
  <c r="BM133" i="3"/>
  <c r="BS57" i="3"/>
  <c r="BM57" i="3"/>
  <c r="BM50" i="3"/>
  <c r="BM24" i="3"/>
  <c r="BM163" i="1" s="1"/>
  <c r="BM60" i="3"/>
  <c r="BG83" i="4"/>
  <c r="BM83" i="4"/>
  <c r="BQ69" i="4"/>
  <c r="BR69" i="4"/>
  <c r="BL15" i="3"/>
  <c r="BL51" i="3" s="1"/>
  <c r="BR26" i="4"/>
  <c r="BR13" i="4"/>
  <c r="BR30" i="4"/>
  <c r="BR22" i="4"/>
  <c r="BR35" i="4"/>
  <c r="BR8" i="4"/>
  <c r="BR18" i="4"/>
  <c r="BU9" i="4"/>
  <c r="BK63" i="3"/>
  <c r="BK66" i="3"/>
  <c r="BK67" i="3"/>
  <c r="BK84" i="3"/>
  <c r="BK35" i="3"/>
  <c r="BG46" i="3"/>
  <c r="BG69" i="3"/>
  <c r="BG58" i="1"/>
  <c r="BG91" i="3"/>
  <c r="BG85" i="3"/>
  <c r="BG57" i="1"/>
  <c r="BG143" i="3"/>
  <c r="BL67" i="4"/>
  <c r="BL59" i="4"/>
  <c r="BI63" i="3"/>
  <c r="G14" i="10"/>
  <c r="BI66" i="3"/>
  <c r="BI84" i="3"/>
  <c r="BI67" i="3"/>
  <c r="BI35" i="3"/>
  <c r="BS27" i="4"/>
  <c r="BT33" i="4"/>
  <c r="BT19" i="4"/>
  <c r="BK128" i="3"/>
  <c r="BK55" i="3"/>
  <c r="BK110" i="3"/>
  <c r="BK119" i="3"/>
  <c r="BK98" i="3"/>
  <c r="BG75" i="3"/>
  <c r="BG74" i="3" s="1"/>
  <c r="BI74" i="3" s="1"/>
  <c r="BG78" i="4"/>
  <c r="BH64" i="1"/>
  <c r="BT9" i="4"/>
  <c r="BH58" i="3"/>
  <c r="BH106" i="3"/>
  <c r="BI119" i="3"/>
  <c r="BI55" i="3"/>
  <c r="BI98" i="3"/>
  <c r="BI105" i="3" s="1"/>
  <c r="BI128" i="3"/>
  <c r="BI110" i="3"/>
  <c r="BK79" i="4"/>
  <c r="BK82" i="4"/>
  <c r="BK83" i="4" s="1"/>
  <c r="BF64" i="2"/>
  <c r="BF86" i="3"/>
  <c r="BH68" i="3"/>
  <c r="BH36" i="3"/>
  <c r="BH164" i="1" s="1"/>
  <c r="BH165" i="1" s="1"/>
  <c r="BH166" i="1" s="1"/>
  <c r="BH38" i="3"/>
  <c r="BU17" i="4"/>
  <c r="BF96" i="1"/>
  <c r="BF99" i="1" s="1"/>
  <c r="BF92" i="3"/>
  <c r="BF40" i="3"/>
  <c r="BG49" i="2"/>
  <c r="BF51" i="2"/>
  <c r="BA51" i="2"/>
  <c r="BB49" i="2"/>
  <c r="AV51" i="2"/>
  <c r="BL49" i="2"/>
  <c r="BK51" i="2"/>
  <c r="CI91" i="1" l="1"/>
  <c r="CO90" i="1"/>
  <c r="CO91" i="1" s="1"/>
  <c r="CC91" i="1"/>
  <c r="BR88" i="1"/>
  <c r="BX88" i="1" s="1"/>
  <c r="CD88" i="1" s="1"/>
  <c r="CJ88" i="1" s="1"/>
  <c r="CP88" i="1" s="1"/>
  <c r="BR162" i="1"/>
  <c r="BR91" i="1"/>
  <c r="BR74" i="1"/>
  <c r="BR77" i="1" s="1"/>
  <c r="BR90" i="1"/>
  <c r="BX90" i="1" s="1"/>
  <c r="CD90" i="1" s="1"/>
  <c r="CJ90" i="1" s="1"/>
  <c r="BR108" i="1"/>
  <c r="BW74" i="1"/>
  <c r="CC74" i="1" s="1"/>
  <c r="CI74" i="1" s="1"/>
  <c r="BR57" i="4"/>
  <c r="BR45" i="4"/>
  <c r="BR41" i="4"/>
  <c r="BR74" i="4"/>
  <c r="BR53" i="4"/>
  <c r="BR65" i="4"/>
  <c r="BR49" i="4"/>
  <c r="BR61" i="4"/>
  <c r="BS61" i="4" s="1"/>
  <c r="BT61" i="4" s="1"/>
  <c r="BW91" i="1"/>
  <c r="BR54" i="3"/>
  <c r="BR53" i="3"/>
  <c r="BR49" i="3"/>
  <c r="BR14" i="3"/>
  <c r="BR24" i="3" s="1"/>
  <c r="BR64" i="3"/>
  <c r="BR59" i="3"/>
  <c r="BR72" i="3"/>
  <c r="BR55" i="4"/>
  <c r="BR76" i="4"/>
  <c r="BR77" i="4" s="1"/>
  <c r="BR78" i="4" s="1"/>
  <c r="BR63" i="4"/>
  <c r="BR43" i="4"/>
  <c r="BR72" i="4"/>
  <c r="BR51" i="4"/>
  <c r="BR59" i="4"/>
  <c r="BR39" i="4"/>
  <c r="BR47" i="4"/>
  <c r="BR84" i="4"/>
  <c r="BR81" i="4"/>
  <c r="BR82" i="4" s="1"/>
  <c r="BR68" i="4"/>
  <c r="BQ50" i="3"/>
  <c r="BQ24" i="3"/>
  <c r="BQ60" i="3"/>
  <c r="BQ78" i="3"/>
  <c r="BQ114" i="3"/>
  <c r="BQ132" i="3"/>
  <c r="BQ123" i="3"/>
  <c r="BQ56" i="3"/>
  <c r="BQ115" i="3"/>
  <c r="BQ124" i="3"/>
  <c r="BQ133" i="3"/>
  <c r="BQ57" i="3"/>
  <c r="BL55" i="3"/>
  <c r="BL98" i="3"/>
  <c r="BL105" i="3" s="1"/>
  <c r="BL119" i="3"/>
  <c r="BL110" i="3"/>
  <c r="BQ83" i="4"/>
  <c r="BQ77" i="4"/>
  <c r="BQ78" i="4" s="1"/>
  <c r="BH167" i="1"/>
  <c r="BH186" i="1"/>
  <c r="BH187" i="1"/>
  <c r="BH59" i="1" s="1"/>
  <c r="BQ61" i="4"/>
  <c r="BQ45" i="4"/>
  <c r="BQ74" i="4"/>
  <c r="BQ41" i="4"/>
  <c r="BQ49" i="4"/>
  <c r="BQ57" i="4"/>
  <c r="BQ53" i="4"/>
  <c r="BQ65" i="4"/>
  <c r="BQ68" i="4"/>
  <c r="BK105" i="3"/>
  <c r="BI78" i="4"/>
  <c r="BN69" i="4"/>
  <c r="BN68" i="4" s="1"/>
  <c r="BN90" i="1"/>
  <c r="BT90" i="1" s="1"/>
  <c r="BN91" i="1"/>
  <c r="BN88" i="1"/>
  <c r="BT88" i="1" s="1"/>
  <c r="BZ88" i="1" s="1"/>
  <c r="CF88" i="1" s="1"/>
  <c r="CL88" i="1" s="1"/>
  <c r="CR88" i="1" s="1"/>
  <c r="BN108" i="1"/>
  <c r="BN74" i="1"/>
  <c r="BN77" i="4"/>
  <c r="BN49" i="3"/>
  <c r="BN14" i="3"/>
  <c r="BN54" i="3"/>
  <c r="BN53" i="3"/>
  <c r="BN64" i="3"/>
  <c r="BN59" i="3"/>
  <c r="BN72" i="3"/>
  <c r="BN96" i="3" s="1"/>
  <c r="BN88" i="4"/>
  <c r="BN79" i="4" s="1"/>
  <c r="BO80" i="4"/>
  <c r="BY72" i="2"/>
  <c r="BZ68" i="2" s="1"/>
  <c r="BY80" i="2"/>
  <c r="BM22" i="3"/>
  <c r="BM64" i="1" s="1"/>
  <c r="CE90" i="1"/>
  <c r="CK90" i="1" s="1"/>
  <c r="BY91" i="1"/>
  <c r="BY74" i="1"/>
  <c r="BS77" i="1"/>
  <c r="BK83" i="3"/>
  <c r="BK65" i="3"/>
  <c r="BM35" i="3"/>
  <c r="BM66" i="3"/>
  <c r="BM67" i="3"/>
  <c r="BM63" i="3"/>
  <c r="BM98" i="3"/>
  <c r="BM105" i="3" s="1"/>
  <c r="BM128" i="3"/>
  <c r="BM110" i="3"/>
  <c r="BM119" i="3"/>
  <c r="BM55" i="3"/>
  <c r="BL76" i="4"/>
  <c r="BL72" i="4"/>
  <c r="BL111" i="3"/>
  <c r="BL120" i="3"/>
  <c r="BL99" i="3"/>
  <c r="BL129" i="3"/>
  <c r="BH46" i="3"/>
  <c r="BH69" i="3"/>
  <c r="BH85" i="3"/>
  <c r="BH58" i="1"/>
  <c r="BH143" i="3"/>
  <c r="BH91" i="3"/>
  <c r="BH57" i="1"/>
  <c r="BW19" i="4"/>
  <c r="BI106" i="3"/>
  <c r="BI58" i="3"/>
  <c r="BR75" i="3"/>
  <c r="BL51" i="4"/>
  <c r="BL47" i="4"/>
  <c r="BL84" i="4"/>
  <c r="BL34" i="4"/>
  <c r="BL55" i="4"/>
  <c r="BL63" i="4"/>
  <c r="BL43" i="4"/>
  <c r="BL39" i="4"/>
  <c r="BK68" i="3"/>
  <c r="BK36" i="3"/>
  <c r="BK38" i="3"/>
  <c r="BQ10" i="4"/>
  <c r="BK58" i="3"/>
  <c r="BK106" i="3"/>
  <c r="BW9" i="4"/>
  <c r="G16" i="10"/>
  <c r="G15" i="10"/>
  <c r="BG96" i="1"/>
  <c r="BG99" i="1" s="1"/>
  <c r="BG92" i="3"/>
  <c r="BG40" i="3"/>
  <c r="BI38" i="3"/>
  <c r="BI36" i="3"/>
  <c r="BI164" i="1" s="1"/>
  <c r="BI165" i="1" s="1"/>
  <c r="BI166" i="1" s="1"/>
  <c r="BI68" i="3"/>
  <c r="BG64" i="2"/>
  <c r="BG86" i="3"/>
  <c r="BT26" i="4"/>
  <c r="BT27" i="4"/>
  <c r="BU25" i="4"/>
  <c r="BU33" i="4" s="1"/>
  <c r="BL81" i="4"/>
  <c r="BL68" i="4"/>
  <c r="BK75" i="3"/>
  <c r="BK78" i="4"/>
  <c r="BS26" i="4"/>
  <c r="BS22" i="4"/>
  <c r="BS13" i="4"/>
  <c r="BS30" i="4"/>
  <c r="BS35" i="4"/>
  <c r="BS8" i="4"/>
  <c r="BS18" i="4"/>
  <c r="BU19" i="4"/>
  <c r="BI64" i="1"/>
  <c r="BB50" i="2"/>
  <c r="BG50" i="2"/>
  <c r="BX74" i="1" l="1"/>
  <c r="CD74" i="1" s="1"/>
  <c r="CJ74" i="1" s="1"/>
  <c r="BX91" i="1"/>
  <c r="CQ90" i="1"/>
  <c r="CQ91" i="1" s="1"/>
  <c r="CK91" i="1"/>
  <c r="CO74" i="1"/>
  <c r="CO77" i="1" s="1"/>
  <c r="CI77" i="1"/>
  <c r="CJ91" i="1"/>
  <c r="CP90" i="1"/>
  <c r="CP91" i="1" s="1"/>
  <c r="CC77" i="1"/>
  <c r="CD77" i="1"/>
  <c r="CE91" i="1"/>
  <c r="CD91" i="1"/>
  <c r="BW77" i="1"/>
  <c r="BQ102" i="3"/>
  <c r="BW114" i="3"/>
  <c r="BQ103" i="3"/>
  <c r="BW115" i="3"/>
  <c r="BR115" i="3"/>
  <c r="BR133" i="3"/>
  <c r="BR124" i="3"/>
  <c r="BR114" i="3"/>
  <c r="BR132" i="3"/>
  <c r="BR123" i="3"/>
  <c r="BR163" i="1"/>
  <c r="BR50" i="3"/>
  <c r="BR98" i="3" s="1"/>
  <c r="BR78" i="3"/>
  <c r="BR60" i="3"/>
  <c r="BR56" i="3"/>
  <c r="BR57" i="3"/>
  <c r="BQ35" i="3"/>
  <c r="BQ66" i="3"/>
  <c r="BQ163" i="1"/>
  <c r="BQ67" i="3"/>
  <c r="BQ63" i="3"/>
  <c r="BQ84" i="3"/>
  <c r="BQ98" i="3"/>
  <c r="BQ105" i="3" s="1"/>
  <c r="BQ110" i="3"/>
  <c r="BQ119" i="3"/>
  <c r="BQ128" i="3"/>
  <c r="BQ55" i="3"/>
  <c r="BN10" i="4"/>
  <c r="BN32" i="4"/>
  <c r="BN28" i="4"/>
  <c r="BI167" i="1"/>
  <c r="BI186" i="1"/>
  <c r="BI187" i="1"/>
  <c r="BI59" i="1" s="1"/>
  <c r="BK164" i="1"/>
  <c r="BK165" i="1" s="1"/>
  <c r="BK166" i="1" s="1"/>
  <c r="BN15" i="4"/>
  <c r="BN49" i="4"/>
  <c r="BN36" i="4"/>
  <c r="BN74" i="4"/>
  <c r="BN61" i="4"/>
  <c r="BN41" i="4"/>
  <c r="BN65" i="4"/>
  <c r="BN24" i="4"/>
  <c r="BN20" i="4"/>
  <c r="BN45" i="4"/>
  <c r="BN53" i="4"/>
  <c r="BQ36" i="4"/>
  <c r="BQ24" i="4"/>
  <c r="BQ32" i="4"/>
  <c r="BQ28" i="4"/>
  <c r="BX77" i="1"/>
  <c r="BN57" i="4"/>
  <c r="BQ15" i="4"/>
  <c r="BQ20" i="4"/>
  <c r="BO69" i="4"/>
  <c r="BO41" i="4" s="1"/>
  <c r="BL77" i="4"/>
  <c r="BN78" i="4"/>
  <c r="BT74" i="1"/>
  <c r="BN77" i="1"/>
  <c r="BT91" i="1"/>
  <c r="BZ90" i="1"/>
  <c r="BK58" i="1"/>
  <c r="BK57" i="1"/>
  <c r="BN123" i="3"/>
  <c r="BN132" i="3"/>
  <c r="BN114" i="3"/>
  <c r="BN102" i="3" s="1"/>
  <c r="BT56" i="3"/>
  <c r="BN56" i="3"/>
  <c r="BN82" i="4"/>
  <c r="BN83" i="4" s="1"/>
  <c r="BN124" i="3"/>
  <c r="BN115" i="3"/>
  <c r="BN103" i="3" s="1"/>
  <c r="BN133" i="3"/>
  <c r="BT57" i="3"/>
  <c r="BN57" i="3"/>
  <c r="BN50" i="3"/>
  <c r="BN24" i="3"/>
  <c r="BN163" i="1" s="1"/>
  <c r="BN60" i="3"/>
  <c r="BN78" i="3"/>
  <c r="BY40" i="2"/>
  <c r="BZ70" i="2"/>
  <c r="BZ71" i="2"/>
  <c r="CA71" i="2" s="1"/>
  <c r="CA77" i="2" s="1"/>
  <c r="CE74" i="1"/>
  <c r="CK74" i="1" s="1"/>
  <c r="BY77" i="1"/>
  <c r="BO71" i="4"/>
  <c r="BM106" i="3"/>
  <c r="BM58" i="3"/>
  <c r="BM68" i="3"/>
  <c r="BM36" i="3"/>
  <c r="BM164" i="1" s="1"/>
  <c r="BM165" i="1" s="1"/>
  <c r="BM166" i="1" s="1"/>
  <c r="BM167" i="1" s="1"/>
  <c r="BM38" i="3"/>
  <c r="BK74" i="3"/>
  <c r="BL88" i="4"/>
  <c r="BL82" i="4" s="1"/>
  <c r="BL83" i="4" s="1"/>
  <c r="BO86" i="4"/>
  <c r="BW33" i="4"/>
  <c r="BW27" i="4"/>
  <c r="G20" i="10"/>
  <c r="G19" i="10" s="1"/>
  <c r="G21" i="10" s="1"/>
  <c r="G29" i="10" s="1"/>
  <c r="BL72" i="3"/>
  <c r="BL96" i="3" s="1"/>
  <c r="BO58" i="4"/>
  <c r="BX9" i="4"/>
  <c r="BI69" i="3"/>
  <c r="BI143" i="3"/>
  <c r="BI46" i="3"/>
  <c r="BI91" i="3"/>
  <c r="BI58" i="1"/>
  <c r="BI85" i="3"/>
  <c r="BI57" i="1"/>
  <c r="BX19" i="4"/>
  <c r="BH40" i="3"/>
  <c r="BH92" i="3"/>
  <c r="BH96" i="1"/>
  <c r="BH99" i="1" s="1"/>
  <c r="BI99" i="1" s="1"/>
  <c r="BU27" i="4"/>
  <c r="BH64" i="2"/>
  <c r="BH86" i="3"/>
  <c r="BT22" i="4"/>
  <c r="BT30" i="4"/>
  <c r="BT13" i="4"/>
  <c r="BT35" i="4"/>
  <c r="BT8" i="4"/>
  <c r="BT18" i="4"/>
  <c r="BK143" i="3"/>
  <c r="BK85" i="3"/>
  <c r="BK46" i="3"/>
  <c r="BK69" i="3"/>
  <c r="BK91" i="3"/>
  <c r="BK96" i="1" s="1"/>
  <c r="BH49" i="2"/>
  <c r="BG51" i="2"/>
  <c r="BB51" i="2"/>
  <c r="CQ74" i="1" l="1"/>
  <c r="CQ77" i="1" s="1"/>
  <c r="CK77" i="1"/>
  <c r="CP74" i="1"/>
  <c r="CP77" i="1" s="1"/>
  <c r="CJ77" i="1"/>
  <c r="CE77" i="1"/>
  <c r="BR102" i="3"/>
  <c r="BX114" i="3"/>
  <c r="CC114" i="3"/>
  <c r="CI114" i="3" s="1"/>
  <c r="CO114" i="3" s="1"/>
  <c r="BW123" i="3"/>
  <c r="BW132" i="3"/>
  <c r="BW102" i="3"/>
  <c r="BW53" i="3" s="1"/>
  <c r="BR103" i="3"/>
  <c r="BX115" i="3"/>
  <c r="CC115" i="3"/>
  <c r="CI115" i="3" s="1"/>
  <c r="CO115" i="3" s="1"/>
  <c r="BW124" i="3"/>
  <c r="BW133" i="3"/>
  <c r="BW103" i="3"/>
  <c r="BW54" i="3" s="1"/>
  <c r="BR55" i="3"/>
  <c r="BR128" i="3"/>
  <c r="BR119" i="3"/>
  <c r="BR110" i="3"/>
  <c r="BR83" i="4"/>
  <c r="BR66" i="3"/>
  <c r="BR35" i="3"/>
  <c r="BQ106" i="3"/>
  <c r="BQ58" i="3"/>
  <c r="BQ68" i="3"/>
  <c r="BQ38" i="3"/>
  <c r="BQ36" i="3"/>
  <c r="BK167" i="1"/>
  <c r="BK186" i="1"/>
  <c r="BK187" i="1"/>
  <c r="BK59" i="1" s="1"/>
  <c r="BO28" i="4"/>
  <c r="BO49" i="4"/>
  <c r="BO24" i="4"/>
  <c r="BO10" i="4"/>
  <c r="BO20" i="4"/>
  <c r="BO15" i="4"/>
  <c r="BO57" i="4"/>
  <c r="BO32" i="4"/>
  <c r="BO53" i="4"/>
  <c r="BO36" i="4"/>
  <c r="BL73" i="3"/>
  <c r="BZ91" i="1"/>
  <c r="CF90" i="1"/>
  <c r="CL90" i="1" s="1"/>
  <c r="BZ74" i="1"/>
  <c r="BT77" i="1"/>
  <c r="BZ72" i="2"/>
  <c r="BN35" i="3"/>
  <c r="BN66" i="3"/>
  <c r="BN84" i="3"/>
  <c r="BN63" i="3"/>
  <c r="BN67" i="3"/>
  <c r="BN119" i="3"/>
  <c r="BN128" i="3"/>
  <c r="BN98" i="3"/>
  <c r="BN105" i="3" s="1"/>
  <c r="BN110" i="3"/>
  <c r="BN55" i="3"/>
  <c r="BZ80" i="2"/>
  <c r="CA70" i="2"/>
  <c r="BO73" i="4"/>
  <c r="BO74" i="4" s="1"/>
  <c r="BM69" i="3"/>
  <c r="BM46" i="3"/>
  <c r="BM64" i="2" s="1"/>
  <c r="BM51" i="4"/>
  <c r="BM43" i="4"/>
  <c r="BM39" i="4"/>
  <c r="BM55" i="4"/>
  <c r="BM63" i="4"/>
  <c r="BM47" i="4"/>
  <c r="BM59" i="4"/>
  <c r="BM34" i="4"/>
  <c r="BS79" i="4"/>
  <c r="BL79" i="4"/>
  <c r="BU26" i="4"/>
  <c r="BX27" i="4"/>
  <c r="BX33" i="4"/>
  <c r="G30" i="10"/>
  <c r="G31" i="10"/>
  <c r="G35" i="10"/>
  <c r="BY9" i="4"/>
  <c r="BI64" i="2"/>
  <c r="BI86" i="3"/>
  <c r="BW26" i="4"/>
  <c r="BW22" i="4"/>
  <c r="BW35" i="4"/>
  <c r="BW13" i="4"/>
  <c r="BW30" i="4"/>
  <c r="BW8" i="4"/>
  <c r="BW18" i="4"/>
  <c r="BK64" i="2"/>
  <c r="BK86" i="3"/>
  <c r="BL79" i="3"/>
  <c r="BL95" i="2"/>
  <c r="BL24" i="3"/>
  <c r="BK40" i="3"/>
  <c r="BK92" i="3"/>
  <c r="BO60" i="4"/>
  <c r="BO61" i="4" s="1"/>
  <c r="BL80" i="3"/>
  <c r="BL96" i="2"/>
  <c r="BY19" i="4"/>
  <c r="BI96" i="1"/>
  <c r="BI100" i="1" s="1"/>
  <c r="BI40" i="3"/>
  <c r="BI92" i="3"/>
  <c r="BU8" i="4"/>
  <c r="BU30" i="4"/>
  <c r="BU22" i="4"/>
  <c r="BU35" i="4"/>
  <c r="BU13" i="4"/>
  <c r="BU18" i="4"/>
  <c r="BO13" i="3"/>
  <c r="BO10" i="3"/>
  <c r="CA17" i="4"/>
  <c r="BH50" i="2"/>
  <c r="CL91" i="1" l="1"/>
  <c r="CR90" i="1"/>
  <c r="CR91" i="1" s="1"/>
  <c r="CF91" i="1"/>
  <c r="CI9" i="4"/>
  <c r="CI10" i="4" s="1"/>
  <c r="CO133" i="3"/>
  <c r="CO103" i="3"/>
  <c r="CO54" i="3" s="1"/>
  <c r="CO124" i="3"/>
  <c r="CO102" i="3"/>
  <c r="CO53" i="3" s="1"/>
  <c r="CO123" i="3"/>
  <c r="CO132" i="3"/>
  <c r="CI133" i="3"/>
  <c r="CI124" i="3"/>
  <c r="CI103" i="3"/>
  <c r="CI54" i="3" s="1"/>
  <c r="CI102" i="3"/>
  <c r="CI53" i="3" s="1"/>
  <c r="CI123" i="3"/>
  <c r="CI132" i="3"/>
  <c r="CD115" i="3"/>
  <c r="CJ115" i="3" s="1"/>
  <c r="CP115" i="3" s="1"/>
  <c r="BX103" i="3"/>
  <c r="BX54" i="3" s="1"/>
  <c r="BX133" i="3"/>
  <c r="BX124" i="3"/>
  <c r="CC102" i="3"/>
  <c r="CC53" i="3" s="1"/>
  <c r="CC123" i="3"/>
  <c r="CC132" i="3"/>
  <c r="BW57" i="3"/>
  <c r="CD114" i="3"/>
  <c r="CJ114" i="3" s="1"/>
  <c r="CP114" i="3" s="1"/>
  <c r="BX102" i="3"/>
  <c r="BX53" i="3" s="1"/>
  <c r="BX132" i="3"/>
  <c r="BX123" i="3"/>
  <c r="BW56" i="3"/>
  <c r="CC124" i="3"/>
  <c r="CC133" i="3"/>
  <c r="CC103" i="3"/>
  <c r="CC54" i="3" s="1"/>
  <c r="BR68" i="3"/>
  <c r="BR38" i="3"/>
  <c r="BR46" i="3" s="1"/>
  <c r="BR36" i="3"/>
  <c r="BR164" i="1" s="1"/>
  <c r="BR165" i="1" s="1"/>
  <c r="BR166" i="1" s="1"/>
  <c r="BR167" i="1" s="1"/>
  <c r="BQ164" i="1"/>
  <c r="BQ165" i="1" s="1"/>
  <c r="BQ166" i="1" s="1"/>
  <c r="BQ167" i="1" s="1"/>
  <c r="BQ91" i="3"/>
  <c r="BQ69" i="3"/>
  <c r="BQ143" i="3"/>
  <c r="BQ46" i="3"/>
  <c r="BQ85" i="3"/>
  <c r="BR63" i="3"/>
  <c r="BR67" i="3"/>
  <c r="BR84" i="3"/>
  <c r="BL163" i="1"/>
  <c r="BS75" i="3"/>
  <c r="CF74" i="1"/>
  <c r="CL74" i="1" s="1"/>
  <c r="BZ77" i="1"/>
  <c r="BO94" i="1"/>
  <c r="BK94" i="1"/>
  <c r="BK99" i="1" s="1"/>
  <c r="BN68" i="3"/>
  <c r="BN36" i="3"/>
  <c r="BN164" i="1" s="1"/>
  <c r="BN165" i="1" s="1"/>
  <c r="BN166" i="1" s="1"/>
  <c r="BN167" i="1" s="1"/>
  <c r="BN38" i="3"/>
  <c r="BN58" i="3"/>
  <c r="BN106" i="3"/>
  <c r="CA76" i="2"/>
  <c r="CA72" i="2"/>
  <c r="CC68" i="2" s="1"/>
  <c r="BZ40" i="2"/>
  <c r="CA80" i="2"/>
  <c r="BL28" i="3"/>
  <c r="BL22" i="3"/>
  <c r="BL64" i="1" s="1"/>
  <c r="CC9" i="4"/>
  <c r="CC19" i="4"/>
  <c r="BM72" i="3"/>
  <c r="BL75" i="3"/>
  <c r="BL74" i="3" s="1"/>
  <c r="BL78" i="4"/>
  <c r="BL66" i="3"/>
  <c r="BL63" i="3"/>
  <c r="BL67" i="3"/>
  <c r="BL35" i="3"/>
  <c r="BL36" i="3" s="1"/>
  <c r="BO16" i="3"/>
  <c r="BO52" i="3" s="1"/>
  <c r="BX13" i="4"/>
  <c r="BX35" i="4"/>
  <c r="BX30" i="4"/>
  <c r="BX22" i="4"/>
  <c r="BX8" i="4"/>
  <c r="BX18" i="4"/>
  <c r="BL76" i="3"/>
  <c r="BL35" i="2"/>
  <c r="BX26" i="4"/>
  <c r="BZ9" i="4"/>
  <c r="CA9" i="4"/>
  <c r="CA19" i="4"/>
  <c r="BI101" i="1"/>
  <c r="BY33" i="4"/>
  <c r="BY27" i="4"/>
  <c r="BZ19" i="4"/>
  <c r="BL94" i="2"/>
  <c r="BL97" i="2" s="1"/>
  <c r="BL99" i="2" s="1"/>
  <c r="BL77" i="3"/>
  <c r="BL81" i="3"/>
  <c r="BH51" i="2"/>
  <c r="CI57" i="3" l="1"/>
  <c r="CL77" i="1"/>
  <c r="CR74" i="1"/>
  <c r="CR77" i="1" s="1"/>
  <c r="CF77" i="1"/>
  <c r="CI56" i="3"/>
  <c r="CO57" i="3"/>
  <c r="CO56" i="3"/>
  <c r="CJ9" i="4"/>
  <c r="CJ10" i="4" s="1"/>
  <c r="CP123" i="3"/>
  <c r="CP132" i="3"/>
  <c r="CP102" i="3"/>
  <c r="CP53" i="3" s="1"/>
  <c r="CP103" i="3"/>
  <c r="CP54" i="3" s="1"/>
  <c r="CP57" i="3" s="1"/>
  <c r="CP124" i="3"/>
  <c r="CP133" i="3"/>
  <c r="CJ123" i="3"/>
  <c r="CJ132" i="3"/>
  <c r="CJ102" i="3"/>
  <c r="CJ53" i="3" s="1"/>
  <c r="CJ103" i="3"/>
  <c r="CJ54" i="3" s="1"/>
  <c r="CJ133" i="3"/>
  <c r="CJ124" i="3"/>
  <c r="BR143" i="3"/>
  <c r="CC56" i="3"/>
  <c r="CC57" i="3"/>
  <c r="BX56" i="3"/>
  <c r="CD132" i="3"/>
  <c r="CD123" i="3"/>
  <c r="CD102" i="3"/>
  <c r="CD53" i="3" s="1"/>
  <c r="BX57" i="3"/>
  <c r="CD124" i="3"/>
  <c r="CD133" i="3"/>
  <c r="CD103" i="3"/>
  <c r="CD54" i="3" s="1"/>
  <c r="BR69" i="3"/>
  <c r="BR64" i="2"/>
  <c r="BR91" i="3"/>
  <c r="BQ64" i="2"/>
  <c r="BQ86" i="3"/>
  <c r="BQ92" i="3"/>
  <c r="BQ96" i="1"/>
  <c r="BR58" i="3"/>
  <c r="BL164" i="1"/>
  <c r="BL165" i="1" s="1"/>
  <c r="BL166" i="1" s="1"/>
  <c r="BL167" i="1" s="1"/>
  <c r="BL83" i="3"/>
  <c r="BR24" i="4"/>
  <c r="BN69" i="3"/>
  <c r="BN46" i="3"/>
  <c r="BN91" i="3"/>
  <c r="BN85" i="3"/>
  <c r="BO130" i="3"/>
  <c r="BO112" i="3"/>
  <c r="BO121" i="3"/>
  <c r="BO100" i="3"/>
  <c r="CC27" i="4"/>
  <c r="CC33" i="4"/>
  <c r="CI35" i="4" s="1"/>
  <c r="CI36" i="4" s="1"/>
  <c r="CC70" i="2"/>
  <c r="CC80" i="2" s="1"/>
  <c r="CC40" i="2" s="1"/>
  <c r="CC71" i="2"/>
  <c r="CG68" i="2"/>
  <c r="CA40" i="2"/>
  <c r="BL65" i="3"/>
  <c r="BM96" i="3"/>
  <c r="BM79" i="3"/>
  <c r="CD9" i="4"/>
  <c r="CD19" i="4"/>
  <c r="BM35" i="2"/>
  <c r="BM95" i="2"/>
  <c r="BM80" i="3"/>
  <c r="BM96" i="2"/>
  <c r="BM74" i="3"/>
  <c r="BL58" i="3"/>
  <c r="BL106" i="3"/>
  <c r="BL68" i="3"/>
  <c r="BL38" i="3"/>
  <c r="BR85" i="3" s="1"/>
  <c r="BL31" i="1"/>
  <c r="BY26" i="4"/>
  <c r="BY22" i="4"/>
  <c r="BY35" i="4"/>
  <c r="BY13" i="4"/>
  <c r="BY30" i="4"/>
  <c r="BY18" i="4"/>
  <c r="BY8" i="4"/>
  <c r="BL78" i="3"/>
  <c r="BZ33" i="4"/>
  <c r="BZ26" i="4" s="1"/>
  <c r="BZ27" i="4"/>
  <c r="CA25" i="4"/>
  <c r="CJ56" i="3" l="1"/>
  <c r="CP56" i="3"/>
  <c r="CJ57" i="3"/>
  <c r="CK9" i="4"/>
  <c r="CK10" i="4" s="1"/>
  <c r="CC26" i="4"/>
  <c r="BR92" i="3"/>
  <c r="BR96" i="1"/>
  <c r="CD56" i="3"/>
  <c r="CD57" i="3"/>
  <c r="BR15" i="4"/>
  <c r="BR32" i="4"/>
  <c r="BR10" i="4"/>
  <c r="BR20" i="4"/>
  <c r="BR36" i="4"/>
  <c r="BR28" i="4"/>
  <c r="BL70" i="1"/>
  <c r="BL69" i="1"/>
  <c r="BN86" i="3"/>
  <c r="BN64" i="2"/>
  <c r="BN92" i="3"/>
  <c r="BN96" i="1"/>
  <c r="CC22" i="4"/>
  <c r="CD27" i="4"/>
  <c r="CC8" i="4"/>
  <c r="CC30" i="4"/>
  <c r="CC13" i="4"/>
  <c r="CC35" i="4"/>
  <c r="CC18" i="4"/>
  <c r="CC72" i="2"/>
  <c r="CD68" i="2" s="1"/>
  <c r="CD33" i="4"/>
  <c r="CJ35" i="4" s="1"/>
  <c r="CJ36" i="4" s="1"/>
  <c r="CE19" i="4"/>
  <c r="CE9" i="4"/>
  <c r="BM76" i="3"/>
  <c r="BM81" i="3"/>
  <c r="BL143" i="3"/>
  <c r="BL46" i="3"/>
  <c r="BR86" i="3" s="1"/>
  <c r="BL69" i="3"/>
  <c r="CA33" i="4"/>
  <c r="CA27" i="4"/>
  <c r="BM101" i="2"/>
  <c r="BL84" i="3"/>
  <c r="BL36" i="1"/>
  <c r="BZ30" i="4"/>
  <c r="BZ13" i="4"/>
  <c r="BZ22" i="4"/>
  <c r="BZ35" i="4"/>
  <c r="BZ8" i="4"/>
  <c r="BZ18" i="4"/>
  <c r="CD26" i="4" l="1"/>
  <c r="CL9" i="4"/>
  <c r="CL10" i="4" s="1"/>
  <c r="CG17" i="4"/>
  <c r="CM19" i="4" s="1"/>
  <c r="CM9" i="4"/>
  <c r="BR16" i="3"/>
  <c r="BR52" i="3" s="1"/>
  <c r="BR100" i="3" s="1"/>
  <c r="BS69" i="4"/>
  <c r="BS28" i="4" s="1"/>
  <c r="CE33" i="4"/>
  <c r="CK35" i="4" s="1"/>
  <c r="CK36" i="4" s="1"/>
  <c r="CD8" i="4"/>
  <c r="CD22" i="4"/>
  <c r="CD18" i="4"/>
  <c r="CE27" i="4"/>
  <c r="CD35" i="4"/>
  <c r="CD71" i="2"/>
  <c r="CD70" i="2"/>
  <c r="CD80" i="2" s="1"/>
  <c r="CD40" i="2" s="1"/>
  <c r="CD30" i="4"/>
  <c r="CD13" i="4"/>
  <c r="CG9" i="4"/>
  <c r="CF9" i="4"/>
  <c r="CF19" i="4"/>
  <c r="BL64" i="2"/>
  <c r="BL64" i="3"/>
  <c r="CA26" i="4"/>
  <c r="CA22" i="4"/>
  <c r="CA30" i="4"/>
  <c r="CA35" i="4"/>
  <c r="CA13" i="4"/>
  <c r="CA8" i="4"/>
  <c r="CA18" i="4"/>
  <c r="CG19" i="4" l="1"/>
  <c r="CE8" i="4"/>
  <c r="BS52" i="3"/>
  <c r="BR121" i="3"/>
  <c r="BR112" i="3"/>
  <c r="BR130" i="3"/>
  <c r="BS53" i="4"/>
  <c r="BS36" i="4"/>
  <c r="BS10" i="4"/>
  <c r="CE35" i="4"/>
  <c r="BS41" i="4"/>
  <c r="BS20" i="4"/>
  <c r="BS60" i="4"/>
  <c r="BS58" i="4" s="1"/>
  <c r="BS15" i="4"/>
  <c r="BS57" i="4"/>
  <c r="BS32" i="4"/>
  <c r="BS73" i="4"/>
  <c r="BS71" i="4" s="1"/>
  <c r="BS49" i="4"/>
  <c r="BS24" i="4"/>
  <c r="CE13" i="4"/>
  <c r="CD72" i="2"/>
  <c r="CE68" i="2" s="1"/>
  <c r="CE70" i="2" s="1"/>
  <c r="CE26" i="4"/>
  <c r="CE30" i="4"/>
  <c r="CE18" i="4"/>
  <c r="CE22" i="4"/>
  <c r="CG25" i="4"/>
  <c r="CM27" i="4" s="1"/>
  <c r="CF33" i="4"/>
  <c r="CL35" i="4" s="1"/>
  <c r="CL36" i="4" s="1"/>
  <c r="CF27" i="4"/>
  <c r="BL91" i="3"/>
  <c r="BL96" i="1" s="1"/>
  <c r="BN101" i="2"/>
  <c r="BN22" i="3" s="1"/>
  <c r="BN64" i="1" s="1"/>
  <c r="BL85" i="3"/>
  <c r="CF26" i="4" l="1"/>
  <c r="BT52" i="3"/>
  <c r="BS112" i="3"/>
  <c r="CE71" i="2"/>
  <c r="CE72" i="2" s="1"/>
  <c r="CF68" i="2" s="1"/>
  <c r="CF71" i="2" s="1"/>
  <c r="CG71" i="2" s="1"/>
  <c r="CG77" i="2" s="1"/>
  <c r="BS10" i="3"/>
  <c r="CF18" i="4"/>
  <c r="CF35" i="4"/>
  <c r="CG27" i="4"/>
  <c r="CG33" i="4"/>
  <c r="CM35" i="4" s="1"/>
  <c r="CE80" i="2"/>
  <c r="CF30" i="4"/>
  <c r="CF8" i="4"/>
  <c r="CF22" i="4"/>
  <c r="CF13" i="4"/>
  <c r="BO9" i="2"/>
  <c r="BL86" i="3"/>
  <c r="BO101" i="2"/>
  <c r="BL92" i="3"/>
  <c r="BW52" i="3" l="1"/>
  <c r="BT112" i="3"/>
  <c r="BS121" i="3"/>
  <c r="BS130" i="3"/>
  <c r="BS100" i="3"/>
  <c r="BS16" i="3"/>
  <c r="BS13" i="3" s="1"/>
  <c r="CG26" i="4"/>
  <c r="CF70" i="2"/>
  <c r="CF80" i="2" s="1"/>
  <c r="CF40" i="2" s="1"/>
  <c r="CG18" i="4"/>
  <c r="CG30" i="4"/>
  <c r="CG8" i="4"/>
  <c r="CG22" i="4"/>
  <c r="CG35" i="4"/>
  <c r="CG13" i="4"/>
  <c r="CE40" i="2"/>
  <c r="H23" i="10"/>
  <c r="BL27" i="2"/>
  <c r="BL81" i="1" s="1"/>
  <c r="BX52" i="3" l="1"/>
  <c r="BW112" i="3"/>
  <c r="BT121" i="3"/>
  <c r="BT130" i="3"/>
  <c r="BT100" i="3"/>
  <c r="CG80" i="2"/>
  <c r="CG70" i="2"/>
  <c r="CF72" i="2"/>
  <c r="CG40" i="2"/>
  <c r="BL54" i="2"/>
  <c r="BL44" i="1"/>
  <c r="BL177" i="1" s="1"/>
  <c r="BU113" i="1"/>
  <c r="BL48" i="2"/>
  <c r="BL80" i="1" s="1"/>
  <c r="BY52" i="3" l="1"/>
  <c r="BX112" i="3"/>
  <c r="BW121" i="3"/>
  <c r="BW130" i="3"/>
  <c r="BW100" i="3"/>
  <c r="CG72" i="2"/>
  <c r="CG76" i="2"/>
  <c r="BL100" i="1"/>
  <c r="BL57" i="1"/>
  <c r="BL40" i="3"/>
  <c r="BL82" i="1"/>
  <c r="BL55" i="2"/>
  <c r="BL83" i="1" s="1"/>
  <c r="BL50" i="2"/>
  <c r="BL45" i="1"/>
  <c r="BL65" i="1" s="1"/>
  <c r="BZ52" i="3" l="1"/>
  <c r="BY112" i="3"/>
  <c r="BX100" i="3"/>
  <c r="BX130" i="3"/>
  <c r="BX121" i="3"/>
  <c r="BL101" i="1"/>
  <c r="BM94" i="1"/>
  <c r="BL99" i="1"/>
  <c r="BL56" i="2"/>
  <c r="BM49" i="2"/>
  <c r="CC52" i="3" l="1"/>
  <c r="BZ112" i="3"/>
  <c r="BY121" i="3"/>
  <c r="BY130" i="3"/>
  <c r="BY100" i="3"/>
  <c r="BL51" i="2"/>
  <c r="BL15" i="1"/>
  <c r="BL149" i="1"/>
  <c r="CD52" i="3" l="1"/>
  <c r="CC112" i="3"/>
  <c r="BZ130" i="3"/>
  <c r="BZ121" i="3"/>
  <c r="BZ100" i="3"/>
  <c r="BL68" i="1"/>
  <c r="BL71" i="1"/>
  <c r="BL151" i="1"/>
  <c r="BL24" i="1"/>
  <c r="CE52" i="3" l="1"/>
  <c r="CD112" i="3"/>
  <c r="CC100" i="3"/>
  <c r="CC121" i="3"/>
  <c r="CC130" i="3"/>
  <c r="BL183" i="1"/>
  <c r="BL184" i="1"/>
  <c r="BL53" i="1"/>
  <c r="BL58" i="1"/>
  <c r="BL47" i="1"/>
  <c r="BL54" i="1" l="1"/>
  <c r="BR54" i="1"/>
  <c r="CF52" i="3"/>
  <c r="CI52" i="3" s="1"/>
  <c r="CE112" i="3"/>
  <c r="CD130" i="3"/>
  <c r="CD121" i="3"/>
  <c r="CD100" i="3"/>
  <c r="BL187" i="1"/>
  <c r="BL59" i="1" s="1"/>
  <c r="BL186" i="1"/>
  <c r="CJ52" i="3" l="1"/>
  <c r="CF112" i="3"/>
  <c r="CE130" i="3"/>
  <c r="CE121" i="3"/>
  <c r="CE100" i="3"/>
  <c r="CK52" i="3" l="1"/>
  <c r="CI112" i="3"/>
  <c r="CF100" i="3"/>
  <c r="CF130" i="3"/>
  <c r="CF121" i="3"/>
  <c r="CL52" i="3" l="1"/>
  <c r="CI130" i="3"/>
  <c r="CI100" i="3"/>
  <c r="CI121" i="3"/>
  <c r="CJ112" i="3"/>
  <c r="CO52" i="3" l="1"/>
  <c r="CJ130" i="3"/>
  <c r="CJ100" i="3"/>
  <c r="CJ121" i="3"/>
  <c r="CK112" i="3"/>
  <c r="BM94" i="2"/>
  <c r="BM97" i="2" s="1"/>
  <c r="BM99" i="2" s="1"/>
  <c r="BM77" i="3"/>
  <c r="CP52" i="3" l="1"/>
  <c r="CO112" i="3"/>
  <c r="CK130" i="3"/>
  <c r="CK121" i="3"/>
  <c r="CK100" i="3"/>
  <c r="CL112" i="3"/>
  <c r="BM31" i="1"/>
  <c r="BM78" i="3"/>
  <c r="CQ52" i="3" l="1"/>
  <c r="CO130" i="3"/>
  <c r="CO121" i="3"/>
  <c r="CO100" i="3"/>
  <c r="CP112" i="3"/>
  <c r="CL100" i="3"/>
  <c r="CL121" i="3"/>
  <c r="CL130" i="3"/>
  <c r="BM69" i="1"/>
  <c r="BM70" i="1"/>
  <c r="BM19" i="2"/>
  <c r="BM36" i="1"/>
  <c r="BM84" i="3"/>
  <c r="CR52" i="3" l="1"/>
  <c r="CQ112" i="3"/>
  <c r="CP130" i="3"/>
  <c r="CP121" i="3"/>
  <c r="CP100" i="3"/>
  <c r="BM27" i="2"/>
  <c r="BM81" i="1" s="1"/>
  <c r="BM143" i="3"/>
  <c r="CR112" i="3" l="1"/>
  <c r="CQ130" i="3"/>
  <c r="CQ100" i="3"/>
  <c r="CQ121" i="3"/>
  <c r="BM85" i="3"/>
  <c r="BM91" i="3"/>
  <c r="BM96" i="1" s="1"/>
  <c r="CR100" i="3" l="1"/>
  <c r="CR121" i="3"/>
  <c r="CR130" i="3"/>
  <c r="BM92" i="3"/>
  <c r="BM86" i="3"/>
  <c r="BM48" i="2" l="1"/>
  <c r="BM80" i="1" s="1"/>
  <c r="BM44" i="1"/>
  <c r="BM177" i="1" s="1"/>
  <c r="BM100" i="1" l="1"/>
  <c r="BM57" i="1"/>
  <c r="BM54" i="2"/>
  <c r="BM50" i="2"/>
  <c r="BM45" i="1"/>
  <c r="BM65" i="1" s="1"/>
  <c r="BM101" i="1" l="1"/>
  <c r="BN94" i="1"/>
  <c r="BM99" i="1"/>
  <c r="BM82" i="1"/>
  <c r="BM40" i="3"/>
  <c r="BM55" i="2"/>
  <c r="BM83" i="1" s="1"/>
  <c r="BN49" i="2"/>
  <c r="BM51" i="2"/>
  <c r="BM56" i="2" l="1"/>
  <c r="BM15" i="1"/>
  <c r="BM71" i="1" l="1"/>
  <c r="BM68" i="1"/>
  <c r="BM24" i="1"/>
  <c r="BM184" i="1" l="1"/>
  <c r="BM183" i="1"/>
  <c r="BM53" i="1"/>
  <c r="BM54" i="1" s="1"/>
  <c r="BM58" i="1"/>
  <c r="BO29" i="3"/>
  <c r="BM47" i="1"/>
  <c r="BM186" i="1" l="1"/>
  <c r="BM187" i="1"/>
  <c r="BM59" i="1" s="1"/>
  <c r="BO33" i="3"/>
  <c r="H33" i="72" l="1"/>
  <c r="J14" i="72"/>
  <c r="J30" i="72"/>
  <c r="J32" i="72"/>
  <c r="J33" i="72"/>
  <c r="J26" i="72" l="1"/>
  <c r="K14" i="72"/>
  <c r="K29" i="72"/>
  <c r="K30" i="72"/>
  <c r="K32" i="72"/>
  <c r="K33" i="72"/>
  <c r="K40" i="72"/>
  <c r="K26" i="72" l="1"/>
  <c r="M29" i="72"/>
  <c r="P29" i="72" l="1"/>
  <c r="Q29" i="72" l="1"/>
  <c r="S29" i="72"/>
  <c r="BO42" i="4" l="1"/>
  <c r="BO44" i="4" l="1"/>
  <c r="BO45" i="4" s="1"/>
  <c r="BO62" i="4" l="1"/>
  <c r="L10" i="72"/>
  <c r="L12" i="72" s="1"/>
  <c r="L14" i="72" l="1"/>
  <c r="L15" i="72"/>
  <c r="M38" i="72"/>
  <c r="BO66" i="4"/>
  <c r="BO67" i="4" s="1"/>
  <c r="M8" i="72"/>
  <c r="L38" i="72"/>
  <c r="L23" i="72"/>
  <c r="AH8" i="72" l="1"/>
  <c r="N9" i="72"/>
  <c r="N38" i="72" s="1"/>
  <c r="BO75" i="4"/>
  <c r="BO68" i="4"/>
  <c r="BO81" i="4"/>
  <c r="BO87" i="4"/>
  <c r="BO88" i="4"/>
  <c r="BO79" i="4" s="1"/>
  <c r="M27" i="72"/>
  <c r="M10" i="72"/>
  <c r="N8" i="72"/>
  <c r="M30" i="72"/>
  <c r="M26" i="72" s="1"/>
  <c r="M37" i="72"/>
  <c r="M23" i="72"/>
  <c r="BO64" i="4"/>
  <c r="BO65" i="4" s="1"/>
  <c r="L24" i="72"/>
  <c r="L25" i="72" s="1"/>
  <c r="L28" i="72"/>
  <c r="L39" i="72"/>
  <c r="V11" i="72"/>
  <c r="P38" i="72"/>
  <c r="Q38" i="72"/>
  <c r="P8" i="72"/>
  <c r="P23" i="72" s="1"/>
  <c r="AH10" i="72" l="1"/>
  <c r="AH24" i="72" s="1"/>
  <c r="AH23" i="72"/>
  <c r="N23" i="72"/>
  <c r="BO76" i="4"/>
  <c r="BO72" i="4"/>
  <c r="BW25" i="3"/>
  <c r="V29" i="72"/>
  <c r="BO82" i="4"/>
  <c r="BO83" i="4" s="1"/>
  <c r="N10" i="72"/>
  <c r="N39" i="72" s="1"/>
  <c r="BT79" i="4"/>
  <c r="BN34" i="4"/>
  <c r="M24" i="72"/>
  <c r="M25" i="72" s="1"/>
  <c r="M28" i="72"/>
  <c r="M12" i="72"/>
  <c r="BN28" i="3" s="1"/>
  <c r="M39" i="72"/>
  <c r="N37" i="72"/>
  <c r="N27" i="72"/>
  <c r="BO9" i="3"/>
  <c r="BO75" i="3"/>
  <c r="BN75" i="3"/>
  <c r="BO90" i="3"/>
  <c r="W11" i="72"/>
  <c r="P30" i="72"/>
  <c r="P26" i="72" s="1"/>
  <c r="P10" i="72"/>
  <c r="P27" i="72"/>
  <c r="P37" i="72"/>
  <c r="BU87" i="4"/>
  <c r="R38" i="72"/>
  <c r="AI8" i="72" l="1"/>
  <c r="AJ8" i="72"/>
  <c r="BT75" i="3"/>
  <c r="W29" i="72"/>
  <c r="BX25" i="3"/>
  <c r="Q8" i="72"/>
  <c r="BO77" i="4"/>
  <c r="BN73" i="3"/>
  <c r="BN83" i="3"/>
  <c r="BN65" i="3"/>
  <c r="N24" i="72"/>
  <c r="N25" i="72" s="1"/>
  <c r="N28" i="72"/>
  <c r="BO59" i="4"/>
  <c r="BO63" i="4"/>
  <c r="M15" i="72"/>
  <c r="M33" i="72"/>
  <c r="M32" i="72"/>
  <c r="M14" i="72"/>
  <c r="M31" i="72"/>
  <c r="BO8" i="3"/>
  <c r="BO43" i="4"/>
  <c r="BO39" i="4"/>
  <c r="BO47" i="4"/>
  <c r="BO34" i="4"/>
  <c r="BO51" i="4"/>
  <c r="BO55" i="4"/>
  <c r="BO84" i="4"/>
  <c r="BO12" i="3"/>
  <c r="BO15" i="3" s="1"/>
  <c r="BO51" i="3" s="1"/>
  <c r="BO78" i="4"/>
  <c r="BU88" i="4"/>
  <c r="BU79" i="4" s="1"/>
  <c r="P24" i="72"/>
  <c r="P25" i="72" s="1"/>
  <c r="P28" i="72"/>
  <c r="P12" i="72"/>
  <c r="P39" i="72"/>
  <c r="S38" i="72"/>
  <c r="T9" i="72"/>
  <c r="AJ23" i="72" l="1"/>
  <c r="AJ10" i="72"/>
  <c r="AJ24" i="72" s="1"/>
  <c r="AI10" i="72"/>
  <c r="AI24" i="72" s="1"/>
  <c r="AI23" i="72"/>
  <c r="AN8" i="72"/>
  <c r="BO162" i="1"/>
  <c r="BU75" i="3"/>
  <c r="BQ75" i="3"/>
  <c r="BO74" i="1"/>
  <c r="BO108" i="1"/>
  <c r="BS64" i="4"/>
  <c r="BS65" i="4" s="1"/>
  <c r="R8" i="72"/>
  <c r="Q23" i="72"/>
  <c r="Q27" i="72"/>
  <c r="Q30" i="72"/>
  <c r="Q26" i="72" s="1"/>
  <c r="Q37" i="72"/>
  <c r="Q10" i="72"/>
  <c r="BO132" i="3"/>
  <c r="BO124" i="3"/>
  <c r="BO133" i="3"/>
  <c r="BO123" i="3"/>
  <c r="BN74" i="3"/>
  <c r="BN76" i="3"/>
  <c r="BO129" i="3"/>
  <c r="BO111" i="3"/>
  <c r="BO120" i="3"/>
  <c r="BO99" i="3"/>
  <c r="BN96" i="2"/>
  <c r="BO19" i="3"/>
  <c r="BN94" i="2"/>
  <c r="BO11" i="3"/>
  <c r="BO18" i="3"/>
  <c r="BN95" i="2"/>
  <c r="BO30" i="1"/>
  <c r="BO12" i="1"/>
  <c r="BO59" i="3"/>
  <c r="H12" i="10"/>
  <c r="BO72" i="3"/>
  <c r="BO96" i="3" s="1"/>
  <c r="BO10" i="1"/>
  <c r="BO88" i="1" s="1"/>
  <c r="M20" i="72"/>
  <c r="M34" i="72"/>
  <c r="P14" i="72"/>
  <c r="P31" i="72"/>
  <c r="P15" i="72"/>
  <c r="P32" i="72"/>
  <c r="P33" i="72"/>
  <c r="T38" i="72"/>
  <c r="V38" i="72"/>
  <c r="AN27" i="72" l="1"/>
  <c r="AN37" i="72"/>
  <c r="AN10" i="72"/>
  <c r="AN23" i="72"/>
  <c r="CO64" i="4"/>
  <c r="CO65" i="4" s="1"/>
  <c r="AK8" i="72"/>
  <c r="BO14" i="3"/>
  <c r="BO75" i="1"/>
  <c r="BO76" i="1"/>
  <c r="Y11" i="72"/>
  <c r="Q24" i="72"/>
  <c r="Q25" i="72" s="1"/>
  <c r="Q12" i="72"/>
  <c r="BR28" i="3" s="1"/>
  <c r="Q28" i="72"/>
  <c r="Q39" i="72"/>
  <c r="R23" i="72"/>
  <c r="R37" i="72"/>
  <c r="R10" i="72"/>
  <c r="R27" i="72"/>
  <c r="S8" i="72"/>
  <c r="BU62" i="4"/>
  <c r="BT64" i="4"/>
  <c r="BN97" i="2"/>
  <c r="BN99" i="2" s="1"/>
  <c r="BO76" i="3"/>
  <c r="BN35" i="2"/>
  <c r="BO30" i="2"/>
  <c r="M42" i="72"/>
  <c r="M41" i="72"/>
  <c r="H13" i="10"/>
  <c r="H24" i="10"/>
  <c r="BO79" i="3"/>
  <c r="BO53" i="3"/>
  <c r="BO114" i="3" s="1"/>
  <c r="BO102" i="3" s="1"/>
  <c r="BO62" i="3"/>
  <c r="BO95" i="2"/>
  <c r="BO20" i="3"/>
  <c r="BO49" i="3"/>
  <c r="BO94" i="2"/>
  <c r="BO77" i="3"/>
  <c r="BO61" i="3"/>
  <c r="BO54" i="3"/>
  <c r="BO115" i="3" s="1"/>
  <c r="BO103" i="3" s="1"/>
  <c r="BO96" i="2"/>
  <c r="BO80" i="3"/>
  <c r="BO20" i="2"/>
  <c r="BO21" i="2"/>
  <c r="BO73" i="3"/>
  <c r="BO27" i="1"/>
  <c r="BO74" i="3"/>
  <c r="BO11" i="1"/>
  <c r="BO26" i="2"/>
  <c r="W38" i="72"/>
  <c r="P34" i="72"/>
  <c r="P20" i="72"/>
  <c r="AN28" i="72" l="1"/>
  <c r="AN24" i="72"/>
  <c r="AN25" i="72" s="1"/>
  <c r="AN39" i="72"/>
  <c r="AK23" i="72"/>
  <c r="AK10" i="72"/>
  <c r="AK24" i="72" s="1"/>
  <c r="AL8" i="72"/>
  <c r="AO8" i="72"/>
  <c r="CM62" i="4"/>
  <c r="AP8" i="72"/>
  <c r="AB11" i="72"/>
  <c r="BR65" i="3"/>
  <c r="BR83" i="3"/>
  <c r="BO78" i="3"/>
  <c r="BO60" i="3"/>
  <c r="BO50" i="3"/>
  <c r="BO55" i="3" s="1"/>
  <c r="BO77" i="1"/>
  <c r="BO90" i="1"/>
  <c r="Y29" i="72"/>
  <c r="BZ25" i="3"/>
  <c r="BU64" i="4"/>
  <c r="AB29" i="72"/>
  <c r="Q31" i="72"/>
  <c r="Q15" i="72"/>
  <c r="Q32" i="72"/>
  <c r="Q14" i="72"/>
  <c r="Q33" i="72"/>
  <c r="R28" i="72"/>
  <c r="R24" i="72"/>
  <c r="R25" i="72" s="1"/>
  <c r="R39" i="72"/>
  <c r="S30" i="72"/>
  <c r="S26" i="72" s="1"/>
  <c r="S10" i="72"/>
  <c r="S23" i="72"/>
  <c r="S27" i="72"/>
  <c r="S37" i="72"/>
  <c r="BW64" i="4"/>
  <c r="V8" i="72"/>
  <c r="T8" i="72"/>
  <c r="BO97" i="2"/>
  <c r="BO99" i="2" s="1"/>
  <c r="BN31" i="1"/>
  <c r="BO28" i="1"/>
  <c r="BO87" i="1" s="1"/>
  <c r="BO17" i="1"/>
  <c r="BO14" i="1"/>
  <c r="BO91" i="1" s="1"/>
  <c r="BO13" i="1"/>
  <c r="BO57" i="3"/>
  <c r="BO81" i="3"/>
  <c r="BU80" i="4"/>
  <c r="BT69" i="4"/>
  <c r="H27" i="10"/>
  <c r="H28" i="10" s="1"/>
  <c r="BO35" i="2"/>
  <c r="BO23" i="2"/>
  <c r="BO56" i="3"/>
  <c r="BO24" i="2"/>
  <c r="BO24" i="3"/>
  <c r="P42" i="72"/>
  <c r="P41" i="72"/>
  <c r="X38" i="72"/>
  <c r="Z9" i="72"/>
  <c r="AL23" i="72" l="1"/>
  <c r="AL10" i="72"/>
  <c r="AL24" i="72" s="1"/>
  <c r="AP27" i="72"/>
  <c r="AP37" i="72"/>
  <c r="AP23" i="72"/>
  <c r="AP10" i="72"/>
  <c r="AO27" i="72"/>
  <c r="AO37" i="72"/>
  <c r="AO23" i="72"/>
  <c r="AO10" i="72"/>
  <c r="CC25" i="3"/>
  <c r="AH11" i="72"/>
  <c r="CQ64" i="4"/>
  <c r="CQ65" i="4" s="1"/>
  <c r="CP64" i="4"/>
  <c r="CP65" i="4" s="1"/>
  <c r="AC11" i="72"/>
  <c r="BO163" i="1"/>
  <c r="BO89" i="1"/>
  <c r="BO171" i="1"/>
  <c r="BO119" i="3"/>
  <c r="BO110" i="3"/>
  <c r="BO128" i="3"/>
  <c r="BO98" i="3"/>
  <c r="BO105" i="3" s="1"/>
  <c r="BU69" i="4"/>
  <c r="BU36" i="4" s="1"/>
  <c r="BO120" i="1"/>
  <c r="BN70" i="1"/>
  <c r="BN69" i="1"/>
  <c r="T23" i="72"/>
  <c r="T37" i="72"/>
  <c r="T27" i="72"/>
  <c r="T10" i="72"/>
  <c r="Q20" i="72"/>
  <c r="Q34" i="72"/>
  <c r="V23" i="72"/>
  <c r="V37" i="72"/>
  <c r="V10" i="72"/>
  <c r="V27" i="72"/>
  <c r="V30" i="72"/>
  <c r="V26" i="72" s="1"/>
  <c r="BX64" i="4"/>
  <c r="W8" i="72"/>
  <c r="S12" i="72"/>
  <c r="S39" i="72"/>
  <c r="S28" i="72"/>
  <c r="S24" i="72"/>
  <c r="S25" i="72" s="1"/>
  <c r="BO11" i="2"/>
  <c r="BO41" i="1"/>
  <c r="BO22" i="3"/>
  <c r="BO25" i="2"/>
  <c r="BN36" i="1"/>
  <c r="BO16" i="2"/>
  <c r="BO31" i="1"/>
  <c r="BT36" i="4"/>
  <c r="BT73" i="4"/>
  <c r="BT71" i="4" s="1"/>
  <c r="BT20" i="4"/>
  <c r="BT60" i="4"/>
  <c r="BT58" i="4" s="1"/>
  <c r="BT41" i="4"/>
  <c r="BT28" i="4"/>
  <c r="BT57" i="4"/>
  <c r="BT10" i="4"/>
  <c r="BT15" i="4"/>
  <c r="BT24" i="4"/>
  <c r="BT32" i="4"/>
  <c r="BT53" i="4"/>
  <c r="BT65" i="4"/>
  <c r="BT49" i="4"/>
  <c r="BO37" i="3"/>
  <c r="H14" i="10"/>
  <c r="BO63" i="3"/>
  <c r="BO66" i="3"/>
  <c r="BO106" i="3" s="1"/>
  <c r="BO67" i="3"/>
  <c r="BO35" i="3"/>
  <c r="BO84" i="3"/>
  <c r="BN19" i="2"/>
  <c r="BO22" i="2"/>
  <c r="BU106" i="1"/>
  <c r="Z38" i="72"/>
  <c r="Y38" i="72"/>
  <c r="AO28" i="72" l="1"/>
  <c r="AO24" i="72"/>
  <c r="AO25" i="72" s="1"/>
  <c r="AO39" i="72"/>
  <c r="AP28" i="72"/>
  <c r="AP39" i="72"/>
  <c r="AP24" i="72"/>
  <c r="AP25" i="72" s="1"/>
  <c r="CI25" i="3"/>
  <c r="AH29" i="72"/>
  <c r="AN11" i="72"/>
  <c r="AH30" i="72"/>
  <c r="AH12" i="72"/>
  <c r="CD25" i="3"/>
  <c r="AI11" i="72"/>
  <c r="AQ8" i="72"/>
  <c r="AC29" i="72"/>
  <c r="AE11" i="72"/>
  <c r="BQ95" i="1"/>
  <c r="BU57" i="4"/>
  <c r="BU10" i="4"/>
  <c r="BU15" i="4"/>
  <c r="BU20" i="4"/>
  <c r="BU53" i="4"/>
  <c r="BU32" i="4"/>
  <c r="BU65" i="4"/>
  <c r="BU24" i="4"/>
  <c r="BU41" i="4"/>
  <c r="BU28" i="4"/>
  <c r="BU49" i="4"/>
  <c r="V39" i="72"/>
  <c r="V12" i="72"/>
  <c r="V24" i="72"/>
  <c r="V25" i="72" s="1"/>
  <c r="V28" i="72"/>
  <c r="Q41" i="72"/>
  <c r="Q42" i="72"/>
  <c r="X8" i="72"/>
  <c r="BY64" i="4"/>
  <c r="T39" i="72"/>
  <c r="T24" i="72"/>
  <c r="T25" i="72" s="1"/>
  <c r="T28" i="72"/>
  <c r="S33" i="72"/>
  <c r="S32" i="72"/>
  <c r="S15" i="72"/>
  <c r="S31" i="72"/>
  <c r="S14" i="72"/>
  <c r="W27" i="72"/>
  <c r="W30" i="72"/>
  <c r="W26" i="72" s="1"/>
  <c r="W23" i="72"/>
  <c r="W10" i="72"/>
  <c r="W37" i="72"/>
  <c r="BQ22" i="3"/>
  <c r="BQ64" i="1" s="1"/>
  <c r="BO19" i="2"/>
  <c r="BN143" i="3"/>
  <c r="BO58" i="3"/>
  <c r="BO68" i="3"/>
  <c r="BO36" i="1"/>
  <c r="BU58" i="4"/>
  <c r="BO38" i="3"/>
  <c r="BO36" i="3"/>
  <c r="BO164" i="1" s="1"/>
  <c r="BO165" i="1" s="1"/>
  <c r="BO166" i="1" s="1"/>
  <c r="BO167" i="1" s="1"/>
  <c r="H15" i="10"/>
  <c r="H16" i="10"/>
  <c r="BT10" i="3"/>
  <c r="BU71" i="4"/>
  <c r="AI38" i="72"/>
  <c r="AB38" i="72"/>
  <c r="AQ37" i="72" l="1"/>
  <c r="AQ27" i="72"/>
  <c r="AQ23" i="72"/>
  <c r="AQ10" i="72"/>
  <c r="AR8" i="72"/>
  <c r="CJ25" i="3"/>
  <c r="AI30" i="72"/>
  <c r="AO11" i="72"/>
  <c r="AI29" i="72"/>
  <c r="AI12" i="72"/>
  <c r="CF25" i="3"/>
  <c r="AK11" i="72"/>
  <c r="AH33" i="72"/>
  <c r="AH15" i="72"/>
  <c r="AH31" i="72"/>
  <c r="AH14" i="72"/>
  <c r="AN30" i="72"/>
  <c r="AN26" i="72" s="1"/>
  <c r="AN29" i="72"/>
  <c r="CO25" i="3"/>
  <c r="AN12" i="72"/>
  <c r="CR64" i="4"/>
  <c r="CR65" i="4" s="1"/>
  <c r="CS62" i="4"/>
  <c r="CS64" i="4" s="1"/>
  <c r="AE29" i="72"/>
  <c r="BZ64" i="4"/>
  <c r="Y8" i="72"/>
  <c r="Z8" i="72" s="1"/>
  <c r="W12" i="72"/>
  <c r="W28" i="72"/>
  <c r="W39" i="72"/>
  <c r="W24" i="72"/>
  <c r="W25" i="72" s="1"/>
  <c r="X23" i="72"/>
  <c r="X37" i="72"/>
  <c r="X27" i="72"/>
  <c r="X10" i="72"/>
  <c r="CI64" i="4"/>
  <c r="CI65" i="4" s="1"/>
  <c r="V33" i="72"/>
  <c r="V14" i="72"/>
  <c r="V32" i="72"/>
  <c r="V31" i="72"/>
  <c r="V15" i="72"/>
  <c r="CA62" i="4"/>
  <c r="S34" i="72"/>
  <c r="BO143" i="3"/>
  <c r="BT16" i="3"/>
  <c r="BT13" i="3" s="1"/>
  <c r="BU13" i="3" s="1"/>
  <c r="BU10" i="3"/>
  <c r="H20" i="10"/>
  <c r="H19" i="10" s="1"/>
  <c r="H21" i="10" s="1"/>
  <c r="H25" i="10"/>
  <c r="H26" i="10" s="1"/>
  <c r="BO69" i="3"/>
  <c r="BO85" i="3"/>
  <c r="BO91" i="3"/>
  <c r="BO96" i="1" s="1"/>
  <c r="BO46" i="3"/>
  <c r="BU73" i="4"/>
  <c r="BU74" i="4" s="1"/>
  <c r="BU60" i="4"/>
  <c r="BU61" i="4" s="1"/>
  <c r="AC38" i="72"/>
  <c r="AJ38" i="72"/>
  <c r="AK38" i="72"/>
  <c r="AR37" i="72" l="1"/>
  <c r="AR27" i="72"/>
  <c r="AR23" i="72"/>
  <c r="AR10" i="72"/>
  <c r="AQ39" i="72"/>
  <c r="AQ28" i="72"/>
  <c r="AQ24" i="72"/>
  <c r="AQ25" i="72" s="1"/>
  <c r="AQ11" i="72"/>
  <c r="AK30" i="72"/>
  <c r="AK29" i="72"/>
  <c r="CL25" i="3"/>
  <c r="AK12" i="72"/>
  <c r="AN33" i="72"/>
  <c r="AN32" i="72"/>
  <c r="AN15" i="72"/>
  <c r="AN31" i="72"/>
  <c r="AN14" i="72"/>
  <c r="AH34" i="72"/>
  <c r="AI31" i="72"/>
  <c r="AI33" i="72"/>
  <c r="AI15" i="72"/>
  <c r="AI14" i="72"/>
  <c r="AO29" i="72"/>
  <c r="AO30" i="72"/>
  <c r="AO26" i="72" s="1"/>
  <c r="CP25" i="3"/>
  <c r="AO12" i="72"/>
  <c r="Z27" i="72"/>
  <c r="Z10" i="72"/>
  <c r="Z39" i="72" s="1"/>
  <c r="Z37" i="72"/>
  <c r="Z23" i="72"/>
  <c r="V34" i="72"/>
  <c r="W15" i="72"/>
  <c r="W14" i="72"/>
  <c r="W31" i="72"/>
  <c r="W32" i="72"/>
  <c r="W33" i="72"/>
  <c r="Y23" i="72"/>
  <c r="Y30" i="72"/>
  <c r="Y26" i="72" s="1"/>
  <c r="Y37" i="72"/>
  <c r="Y27" i="72"/>
  <c r="Y10" i="72"/>
  <c r="CC64" i="4"/>
  <c r="AB8" i="72"/>
  <c r="CA64" i="4"/>
  <c r="CJ64" i="4"/>
  <c r="CJ65" i="4" s="1"/>
  <c r="X24" i="72"/>
  <c r="X25" i="72" s="1"/>
  <c r="X28" i="72"/>
  <c r="X39" i="72"/>
  <c r="BU16" i="3"/>
  <c r="BU52" i="3" s="1"/>
  <c r="BU112" i="3" s="1"/>
  <c r="BU100" i="3" s="1"/>
  <c r="BO64" i="2"/>
  <c r="BO86" i="3"/>
  <c r="BN27" i="2"/>
  <c r="BN81" i="1" s="1"/>
  <c r="BO8" i="2"/>
  <c r="H29" i="10"/>
  <c r="BO92" i="3"/>
  <c r="AD38" i="72"/>
  <c r="AF9" i="72"/>
  <c r="AL38" i="72" s="1"/>
  <c r="AE38" i="72"/>
  <c r="AR28" i="72" l="1"/>
  <c r="AR39" i="72"/>
  <c r="AR24" i="72"/>
  <c r="AR25" i="72" s="1"/>
  <c r="AH37" i="72"/>
  <c r="AH27" i="72"/>
  <c r="AN34" i="72"/>
  <c r="AK31" i="72"/>
  <c r="AK15" i="72"/>
  <c r="AK33" i="72"/>
  <c r="AK14" i="72"/>
  <c r="AO33" i="72"/>
  <c r="AO15" i="72"/>
  <c r="AO32" i="72"/>
  <c r="AO31" i="72"/>
  <c r="AO14" i="72"/>
  <c r="AI34" i="72"/>
  <c r="CR25" i="3"/>
  <c r="AQ29" i="72"/>
  <c r="AQ30" i="72"/>
  <c r="AQ26" i="72" s="1"/>
  <c r="AQ12" i="72"/>
  <c r="Z28" i="72"/>
  <c r="Z24" i="72"/>
  <c r="Z25" i="72" s="1"/>
  <c r="CK64" i="4"/>
  <c r="CK65" i="4" s="1"/>
  <c r="CD64" i="4"/>
  <c r="AC8" i="72"/>
  <c r="Y28" i="72"/>
  <c r="Y39" i="72"/>
  <c r="Y12" i="72"/>
  <c r="Y24" i="72"/>
  <c r="Y25" i="72" s="1"/>
  <c r="W34" i="72"/>
  <c r="AB23" i="72"/>
  <c r="AB30" i="72"/>
  <c r="AH26" i="72" s="1"/>
  <c r="AB37" i="72"/>
  <c r="AB10" i="72"/>
  <c r="AB27" i="72"/>
  <c r="BU121" i="3"/>
  <c r="BU130" i="3"/>
  <c r="BN44" i="1"/>
  <c r="BN177" i="1" s="1"/>
  <c r="BO43" i="1"/>
  <c r="H30" i="10"/>
  <c r="H31" i="10"/>
  <c r="H35" i="10"/>
  <c r="BO27" i="2"/>
  <c r="BO81" i="1" s="1"/>
  <c r="BN48" i="2"/>
  <c r="BN80" i="1" s="1"/>
  <c r="BN54" i="2"/>
  <c r="AF38" i="72"/>
  <c r="AI27" i="72" l="1"/>
  <c r="AI37" i="72"/>
  <c r="AQ32" i="72"/>
  <c r="AQ33" i="72"/>
  <c r="AQ15" i="72"/>
  <c r="AQ31" i="72"/>
  <c r="AQ14" i="72"/>
  <c r="AO34" i="72"/>
  <c r="AK34" i="72"/>
  <c r="AH39" i="72"/>
  <c r="AH28" i="72"/>
  <c r="AB26" i="72"/>
  <c r="BN100" i="1"/>
  <c r="BN57" i="1"/>
  <c r="BO57" i="1"/>
  <c r="BN40" i="3"/>
  <c r="BN82" i="1"/>
  <c r="CL64" i="4"/>
  <c r="CL65" i="4" s="1"/>
  <c r="Y32" i="72"/>
  <c r="Y33" i="72"/>
  <c r="Y14" i="72"/>
  <c r="Y15" i="72"/>
  <c r="Y31" i="72"/>
  <c r="CE64" i="4"/>
  <c r="AD8" i="72"/>
  <c r="AC23" i="72"/>
  <c r="AC30" i="72"/>
  <c r="AI26" i="72" s="1"/>
  <c r="AC37" i="72"/>
  <c r="AC27" i="72"/>
  <c r="AC10" i="72"/>
  <c r="AB24" i="72"/>
  <c r="AH25" i="72" s="1"/>
  <c r="AB39" i="72"/>
  <c r="AB12" i="72"/>
  <c r="AH32" i="72" s="1"/>
  <c r="AB28" i="72"/>
  <c r="BO54" i="2"/>
  <c r="BO48" i="2"/>
  <c r="BO80" i="1" s="1"/>
  <c r="BN55" i="2"/>
  <c r="BN83" i="1" s="1"/>
  <c r="BO44" i="1"/>
  <c r="BN50" i="2"/>
  <c r="BN45" i="1"/>
  <c r="BN65" i="1" s="1"/>
  <c r="AJ27" i="72" l="1"/>
  <c r="AJ37" i="72"/>
  <c r="AI39" i="72"/>
  <c r="AI28" i="72"/>
  <c r="AQ34" i="72"/>
  <c r="AB25" i="72"/>
  <c r="AC26" i="72"/>
  <c r="CG62" i="4"/>
  <c r="CM64" i="4" s="1"/>
  <c r="BO177" i="1"/>
  <c r="BN101" i="1"/>
  <c r="BN99" i="1"/>
  <c r="BO99" i="1" s="1"/>
  <c r="BO100" i="1" s="1"/>
  <c r="BQ94" i="1" s="1"/>
  <c r="BO82" i="1"/>
  <c r="AB31" i="72"/>
  <c r="AB15" i="72"/>
  <c r="AB14" i="72"/>
  <c r="AB32" i="72"/>
  <c r="AB33" i="72"/>
  <c r="AC28" i="72"/>
  <c r="AC39" i="72"/>
  <c r="AC24" i="72"/>
  <c r="AI25" i="72" s="1"/>
  <c r="AC12" i="72"/>
  <c r="AI32" i="72" s="1"/>
  <c r="AD23" i="72"/>
  <c r="AD37" i="72"/>
  <c r="AD27" i="72"/>
  <c r="AD10" i="72"/>
  <c r="Y34" i="72"/>
  <c r="CF64" i="4"/>
  <c r="AE8" i="72"/>
  <c r="BO45" i="1"/>
  <c r="BO65" i="1" s="1"/>
  <c r="BN56" i="2"/>
  <c r="BO40" i="3"/>
  <c r="BO55" i="2"/>
  <c r="BO83" i="1" s="1"/>
  <c r="BO50" i="2"/>
  <c r="AK37" i="72" l="1"/>
  <c r="AK27" i="72"/>
  <c r="AJ28" i="72"/>
  <c r="AJ39" i="72"/>
  <c r="CG64" i="4"/>
  <c r="AF8" i="72"/>
  <c r="AC25" i="72"/>
  <c r="BO101" i="1"/>
  <c r="BU94" i="1"/>
  <c r="AE37" i="72"/>
  <c r="AE23" i="72"/>
  <c r="AE27" i="72"/>
  <c r="AE10" i="72"/>
  <c r="AE30" i="72"/>
  <c r="AK26" i="72" s="1"/>
  <c r="AD28" i="72"/>
  <c r="AD24" i="72"/>
  <c r="AJ25" i="72" s="1"/>
  <c r="AD39" i="72"/>
  <c r="AC15" i="72"/>
  <c r="AC14" i="72"/>
  <c r="AC31" i="72"/>
  <c r="AC33" i="72"/>
  <c r="AC32" i="72"/>
  <c r="AB34" i="72"/>
  <c r="BU49" i="2"/>
  <c r="BQ49" i="2"/>
  <c r="BO56" i="2"/>
  <c r="BN51" i="2"/>
  <c r="BN149" i="1"/>
  <c r="BN151" i="1" s="1"/>
  <c r="BN15" i="1"/>
  <c r="BO8" i="1"/>
  <c r="AF10" i="72" l="1"/>
  <c r="AF39" i="72" s="1"/>
  <c r="AL37" i="72"/>
  <c r="AL27" i="72"/>
  <c r="AK28" i="72"/>
  <c r="AK39" i="72"/>
  <c r="AF27" i="72"/>
  <c r="AF37" i="72"/>
  <c r="AD25" i="72"/>
  <c r="AE26" i="72"/>
  <c r="AF23" i="72"/>
  <c r="BO180" i="1"/>
  <c r="BQ149" i="1"/>
  <c r="BQ151" i="1" s="1"/>
  <c r="BO69" i="1"/>
  <c r="BO70" i="1"/>
  <c r="BO51" i="1"/>
  <c r="BO86" i="1"/>
  <c r="BN68" i="1"/>
  <c r="BN71" i="1"/>
  <c r="AC34" i="72"/>
  <c r="AE24" i="72"/>
  <c r="AK25" i="72" s="1"/>
  <c r="AE28" i="72"/>
  <c r="AE12" i="72"/>
  <c r="AK32" i="72" s="1"/>
  <c r="AE39" i="72"/>
  <c r="BO15" i="1"/>
  <c r="BO149" i="1"/>
  <c r="BO151" i="1" s="1"/>
  <c r="BN24" i="1"/>
  <c r="BO51" i="2"/>
  <c r="AF24" i="72" l="1"/>
  <c r="AL25" i="72" s="1"/>
  <c r="AF28" i="72"/>
  <c r="AL39" i="72"/>
  <c r="AL28" i="72"/>
  <c r="AE25" i="72"/>
  <c r="BN184" i="1"/>
  <c r="BN183" i="1"/>
  <c r="BO71" i="1"/>
  <c r="BO68" i="1"/>
  <c r="BN53" i="1"/>
  <c r="BN54" i="1" s="1"/>
  <c r="BN58" i="1"/>
  <c r="BO58" i="1"/>
  <c r="BO52" i="1"/>
  <c r="BO64" i="1"/>
  <c r="AE32" i="72"/>
  <c r="AE31" i="72"/>
  <c r="AE33" i="72"/>
  <c r="AE15" i="72"/>
  <c r="AE14" i="72"/>
  <c r="BN47" i="1"/>
  <c r="BO24" i="1"/>
  <c r="AF25" i="72" l="1"/>
  <c r="BO183" i="1"/>
  <c r="BN186" i="1"/>
  <c r="BO186" i="1"/>
  <c r="BO53" i="1"/>
  <c r="BO54" i="1" s="1"/>
  <c r="BO184" i="1"/>
  <c r="BN187" i="1"/>
  <c r="BN59" i="1" s="1"/>
  <c r="BO187" i="1"/>
  <c r="BO59" i="1" s="1"/>
  <c r="AE34" i="72"/>
  <c r="BO47" i="1"/>
  <c r="BQ34" i="4" l="1"/>
  <c r="BW79" i="4"/>
  <c r="BR15" i="3" l="1"/>
  <c r="BR51" i="3" s="1"/>
  <c r="BR99" i="3" s="1"/>
  <c r="BW75" i="3"/>
  <c r="BR129" i="3" l="1"/>
  <c r="BR120" i="3"/>
  <c r="BR111" i="3"/>
  <c r="BS44" i="4"/>
  <c r="BS45" i="4" s="1"/>
  <c r="BS66" i="4"/>
  <c r="BQ73" i="3"/>
  <c r="BR34" i="4" l="1"/>
  <c r="BX79" i="4"/>
  <c r="BW44" i="4"/>
  <c r="BT44" i="4"/>
  <c r="BT45" i="4" s="1"/>
  <c r="BT66" i="4"/>
  <c r="BU42" i="4"/>
  <c r="BS75" i="4"/>
  <c r="BS67" i="4"/>
  <c r="BS9" i="3"/>
  <c r="BQ74" i="3"/>
  <c r="BQ76" i="3"/>
  <c r="BQ171" i="1"/>
  <c r="BQ27" i="3"/>
  <c r="BQ35" i="2"/>
  <c r="BX75" i="3" l="1"/>
  <c r="BT9" i="3"/>
  <c r="BT67" i="4"/>
  <c r="BT75" i="4"/>
  <c r="BU44" i="4"/>
  <c r="BU45" i="4" s="1"/>
  <c r="BU66" i="4"/>
  <c r="BX44" i="4"/>
  <c r="BS59" i="4"/>
  <c r="BS39" i="4"/>
  <c r="BS63" i="4"/>
  <c r="BS72" i="4"/>
  <c r="BS8" i="3"/>
  <c r="BS51" i="4"/>
  <c r="BS34" i="4"/>
  <c r="BS84" i="4"/>
  <c r="BS43" i="4"/>
  <c r="BS55" i="4"/>
  <c r="BS76" i="4"/>
  <c r="BY79" i="4"/>
  <c r="BS47" i="4"/>
  <c r="BR73" i="3"/>
  <c r="BS81" i="4"/>
  <c r="BS82" i="4" s="1"/>
  <c r="BS83" i="4" s="1"/>
  <c r="BS68" i="4"/>
  <c r="BQ64" i="3"/>
  <c r="BQ82" i="3"/>
  <c r="BQ28" i="3"/>
  <c r="BQ31" i="1"/>
  <c r="BW69" i="4"/>
  <c r="BS15" i="3" l="1"/>
  <c r="BS12" i="3" s="1"/>
  <c r="BS11" i="3" s="1"/>
  <c r="BS14" i="3" s="1"/>
  <c r="BS111" i="3"/>
  <c r="BR74" i="3"/>
  <c r="BR76" i="3"/>
  <c r="BQ70" i="1"/>
  <c r="BQ69" i="1"/>
  <c r="BS162" i="1"/>
  <c r="BS106" i="1"/>
  <c r="BS19" i="3"/>
  <c r="BS12" i="1"/>
  <c r="BS72" i="3"/>
  <c r="BS10" i="1"/>
  <c r="BS30" i="1"/>
  <c r="BS18" i="3"/>
  <c r="BS59" i="3"/>
  <c r="BS107" i="1"/>
  <c r="BS30" i="2" s="1"/>
  <c r="BY75" i="3"/>
  <c r="BR96" i="3"/>
  <c r="BU9" i="3"/>
  <c r="BS77" i="4"/>
  <c r="BY44" i="4"/>
  <c r="BT68" i="4"/>
  <c r="BT81" i="4"/>
  <c r="BT82" i="4" s="1"/>
  <c r="BT83" i="4" s="1"/>
  <c r="BU75" i="4"/>
  <c r="BU67" i="4"/>
  <c r="BT84" i="4"/>
  <c r="BT47" i="4"/>
  <c r="BT76" i="4"/>
  <c r="BT72" i="4"/>
  <c r="BT63" i="4"/>
  <c r="BT8" i="3"/>
  <c r="BT162" i="1" s="1"/>
  <c r="BT39" i="4"/>
  <c r="BT59" i="4"/>
  <c r="BT55" i="4"/>
  <c r="BZ79" i="4"/>
  <c r="BT43" i="4"/>
  <c r="BT34" i="4"/>
  <c r="BT51" i="4"/>
  <c r="BQ83" i="3"/>
  <c r="BQ65" i="3"/>
  <c r="BQ19" i="2"/>
  <c r="BQ36" i="1"/>
  <c r="BS113" i="1"/>
  <c r="BW36" i="4"/>
  <c r="BW32" i="4"/>
  <c r="BW57" i="4"/>
  <c r="BW28" i="4"/>
  <c r="BW15" i="4"/>
  <c r="BW10" i="4"/>
  <c r="BW53" i="4"/>
  <c r="BW65" i="4"/>
  <c r="BW49" i="4"/>
  <c r="BW41" i="4"/>
  <c r="BW24" i="4"/>
  <c r="BW20" i="4"/>
  <c r="BW73" i="4"/>
  <c r="BW71" i="4" s="1"/>
  <c r="BW60" i="4"/>
  <c r="BW58" i="4" s="1"/>
  <c r="BW45" i="4"/>
  <c r="BS120" i="3" l="1"/>
  <c r="BS129" i="3"/>
  <c r="BS99" i="3"/>
  <c r="BR105" i="3"/>
  <c r="BT77" i="4"/>
  <c r="BU77" i="4" s="1"/>
  <c r="BS35" i="2"/>
  <c r="BZ75" i="3"/>
  <c r="BU72" i="4"/>
  <c r="BU76" i="4"/>
  <c r="BU55" i="4"/>
  <c r="BU47" i="4"/>
  <c r="BU34" i="4"/>
  <c r="BU63" i="4"/>
  <c r="BU39" i="4"/>
  <c r="BU59" i="4"/>
  <c r="BU43" i="4"/>
  <c r="BU84" i="4"/>
  <c r="BU51" i="4"/>
  <c r="CA79" i="4"/>
  <c r="BS78" i="4"/>
  <c r="BS21" i="2"/>
  <c r="BS60" i="3"/>
  <c r="BS50" i="3"/>
  <c r="BS78" i="3"/>
  <c r="BS96" i="2"/>
  <c r="BS80" i="3"/>
  <c r="BS61" i="3"/>
  <c r="BZ44" i="4"/>
  <c r="BS96" i="3"/>
  <c r="BS73" i="3"/>
  <c r="BS74" i="3" s="1"/>
  <c r="BU81" i="4"/>
  <c r="BU82" i="4" s="1"/>
  <c r="BU83" i="4" s="1"/>
  <c r="BU68" i="4"/>
  <c r="BS95" i="2"/>
  <c r="BS62" i="3"/>
  <c r="BS79" i="3"/>
  <c r="BS20" i="3"/>
  <c r="BS26" i="2"/>
  <c r="BT18" i="3"/>
  <c r="BT30" i="1"/>
  <c r="BT10" i="1"/>
  <c r="BT12" i="1"/>
  <c r="BT72" i="3"/>
  <c r="BT59" i="3"/>
  <c r="BT19" i="3"/>
  <c r="BT107" i="1"/>
  <c r="BU8" i="3"/>
  <c r="BS20" i="2"/>
  <c r="BS49" i="3"/>
  <c r="BS94" i="2"/>
  <c r="BS77" i="3"/>
  <c r="BS27" i="1"/>
  <c r="BS11" i="1"/>
  <c r="BW66" i="4"/>
  <c r="BS111" i="1"/>
  <c r="BW10" i="3"/>
  <c r="BR119" i="1"/>
  <c r="BT15" i="3" l="1"/>
  <c r="BT12" i="3" s="1"/>
  <c r="BT11" i="3" s="1"/>
  <c r="BT111" i="3"/>
  <c r="BS110" i="3"/>
  <c r="BU162" i="1"/>
  <c r="BT96" i="3"/>
  <c r="BT73" i="3"/>
  <c r="BT78" i="4"/>
  <c r="BT21" i="2"/>
  <c r="BU12" i="1"/>
  <c r="BU74" i="1"/>
  <c r="BS55" i="3"/>
  <c r="BS98" i="3"/>
  <c r="BS105" i="3" s="1"/>
  <c r="CA75" i="3"/>
  <c r="BS97" i="2"/>
  <c r="BS98" i="2" s="1"/>
  <c r="BS11" i="2" s="1"/>
  <c r="BS76" i="3"/>
  <c r="BU132" i="3"/>
  <c r="BU123" i="3"/>
  <c r="I12" i="10"/>
  <c r="I13" i="10" s="1"/>
  <c r="BU72" i="3"/>
  <c r="BU59" i="3"/>
  <c r="BU124" i="3"/>
  <c r="BU133" i="3"/>
  <c r="BU19" i="3"/>
  <c r="BT80" i="3"/>
  <c r="BT96" i="2"/>
  <c r="BT61" i="3"/>
  <c r="BT30" i="2"/>
  <c r="BS23" i="2"/>
  <c r="BU30" i="1"/>
  <c r="BT26" i="2"/>
  <c r="BX69" i="4"/>
  <c r="BT20" i="2"/>
  <c r="BU10" i="1"/>
  <c r="CA42" i="4"/>
  <c r="BS24" i="2"/>
  <c r="BU18" i="3"/>
  <c r="BT95" i="2"/>
  <c r="BT20" i="3"/>
  <c r="BT62" i="3"/>
  <c r="BT79" i="3"/>
  <c r="BS28" i="1"/>
  <c r="BS14" i="1"/>
  <c r="BS13" i="1"/>
  <c r="BS171" i="1" s="1"/>
  <c r="BS24" i="3"/>
  <c r="BS163" i="1" s="1"/>
  <c r="BS165" i="1" s="1"/>
  <c r="BS166" i="1" s="1"/>
  <c r="BS167" i="1" s="1"/>
  <c r="BS81" i="3"/>
  <c r="BW16" i="3"/>
  <c r="BW13" i="3" s="1"/>
  <c r="BT106" i="1"/>
  <c r="BW67" i="4"/>
  <c r="BW9" i="3"/>
  <c r="BW75" i="4"/>
  <c r="CC44" i="4" l="1"/>
  <c r="BU20" i="3"/>
  <c r="BU12" i="3"/>
  <c r="BU15" i="3" s="1"/>
  <c r="BU51" i="3" s="1"/>
  <c r="BU129" i="3" s="1"/>
  <c r="BT99" i="3"/>
  <c r="BT129" i="3"/>
  <c r="BT120" i="3"/>
  <c r="BS41" i="1"/>
  <c r="BU26" i="2"/>
  <c r="BU54" i="3"/>
  <c r="BU96" i="2"/>
  <c r="BU61" i="3"/>
  <c r="BU80" i="3"/>
  <c r="BR106" i="3"/>
  <c r="BU20" i="2"/>
  <c r="BY69" i="4"/>
  <c r="BU78" i="4"/>
  <c r="BU21" i="2"/>
  <c r="BT28" i="1"/>
  <c r="BT81" i="3"/>
  <c r="BT13" i="1"/>
  <c r="BT171" i="1" s="1"/>
  <c r="BT27" i="3"/>
  <c r="BT14" i="1"/>
  <c r="BU79" i="3"/>
  <c r="BU53" i="3"/>
  <c r="BU95" i="2"/>
  <c r="BU90" i="1"/>
  <c r="BU62" i="3"/>
  <c r="BT74" i="3"/>
  <c r="BT76" i="3"/>
  <c r="BS67" i="3"/>
  <c r="BS84" i="3"/>
  <c r="BS63" i="3"/>
  <c r="BS66" i="3"/>
  <c r="BX45" i="4"/>
  <c r="BX32" i="4"/>
  <c r="BX15" i="4"/>
  <c r="BX28" i="4"/>
  <c r="BX65" i="4"/>
  <c r="BX10" i="4"/>
  <c r="BX24" i="4"/>
  <c r="BX36" i="4"/>
  <c r="BX60" i="4"/>
  <c r="BX58" i="4" s="1"/>
  <c r="BX20" i="4"/>
  <c r="BX41" i="4"/>
  <c r="BX57" i="4"/>
  <c r="BX53" i="4"/>
  <c r="BX73" i="4"/>
  <c r="BX71" i="4" s="1"/>
  <c r="BX49" i="4"/>
  <c r="BS22" i="2"/>
  <c r="BS25" i="2"/>
  <c r="BS31" i="1"/>
  <c r="BT35" i="2"/>
  <c r="BT11" i="1"/>
  <c r="BT49" i="3"/>
  <c r="BT77" i="3"/>
  <c r="BT27" i="1"/>
  <c r="BT94" i="2"/>
  <c r="BT97" i="2" s="1"/>
  <c r="BT98" i="2" s="1"/>
  <c r="BU11" i="3"/>
  <c r="BT14" i="3"/>
  <c r="BU73" i="3"/>
  <c r="BU96" i="3"/>
  <c r="BS16" i="2"/>
  <c r="CA44" i="4"/>
  <c r="BU88" i="1"/>
  <c r="BW81" i="4"/>
  <c r="BW82" i="4" s="1"/>
  <c r="BW83" i="4" s="1"/>
  <c r="BW68" i="4"/>
  <c r="BT111" i="1"/>
  <c r="BQ27" i="2"/>
  <c r="BW34" i="4"/>
  <c r="BW51" i="4"/>
  <c r="BW84" i="4"/>
  <c r="BW47" i="4"/>
  <c r="BW76" i="4"/>
  <c r="BW39" i="4"/>
  <c r="BW63" i="4"/>
  <c r="BW55" i="4"/>
  <c r="CC79" i="4"/>
  <c r="BW8" i="3"/>
  <c r="BW162" i="1" s="1"/>
  <c r="BW43" i="4"/>
  <c r="BW59" i="4"/>
  <c r="BW72" i="4"/>
  <c r="BR120" i="1"/>
  <c r="CD44" i="4" l="1"/>
  <c r="BU111" i="3"/>
  <c r="BU99" i="3" s="1"/>
  <c r="BU120" i="3"/>
  <c r="BW15" i="3"/>
  <c r="BW12" i="3" s="1"/>
  <c r="BW11" i="3" s="1"/>
  <c r="BW14" i="3" s="1"/>
  <c r="BW111" i="3"/>
  <c r="BQ54" i="2"/>
  <c r="BQ40" i="3" s="1"/>
  <c r="BQ81" i="1"/>
  <c r="BS95" i="1"/>
  <c r="BT16" i="2"/>
  <c r="BU13" i="1"/>
  <c r="BU171" i="1" s="1"/>
  <c r="BY41" i="4"/>
  <c r="BY15" i="4"/>
  <c r="BY20" i="4"/>
  <c r="BY73" i="4"/>
  <c r="BY71" i="4" s="1"/>
  <c r="BY53" i="4"/>
  <c r="BY45" i="4"/>
  <c r="BY24" i="4"/>
  <c r="BY60" i="4"/>
  <c r="BY58" i="4" s="1"/>
  <c r="BY32" i="4"/>
  <c r="BY49" i="4"/>
  <c r="BY10" i="4"/>
  <c r="BY65" i="4"/>
  <c r="BY28" i="4"/>
  <c r="BY36" i="4"/>
  <c r="BY57" i="4"/>
  <c r="BZ69" i="4"/>
  <c r="CA80" i="4"/>
  <c r="BS106" i="3"/>
  <c r="BS58" i="3"/>
  <c r="BU14" i="1"/>
  <c r="BU27" i="1"/>
  <c r="BT24" i="2"/>
  <c r="BT31" i="1"/>
  <c r="BU76" i="1"/>
  <c r="BT82" i="3"/>
  <c r="BT64" i="3"/>
  <c r="BU114" i="3"/>
  <c r="BU102" i="3" s="1"/>
  <c r="BU56" i="3"/>
  <c r="BX10" i="3"/>
  <c r="BX16" i="3" s="1"/>
  <c r="BX13" i="3" s="1"/>
  <c r="BU11" i="1"/>
  <c r="BU75" i="1"/>
  <c r="BT23" i="2"/>
  <c r="BT78" i="3"/>
  <c r="BT60" i="3"/>
  <c r="BT50" i="3"/>
  <c r="BT110" i="3" s="1"/>
  <c r="BS19" i="2"/>
  <c r="BU76" i="3"/>
  <c r="BT25" i="2"/>
  <c r="BU28" i="1"/>
  <c r="BT22" i="2"/>
  <c r="BT11" i="2"/>
  <c r="BU98" i="2"/>
  <c r="BU81" i="3"/>
  <c r="BU57" i="3"/>
  <c r="BU115" i="3"/>
  <c r="BU103" i="3" s="1"/>
  <c r="BU94" i="2"/>
  <c r="BU97" i="2" s="1"/>
  <c r="BU77" i="3"/>
  <c r="BU49" i="3"/>
  <c r="BU14" i="3"/>
  <c r="BX66" i="4"/>
  <c r="BU74" i="3"/>
  <c r="BT24" i="3"/>
  <c r="BT163" i="1" s="1"/>
  <c r="CC75" i="3"/>
  <c r="BW77" i="4"/>
  <c r="BQ44" i="1"/>
  <c r="BR57" i="1" s="1"/>
  <c r="BQ48" i="2"/>
  <c r="BQ80" i="1" s="1"/>
  <c r="BW59" i="3"/>
  <c r="BW30" i="1"/>
  <c r="BW12" i="1"/>
  <c r="BW72" i="3"/>
  <c r="BW18" i="3"/>
  <c r="BW19" i="3"/>
  <c r="BW107" i="1"/>
  <c r="BW10" i="1"/>
  <c r="CI44" i="4" l="1"/>
  <c r="CI45" i="4" s="1"/>
  <c r="CJ44" i="4"/>
  <c r="CJ45" i="4" s="1"/>
  <c r="BW120" i="3"/>
  <c r="BW129" i="3"/>
  <c r="BW99" i="3"/>
  <c r="BQ82" i="1"/>
  <c r="BQ55" i="2"/>
  <c r="BQ177" i="1"/>
  <c r="BQ100" i="1"/>
  <c r="BR94" i="1" s="1"/>
  <c r="BR99" i="1" s="1"/>
  <c r="BQ57" i="1"/>
  <c r="BT165" i="1"/>
  <c r="BT166" i="1" s="1"/>
  <c r="BT167" i="1" s="1"/>
  <c r="BU16" i="2"/>
  <c r="BU77" i="1"/>
  <c r="BT55" i="3"/>
  <c r="BT98" i="3"/>
  <c r="BT105" i="3" s="1"/>
  <c r="BY10" i="3"/>
  <c r="BU99" i="2"/>
  <c r="CA69" i="4"/>
  <c r="BT67" i="3"/>
  <c r="BT63" i="3"/>
  <c r="BT28" i="3"/>
  <c r="BT84" i="3"/>
  <c r="BT66" i="3"/>
  <c r="BU11" i="2"/>
  <c r="BT41" i="1"/>
  <c r="BU25" i="2"/>
  <c r="BU24" i="2"/>
  <c r="BU91" i="1"/>
  <c r="BZ45" i="4"/>
  <c r="BZ41" i="4"/>
  <c r="BZ10" i="4"/>
  <c r="BZ36" i="4"/>
  <c r="BZ24" i="4"/>
  <c r="BZ32" i="4"/>
  <c r="BZ49" i="4"/>
  <c r="BZ15" i="4"/>
  <c r="BZ60" i="4"/>
  <c r="BZ58" i="4" s="1"/>
  <c r="BZ65" i="4"/>
  <c r="BZ20" i="4"/>
  <c r="BZ73" i="4"/>
  <c r="BZ71" i="4" s="1"/>
  <c r="BZ57" i="4"/>
  <c r="BZ28" i="4"/>
  <c r="BZ53" i="4"/>
  <c r="CE44" i="4"/>
  <c r="BX9" i="3"/>
  <c r="BX67" i="4"/>
  <c r="BX75" i="4"/>
  <c r="BU87" i="1"/>
  <c r="BU24" i="3"/>
  <c r="BU50" i="3"/>
  <c r="BU110" i="3" s="1"/>
  <c r="BU60" i="3"/>
  <c r="BU78" i="3"/>
  <c r="BU22" i="2"/>
  <c r="BT19" i="2"/>
  <c r="BU23" i="2"/>
  <c r="BU31" i="1"/>
  <c r="BY66" i="4"/>
  <c r="BU89" i="1"/>
  <c r="BW78" i="4"/>
  <c r="BW20" i="2"/>
  <c r="BQ45" i="1"/>
  <c r="BQ65" i="1" s="1"/>
  <c r="BW30" i="2"/>
  <c r="BW21" i="2"/>
  <c r="BW26" i="2"/>
  <c r="BW62" i="3"/>
  <c r="BW79" i="3"/>
  <c r="BW20" i="3"/>
  <c r="BW24" i="3" s="1"/>
  <c r="BW163" i="1" s="1"/>
  <c r="BW165" i="1" s="1"/>
  <c r="BW166" i="1" s="1"/>
  <c r="BW167" i="1" s="1"/>
  <c r="BW95" i="2"/>
  <c r="BW77" i="3"/>
  <c r="BW11" i="1"/>
  <c r="BW27" i="1"/>
  <c r="BW49" i="3"/>
  <c r="BW94" i="2"/>
  <c r="BW50" i="3"/>
  <c r="BW110" i="3" s="1"/>
  <c r="BW78" i="3"/>
  <c r="BW60" i="3"/>
  <c r="BQ50" i="2"/>
  <c r="BR49" i="2" s="1"/>
  <c r="BR50" i="2" s="1"/>
  <c r="BR51" i="2" s="1"/>
  <c r="BW96" i="2"/>
  <c r="BW61" i="3"/>
  <c r="BW80" i="3"/>
  <c r="BW96" i="3"/>
  <c r="BW73" i="3"/>
  <c r="BW74" i="3" s="1"/>
  <c r="CK44" i="4" l="1"/>
  <c r="CK45" i="4" s="1"/>
  <c r="CF44" i="4"/>
  <c r="BQ56" i="2"/>
  <c r="BQ83" i="1"/>
  <c r="BQ101" i="1"/>
  <c r="BQ99" i="1"/>
  <c r="BU99" i="1" s="1"/>
  <c r="BU163" i="1"/>
  <c r="BX68" i="4"/>
  <c r="BX81" i="4"/>
  <c r="BX82" i="4" s="1"/>
  <c r="BX83" i="4" s="1"/>
  <c r="BZ10" i="3"/>
  <c r="BZ16" i="3" s="1"/>
  <c r="BZ13" i="3" s="1"/>
  <c r="CA71" i="4"/>
  <c r="BT106" i="3"/>
  <c r="BT58" i="3"/>
  <c r="BU55" i="3"/>
  <c r="BU98" i="3"/>
  <c r="BU105" i="3" s="1"/>
  <c r="BU67" i="3"/>
  <c r="BU66" i="3"/>
  <c r="I14" i="10"/>
  <c r="BU84" i="3"/>
  <c r="BU63" i="3"/>
  <c r="BU41" i="1"/>
  <c r="BT95" i="1"/>
  <c r="BU95" i="1" s="1"/>
  <c r="BX39" i="4"/>
  <c r="BX76" i="4"/>
  <c r="BX55" i="4"/>
  <c r="BX43" i="4"/>
  <c r="BX84" i="4"/>
  <c r="BX47" i="4"/>
  <c r="BX34" i="4"/>
  <c r="BX63" i="4"/>
  <c r="BX72" i="4"/>
  <c r="BX51" i="4"/>
  <c r="BX8" i="3"/>
  <c r="BX162" i="1" s="1"/>
  <c r="BX59" i="4"/>
  <c r="CD79" i="4"/>
  <c r="BY75" i="4"/>
  <c r="BY9" i="3"/>
  <c r="BY67" i="4"/>
  <c r="CG42" i="4"/>
  <c r="BZ66" i="4"/>
  <c r="CA58" i="4"/>
  <c r="BT83" i="3"/>
  <c r="BT65" i="3"/>
  <c r="BY16" i="3"/>
  <c r="BY13" i="3" s="1"/>
  <c r="CA45" i="4"/>
  <c r="CA36" i="4"/>
  <c r="CA53" i="4"/>
  <c r="CA65" i="4"/>
  <c r="CA15" i="4"/>
  <c r="CA32" i="4"/>
  <c r="CA20" i="4"/>
  <c r="CA28" i="4"/>
  <c r="CA10" i="4"/>
  <c r="CA57" i="4"/>
  <c r="CA24" i="4"/>
  <c r="CA41" i="4"/>
  <c r="CA49" i="4"/>
  <c r="BU19" i="2"/>
  <c r="BW97" i="2"/>
  <c r="BW98" i="2" s="1"/>
  <c r="BW11" i="2" s="1"/>
  <c r="BW98" i="3"/>
  <c r="BW105" i="3" s="1"/>
  <c r="BW55" i="3"/>
  <c r="BW24" i="2"/>
  <c r="BW35" i="2"/>
  <c r="BW23" i="2"/>
  <c r="BW76" i="3"/>
  <c r="BW63" i="3"/>
  <c r="BW84" i="3"/>
  <c r="BW67" i="3"/>
  <c r="BW28" i="3"/>
  <c r="BW66" i="3"/>
  <c r="BW13" i="1"/>
  <c r="BW171" i="1" s="1"/>
  <c r="BW81" i="3"/>
  <c r="BW14" i="1"/>
  <c r="BW28" i="1"/>
  <c r="BW27" i="3"/>
  <c r="CL44" i="4" l="1"/>
  <c r="CL45" i="4" s="1"/>
  <c r="BX15" i="3"/>
  <c r="BX12" i="3" s="1"/>
  <c r="BX11" i="3" s="1"/>
  <c r="BX111" i="3"/>
  <c r="CG44" i="4"/>
  <c r="BQ51" i="2"/>
  <c r="BQ180" i="1"/>
  <c r="CA13" i="3"/>
  <c r="BZ9" i="3"/>
  <c r="CA9" i="3" s="1"/>
  <c r="BZ75" i="4"/>
  <c r="BZ67" i="4"/>
  <c r="I15" i="10"/>
  <c r="I16" i="10"/>
  <c r="CA10" i="3"/>
  <c r="BU106" i="3"/>
  <c r="BU58" i="3"/>
  <c r="BY47" i="4"/>
  <c r="CE79" i="4"/>
  <c r="BY34" i="4"/>
  <c r="BY76" i="4"/>
  <c r="BY43" i="4"/>
  <c r="BY55" i="4"/>
  <c r="BY39" i="4"/>
  <c r="BY8" i="3"/>
  <c r="BY162" i="1" s="1"/>
  <c r="BY84" i="4"/>
  <c r="BY63" i="4"/>
  <c r="BY59" i="4"/>
  <c r="BY72" i="4"/>
  <c r="BY51" i="4"/>
  <c r="CA73" i="4"/>
  <c r="CA74" i="4" s="1"/>
  <c r="I25" i="10"/>
  <c r="I26" i="10" s="1"/>
  <c r="CD75" i="3"/>
  <c r="BX77" i="4"/>
  <c r="BY68" i="4"/>
  <c r="BY81" i="4"/>
  <c r="BY82" i="4" s="1"/>
  <c r="BY83" i="4" s="1"/>
  <c r="CA66" i="4"/>
  <c r="CA60" i="4"/>
  <c r="CA61" i="4" s="1"/>
  <c r="BX59" i="3"/>
  <c r="BX72" i="3"/>
  <c r="BX12" i="1"/>
  <c r="BX18" i="3"/>
  <c r="BX107" i="1"/>
  <c r="BX30" i="2" s="1"/>
  <c r="BX30" i="1"/>
  <c r="BX19" i="3"/>
  <c r="BX10" i="1"/>
  <c r="BW83" i="3"/>
  <c r="BW65" i="3"/>
  <c r="CC69" i="4"/>
  <c r="BW16" i="2"/>
  <c r="BW82" i="3"/>
  <c r="BW64" i="3"/>
  <c r="BW58" i="3"/>
  <c r="BW106" i="3"/>
  <c r="BQ15" i="1"/>
  <c r="BW25" i="2"/>
  <c r="BW41" i="1"/>
  <c r="BW31" i="1"/>
  <c r="BW22" i="2"/>
  <c r="CO44" i="4" l="1"/>
  <c r="CO45" i="4" s="1"/>
  <c r="CM42" i="4"/>
  <c r="CM44" i="4" s="1"/>
  <c r="CP44" i="4"/>
  <c r="CP45" i="4" s="1"/>
  <c r="BX14" i="3"/>
  <c r="BX50" i="3" s="1"/>
  <c r="BX110" i="3" s="1"/>
  <c r="BX27" i="1"/>
  <c r="BX24" i="2" s="1"/>
  <c r="BX77" i="3"/>
  <c r="BX49" i="3"/>
  <c r="BX94" i="2"/>
  <c r="BX11" i="1"/>
  <c r="BX23" i="2" s="1"/>
  <c r="BX99" i="3"/>
  <c r="BX120" i="3"/>
  <c r="BX129" i="3"/>
  <c r="BQ68" i="1"/>
  <c r="BQ71" i="1"/>
  <c r="BX96" i="2"/>
  <c r="BX61" i="3"/>
  <c r="BX80" i="3"/>
  <c r="BY77" i="4"/>
  <c r="BZ39" i="4"/>
  <c r="BZ8" i="3"/>
  <c r="BZ59" i="4"/>
  <c r="BZ63" i="4"/>
  <c r="BZ34" i="4"/>
  <c r="BZ47" i="4"/>
  <c r="BZ43" i="4"/>
  <c r="CF79" i="4"/>
  <c r="BZ84" i="4"/>
  <c r="BZ72" i="4"/>
  <c r="BZ55" i="4"/>
  <c r="BZ76" i="4"/>
  <c r="BZ51" i="4"/>
  <c r="BX26" i="2"/>
  <c r="BZ68" i="4"/>
  <c r="BZ81" i="4"/>
  <c r="BZ82" i="4" s="1"/>
  <c r="BZ83" i="4" s="1"/>
  <c r="BX35" i="2"/>
  <c r="BX95" i="2"/>
  <c r="BX79" i="3"/>
  <c r="BX20" i="3"/>
  <c r="BX62" i="3"/>
  <c r="CA16" i="3"/>
  <c r="CA52" i="3" s="1"/>
  <c r="CA112" i="3" s="1"/>
  <c r="CA75" i="4"/>
  <c r="CA67" i="4"/>
  <c r="BY72" i="3"/>
  <c r="BY18" i="3"/>
  <c r="BY59" i="3"/>
  <c r="BY19" i="3"/>
  <c r="BY107" i="1"/>
  <c r="BY30" i="1"/>
  <c r="BY10" i="1"/>
  <c r="BY12" i="1"/>
  <c r="BX96" i="3"/>
  <c r="BX73" i="3"/>
  <c r="BX74" i="3" s="1"/>
  <c r="CE75" i="3"/>
  <c r="BX20" i="2"/>
  <c r="BX21" i="2"/>
  <c r="BX78" i="4"/>
  <c r="CC36" i="4"/>
  <c r="CC53" i="4"/>
  <c r="CC57" i="4"/>
  <c r="CC49" i="4"/>
  <c r="CC65" i="4"/>
  <c r="CC10" i="4"/>
  <c r="CC28" i="4"/>
  <c r="CC41" i="4"/>
  <c r="CC32" i="4"/>
  <c r="CC24" i="4"/>
  <c r="CC20" i="4"/>
  <c r="CC73" i="4"/>
  <c r="CC71" i="4" s="1"/>
  <c r="CI71" i="4" s="1"/>
  <c r="CI10" i="3" s="1"/>
  <c r="CC15" i="4"/>
  <c r="CC60" i="4"/>
  <c r="CC58" i="4" s="1"/>
  <c r="CI58" i="4" s="1"/>
  <c r="CC45" i="4"/>
  <c r="BW95" i="1"/>
  <c r="BQ24" i="1"/>
  <c r="BR58" i="1" s="1"/>
  <c r="BW19" i="2"/>
  <c r="CI16" i="3" l="1"/>
  <c r="CI13" i="3" s="1"/>
  <c r="CO71" i="4"/>
  <c r="CO10" i="3" s="1"/>
  <c r="CO58" i="4"/>
  <c r="CI66" i="4"/>
  <c r="CI9" i="3" s="1"/>
  <c r="CQ44" i="4"/>
  <c r="CQ45" i="4" s="1"/>
  <c r="BX78" i="3"/>
  <c r="BX60" i="3"/>
  <c r="BY15" i="3"/>
  <c r="BY12" i="3" s="1"/>
  <c r="BY11" i="3" s="1"/>
  <c r="BY111" i="3"/>
  <c r="BZ15" i="3"/>
  <c r="BZ12" i="3" s="1"/>
  <c r="BZ11" i="3" s="1"/>
  <c r="BZ94" i="2" s="1"/>
  <c r="BZ111" i="3"/>
  <c r="BQ53" i="1"/>
  <c r="BQ54" i="1" s="1"/>
  <c r="BQ58" i="1"/>
  <c r="CA8" i="3"/>
  <c r="BZ162" i="1"/>
  <c r="BQ184" i="1"/>
  <c r="BQ183" i="1"/>
  <c r="BX76" i="3"/>
  <c r="BX97" i="2"/>
  <c r="BX98" i="2" s="1"/>
  <c r="BX11" i="2" s="1"/>
  <c r="BY21" i="2"/>
  <c r="BY95" i="2"/>
  <c r="BY20" i="3"/>
  <c r="BY79" i="3"/>
  <c r="BY62" i="3"/>
  <c r="BY20" i="2"/>
  <c r="BX27" i="3"/>
  <c r="BX81" i="3"/>
  <c r="BX28" i="1"/>
  <c r="BX13" i="1"/>
  <c r="BX171" i="1" s="1"/>
  <c r="BX14" i="1"/>
  <c r="CF75" i="3"/>
  <c r="CA76" i="4"/>
  <c r="CA43" i="4"/>
  <c r="CA59" i="4"/>
  <c r="CA63" i="4"/>
  <c r="CA34" i="4"/>
  <c r="CA51" i="4"/>
  <c r="CA39" i="4"/>
  <c r="CA84" i="4"/>
  <c r="CA47" i="4"/>
  <c r="CA55" i="4"/>
  <c r="CG79" i="4"/>
  <c r="CA72" i="4"/>
  <c r="BZ77" i="4"/>
  <c r="BY26" i="2"/>
  <c r="CA100" i="3"/>
  <c r="CA130" i="3"/>
  <c r="CA121" i="3"/>
  <c r="BX24" i="3"/>
  <c r="CA81" i="4"/>
  <c r="CA82" i="4" s="1"/>
  <c r="CA83" i="4" s="1"/>
  <c r="CA68" i="4"/>
  <c r="BY30" i="2"/>
  <c r="BX98" i="3"/>
  <c r="BX105" i="3" s="1"/>
  <c r="BX55" i="3"/>
  <c r="BZ30" i="1"/>
  <c r="BZ72" i="3"/>
  <c r="BZ12" i="1"/>
  <c r="BZ21" i="2" s="1"/>
  <c r="BZ107" i="1"/>
  <c r="BZ30" i="2" s="1"/>
  <c r="BZ19" i="3"/>
  <c r="BZ18" i="3"/>
  <c r="BZ10" i="1"/>
  <c r="BZ20" i="2" s="1"/>
  <c r="BZ59" i="3"/>
  <c r="BY78" i="4"/>
  <c r="BY96" i="3"/>
  <c r="BY73" i="3"/>
  <c r="BY74" i="3" s="1"/>
  <c r="BY96" i="2"/>
  <c r="BY80" i="3"/>
  <c r="BY61" i="3"/>
  <c r="CC66" i="4"/>
  <c r="CC10" i="3"/>
  <c r="BQ47" i="1"/>
  <c r="CO16" i="3" l="1"/>
  <c r="CO13" i="3" s="1"/>
  <c r="CI75" i="4"/>
  <c r="CI8" i="3" s="1"/>
  <c r="CI67" i="4"/>
  <c r="CO66" i="4"/>
  <c r="CO9" i="3" s="1"/>
  <c r="CR44" i="4"/>
  <c r="CR45" i="4" s="1"/>
  <c r="BZ77" i="3"/>
  <c r="BZ27" i="1"/>
  <c r="CA27" i="1" s="1"/>
  <c r="BZ49" i="3"/>
  <c r="BZ14" i="3"/>
  <c r="BZ11" i="1"/>
  <c r="CA11" i="1" s="1"/>
  <c r="CA12" i="3"/>
  <c r="CA15" i="3" s="1"/>
  <c r="CA51" i="3" s="1"/>
  <c r="CA111" i="3" s="1"/>
  <c r="CA99" i="3" s="1"/>
  <c r="BY129" i="3"/>
  <c r="BY99" i="3"/>
  <c r="BY120" i="3"/>
  <c r="BZ99" i="3"/>
  <c r="BZ120" i="3"/>
  <c r="BZ129" i="3"/>
  <c r="J12" i="10"/>
  <c r="J13" i="10" s="1"/>
  <c r="CA72" i="3"/>
  <c r="CA123" i="3"/>
  <c r="CA132" i="3"/>
  <c r="CA59" i="3"/>
  <c r="CA133" i="3"/>
  <c r="CA124" i="3"/>
  <c r="BX163" i="1"/>
  <c r="CA162" i="1"/>
  <c r="BQ186" i="1"/>
  <c r="BQ187" i="1"/>
  <c r="BX41" i="1"/>
  <c r="BY76" i="3"/>
  <c r="CA21" i="2"/>
  <c r="CA12" i="1"/>
  <c r="BY35" i="2"/>
  <c r="CA30" i="2"/>
  <c r="CA74" i="1"/>
  <c r="BZ26" i="2"/>
  <c r="CA30" i="1"/>
  <c r="BZ78" i="4"/>
  <c r="BZ61" i="3"/>
  <c r="BZ96" i="2"/>
  <c r="BZ80" i="3"/>
  <c r="CA19" i="3"/>
  <c r="CD69" i="4"/>
  <c r="BY81" i="3"/>
  <c r="BY13" i="1"/>
  <c r="BY171" i="1" s="1"/>
  <c r="BY14" i="1"/>
  <c r="BY22" i="2" s="1"/>
  <c r="BY28" i="1"/>
  <c r="BZ73" i="3"/>
  <c r="BZ74" i="3" s="1"/>
  <c r="BZ96" i="3"/>
  <c r="CG75" i="3"/>
  <c r="BX16" i="2"/>
  <c r="CA20" i="2"/>
  <c r="CA107" i="1"/>
  <c r="BX22" i="2"/>
  <c r="BX31" i="1"/>
  <c r="BX25" i="2"/>
  <c r="BY14" i="3"/>
  <c r="BY49" i="3"/>
  <c r="BY27" i="1"/>
  <c r="BY77" i="3"/>
  <c r="BY11" i="1"/>
  <c r="CA11" i="3"/>
  <c r="BY94" i="2"/>
  <c r="BY97" i="2" s="1"/>
  <c r="BY98" i="2" s="1"/>
  <c r="BZ95" i="2"/>
  <c r="BZ20" i="3"/>
  <c r="BZ62" i="3"/>
  <c r="BZ79" i="3"/>
  <c r="BX66" i="3"/>
  <c r="BX28" i="3"/>
  <c r="BX63" i="3"/>
  <c r="BX84" i="3"/>
  <c r="BX67" i="3"/>
  <c r="BX82" i="3"/>
  <c r="BX64" i="3"/>
  <c r="BZ35" i="2"/>
  <c r="CA77" i="4"/>
  <c r="CA10" i="1"/>
  <c r="CA18" i="3"/>
  <c r="CC9" i="3"/>
  <c r="CC75" i="4"/>
  <c r="CC67" i="4"/>
  <c r="CC16" i="3"/>
  <c r="CC13" i="3" s="1"/>
  <c r="CI10" i="1" l="1"/>
  <c r="CI30" i="1"/>
  <c r="CI162" i="1"/>
  <c r="CI107" i="1"/>
  <c r="CI12" i="1"/>
  <c r="CI18" i="3"/>
  <c r="CI95" i="2" s="1"/>
  <c r="CI19" i="3"/>
  <c r="CI96" i="2" s="1"/>
  <c r="CS42" i="4"/>
  <c r="CS44" i="4" s="1"/>
  <c r="CI79" i="4"/>
  <c r="CI75" i="3" s="1"/>
  <c r="CO67" i="4"/>
  <c r="CO75" i="4"/>
  <c r="CO8" i="3" s="1"/>
  <c r="CI68" i="4"/>
  <c r="CI81" i="4"/>
  <c r="CI82" i="4" s="1"/>
  <c r="CI84" i="4"/>
  <c r="CI76" i="4"/>
  <c r="CI77" i="4" s="1"/>
  <c r="CI39" i="4"/>
  <c r="CI55" i="4"/>
  <c r="CI51" i="4"/>
  <c r="CI47" i="4"/>
  <c r="CI43" i="4"/>
  <c r="CO79" i="4"/>
  <c r="CO75" i="3" s="1"/>
  <c r="CI63" i="4"/>
  <c r="CI34" i="4"/>
  <c r="CI72" i="4"/>
  <c r="CI59" i="4"/>
  <c r="CO111" i="3"/>
  <c r="CA20" i="3"/>
  <c r="CA90" i="1" s="1"/>
  <c r="BZ60" i="3"/>
  <c r="BZ78" i="3"/>
  <c r="BZ50" i="3"/>
  <c r="BZ110" i="3" s="1"/>
  <c r="BZ24" i="2"/>
  <c r="CA129" i="3"/>
  <c r="CA120" i="3"/>
  <c r="CA73" i="3"/>
  <c r="CA96" i="3"/>
  <c r="BQ59" i="1"/>
  <c r="BX165" i="1"/>
  <c r="BX166" i="1" s="1"/>
  <c r="BX167" i="1" s="1"/>
  <c r="BX95" i="1"/>
  <c r="BZ76" i="3"/>
  <c r="CA76" i="3" s="1"/>
  <c r="CA78" i="4"/>
  <c r="CA74" i="3"/>
  <c r="CA26" i="2"/>
  <c r="BZ97" i="2"/>
  <c r="BZ98" i="2" s="1"/>
  <c r="BZ11" i="2" s="1"/>
  <c r="CA54" i="3"/>
  <c r="CA61" i="3"/>
  <c r="CA96" i="2"/>
  <c r="CA80" i="3"/>
  <c r="CA95" i="2"/>
  <c r="CA79" i="3"/>
  <c r="CA62" i="3"/>
  <c r="CA53" i="3"/>
  <c r="BY78" i="3"/>
  <c r="BY60" i="3"/>
  <c r="BY24" i="3"/>
  <c r="BY50" i="3"/>
  <c r="BY110" i="3" s="1"/>
  <c r="CE69" i="4"/>
  <c r="BY11" i="2"/>
  <c r="CA35" i="2"/>
  <c r="J27" i="10"/>
  <c r="J28" i="10" s="1"/>
  <c r="BZ24" i="3"/>
  <c r="BZ163" i="1" s="1"/>
  <c r="BZ165" i="1" s="1"/>
  <c r="BZ166" i="1" s="1"/>
  <c r="BZ167" i="1" s="1"/>
  <c r="BZ13" i="1"/>
  <c r="BZ171" i="1" s="1"/>
  <c r="BZ14" i="1"/>
  <c r="BZ22" i="2" s="1"/>
  <c r="CA22" i="2" s="1"/>
  <c r="BZ28" i="1"/>
  <c r="BZ27" i="3"/>
  <c r="BZ81" i="3"/>
  <c r="BZ23" i="2"/>
  <c r="CA75" i="1"/>
  <c r="BY23" i="2"/>
  <c r="BY25" i="2"/>
  <c r="BX19" i="2"/>
  <c r="CA108" i="1"/>
  <c r="CA88" i="1"/>
  <c r="BX65" i="3"/>
  <c r="BX83" i="3"/>
  <c r="CA49" i="3"/>
  <c r="CA77" i="3"/>
  <c r="CA94" i="2"/>
  <c r="CA14" i="3"/>
  <c r="BX58" i="3"/>
  <c r="BX106" i="3"/>
  <c r="CA76" i="1"/>
  <c r="BY24" i="2"/>
  <c r="BY31" i="1"/>
  <c r="CG80" i="4"/>
  <c r="BY16" i="2"/>
  <c r="CD73" i="4"/>
  <c r="CD71" i="4" s="1"/>
  <c r="CJ71" i="4" s="1"/>
  <c r="CJ10" i="3" s="1"/>
  <c r="CD20" i="4"/>
  <c r="CD41" i="4"/>
  <c r="CD10" i="4"/>
  <c r="CD15" i="4"/>
  <c r="CD28" i="4"/>
  <c r="CD45" i="4"/>
  <c r="CD24" i="4"/>
  <c r="CD65" i="4"/>
  <c r="CD32" i="4"/>
  <c r="CD36" i="4"/>
  <c r="CD49" i="4"/>
  <c r="CD53" i="4"/>
  <c r="CD60" i="4"/>
  <c r="CD58" i="4" s="1"/>
  <c r="CJ58" i="4" s="1"/>
  <c r="CD57" i="4"/>
  <c r="CC68" i="4"/>
  <c r="CC81" i="4"/>
  <c r="CC82" i="4" s="1"/>
  <c r="CC83" i="4" s="1"/>
  <c r="CC51" i="4"/>
  <c r="CC63" i="4"/>
  <c r="CC39" i="4"/>
  <c r="CC84" i="4"/>
  <c r="CC47" i="4"/>
  <c r="CC55" i="4"/>
  <c r="CC34" i="4"/>
  <c r="CC76" i="4"/>
  <c r="CC8" i="3"/>
  <c r="CI72" i="3" s="1"/>
  <c r="CC43" i="4"/>
  <c r="CC72" i="4"/>
  <c r="CC59" i="4"/>
  <c r="CO107" i="1" l="1"/>
  <c r="CO162" i="1"/>
  <c r="CO10" i="1"/>
  <c r="CO30" i="1"/>
  <c r="CO12" i="1"/>
  <c r="CI30" i="2"/>
  <c r="CJ16" i="3"/>
  <c r="CJ13" i="3" s="1"/>
  <c r="CI73" i="3"/>
  <c r="CI74" i="3" s="1"/>
  <c r="CO59" i="3"/>
  <c r="CO72" i="3"/>
  <c r="CO19" i="3"/>
  <c r="CO96" i="2" s="1"/>
  <c r="CO18" i="3"/>
  <c r="CO95" i="2" s="1"/>
  <c r="CO99" i="3"/>
  <c r="CO120" i="3"/>
  <c r="CO129" i="3"/>
  <c r="CO15" i="3"/>
  <c r="CO12" i="3" s="1"/>
  <c r="CI59" i="3"/>
  <c r="CI20" i="3"/>
  <c r="CI83" i="4"/>
  <c r="CP58" i="4"/>
  <c r="CJ66" i="4"/>
  <c r="CJ9" i="3" s="1"/>
  <c r="CO81" i="4"/>
  <c r="CO82" i="4" s="1"/>
  <c r="CO83" i="4" s="1"/>
  <c r="CO68" i="4"/>
  <c r="CP71" i="4"/>
  <c r="CP10" i="3" s="1"/>
  <c r="CI78" i="4"/>
  <c r="CO84" i="4"/>
  <c r="CO76" i="4"/>
  <c r="CO77" i="4" s="1"/>
  <c r="CO43" i="4"/>
  <c r="CO39" i="4"/>
  <c r="CO51" i="4"/>
  <c r="CO63" i="4"/>
  <c r="CO47" i="4"/>
  <c r="CO55" i="4"/>
  <c r="CO34" i="4"/>
  <c r="CO59" i="4"/>
  <c r="CO72" i="4"/>
  <c r="CC162" i="1"/>
  <c r="BZ55" i="3"/>
  <c r="BZ98" i="3"/>
  <c r="BZ105" i="3" s="1"/>
  <c r="CC15" i="3"/>
  <c r="CC12" i="3" s="1"/>
  <c r="CC11" i="3" s="1"/>
  <c r="CC111" i="3"/>
  <c r="BY163" i="1"/>
  <c r="BY165" i="1" s="1"/>
  <c r="BY166" i="1" s="1"/>
  <c r="BY167" i="1" s="1"/>
  <c r="CA98" i="2"/>
  <c r="CA77" i="1"/>
  <c r="BY19" i="2"/>
  <c r="CG69" i="4"/>
  <c r="CA13" i="1"/>
  <c r="CA171" i="1" s="1"/>
  <c r="CA114" i="3"/>
  <c r="CA102" i="3" s="1"/>
  <c r="CA56" i="3"/>
  <c r="BZ66" i="3"/>
  <c r="BZ67" i="3"/>
  <c r="BZ84" i="3"/>
  <c r="BZ63" i="3"/>
  <c r="BZ28" i="3"/>
  <c r="CA57" i="3"/>
  <c r="CA115" i="3"/>
  <c r="CA103" i="3" s="1"/>
  <c r="CD10" i="3"/>
  <c r="CD16" i="3" s="1"/>
  <c r="CD13" i="3" s="1"/>
  <c r="BY55" i="3"/>
  <c r="BY98" i="3"/>
  <c r="BY105" i="3" s="1"/>
  <c r="BY66" i="3"/>
  <c r="BY67" i="3"/>
  <c r="BY84" i="3"/>
  <c r="BY63" i="3"/>
  <c r="CA97" i="2"/>
  <c r="BZ64" i="3"/>
  <c r="BZ82" i="3"/>
  <c r="CA81" i="3"/>
  <c r="CF69" i="4"/>
  <c r="CA50" i="3"/>
  <c r="CA110" i="3" s="1"/>
  <c r="CA78" i="3"/>
  <c r="CA24" i="3"/>
  <c r="CA60" i="3"/>
  <c r="CD66" i="4"/>
  <c r="BZ16" i="2"/>
  <c r="BZ25" i="2"/>
  <c r="CA28" i="1"/>
  <c r="BZ31" i="1"/>
  <c r="CE10" i="4"/>
  <c r="CE45" i="4"/>
  <c r="CE20" i="4"/>
  <c r="CE15" i="4"/>
  <c r="CE41" i="4"/>
  <c r="CE49" i="4"/>
  <c r="CE32" i="4"/>
  <c r="CE28" i="4"/>
  <c r="CE60" i="4"/>
  <c r="CE58" i="4" s="1"/>
  <c r="CK58" i="4" s="1"/>
  <c r="CE57" i="4"/>
  <c r="CE53" i="4"/>
  <c r="CE65" i="4"/>
  <c r="CE24" i="4"/>
  <c r="CE36" i="4"/>
  <c r="CE73" i="4"/>
  <c r="CE71" i="4" s="1"/>
  <c r="CK71" i="4" s="1"/>
  <c r="CK10" i="3" s="1"/>
  <c r="CK16" i="3" s="1"/>
  <c r="CK13" i="3" s="1"/>
  <c r="CA24" i="2"/>
  <c r="BY41" i="1"/>
  <c r="CA11" i="2"/>
  <c r="CA23" i="2"/>
  <c r="CA14" i="1"/>
  <c r="CC77" i="4"/>
  <c r="CC59" i="3"/>
  <c r="CC19" i="3"/>
  <c r="CC107" i="1"/>
  <c r="CC30" i="1"/>
  <c r="CC72" i="3"/>
  <c r="CC10" i="1"/>
  <c r="CC12" i="1"/>
  <c r="CC18" i="3"/>
  <c r="CI27" i="3" l="1"/>
  <c r="CI64" i="3" s="1"/>
  <c r="CI28" i="1"/>
  <c r="CI13" i="1"/>
  <c r="CI14" i="1"/>
  <c r="CO30" i="2"/>
  <c r="CI35" i="2"/>
  <c r="CP16" i="3"/>
  <c r="CP13" i="3" s="1"/>
  <c r="CO62" i="3"/>
  <c r="CO79" i="3"/>
  <c r="CO20" i="3"/>
  <c r="CO11" i="3"/>
  <c r="CI111" i="3"/>
  <c r="CI15" i="3"/>
  <c r="CI12" i="3" s="1"/>
  <c r="CO80" i="3"/>
  <c r="CO61" i="3"/>
  <c r="CO96" i="3"/>
  <c r="CO73" i="3"/>
  <c r="CO74" i="3" s="1"/>
  <c r="CI76" i="3"/>
  <c r="CI62" i="3"/>
  <c r="CI79" i="3"/>
  <c r="CI80" i="3"/>
  <c r="CI61" i="3"/>
  <c r="CO78" i="4"/>
  <c r="CJ75" i="4"/>
  <c r="CJ8" i="3" s="1"/>
  <c r="CJ67" i="4"/>
  <c r="CQ71" i="4"/>
  <c r="CQ10" i="3" s="1"/>
  <c r="CQ16" i="3" s="1"/>
  <c r="CQ13" i="3" s="1"/>
  <c r="CQ58" i="4"/>
  <c r="CK66" i="4"/>
  <c r="CK9" i="3" s="1"/>
  <c r="CP66" i="4"/>
  <c r="CP9" i="3" s="1"/>
  <c r="CI96" i="3"/>
  <c r="CC14" i="3"/>
  <c r="CC120" i="3"/>
  <c r="CC129" i="3"/>
  <c r="CC99" i="3"/>
  <c r="CA99" i="2"/>
  <c r="CA163" i="1"/>
  <c r="CA25" i="2"/>
  <c r="BZ19" i="2"/>
  <c r="CA91" i="1"/>
  <c r="BZ106" i="3"/>
  <c r="BZ58" i="3"/>
  <c r="CA16" i="2"/>
  <c r="CD67" i="4"/>
  <c r="CD9" i="3"/>
  <c r="CD75" i="4"/>
  <c r="CJ79" i="4" s="1"/>
  <c r="CJ75" i="3" s="1"/>
  <c r="CA98" i="3"/>
  <c r="CA105" i="3" s="1"/>
  <c r="CA55" i="3"/>
  <c r="CE10" i="3"/>
  <c r="CE16" i="3" s="1"/>
  <c r="CE13" i="3" s="1"/>
  <c r="CA31" i="1"/>
  <c r="CA87" i="1"/>
  <c r="BY58" i="3"/>
  <c r="BY106" i="3"/>
  <c r="BY95" i="1"/>
  <c r="BZ41" i="1"/>
  <c r="J14" i="10"/>
  <c r="CA66" i="3"/>
  <c r="CA67" i="3"/>
  <c r="CA84" i="3"/>
  <c r="CA63" i="3"/>
  <c r="CE66" i="4"/>
  <c r="BZ65" i="3"/>
  <c r="BZ83" i="3"/>
  <c r="CF15" i="4"/>
  <c r="CF10" i="4"/>
  <c r="CF24" i="4"/>
  <c r="CF32" i="4"/>
  <c r="CF49" i="4"/>
  <c r="CF41" i="4"/>
  <c r="CF65" i="4"/>
  <c r="CF36" i="4"/>
  <c r="CF28" i="4"/>
  <c r="CF53" i="4"/>
  <c r="CF73" i="4"/>
  <c r="CF71" i="4" s="1"/>
  <c r="CL71" i="4" s="1"/>
  <c r="CF60" i="4"/>
  <c r="CF58" i="4" s="1"/>
  <c r="CL58" i="4" s="1"/>
  <c r="CF45" i="4"/>
  <c r="CF20" i="4"/>
  <c r="CF57" i="4"/>
  <c r="CA89" i="1"/>
  <c r="CG15" i="4"/>
  <c r="CG28" i="4"/>
  <c r="CG41" i="4"/>
  <c r="CG57" i="4"/>
  <c r="CG65" i="4"/>
  <c r="CG32" i="4"/>
  <c r="CG24" i="4"/>
  <c r="CG36" i="4"/>
  <c r="CG20" i="4"/>
  <c r="CG49" i="4"/>
  <c r="CG10" i="4"/>
  <c r="CG45" i="4"/>
  <c r="CG53" i="4"/>
  <c r="CC78" i="4"/>
  <c r="CC73" i="3"/>
  <c r="CC74" i="3" s="1"/>
  <c r="CC96" i="3"/>
  <c r="CC26" i="2"/>
  <c r="CC20" i="2"/>
  <c r="CC95" i="2"/>
  <c r="CC79" i="3"/>
  <c r="CC62" i="3"/>
  <c r="CC20" i="3"/>
  <c r="CI81" i="3" s="1"/>
  <c r="CC30" i="2"/>
  <c r="CC49" i="3"/>
  <c r="CC77" i="3"/>
  <c r="CC11" i="1"/>
  <c r="CC27" i="1"/>
  <c r="CC94" i="2"/>
  <c r="CC96" i="2"/>
  <c r="CC61" i="3"/>
  <c r="CC80" i="3"/>
  <c r="CC21" i="2"/>
  <c r="CJ30" i="1" l="1"/>
  <c r="CJ26" i="2" s="1"/>
  <c r="CJ162" i="1"/>
  <c r="CJ10" i="1"/>
  <c r="CJ12" i="1"/>
  <c r="CJ21" i="2" s="1"/>
  <c r="CJ107" i="1"/>
  <c r="CI171" i="1"/>
  <c r="CO13" i="1"/>
  <c r="CO14" i="1"/>
  <c r="CO28" i="1"/>
  <c r="CO35" i="2"/>
  <c r="CO11" i="1"/>
  <c r="CO94" i="2"/>
  <c r="CO97" i="2" s="1"/>
  <c r="CO98" i="2" s="1"/>
  <c r="CO27" i="1"/>
  <c r="CM71" i="4"/>
  <c r="CL10" i="3"/>
  <c r="CO76" i="3"/>
  <c r="CJ18" i="3"/>
  <c r="CJ95" i="2" s="1"/>
  <c r="CJ19" i="3"/>
  <c r="CJ96" i="2" s="1"/>
  <c r="CI11" i="3"/>
  <c r="CO81" i="3"/>
  <c r="CO27" i="3"/>
  <c r="CO49" i="3"/>
  <c r="CO14" i="3"/>
  <c r="CI99" i="3"/>
  <c r="CI120" i="3"/>
  <c r="CI129" i="3"/>
  <c r="CC50" i="3"/>
  <c r="CC110" i="3" s="1"/>
  <c r="CQ66" i="4"/>
  <c r="CQ9" i="3" s="1"/>
  <c r="CR58" i="4"/>
  <c r="CL66" i="4"/>
  <c r="CL9" i="3" s="1"/>
  <c r="CM9" i="3" s="1"/>
  <c r="CM58" i="4"/>
  <c r="CJ68" i="4"/>
  <c r="CJ81" i="4"/>
  <c r="CJ82" i="4" s="1"/>
  <c r="CR71" i="4"/>
  <c r="CJ84" i="4"/>
  <c r="CJ76" i="4"/>
  <c r="CJ77" i="4" s="1"/>
  <c r="CJ78" i="4" s="1"/>
  <c r="CJ63" i="4"/>
  <c r="CJ55" i="4"/>
  <c r="CP79" i="4"/>
  <c r="CP75" i="3" s="1"/>
  <c r="CJ39" i="4"/>
  <c r="CJ43" i="4"/>
  <c r="CJ51" i="4"/>
  <c r="CJ47" i="4"/>
  <c r="CJ34" i="4"/>
  <c r="CJ59" i="4"/>
  <c r="CJ72" i="4"/>
  <c r="CK67" i="4"/>
  <c r="CK75" i="4"/>
  <c r="CK8" i="3" s="1"/>
  <c r="CP67" i="4"/>
  <c r="CP75" i="4"/>
  <c r="CP8" i="3" s="1"/>
  <c r="CG71" i="4"/>
  <c r="CC60" i="3"/>
  <c r="CC78" i="3"/>
  <c r="CA19" i="2"/>
  <c r="J25" i="10" s="1"/>
  <c r="J26" i="10" s="1"/>
  <c r="CF66" i="4"/>
  <c r="CE67" i="4"/>
  <c r="CE9" i="3"/>
  <c r="CE75" i="4"/>
  <c r="CK79" i="4" s="1"/>
  <c r="CK75" i="3" s="1"/>
  <c r="BZ95" i="1"/>
  <c r="CA95" i="1" s="1"/>
  <c r="CA41" i="1"/>
  <c r="CD47" i="4"/>
  <c r="CD51" i="4"/>
  <c r="CD59" i="4"/>
  <c r="CD55" i="4"/>
  <c r="CD34" i="4"/>
  <c r="CD43" i="4"/>
  <c r="CD8" i="3"/>
  <c r="CJ72" i="3" s="1"/>
  <c r="CD63" i="4"/>
  <c r="CD76" i="4"/>
  <c r="CD84" i="4"/>
  <c r="CD39" i="4"/>
  <c r="CD72" i="4"/>
  <c r="CG58" i="4"/>
  <c r="CD68" i="4"/>
  <c r="CD81" i="4"/>
  <c r="CD82" i="4" s="1"/>
  <c r="CD83" i="4" s="1"/>
  <c r="J15" i="10"/>
  <c r="J16" i="10"/>
  <c r="CF10" i="3"/>
  <c r="CA106" i="3"/>
  <c r="CA58" i="3"/>
  <c r="CC97" i="2"/>
  <c r="CC98" i="2" s="1"/>
  <c r="CC11" i="2" s="1"/>
  <c r="CC76" i="3"/>
  <c r="CC14" i="1"/>
  <c r="CC28" i="1"/>
  <c r="CC81" i="3"/>
  <c r="CC13" i="1"/>
  <c r="CC171" i="1" s="1"/>
  <c r="CC27" i="3"/>
  <c r="CI82" i="3" s="1"/>
  <c r="CC23" i="2"/>
  <c r="CC35" i="2"/>
  <c r="CC24" i="2"/>
  <c r="CC24" i="3"/>
  <c r="CO11" i="2" l="1"/>
  <c r="CK162" i="1"/>
  <c r="CK12" i="1"/>
  <c r="CK30" i="1"/>
  <c r="CK26" i="2" s="1"/>
  <c r="CK10" i="1"/>
  <c r="CK20" i="2" s="1"/>
  <c r="CK107" i="1"/>
  <c r="CK30" i="2" s="1"/>
  <c r="CK35" i="2" s="1"/>
  <c r="CJ20" i="2"/>
  <c r="CO31" i="1"/>
  <c r="CP10" i="1"/>
  <c r="CP12" i="1"/>
  <c r="CP162" i="1"/>
  <c r="CP107" i="1"/>
  <c r="CP30" i="1"/>
  <c r="CP26" i="2" s="1"/>
  <c r="CI11" i="1"/>
  <c r="CI27" i="1"/>
  <c r="CI31" i="1" s="1"/>
  <c r="CI94" i="2"/>
  <c r="CI97" i="2" s="1"/>
  <c r="CI98" i="2" s="1"/>
  <c r="CJ30" i="2"/>
  <c r="CO171" i="1"/>
  <c r="CS71" i="4"/>
  <c r="CR10" i="3"/>
  <c r="CL16" i="3"/>
  <c r="CL13" i="3" s="1"/>
  <c r="CM13" i="3" s="1"/>
  <c r="CM10" i="3"/>
  <c r="CJ20" i="3"/>
  <c r="CJ73" i="3"/>
  <c r="CJ74" i="3" s="1"/>
  <c r="CI49" i="3"/>
  <c r="CI14" i="3"/>
  <c r="CO78" i="3" s="1"/>
  <c r="CI77" i="3"/>
  <c r="CJ59" i="3"/>
  <c r="CC98" i="3"/>
  <c r="CC105" i="3" s="1"/>
  <c r="CC55" i="3"/>
  <c r="CO77" i="3"/>
  <c r="CO50" i="3"/>
  <c r="CO24" i="3"/>
  <c r="CO163" i="1" s="1"/>
  <c r="CO82" i="3"/>
  <c r="CO64" i="3"/>
  <c r="CK19" i="3"/>
  <c r="CK96" i="2" s="1"/>
  <c r="CK18" i="3"/>
  <c r="CK95" i="2" s="1"/>
  <c r="CP19" i="3"/>
  <c r="CP96" i="2" s="1"/>
  <c r="CP72" i="3"/>
  <c r="CP18" i="3"/>
  <c r="CP95" i="2" s="1"/>
  <c r="CP59" i="3"/>
  <c r="CQ111" i="3"/>
  <c r="CR66" i="4"/>
  <c r="CR9" i="3" s="1"/>
  <c r="CS9" i="3" s="1"/>
  <c r="CS58" i="4"/>
  <c r="CJ83" i="4"/>
  <c r="CK68" i="4"/>
  <c r="CK81" i="4"/>
  <c r="CK82" i="4" s="1"/>
  <c r="CL67" i="4"/>
  <c r="CL75" i="4"/>
  <c r="CL8" i="3" s="1"/>
  <c r="CQ79" i="4"/>
  <c r="CQ75" i="3" s="1"/>
  <c r="CK76" i="4"/>
  <c r="CK77" i="4" s="1"/>
  <c r="CK78" i="4" s="1"/>
  <c r="CK84" i="4"/>
  <c r="CK55" i="4"/>
  <c r="CK43" i="4"/>
  <c r="CK39" i="4"/>
  <c r="CK51" i="4"/>
  <c r="CK63" i="4"/>
  <c r="CK47" i="4"/>
  <c r="CK34" i="4"/>
  <c r="CK59" i="4"/>
  <c r="CK72" i="4"/>
  <c r="CM73" i="4"/>
  <c r="CS73" i="4"/>
  <c r="CP84" i="4"/>
  <c r="CP76" i="4"/>
  <c r="CP77" i="4" s="1"/>
  <c r="CP78" i="4" s="1"/>
  <c r="CP55" i="4"/>
  <c r="CP51" i="4"/>
  <c r="CP43" i="4"/>
  <c r="CP34" i="4"/>
  <c r="CP39" i="4"/>
  <c r="CP47" i="4"/>
  <c r="CP63" i="4"/>
  <c r="CP59" i="4"/>
  <c r="CP72" i="4"/>
  <c r="CP81" i="4"/>
  <c r="CP82" i="4" s="1"/>
  <c r="CP83" i="4" s="1"/>
  <c r="CP68" i="4"/>
  <c r="CQ75" i="4"/>
  <c r="CQ8" i="3" s="1"/>
  <c r="CQ67" i="4"/>
  <c r="CM60" i="4"/>
  <c r="CM66" i="4"/>
  <c r="CG73" i="4"/>
  <c r="CG74" i="4" s="1"/>
  <c r="CC163" i="1"/>
  <c r="CC165" i="1" s="1"/>
  <c r="CC166" i="1" s="1"/>
  <c r="CC167" i="1" s="1"/>
  <c r="CD162" i="1"/>
  <c r="CD15" i="3"/>
  <c r="CD12" i="3" s="1"/>
  <c r="CD11" i="3" s="1"/>
  <c r="CD111" i="3"/>
  <c r="CD77" i="4"/>
  <c r="CE68" i="4"/>
  <c r="CE81" i="4"/>
  <c r="CE82" i="4" s="1"/>
  <c r="CE83" i="4" s="1"/>
  <c r="CF9" i="3"/>
  <c r="CG9" i="3" s="1"/>
  <c r="CF75" i="4"/>
  <c r="CL79" i="4" s="1"/>
  <c r="CL75" i="3" s="1"/>
  <c r="CF67" i="4"/>
  <c r="CE84" i="4"/>
  <c r="CE63" i="4"/>
  <c r="CE34" i="4"/>
  <c r="CE51" i="4"/>
  <c r="CE72" i="4"/>
  <c r="CE76" i="4"/>
  <c r="CE8" i="3"/>
  <c r="CK59" i="3" s="1"/>
  <c r="CE59" i="4"/>
  <c r="CE39" i="4"/>
  <c r="CE43" i="4"/>
  <c r="CE47" i="4"/>
  <c r="CE55" i="4"/>
  <c r="CF16" i="3"/>
  <c r="CF13" i="3" s="1"/>
  <c r="CG13" i="3" s="1"/>
  <c r="CG10" i="3"/>
  <c r="CD30" i="1"/>
  <c r="CD19" i="3"/>
  <c r="CD107" i="1"/>
  <c r="CD30" i="2" s="1"/>
  <c r="CD72" i="3"/>
  <c r="CD10" i="1"/>
  <c r="CD59" i="3"/>
  <c r="CD12" i="1"/>
  <c r="CD18" i="3"/>
  <c r="CG66" i="4"/>
  <c r="CG60" i="4"/>
  <c r="CG61" i="4" s="1"/>
  <c r="CC25" i="2"/>
  <c r="CC67" i="3"/>
  <c r="CC66" i="3"/>
  <c r="CC28" i="3"/>
  <c r="CC63" i="3"/>
  <c r="CC84" i="3"/>
  <c r="CC41" i="1"/>
  <c r="CC16" i="2"/>
  <c r="CC31" i="1"/>
  <c r="CC22" i="2"/>
  <c r="CC82" i="3"/>
  <c r="CC64" i="3"/>
  <c r="CM16" i="3" l="1"/>
  <c r="CM52" i="3" s="1"/>
  <c r="CO165" i="1"/>
  <c r="CO166" i="1" s="1"/>
  <c r="CO167" i="1" s="1"/>
  <c r="CP30" i="2"/>
  <c r="CI11" i="2"/>
  <c r="CK21" i="2"/>
  <c r="CJ27" i="3"/>
  <c r="CJ64" i="3" s="1"/>
  <c r="CJ14" i="1"/>
  <c r="CJ13" i="1"/>
  <c r="CJ28" i="1"/>
  <c r="CJ25" i="2" s="1"/>
  <c r="CJ35" i="2"/>
  <c r="CP21" i="2"/>
  <c r="CL10" i="1"/>
  <c r="CM10" i="1" s="1"/>
  <c r="CL12" i="1"/>
  <c r="CM12" i="1" s="1"/>
  <c r="CO21" i="2" s="1"/>
  <c r="CL30" i="1"/>
  <c r="CL162" i="1"/>
  <c r="CL107" i="1"/>
  <c r="CL30" i="2" s="1"/>
  <c r="CL35" i="2" s="1"/>
  <c r="CQ162" i="1"/>
  <c r="CQ10" i="1"/>
  <c r="CQ12" i="1"/>
  <c r="CQ30" i="1"/>
  <c r="CQ26" i="2" s="1"/>
  <c r="CQ107" i="1"/>
  <c r="CQ30" i="2" s="1"/>
  <c r="CQ35" i="2" s="1"/>
  <c r="CP20" i="2"/>
  <c r="CM130" i="3"/>
  <c r="CM112" i="3"/>
  <c r="CM100" i="3" s="1"/>
  <c r="CM121" i="3"/>
  <c r="CR16" i="3"/>
  <c r="CR13" i="3" s="1"/>
  <c r="CS13" i="3" s="1"/>
  <c r="CS10" i="3"/>
  <c r="CK20" i="3"/>
  <c r="CM8" i="3"/>
  <c r="CK72" i="3"/>
  <c r="CK73" i="3" s="1"/>
  <c r="CK74" i="3" s="1"/>
  <c r="CO60" i="3"/>
  <c r="CQ19" i="3"/>
  <c r="CQ96" i="2" s="1"/>
  <c r="CQ72" i="3"/>
  <c r="CQ59" i="3"/>
  <c r="CQ18" i="3"/>
  <c r="CQ95" i="2" s="1"/>
  <c r="CP111" i="3"/>
  <c r="CP15" i="3"/>
  <c r="CP12" i="3" s="1"/>
  <c r="CQ99" i="3"/>
  <c r="CQ129" i="3"/>
  <c r="CQ120" i="3"/>
  <c r="CP20" i="3"/>
  <c r="CP62" i="3"/>
  <c r="CP79" i="3"/>
  <c r="CL18" i="3"/>
  <c r="CL95" i="2" s="1"/>
  <c r="CL19" i="3"/>
  <c r="CP96" i="3"/>
  <c r="CP73" i="3"/>
  <c r="CP74" i="3" s="1"/>
  <c r="CO98" i="3"/>
  <c r="CO110" i="3"/>
  <c r="CK111" i="3"/>
  <c r="CK15" i="3"/>
  <c r="CK12" i="3" s="1"/>
  <c r="CK11" i="3" s="1"/>
  <c r="CJ111" i="3"/>
  <c r="CJ15" i="3"/>
  <c r="CJ12" i="3" s="1"/>
  <c r="CI24" i="3"/>
  <c r="CI50" i="3"/>
  <c r="CI78" i="3"/>
  <c r="CI60" i="3"/>
  <c r="CP61" i="3"/>
  <c r="CP80" i="3"/>
  <c r="CO22" i="3"/>
  <c r="CO66" i="3"/>
  <c r="CO35" i="3"/>
  <c r="CO28" i="3"/>
  <c r="CQ15" i="3"/>
  <c r="CQ12" i="3" s="1"/>
  <c r="CQ11" i="3" s="1"/>
  <c r="CJ76" i="3"/>
  <c r="CJ62" i="3"/>
  <c r="CJ79" i="3"/>
  <c r="CJ61" i="3"/>
  <c r="CJ80" i="3"/>
  <c r="CK83" i="4"/>
  <c r="CQ68" i="4"/>
  <c r="CQ81" i="4"/>
  <c r="CQ82" i="4" s="1"/>
  <c r="CQ83" i="4" s="1"/>
  <c r="CL68" i="4"/>
  <c r="CL81" i="4"/>
  <c r="CL82" i="4" s="1"/>
  <c r="CQ84" i="4"/>
  <c r="CQ76" i="4"/>
  <c r="CQ77" i="4" s="1"/>
  <c r="CQ78" i="4" s="1"/>
  <c r="CQ39" i="4"/>
  <c r="CQ47" i="4"/>
  <c r="CQ43" i="4"/>
  <c r="CQ55" i="4"/>
  <c r="CQ63" i="4"/>
  <c r="CQ51" i="4"/>
  <c r="CQ34" i="4"/>
  <c r="CQ72" i="4"/>
  <c r="CQ59" i="4"/>
  <c r="CM67" i="4"/>
  <c r="CM75" i="4"/>
  <c r="CR75" i="4"/>
  <c r="CR8" i="3" s="1"/>
  <c r="CR67" i="4"/>
  <c r="CS60" i="4"/>
  <c r="CS66" i="4"/>
  <c r="CR79" i="4"/>
  <c r="CR75" i="3" s="1"/>
  <c r="CL84" i="4"/>
  <c r="CL76" i="4"/>
  <c r="CL77" i="4" s="1"/>
  <c r="CL78" i="4" s="1"/>
  <c r="CL55" i="4"/>
  <c r="CL39" i="4"/>
  <c r="CL47" i="4"/>
  <c r="CL63" i="4"/>
  <c r="CL43" i="4"/>
  <c r="CL51" i="4"/>
  <c r="CL34" i="4"/>
  <c r="CL59" i="4"/>
  <c r="CL72" i="4"/>
  <c r="CE162" i="1"/>
  <c r="CD94" i="2"/>
  <c r="CJ96" i="3"/>
  <c r="CD14" i="3"/>
  <c r="CD49" i="3"/>
  <c r="CD27" i="1"/>
  <c r="CD24" i="2" s="1"/>
  <c r="CD77" i="3"/>
  <c r="CD11" i="1"/>
  <c r="CD129" i="3"/>
  <c r="CD99" i="3"/>
  <c r="CD120" i="3"/>
  <c r="CD26" i="2"/>
  <c r="CG67" i="4"/>
  <c r="CG75" i="4"/>
  <c r="CD73" i="3"/>
  <c r="CD74" i="3" s="1"/>
  <c r="CD96" i="3"/>
  <c r="CG16" i="3"/>
  <c r="CG52" i="3" s="1"/>
  <c r="CG112" i="3" s="1"/>
  <c r="CD20" i="2"/>
  <c r="CE72" i="3"/>
  <c r="CE19" i="3"/>
  <c r="CE12" i="1"/>
  <c r="CE59" i="3"/>
  <c r="CE18" i="3"/>
  <c r="CE10" i="1"/>
  <c r="CE20" i="2" s="1"/>
  <c r="CE30" i="1"/>
  <c r="CE107" i="1"/>
  <c r="CE77" i="4"/>
  <c r="CF68" i="4"/>
  <c r="CF81" i="4"/>
  <c r="CF82" i="4" s="1"/>
  <c r="CF83" i="4" s="1"/>
  <c r="CD78" i="4"/>
  <c r="CD79" i="3"/>
  <c r="CD62" i="3"/>
  <c r="CD20" i="3"/>
  <c r="CJ81" i="3" s="1"/>
  <c r="CD95" i="2"/>
  <c r="CD35" i="2"/>
  <c r="CF84" i="4"/>
  <c r="CF51" i="4"/>
  <c r="CF47" i="4"/>
  <c r="CF39" i="4"/>
  <c r="CF8" i="3"/>
  <c r="CL59" i="3" s="1"/>
  <c r="CF55" i="4"/>
  <c r="CF63" i="4"/>
  <c r="CF76" i="4"/>
  <c r="CF34" i="4"/>
  <c r="CF43" i="4"/>
  <c r="CF72" i="4"/>
  <c r="CF59" i="4"/>
  <c r="CD21" i="2"/>
  <c r="CD80" i="3"/>
  <c r="CD96" i="2"/>
  <c r="CD61" i="3"/>
  <c r="CC83" i="3"/>
  <c r="CC65" i="3"/>
  <c r="CC58" i="3"/>
  <c r="CC106" i="3"/>
  <c r="CC19" i="2"/>
  <c r="CC95" i="1"/>
  <c r="CM107" i="1" l="1"/>
  <c r="CM108" i="1" s="1"/>
  <c r="CL21" i="2"/>
  <c r="CO67" i="3"/>
  <c r="CI163" i="1"/>
  <c r="CI165" i="1" s="1"/>
  <c r="CI166" i="1" s="1"/>
  <c r="CI167" i="1" s="1"/>
  <c r="CM30" i="2"/>
  <c r="CP35" i="2"/>
  <c r="CL20" i="2"/>
  <c r="CR162" i="1"/>
  <c r="CR30" i="1"/>
  <c r="CR10" i="1"/>
  <c r="CS10" i="1" s="1"/>
  <c r="CR12" i="1"/>
  <c r="CS12" i="1" s="1"/>
  <c r="CR107" i="1"/>
  <c r="CM19" i="3"/>
  <c r="CM96" i="2" s="1"/>
  <c r="CL96" i="2"/>
  <c r="CM123" i="3"/>
  <c r="L12" i="10"/>
  <c r="CM162" i="1"/>
  <c r="CO20" i="2"/>
  <c r="CM88" i="1"/>
  <c r="CR20" i="2"/>
  <c r="CQ21" i="2"/>
  <c r="CK13" i="1"/>
  <c r="CK16" i="2" s="1"/>
  <c r="CK14" i="1"/>
  <c r="CK22" i="2" s="1"/>
  <c r="CK28" i="1"/>
  <c r="CK25" i="2" s="1"/>
  <c r="CQ20" i="2"/>
  <c r="CM30" i="1"/>
  <c r="CL26" i="2"/>
  <c r="CJ22" i="2"/>
  <c r="CP14" i="1"/>
  <c r="CP13" i="1"/>
  <c r="CP28" i="1"/>
  <c r="CP25" i="2" s="1"/>
  <c r="CQ14" i="3"/>
  <c r="CQ50" i="3" s="1"/>
  <c r="CQ11" i="1"/>
  <c r="CQ94" i="2"/>
  <c r="CQ97" i="2" s="1"/>
  <c r="CQ98" i="2" s="1"/>
  <c r="CQ11" i="2" s="1"/>
  <c r="CQ27" i="1"/>
  <c r="CK11" i="1"/>
  <c r="CK94" i="2"/>
  <c r="CK97" i="2" s="1"/>
  <c r="CK98" i="2" s="1"/>
  <c r="CK11" i="2" s="1"/>
  <c r="CK27" i="1"/>
  <c r="CJ171" i="1"/>
  <c r="CJ16" i="2"/>
  <c r="CS16" i="3"/>
  <c r="CS52" i="3" s="1"/>
  <c r="CS112" i="3" s="1"/>
  <c r="CS100" i="3" s="1"/>
  <c r="CM132" i="3"/>
  <c r="CS8" i="3"/>
  <c r="CP11" i="3"/>
  <c r="CM124" i="3"/>
  <c r="CM133" i="3"/>
  <c r="CJ11" i="3"/>
  <c r="CL20" i="3"/>
  <c r="CM18" i="3"/>
  <c r="CM95" i="2" s="1"/>
  <c r="CL72" i="3"/>
  <c r="CL73" i="3" s="1"/>
  <c r="CL74" i="3" s="1"/>
  <c r="CO84" i="3"/>
  <c r="CO63" i="3"/>
  <c r="CK76" i="3"/>
  <c r="CO37" i="3"/>
  <c r="CO38" i="3" s="1"/>
  <c r="CO68" i="3"/>
  <c r="CR18" i="3"/>
  <c r="CR72" i="3"/>
  <c r="CR19" i="3"/>
  <c r="CR59" i="3"/>
  <c r="CQ49" i="3"/>
  <c r="CQ77" i="3"/>
  <c r="CO65" i="3"/>
  <c r="CK49" i="3"/>
  <c r="CK14" i="3"/>
  <c r="CQ78" i="3" s="1"/>
  <c r="CP120" i="3"/>
  <c r="CP129" i="3"/>
  <c r="CP99" i="3"/>
  <c r="CK129" i="3"/>
  <c r="CK99" i="3"/>
  <c r="CK120" i="3"/>
  <c r="CI110" i="3"/>
  <c r="CI98" i="3"/>
  <c r="CI105" i="3" s="1"/>
  <c r="CI55" i="3"/>
  <c r="CO55" i="3"/>
  <c r="CQ73" i="3"/>
  <c r="CQ74" i="3" s="1"/>
  <c r="CQ96" i="3"/>
  <c r="CJ99" i="3"/>
  <c r="CJ129" i="3"/>
  <c r="CJ120" i="3"/>
  <c r="CP81" i="3"/>
  <c r="CP27" i="3"/>
  <c r="CQ20" i="3"/>
  <c r="CQ79" i="3"/>
  <c r="CQ62" i="3"/>
  <c r="CI22" i="3"/>
  <c r="CI35" i="3"/>
  <c r="CI66" i="3"/>
  <c r="CO58" i="3" s="1"/>
  <c r="CI28" i="3"/>
  <c r="CO83" i="3" s="1"/>
  <c r="CI67" i="3"/>
  <c r="CI63" i="3"/>
  <c r="CI84" i="3"/>
  <c r="CP76" i="3"/>
  <c r="CQ61" i="3"/>
  <c r="CQ80" i="3"/>
  <c r="CK80" i="3"/>
  <c r="CK61" i="3"/>
  <c r="CK79" i="3"/>
  <c r="CK62" i="3"/>
  <c r="CL83" i="4"/>
  <c r="CR68" i="4"/>
  <c r="CR81" i="4"/>
  <c r="CR82" i="4" s="1"/>
  <c r="CR83" i="4" s="1"/>
  <c r="CS75" i="4"/>
  <c r="CS67" i="4"/>
  <c r="CM79" i="4"/>
  <c r="CM75" i="3" s="1"/>
  <c r="CM80" i="4"/>
  <c r="CM69" i="4" s="1"/>
  <c r="CM68" i="4" s="1"/>
  <c r="CM77" i="4"/>
  <c r="CM78" i="4"/>
  <c r="CM81" i="4"/>
  <c r="CM82" i="4" s="1"/>
  <c r="CR84" i="4"/>
  <c r="CR76" i="4"/>
  <c r="CR77" i="4" s="1"/>
  <c r="CR78" i="4" s="1"/>
  <c r="CS78" i="4" s="1"/>
  <c r="CR51" i="4"/>
  <c r="CR63" i="4"/>
  <c r="CR39" i="4"/>
  <c r="CR47" i="4"/>
  <c r="CR43" i="4"/>
  <c r="CR55" i="4"/>
  <c r="CR34" i="4"/>
  <c r="CR59" i="4"/>
  <c r="CR72" i="4"/>
  <c r="CM76" i="4"/>
  <c r="CM84" i="4"/>
  <c r="CS79" i="4"/>
  <c r="CS75" i="3" s="1"/>
  <c r="CM39" i="4"/>
  <c r="CM47" i="4"/>
  <c r="CM55" i="4"/>
  <c r="CM51" i="4"/>
  <c r="CM43" i="4"/>
  <c r="CM63" i="4"/>
  <c r="CM34" i="4"/>
  <c r="CS80" i="4"/>
  <c r="CS69" i="4" s="1"/>
  <c r="CS61" i="4" s="1"/>
  <c r="CM72" i="4"/>
  <c r="CM59" i="4"/>
  <c r="CD78" i="3"/>
  <c r="CF162" i="1"/>
  <c r="CK96" i="3"/>
  <c r="CD50" i="3"/>
  <c r="CD60" i="3"/>
  <c r="CD23" i="2"/>
  <c r="CF15" i="3"/>
  <c r="CF12" i="3" s="1"/>
  <c r="CF11" i="3" s="1"/>
  <c r="CF111" i="3"/>
  <c r="CE15" i="3"/>
  <c r="CE12" i="3" s="1"/>
  <c r="CE11" i="3" s="1"/>
  <c r="CK77" i="3" s="1"/>
  <c r="CE111" i="3"/>
  <c r="CD97" i="2"/>
  <c r="CD98" i="2" s="1"/>
  <c r="CD11" i="2" s="1"/>
  <c r="CF59" i="3"/>
  <c r="CF18" i="3"/>
  <c r="CF12" i="1"/>
  <c r="CF21" i="2" s="1"/>
  <c r="CF10" i="1"/>
  <c r="CF20" i="2" s="1"/>
  <c r="CF30" i="1"/>
  <c r="CF26" i="2" s="1"/>
  <c r="CF107" i="1"/>
  <c r="CF30" i="2" s="1"/>
  <c r="CF72" i="3"/>
  <c r="CF19" i="3"/>
  <c r="CE20" i="3"/>
  <c r="CK81" i="3" s="1"/>
  <c r="CE79" i="3"/>
  <c r="CE62" i="3"/>
  <c r="CE95" i="2"/>
  <c r="CE21" i="2"/>
  <c r="CG121" i="3"/>
  <c r="CG100" i="3"/>
  <c r="CG130" i="3"/>
  <c r="CE78" i="4"/>
  <c r="CD76" i="3"/>
  <c r="CG63" i="4"/>
  <c r="CG39" i="4"/>
  <c r="CG34" i="4"/>
  <c r="CG51" i="4"/>
  <c r="CG55" i="4"/>
  <c r="CG43" i="4"/>
  <c r="CG84" i="4"/>
  <c r="CG59" i="4"/>
  <c r="CG76" i="4"/>
  <c r="CG47" i="4"/>
  <c r="CG72" i="4"/>
  <c r="CE80" i="3"/>
  <c r="CE96" i="2"/>
  <c r="CE61" i="3"/>
  <c r="CF77" i="4"/>
  <c r="CG77" i="4" s="1"/>
  <c r="CE30" i="2"/>
  <c r="CE96" i="3"/>
  <c r="CE73" i="3"/>
  <c r="CD24" i="3"/>
  <c r="CD81" i="3"/>
  <c r="CD28" i="1"/>
  <c r="CD13" i="1"/>
  <c r="CD171" i="1" s="1"/>
  <c r="CD27" i="3"/>
  <c r="CJ82" i="3" s="1"/>
  <c r="CD14" i="1"/>
  <c r="CE26" i="2"/>
  <c r="CG8" i="3"/>
  <c r="CG68" i="4"/>
  <c r="CG81" i="4"/>
  <c r="CG82" i="4" s="1"/>
  <c r="CG83" i="4" s="1"/>
  <c r="BS94" i="1"/>
  <c r="BR101" i="1"/>
  <c r="CS130" i="3" l="1"/>
  <c r="CS74" i="1"/>
  <c r="CM35" i="2"/>
  <c r="L27" i="10"/>
  <c r="CS121" i="3"/>
  <c r="CR21" i="2"/>
  <c r="CS21" i="2"/>
  <c r="CJ14" i="3"/>
  <c r="CJ78" i="3" s="1"/>
  <c r="CJ11" i="1"/>
  <c r="CJ27" i="1"/>
  <c r="CK24" i="2" s="1"/>
  <c r="CJ94" i="2"/>
  <c r="CJ97" i="2" s="1"/>
  <c r="CJ98" i="2" s="1"/>
  <c r="CM54" i="3"/>
  <c r="CM115" i="3" s="1"/>
  <c r="CM103" i="3" s="1"/>
  <c r="CS72" i="3"/>
  <c r="CS73" i="3" s="1"/>
  <c r="CS162" i="1"/>
  <c r="M12" i="10"/>
  <c r="M13" i="10" s="1"/>
  <c r="CO26" i="2"/>
  <c r="CS19" i="3"/>
  <c r="CS96" i="2" s="1"/>
  <c r="CR96" i="2"/>
  <c r="CS88" i="1"/>
  <c r="CQ31" i="1"/>
  <c r="CS20" i="2"/>
  <c r="CK31" i="1"/>
  <c r="CP171" i="1"/>
  <c r="CP16" i="2"/>
  <c r="CR26" i="2"/>
  <c r="CS30" i="1"/>
  <c r="CQ81" i="3"/>
  <c r="CQ13" i="1"/>
  <c r="CQ16" i="2" s="1"/>
  <c r="CQ14" i="1"/>
  <c r="CQ28" i="1"/>
  <c r="CQ25" i="2" s="1"/>
  <c r="CP14" i="3"/>
  <c r="CP50" i="3" s="1"/>
  <c r="CP94" i="2"/>
  <c r="CP97" i="2" s="1"/>
  <c r="CP98" i="2" s="1"/>
  <c r="CP11" i="1"/>
  <c r="CP27" i="1"/>
  <c r="CR30" i="2"/>
  <c r="CS107" i="1"/>
  <c r="CS108" i="1" s="1"/>
  <c r="CS18" i="3"/>
  <c r="CS95" i="2" s="1"/>
  <c r="CR95" i="2"/>
  <c r="CL27" i="3"/>
  <c r="CL64" i="3" s="1"/>
  <c r="CL14" i="1"/>
  <c r="CM14" i="1" s="1"/>
  <c r="CL13" i="1"/>
  <c r="CL16" i="2" s="1"/>
  <c r="CL28" i="1"/>
  <c r="CP22" i="2"/>
  <c r="CK171" i="1"/>
  <c r="CS132" i="3"/>
  <c r="CS59" i="3"/>
  <c r="CS133" i="3"/>
  <c r="CS124" i="3"/>
  <c r="CP49" i="3"/>
  <c r="CS123" i="3"/>
  <c r="CJ77" i="3"/>
  <c r="CP77" i="3"/>
  <c r="CM20" i="3"/>
  <c r="CM90" i="1" s="1"/>
  <c r="CM53" i="3"/>
  <c r="CJ49" i="3"/>
  <c r="CQ76" i="3"/>
  <c r="CQ60" i="3"/>
  <c r="CO106" i="3"/>
  <c r="CO69" i="3"/>
  <c r="CO91" i="3"/>
  <c r="CQ24" i="3"/>
  <c r="CQ163" i="1" s="1"/>
  <c r="CR73" i="3"/>
  <c r="CR74" i="3" s="1"/>
  <c r="CS74" i="3" s="1"/>
  <c r="CR96" i="3"/>
  <c r="CL111" i="3"/>
  <c r="CL15" i="3"/>
  <c r="CL12" i="3" s="1"/>
  <c r="CI68" i="3"/>
  <c r="CI37" i="3"/>
  <c r="CI38" i="3" s="1"/>
  <c r="CP64" i="3"/>
  <c r="CP82" i="3"/>
  <c r="CO105" i="3"/>
  <c r="CQ98" i="3"/>
  <c r="CQ110" i="3"/>
  <c r="CR20" i="3"/>
  <c r="CR79" i="3"/>
  <c r="CR62" i="3"/>
  <c r="CI65" i="3"/>
  <c r="CI83" i="3"/>
  <c r="CI106" i="3"/>
  <c r="CI58" i="3"/>
  <c r="CK50" i="3"/>
  <c r="CK24" i="3"/>
  <c r="CK163" i="1" s="1"/>
  <c r="CL76" i="3"/>
  <c r="CM76" i="3" s="1"/>
  <c r="CR80" i="3"/>
  <c r="CR61" i="3"/>
  <c r="CM72" i="3"/>
  <c r="CM73" i="3" s="1"/>
  <c r="CM59" i="3"/>
  <c r="CM74" i="3"/>
  <c r="CL61" i="3"/>
  <c r="CL80" i="3"/>
  <c r="CL62" i="3"/>
  <c r="CL79" i="3"/>
  <c r="CS55" i="4"/>
  <c r="CS43" i="4"/>
  <c r="CS63" i="4"/>
  <c r="CS51" i="4"/>
  <c r="CS84" i="4"/>
  <c r="CS76" i="4"/>
  <c r="CS39" i="4"/>
  <c r="CS47" i="4"/>
  <c r="CS34" i="4"/>
  <c r="CS72" i="4"/>
  <c r="CS59" i="4"/>
  <c r="CS77" i="4"/>
  <c r="CM83" i="4"/>
  <c r="CM24" i="4"/>
  <c r="CM32" i="4"/>
  <c r="CM49" i="4"/>
  <c r="CM53" i="4"/>
  <c r="CM57" i="4"/>
  <c r="CM41" i="4"/>
  <c r="CM20" i="4"/>
  <c r="CM28" i="4"/>
  <c r="CM36" i="4"/>
  <c r="CM65" i="4"/>
  <c r="CM45" i="4"/>
  <c r="CM61" i="4"/>
  <c r="CM74" i="4"/>
  <c r="CS68" i="4"/>
  <c r="CS81" i="4"/>
  <c r="CS82" i="4" s="1"/>
  <c r="CS83" i="4" s="1"/>
  <c r="CS32" i="4"/>
  <c r="CS24" i="4"/>
  <c r="CS49" i="4"/>
  <c r="CS65" i="4"/>
  <c r="CS53" i="4"/>
  <c r="CS20" i="4"/>
  <c r="CS57" i="4"/>
  <c r="CS41" i="4"/>
  <c r="CS28" i="4"/>
  <c r="CS45" i="4"/>
  <c r="CS36" i="4"/>
  <c r="CS74" i="4"/>
  <c r="CS15" i="4"/>
  <c r="CS10" i="4"/>
  <c r="CM15" i="4"/>
  <c r="CM10" i="4"/>
  <c r="CF14" i="3"/>
  <c r="CG19" i="3"/>
  <c r="CD110" i="3"/>
  <c r="CL96" i="3"/>
  <c r="CG18" i="3"/>
  <c r="CD55" i="3"/>
  <c r="CD98" i="3"/>
  <c r="CF49" i="3"/>
  <c r="CF77" i="3"/>
  <c r="CF27" i="1"/>
  <c r="CF94" i="2"/>
  <c r="CF11" i="1"/>
  <c r="CG11" i="1" s="1"/>
  <c r="CG12" i="3"/>
  <c r="CG15" i="3" s="1"/>
  <c r="CG51" i="3" s="1"/>
  <c r="CG111" i="3" s="1"/>
  <c r="CG99" i="3" s="1"/>
  <c r="CF120" i="3"/>
  <c r="CF129" i="3"/>
  <c r="CF99" i="3"/>
  <c r="CE129" i="3"/>
  <c r="CE99" i="3"/>
  <c r="CE120" i="3"/>
  <c r="CG162" i="1"/>
  <c r="CD163" i="1"/>
  <c r="BR69" i="1"/>
  <c r="CG133" i="3"/>
  <c r="CD41" i="1"/>
  <c r="CD95" i="1" s="1"/>
  <c r="CG132" i="3"/>
  <c r="CE35" i="2"/>
  <c r="CG30" i="2"/>
  <c r="CG74" i="1"/>
  <c r="CF80" i="3"/>
  <c r="CF96" i="2"/>
  <c r="CF61" i="3"/>
  <c r="CG10" i="1"/>
  <c r="CI20" i="2" s="1"/>
  <c r="CD82" i="3"/>
  <c r="CD64" i="3"/>
  <c r="CG21" i="2"/>
  <c r="CG12" i="1"/>
  <c r="CE77" i="3"/>
  <c r="CE27" i="1"/>
  <c r="CE49" i="3"/>
  <c r="CE11" i="1"/>
  <c r="CE94" i="2"/>
  <c r="CE97" i="2" s="1"/>
  <c r="CE98" i="2" s="1"/>
  <c r="CG11" i="3"/>
  <c r="CE14" i="3"/>
  <c r="CD22" i="2"/>
  <c r="CF96" i="3"/>
  <c r="CF73" i="3"/>
  <c r="CF74" i="3" s="1"/>
  <c r="CD25" i="2"/>
  <c r="CD31" i="1"/>
  <c r="CG26" i="2"/>
  <c r="CG59" i="3"/>
  <c r="K12" i="10"/>
  <c r="L13" i="10" s="1"/>
  <c r="CG72" i="3"/>
  <c r="CE74" i="3"/>
  <c r="CE76" i="3"/>
  <c r="CF79" i="3"/>
  <c r="CF20" i="3"/>
  <c r="CL81" i="3" s="1"/>
  <c r="CF95" i="2"/>
  <c r="CF62" i="3"/>
  <c r="CG124" i="3"/>
  <c r="CD66" i="3"/>
  <c r="CD63" i="3"/>
  <c r="CD84" i="3"/>
  <c r="CD28" i="3"/>
  <c r="CD67" i="3"/>
  <c r="CF35" i="2"/>
  <c r="CG30" i="1"/>
  <c r="CI26" i="2" s="1"/>
  <c r="CM26" i="2" s="1"/>
  <c r="CD16" i="2"/>
  <c r="CE28" i="1"/>
  <c r="CE14" i="1"/>
  <c r="CE22" i="2" s="1"/>
  <c r="CE13" i="1"/>
  <c r="CE171" i="1" s="1"/>
  <c r="CE81" i="3"/>
  <c r="CG107" i="1"/>
  <c r="CF78" i="4"/>
  <c r="CG123" i="3"/>
  <c r="CG20" i="2"/>
  <c r="CJ24" i="3" l="1"/>
  <c r="CP24" i="3"/>
  <c r="CP163" i="1" s="1"/>
  <c r="CP165" i="1" s="1"/>
  <c r="CP166" i="1" s="1"/>
  <c r="CP167" i="1" s="1"/>
  <c r="CJ60" i="3"/>
  <c r="CJ50" i="3"/>
  <c r="CJ110" i="3" s="1"/>
  <c r="CS79" i="3"/>
  <c r="CS62" i="3"/>
  <c r="CS26" i="2"/>
  <c r="CJ67" i="3"/>
  <c r="CJ163" i="1"/>
  <c r="CJ165" i="1" s="1"/>
  <c r="CJ166" i="1" s="1"/>
  <c r="CJ167" i="1" s="1"/>
  <c r="CP60" i="3"/>
  <c r="CS80" i="3"/>
  <c r="CJ11" i="2"/>
  <c r="CM91" i="1"/>
  <c r="CO22" i="2"/>
  <c r="CO8" i="2"/>
  <c r="CO96" i="1"/>
  <c r="CS61" i="3"/>
  <c r="CP78" i="3"/>
  <c r="CS96" i="3"/>
  <c r="CS54" i="3"/>
  <c r="CS115" i="3" s="1"/>
  <c r="CS103" i="3" s="1"/>
  <c r="CL22" i="2"/>
  <c r="CJ24" i="2"/>
  <c r="CJ31" i="1"/>
  <c r="CM28" i="1"/>
  <c r="CL25" i="2"/>
  <c r="CQ23" i="2"/>
  <c r="CP23" i="2"/>
  <c r="CP11" i="2"/>
  <c r="CK165" i="1"/>
  <c r="CK166" i="1" s="1"/>
  <c r="CK167" i="1" s="1"/>
  <c r="CR13" i="1"/>
  <c r="CR16" i="2" s="1"/>
  <c r="CR14" i="1"/>
  <c r="CS14" i="1" s="1"/>
  <c r="CS91" i="1" s="1"/>
  <c r="CR28" i="1"/>
  <c r="CS20" i="3"/>
  <c r="CS90" i="1" s="1"/>
  <c r="CQ171" i="1"/>
  <c r="CK23" i="2"/>
  <c r="CK19" i="2" s="1"/>
  <c r="CJ23" i="2"/>
  <c r="CP24" i="2"/>
  <c r="CP31" i="1"/>
  <c r="CM13" i="1"/>
  <c r="CL171" i="1"/>
  <c r="CQ165" i="1"/>
  <c r="CQ166" i="1" s="1"/>
  <c r="CQ167" i="1" s="1"/>
  <c r="CS53" i="3"/>
  <c r="CS114" i="3" s="1"/>
  <c r="CS102" i="3" s="1"/>
  <c r="CQ22" i="2"/>
  <c r="CR35" i="2"/>
  <c r="CS30" i="2"/>
  <c r="CQ24" i="2"/>
  <c r="CM20" i="2"/>
  <c r="CI23" i="2"/>
  <c r="CI21" i="2"/>
  <c r="CM21" i="2" s="1"/>
  <c r="CM74" i="1"/>
  <c r="CO40" i="3"/>
  <c r="CO85" i="3"/>
  <c r="CL11" i="3"/>
  <c r="CM12" i="3"/>
  <c r="CM15" i="3" s="1"/>
  <c r="CM51" i="3" s="1"/>
  <c r="CM114" i="3"/>
  <c r="CM102" i="3" s="1"/>
  <c r="CJ84" i="3"/>
  <c r="CJ63" i="3"/>
  <c r="CR76" i="3"/>
  <c r="CS76" i="3" s="1"/>
  <c r="CK98" i="3"/>
  <c r="CQ105" i="3" s="1"/>
  <c r="CK110" i="3"/>
  <c r="CJ98" i="3"/>
  <c r="CJ105" i="3" s="1"/>
  <c r="CR27" i="3"/>
  <c r="CR81" i="3"/>
  <c r="CP22" i="3"/>
  <c r="CP66" i="3"/>
  <c r="CP84" i="3"/>
  <c r="CP67" i="3"/>
  <c r="CP35" i="3"/>
  <c r="CP63" i="3"/>
  <c r="CP28" i="3"/>
  <c r="CR111" i="3"/>
  <c r="CR15" i="3"/>
  <c r="CR12" i="3" s="1"/>
  <c r="CJ35" i="3"/>
  <c r="CJ22" i="3"/>
  <c r="CJ66" i="3"/>
  <c r="CJ106" i="3" s="1"/>
  <c r="CJ28" i="3"/>
  <c r="CJ65" i="3" s="1"/>
  <c r="CP110" i="3"/>
  <c r="CP98" i="3"/>
  <c r="CI91" i="3"/>
  <c r="CI69" i="3"/>
  <c r="CK22" i="3"/>
  <c r="CK35" i="3"/>
  <c r="CK66" i="3"/>
  <c r="CQ55" i="3"/>
  <c r="CL120" i="3"/>
  <c r="CL99" i="3"/>
  <c r="CL129" i="3"/>
  <c r="CQ22" i="3"/>
  <c r="CQ66" i="3"/>
  <c r="CQ35" i="3"/>
  <c r="CQ84" i="3"/>
  <c r="CQ67" i="3"/>
  <c r="CQ63" i="3"/>
  <c r="CG53" i="3"/>
  <c r="CM56" i="3" s="1"/>
  <c r="CM62" i="3"/>
  <c r="CM79" i="3"/>
  <c r="CF50" i="3"/>
  <c r="CF55" i="3" s="1"/>
  <c r="CK78" i="3"/>
  <c r="CK60" i="3"/>
  <c r="CM80" i="3"/>
  <c r="CM61" i="3"/>
  <c r="CF78" i="3"/>
  <c r="CF60" i="3"/>
  <c r="CG79" i="3"/>
  <c r="CM96" i="3"/>
  <c r="CG80" i="3"/>
  <c r="CG20" i="3"/>
  <c r="CM81" i="3" s="1"/>
  <c r="CG14" i="3"/>
  <c r="CG54" i="3"/>
  <c r="CG61" i="3"/>
  <c r="CG96" i="2"/>
  <c r="CG62" i="3"/>
  <c r="CD105" i="3"/>
  <c r="CG95" i="2"/>
  <c r="CG120" i="3"/>
  <c r="CG129" i="3"/>
  <c r="CG27" i="1"/>
  <c r="CF24" i="2"/>
  <c r="BR68" i="1"/>
  <c r="BR70" i="1"/>
  <c r="CD165" i="1"/>
  <c r="CD166" i="1" s="1"/>
  <c r="CD167" i="1" s="1"/>
  <c r="BR180" i="1"/>
  <c r="CF97" i="2"/>
  <c r="CF98" i="2" s="1"/>
  <c r="CF11" i="2" s="1"/>
  <c r="CG78" i="4"/>
  <c r="CF24" i="3"/>
  <c r="CF81" i="3"/>
  <c r="CF27" i="3"/>
  <c r="CL82" i="3" s="1"/>
  <c r="CF14" i="1"/>
  <c r="CF22" i="2" s="1"/>
  <c r="CF28" i="1"/>
  <c r="CF13" i="1"/>
  <c r="K13" i="10"/>
  <c r="CE16" i="2"/>
  <c r="CD106" i="3"/>
  <c r="CD58" i="3"/>
  <c r="CD19" i="2"/>
  <c r="CE31" i="1"/>
  <c r="CG76" i="1"/>
  <c r="CE24" i="2"/>
  <c r="CE11" i="2"/>
  <c r="CG108" i="1"/>
  <c r="CE25" i="2"/>
  <c r="CG74" i="3"/>
  <c r="CE50" i="3"/>
  <c r="CK55" i="3" s="1"/>
  <c r="CE78" i="3"/>
  <c r="CE24" i="3"/>
  <c r="CE60" i="3"/>
  <c r="CG35" i="2"/>
  <c r="K27" i="10"/>
  <c r="K28" i="10" s="1"/>
  <c r="CG96" i="3"/>
  <c r="CG73" i="3"/>
  <c r="CE23" i="2"/>
  <c r="CF23" i="2"/>
  <c r="CG75" i="1"/>
  <c r="CG88" i="1"/>
  <c r="CD65" i="3"/>
  <c r="CD83" i="3"/>
  <c r="CF76" i="3"/>
  <c r="CG94" i="2"/>
  <c r="CG77" i="3"/>
  <c r="CG49" i="3"/>
  <c r="CJ55" i="3" l="1"/>
  <c r="CP55" i="3"/>
  <c r="CJ19" i="2"/>
  <c r="CS35" i="2"/>
  <c r="M27" i="10"/>
  <c r="CR22" i="2"/>
  <c r="CS22" i="2" s="1"/>
  <c r="CS81" i="3"/>
  <c r="CS28" i="1"/>
  <c r="CS87" i="1" s="1"/>
  <c r="CR25" i="2"/>
  <c r="CS57" i="3"/>
  <c r="CM87" i="1"/>
  <c r="CO25" i="2"/>
  <c r="CI8" i="2"/>
  <c r="CI96" i="1"/>
  <c r="CL49" i="3"/>
  <c r="CL11" i="1"/>
  <c r="CL94" i="2"/>
  <c r="CL97" i="2" s="1"/>
  <c r="CL98" i="2" s="1"/>
  <c r="CL27" i="1"/>
  <c r="CS13" i="1"/>
  <c r="CR171" i="1"/>
  <c r="CQ19" i="2"/>
  <c r="CM89" i="1"/>
  <c r="CO16" i="2"/>
  <c r="CS16" i="2" s="1"/>
  <c r="CM171" i="1"/>
  <c r="CP19" i="2"/>
  <c r="CS56" i="3"/>
  <c r="CI24" i="2"/>
  <c r="CI40" i="3"/>
  <c r="CL14" i="3"/>
  <c r="CL78" i="3" s="1"/>
  <c r="CR11" i="3"/>
  <c r="CR77" i="3" s="1"/>
  <c r="CS12" i="3"/>
  <c r="CS15" i="3" s="1"/>
  <c r="CS51" i="3" s="1"/>
  <c r="CM129" i="3"/>
  <c r="CM120" i="3"/>
  <c r="CM111" i="3"/>
  <c r="CM99" i="3" s="1"/>
  <c r="CL77" i="3"/>
  <c r="CM11" i="3"/>
  <c r="CM94" i="2" s="1"/>
  <c r="CM97" i="2" s="1"/>
  <c r="CF98" i="3"/>
  <c r="CF105" i="3" s="1"/>
  <c r="CF110" i="3"/>
  <c r="CJ58" i="3"/>
  <c r="CP83" i="3"/>
  <c r="CP65" i="3"/>
  <c r="CR64" i="3"/>
  <c r="CR82" i="3"/>
  <c r="CG56" i="3"/>
  <c r="CG114" i="3"/>
  <c r="CG102" i="3" s="1"/>
  <c r="CP105" i="3"/>
  <c r="CJ37" i="3"/>
  <c r="CJ38" i="3" s="1"/>
  <c r="CJ68" i="3"/>
  <c r="CP58" i="3"/>
  <c r="CP106" i="3"/>
  <c r="CP37" i="3"/>
  <c r="CP38" i="3" s="1"/>
  <c r="CP68" i="3"/>
  <c r="CQ37" i="3"/>
  <c r="CQ68" i="3"/>
  <c r="CQ58" i="3"/>
  <c r="CQ106" i="3"/>
  <c r="CK37" i="3"/>
  <c r="CK38" i="3" s="1"/>
  <c r="CK68" i="3"/>
  <c r="CR129" i="3"/>
  <c r="CR120" i="3"/>
  <c r="CR99" i="3"/>
  <c r="CJ83" i="3"/>
  <c r="CM57" i="3"/>
  <c r="CG50" i="3"/>
  <c r="CG110" i="3" s="1"/>
  <c r="CK67" i="3"/>
  <c r="CK63" i="3"/>
  <c r="CK84" i="3"/>
  <c r="CG90" i="1"/>
  <c r="CG57" i="3"/>
  <c r="CG81" i="3"/>
  <c r="CG24" i="3"/>
  <c r="CG63" i="3" s="1"/>
  <c r="CG97" i="2"/>
  <c r="CE163" i="1"/>
  <c r="CE165" i="1" s="1"/>
  <c r="CE166" i="1" s="1"/>
  <c r="CE167" i="1" s="1"/>
  <c r="CE110" i="3"/>
  <c r="CG60" i="3"/>
  <c r="CF163" i="1"/>
  <c r="CF165" i="1" s="1"/>
  <c r="CF166" i="1" s="1"/>
  <c r="CF167" i="1" s="1"/>
  <c r="CG78" i="3"/>
  <c r="CG115" i="3"/>
  <c r="CG103" i="3" s="1"/>
  <c r="BR71" i="1"/>
  <c r="CF16" i="2"/>
  <c r="CF171" i="1"/>
  <c r="BR184" i="1"/>
  <c r="BR183" i="1"/>
  <c r="CG98" i="2"/>
  <c r="CG77" i="1"/>
  <c r="CG28" i="1"/>
  <c r="CI25" i="2" s="1"/>
  <c r="CM25" i="2" s="1"/>
  <c r="CF25" i="2"/>
  <c r="CF31" i="1"/>
  <c r="CG14" i="1"/>
  <c r="CI22" i="2" s="1"/>
  <c r="CM22" i="2" s="1"/>
  <c r="CF64" i="3"/>
  <c r="CF82" i="3"/>
  <c r="CE41" i="1"/>
  <c r="CG11" i="2"/>
  <c r="CE67" i="3"/>
  <c r="CE63" i="3"/>
  <c r="CE84" i="3"/>
  <c r="CE66" i="3"/>
  <c r="CK58" i="3" s="1"/>
  <c r="CG24" i="2"/>
  <c r="CG23" i="2"/>
  <c r="CG13" i="1"/>
  <c r="L28" i="10"/>
  <c r="CF66" i="3"/>
  <c r="CF63" i="3"/>
  <c r="CF28" i="3"/>
  <c r="CF84" i="3"/>
  <c r="CF67" i="3"/>
  <c r="CE19" i="2"/>
  <c r="CE98" i="3"/>
  <c r="CE55" i="3"/>
  <c r="CG76" i="3"/>
  <c r="CG22" i="2"/>
  <c r="CL24" i="3" l="1"/>
  <c r="CL60" i="3"/>
  <c r="CL50" i="3"/>
  <c r="CL55" i="3" s="1"/>
  <c r="CR49" i="3"/>
  <c r="CS25" i="2"/>
  <c r="CM27" i="1"/>
  <c r="CL24" i="2"/>
  <c r="CM24" i="2" s="1"/>
  <c r="CL31" i="1"/>
  <c r="CS11" i="3"/>
  <c r="CS94" i="2" s="1"/>
  <c r="CS97" i="2" s="1"/>
  <c r="CR27" i="1"/>
  <c r="CR94" i="2"/>
  <c r="CR97" i="2" s="1"/>
  <c r="CR98" i="2" s="1"/>
  <c r="CR11" i="1"/>
  <c r="CL11" i="2"/>
  <c r="CM11" i="2" s="1"/>
  <c r="CM98" i="2"/>
  <c r="CM99" i="2" s="1"/>
  <c r="CL84" i="3"/>
  <c r="CL163" i="1"/>
  <c r="CM76" i="1"/>
  <c r="CM11" i="1"/>
  <c r="CO23" i="2" s="1"/>
  <c r="CL23" i="2"/>
  <c r="CM75" i="1"/>
  <c r="CS89" i="1"/>
  <c r="CS171" i="1"/>
  <c r="CG171" i="1"/>
  <c r="CI16" i="2"/>
  <c r="CM16" i="2" s="1"/>
  <c r="CI19" i="2"/>
  <c r="CR14" i="3"/>
  <c r="CR78" i="3" s="1"/>
  <c r="CS111" i="3"/>
  <c r="CS99" i="3" s="1"/>
  <c r="CS120" i="3"/>
  <c r="CS129" i="3"/>
  <c r="CM49" i="3"/>
  <c r="CM14" i="3"/>
  <c r="CM77" i="3"/>
  <c r="CG98" i="3"/>
  <c r="CG105" i="3" s="1"/>
  <c r="CG55" i="3"/>
  <c r="CQ38" i="3"/>
  <c r="CK69" i="3"/>
  <c r="CK91" i="3"/>
  <c r="CP91" i="3"/>
  <c r="CP85" i="3"/>
  <c r="CP69" i="3"/>
  <c r="CJ69" i="3"/>
  <c r="CJ91" i="3"/>
  <c r="CL98" i="3"/>
  <c r="CL105" i="3" s="1"/>
  <c r="CL110" i="3"/>
  <c r="CL66" i="3"/>
  <c r="CL58" i="3" s="1"/>
  <c r="CL22" i="3"/>
  <c r="CL35" i="3"/>
  <c r="CL28" i="3"/>
  <c r="CL65" i="3" s="1"/>
  <c r="CL63" i="3"/>
  <c r="CL67" i="3"/>
  <c r="CG163" i="1"/>
  <c r="CG66" i="3"/>
  <c r="CG99" i="2"/>
  <c r="K14" i="10"/>
  <c r="K16" i="10" s="1"/>
  <c r="CG67" i="3"/>
  <c r="CG84" i="3"/>
  <c r="CE105" i="3"/>
  <c r="CK105" i="3"/>
  <c r="CK106" i="3"/>
  <c r="CG16" i="2"/>
  <c r="BR47" i="1"/>
  <c r="BR186" i="1"/>
  <c r="BR187" i="1"/>
  <c r="CF19" i="2"/>
  <c r="N12" i="10"/>
  <c r="O12" i="10"/>
  <c r="M28" i="10"/>
  <c r="CE106" i="3"/>
  <c r="CE58" i="3"/>
  <c r="CG91" i="1"/>
  <c r="CF65" i="3"/>
  <c r="CF83" i="3"/>
  <c r="CG87" i="1"/>
  <c r="CG31" i="1"/>
  <c r="CF41" i="1"/>
  <c r="CE95" i="1"/>
  <c r="CG25" i="2"/>
  <c r="CG89" i="1"/>
  <c r="CF58" i="3"/>
  <c r="CF106" i="3"/>
  <c r="CR50" i="3" l="1"/>
  <c r="CS14" i="3"/>
  <c r="CS49" i="3"/>
  <c r="CR24" i="3"/>
  <c r="CR163" i="1" s="1"/>
  <c r="CR165" i="1" s="1"/>
  <c r="CR166" i="1" s="1"/>
  <c r="CR167" i="1" s="1"/>
  <c r="CM77" i="1"/>
  <c r="CR60" i="3"/>
  <c r="CS11" i="1"/>
  <c r="CR23" i="2"/>
  <c r="CS23" i="2" s="1"/>
  <c r="CS75" i="1"/>
  <c r="CL165" i="1"/>
  <c r="CL166" i="1" s="1"/>
  <c r="CL167" i="1" s="1"/>
  <c r="CK96" i="1"/>
  <c r="CK8" i="2"/>
  <c r="CS77" i="3"/>
  <c r="CR11" i="2"/>
  <c r="CS11" i="2" s="1"/>
  <c r="CS98" i="2"/>
  <c r="CS99" i="2" s="1"/>
  <c r="CJ8" i="2"/>
  <c r="CJ96" i="1"/>
  <c r="CS27" i="1"/>
  <c r="CS31" i="1" s="1"/>
  <c r="CR24" i="2"/>
  <c r="CR31" i="1"/>
  <c r="CS76" i="1"/>
  <c r="CM23" i="2"/>
  <c r="CM19" i="2" s="1"/>
  <c r="L25" i="10" s="1"/>
  <c r="L26" i="10" s="1"/>
  <c r="CL19" i="2"/>
  <c r="CP8" i="2"/>
  <c r="CP96" i="1"/>
  <c r="CM31" i="1"/>
  <c r="CO24" i="2"/>
  <c r="CS24" i="2" s="1"/>
  <c r="CQ69" i="3"/>
  <c r="CP40" i="3"/>
  <c r="CK40" i="3"/>
  <c r="CJ40" i="3"/>
  <c r="CQ91" i="3"/>
  <c r="CM24" i="3"/>
  <c r="CM50" i="3"/>
  <c r="CM60" i="3"/>
  <c r="CM78" i="3"/>
  <c r="CQ85" i="3"/>
  <c r="K15" i="10"/>
  <c r="CL106" i="3"/>
  <c r="CR55" i="3"/>
  <c r="CR98" i="3"/>
  <c r="CR105" i="3" s="1"/>
  <c r="CR110" i="3"/>
  <c r="CL83" i="3"/>
  <c r="CL68" i="3"/>
  <c r="CL37" i="3"/>
  <c r="CM37" i="3" s="1"/>
  <c r="CG58" i="3"/>
  <c r="CG106" i="3"/>
  <c r="BR59" i="1"/>
  <c r="CG19" i="2"/>
  <c r="CF95" i="1"/>
  <c r="CG95" i="1" s="1"/>
  <c r="CG41" i="1"/>
  <c r="CI41" i="1" s="1"/>
  <c r="O25" i="10"/>
  <c r="O27" i="10"/>
  <c r="O28" i="10" s="1"/>
  <c r="N13" i="10"/>
  <c r="N25" i="10"/>
  <c r="N26" i="10" s="1"/>
  <c r="N23" i="10"/>
  <c r="N27" i="10"/>
  <c r="N28" i="10" s="1"/>
  <c r="CS60" i="3" l="1"/>
  <c r="CS78" i="3"/>
  <c r="CS24" i="3"/>
  <c r="CR28" i="3"/>
  <c r="CR83" i="3" s="1"/>
  <c r="CR66" i="3"/>
  <c r="CR58" i="3" s="1"/>
  <c r="CS50" i="3"/>
  <c r="CS110" i="3" s="1"/>
  <c r="CR63" i="3"/>
  <c r="CR35" i="3"/>
  <c r="CR37" i="3" s="1"/>
  <c r="N24" i="10"/>
  <c r="O23" i="10"/>
  <c r="CR22" i="3"/>
  <c r="CR67" i="3"/>
  <c r="CR84" i="3"/>
  <c r="CS77" i="1"/>
  <c r="CO19" i="2"/>
  <c r="CS19" i="2"/>
  <c r="M25" i="10" s="1"/>
  <c r="M26" i="10" s="1"/>
  <c r="O26" i="10" s="1"/>
  <c r="L14" i="10"/>
  <c r="CM163" i="1"/>
  <c r="CQ96" i="1"/>
  <c r="CQ8" i="2"/>
  <c r="CR19" i="2"/>
  <c r="CJ41" i="1"/>
  <c r="CI95" i="1"/>
  <c r="CQ40" i="3"/>
  <c r="CM66" i="3"/>
  <c r="CM22" i="3"/>
  <c r="CM35" i="3"/>
  <c r="CM68" i="3" s="1"/>
  <c r="CM63" i="3"/>
  <c r="CM84" i="3"/>
  <c r="CM67" i="3"/>
  <c r="CM110" i="3"/>
  <c r="CM98" i="3"/>
  <c r="CM55" i="3"/>
  <c r="CL38" i="3"/>
  <c r="K25" i="10"/>
  <c r="K26" i="10" s="1"/>
  <c r="CS66" i="3" l="1"/>
  <c r="CS55" i="3"/>
  <c r="CS22" i="3"/>
  <c r="CR68" i="3"/>
  <c r="CS35" i="3"/>
  <c r="CS68" i="3" s="1"/>
  <c r="CS67" i="3"/>
  <c r="CS84" i="3"/>
  <c r="M14" i="10"/>
  <c r="M16" i="10" s="1"/>
  <c r="CR65" i="3"/>
  <c r="CR106" i="3"/>
  <c r="CS63" i="3"/>
  <c r="CS163" i="1"/>
  <c r="CS98" i="3"/>
  <c r="CS105" i="3" s="1"/>
  <c r="L15" i="10"/>
  <c r="L16" i="10"/>
  <c r="CK41" i="1"/>
  <c r="CJ95" i="1"/>
  <c r="CL69" i="3"/>
  <c r="CR38" i="3"/>
  <c r="CS37" i="3"/>
  <c r="CM38" i="3"/>
  <c r="CM36" i="3"/>
  <c r="CM164" i="1" s="1"/>
  <c r="CM165" i="1" s="1"/>
  <c r="CM166" i="1" s="1"/>
  <c r="CM167" i="1" s="1"/>
  <c r="CL91" i="3"/>
  <c r="CM105" i="3"/>
  <c r="CS58" i="3"/>
  <c r="CS106" i="3"/>
  <c r="CM106" i="3"/>
  <c r="CM58" i="3"/>
  <c r="L29" i="72"/>
  <c r="L32" i="72"/>
  <c r="L33" i="72"/>
  <c r="L31" i="72"/>
  <c r="BM28" i="3"/>
  <c r="L34" i="72"/>
  <c r="N11" i="72"/>
  <c r="N30" i="72" s="1"/>
  <c r="N26" i="72" s="1"/>
  <c r="BM25" i="3"/>
  <c r="L30" i="72"/>
  <c r="L26" i="72" s="1"/>
  <c r="L20" i="72"/>
  <c r="L41" i="72" s="1"/>
  <c r="R11" i="72"/>
  <c r="R12" i="72" s="1"/>
  <c r="CS36" i="3" l="1"/>
  <c r="CS164" i="1" s="1"/>
  <c r="M15" i="10"/>
  <c r="CS165" i="1"/>
  <c r="CS166" i="1" s="1"/>
  <c r="CS167" i="1" s="1"/>
  <c r="CL96" i="1"/>
  <c r="CL8" i="2"/>
  <c r="CM8" i="2" s="1"/>
  <c r="O15" i="10"/>
  <c r="O14" i="10" s="1"/>
  <c r="N15" i="10"/>
  <c r="N14" i="10" s="1"/>
  <c r="N16" i="10" s="1"/>
  <c r="CL41" i="1"/>
  <c r="CK95" i="1"/>
  <c r="M20" i="10"/>
  <c r="CR69" i="3"/>
  <c r="CR91" i="3"/>
  <c r="CL40" i="3"/>
  <c r="CR85" i="3"/>
  <c r="CM69" i="3"/>
  <c r="L20" i="10"/>
  <c r="CM91" i="3"/>
  <c r="CM96" i="1" s="1"/>
  <c r="CS38" i="3"/>
  <c r="BO25" i="3"/>
  <c r="BM27" i="3"/>
  <c r="BM83" i="3"/>
  <c r="X11" i="72"/>
  <c r="BY25" i="3" s="1"/>
  <c r="T11" i="72"/>
  <c r="T12" i="72" s="1"/>
  <c r="BS25" i="3"/>
  <c r="BM65" i="3"/>
  <c r="N12" i="72"/>
  <c r="N32" i="72" s="1"/>
  <c r="N29" i="72"/>
  <c r="R14" i="72"/>
  <c r="R15" i="72"/>
  <c r="BS28" i="3"/>
  <c r="R32" i="72"/>
  <c r="R33" i="72"/>
  <c r="R31" i="72"/>
  <c r="L42" i="72"/>
  <c r="R29" i="72"/>
  <c r="R30" i="72"/>
  <c r="R26" i="72" s="1"/>
  <c r="N40" i="72"/>
  <c r="CR96" i="1" l="1"/>
  <c r="CR8" i="2"/>
  <c r="CS8" i="2" s="1"/>
  <c r="CM41" i="1"/>
  <c r="CL95" i="1"/>
  <c r="CM95" i="1" s="1"/>
  <c r="CR40" i="3"/>
  <c r="CS85" i="3"/>
  <c r="CM40" i="3"/>
  <c r="CS91" i="3"/>
  <c r="CS96" i="1" s="1"/>
  <c r="CS69" i="3"/>
  <c r="BM64" i="3"/>
  <c r="BM82" i="3"/>
  <c r="BO27" i="3"/>
  <c r="BU25" i="3"/>
  <c r="BS27" i="3"/>
  <c r="BS64" i="3" s="1"/>
  <c r="T40" i="72"/>
  <c r="N31" i="72"/>
  <c r="N14" i="72"/>
  <c r="N15" i="72" s="1"/>
  <c r="N20" i="72" s="1"/>
  <c r="BO28" i="3"/>
  <c r="T30" i="72"/>
  <c r="T26" i="72" s="1"/>
  <c r="T29" i="72"/>
  <c r="X30" i="72"/>
  <c r="X26" i="72" s="1"/>
  <c r="X12" i="72"/>
  <c r="AD11" i="72"/>
  <c r="AJ11" i="72" s="1"/>
  <c r="X29" i="72"/>
  <c r="Z11" i="72"/>
  <c r="N33" i="72"/>
  <c r="BY27" i="3"/>
  <c r="CA27" i="3" s="1"/>
  <c r="CA25" i="3"/>
  <c r="T33" i="72"/>
  <c r="T31" i="72"/>
  <c r="T32" i="72"/>
  <c r="T14" i="72"/>
  <c r="T15" i="72" s="1"/>
  <c r="BU28" i="3"/>
  <c r="BS83" i="3"/>
  <c r="BS65" i="3"/>
  <c r="R34" i="72"/>
  <c r="CO41" i="1" l="1"/>
  <c r="CS40" i="3"/>
  <c r="AP11" i="72"/>
  <c r="CK25" i="3"/>
  <c r="AJ30" i="72"/>
  <c r="AJ29" i="72"/>
  <c r="AJ12" i="72"/>
  <c r="AL11" i="72"/>
  <c r="BU27" i="3"/>
  <c r="BU64" i="3" s="1"/>
  <c r="BS82" i="3"/>
  <c r="BO64" i="3"/>
  <c r="BO82" i="3"/>
  <c r="N34" i="72"/>
  <c r="BO83" i="3"/>
  <c r="BO65" i="3"/>
  <c r="BY28" i="3"/>
  <c r="X15" i="72"/>
  <c r="X31" i="72"/>
  <c r="X33" i="72"/>
  <c r="X32" i="72"/>
  <c r="X14" i="72"/>
  <c r="Z12" i="72"/>
  <c r="Z29" i="72"/>
  <c r="Z30" i="72"/>
  <c r="Z26" i="72" s="1"/>
  <c r="Z40" i="72"/>
  <c r="AD29" i="72"/>
  <c r="AF11" i="72"/>
  <c r="AD12" i="72"/>
  <c r="CE25" i="3"/>
  <c r="AD30" i="72"/>
  <c r="AD26" i="72" s="1"/>
  <c r="T34" i="72"/>
  <c r="BU83" i="3"/>
  <c r="BU65" i="3"/>
  <c r="BY82" i="3"/>
  <c r="BY64" i="3"/>
  <c r="N41" i="72"/>
  <c r="N42" i="72"/>
  <c r="CP41" i="1" l="1"/>
  <c r="CO95" i="1"/>
  <c r="CK27" i="3"/>
  <c r="CM25" i="3"/>
  <c r="AL40" i="72"/>
  <c r="AL30" i="72"/>
  <c r="AL29" i="72"/>
  <c r="AL12" i="72"/>
  <c r="AJ31" i="72"/>
  <c r="AJ32" i="72"/>
  <c r="AJ15" i="72"/>
  <c r="AJ33" i="72"/>
  <c r="AJ14" i="72"/>
  <c r="CK28" i="3"/>
  <c r="CK65" i="3" s="1"/>
  <c r="AJ26" i="72"/>
  <c r="AP29" i="72"/>
  <c r="CQ25" i="3"/>
  <c r="AP30" i="72"/>
  <c r="AP26" i="72" s="1"/>
  <c r="AP12" i="72"/>
  <c r="AR11" i="72"/>
  <c r="BU82" i="3"/>
  <c r="AD14" i="72"/>
  <c r="AD15" i="72"/>
  <c r="AD33" i="72"/>
  <c r="CE28" i="3"/>
  <c r="AD31" i="72"/>
  <c r="AD32" i="72"/>
  <c r="Z33" i="72"/>
  <c r="Z31" i="72"/>
  <c r="CA28" i="3"/>
  <c r="Z14" i="72"/>
  <c r="Z15" i="72" s="1"/>
  <c r="Z32" i="72"/>
  <c r="BY65" i="3"/>
  <c r="BY83" i="3"/>
  <c r="CG25" i="3"/>
  <c r="CE27" i="3"/>
  <c r="AF29" i="72"/>
  <c r="AF30" i="72"/>
  <c r="AF26" i="72" s="1"/>
  <c r="AF40" i="72"/>
  <c r="AF12" i="72"/>
  <c r="X34" i="72"/>
  <c r="CA64" i="3"/>
  <c r="CA82" i="3"/>
  <c r="CQ41" i="1" l="1"/>
  <c r="CP95" i="1"/>
  <c r="CK82" i="3"/>
  <c r="CQ27" i="3"/>
  <c r="CS25" i="3"/>
  <c r="AL31" i="72"/>
  <c r="AL33" i="72"/>
  <c r="AL32" i="72"/>
  <c r="AL14" i="72"/>
  <c r="AL15" i="72" s="1"/>
  <c r="CM28" i="3"/>
  <c r="CM65" i="3" s="1"/>
  <c r="CK83" i="3"/>
  <c r="AR40" i="72"/>
  <c r="AR30" i="72"/>
  <c r="AR26" i="72" s="1"/>
  <c r="AR29" i="72"/>
  <c r="AR12" i="72"/>
  <c r="AL26" i="72"/>
  <c r="AP33" i="72"/>
  <c r="AP15" i="72"/>
  <c r="AP32" i="72"/>
  <c r="AP31" i="72"/>
  <c r="AP14" i="72"/>
  <c r="CQ28" i="3"/>
  <c r="AJ34" i="72"/>
  <c r="CK64" i="3"/>
  <c r="CM27" i="3"/>
  <c r="CM64" i="3" s="1"/>
  <c r="Z34" i="72"/>
  <c r="CE65" i="3"/>
  <c r="CE83" i="3"/>
  <c r="AD34" i="72"/>
  <c r="CG28" i="3"/>
  <c r="AF32" i="72"/>
  <c r="AF14" i="72"/>
  <c r="AF15" i="72" s="1"/>
  <c r="AF33" i="72"/>
  <c r="AF31" i="72"/>
  <c r="CG27" i="3"/>
  <c r="CE64" i="3"/>
  <c r="CE82" i="3"/>
  <c r="CA65" i="3"/>
  <c r="CA83" i="3"/>
  <c r="CR41" i="1" l="1"/>
  <c r="CQ95" i="1"/>
  <c r="CM83" i="3"/>
  <c r="AL34" i="72"/>
  <c r="AP34" i="72"/>
  <c r="AR32" i="72"/>
  <c r="AR31" i="72"/>
  <c r="AR33" i="72"/>
  <c r="AR14" i="72"/>
  <c r="AR15" i="72" s="1"/>
  <c r="CS28" i="3"/>
  <c r="CQ83" i="3"/>
  <c r="CQ65" i="3"/>
  <c r="CM82" i="3"/>
  <c r="CQ82" i="3"/>
  <c r="CQ64" i="3"/>
  <c r="CS27" i="3"/>
  <c r="CG64" i="3"/>
  <c r="CG82" i="3"/>
  <c r="AF34" i="72"/>
  <c r="CG83" i="3"/>
  <c r="CG65" i="3"/>
  <c r="CS41" i="1" l="1"/>
  <c r="CR95" i="1"/>
  <c r="CS95" i="1" s="1"/>
  <c r="AR34" i="72"/>
  <c r="CS65" i="3"/>
  <c r="CS83" i="3"/>
  <c r="CS82" i="3"/>
  <c r="CS64" i="3"/>
  <c r="BQ85" i="2"/>
  <c r="BW85" i="2" l="1"/>
  <c r="CC85" i="2" l="1"/>
  <c r="BW83" i="2"/>
  <c r="CC83" i="2" l="1"/>
  <c r="BU30" i="2" l="1"/>
  <c r="I27" i="10" s="1"/>
  <c r="I28" i="10" s="1"/>
  <c r="BU107" i="1"/>
  <c r="BU108" i="1" l="1"/>
  <c r="BU110" i="1"/>
  <c r="BU111" i="1" s="1"/>
  <c r="BU35" i="2"/>
  <c r="BW106" i="1" l="1"/>
  <c r="BW111" i="1" l="1"/>
  <c r="BW114" i="1"/>
  <c r="CA106" i="1"/>
  <c r="CA111" i="1" s="1"/>
  <c r="CC106" i="1" l="1"/>
  <c r="BW101" i="2"/>
  <c r="BW9" i="2" s="1"/>
  <c r="BX106" i="1"/>
  <c r="BX111" i="1" l="1"/>
  <c r="CC111" i="1"/>
  <c r="CG106" i="1"/>
  <c r="CG111" i="1" s="1"/>
  <c r="CI106" i="1" s="1"/>
  <c r="CC114" i="1"/>
  <c r="BW22" i="3"/>
  <c r="CI114" i="1" l="1"/>
  <c r="CI111" i="1"/>
  <c r="CM106" i="1"/>
  <c r="CM111" i="1" s="1"/>
  <c r="CI101" i="2"/>
  <c r="CI9" i="2" s="1"/>
  <c r="CC101" i="2"/>
  <c r="CC9" i="2" s="1"/>
  <c r="BY106" i="1"/>
  <c r="CD106" i="1"/>
  <c r="CO106" i="1" l="1"/>
  <c r="CJ106" i="1"/>
  <c r="CI27" i="2"/>
  <c r="CC22" i="3"/>
  <c r="BY111" i="1"/>
  <c r="CD111" i="1"/>
  <c r="CI54" i="2" l="1"/>
  <c r="CI82" i="1" s="1"/>
  <c r="CI81" i="1"/>
  <c r="CO111" i="1"/>
  <c r="CO114" i="1"/>
  <c r="CS106" i="1"/>
  <c r="CS111" i="1" s="1"/>
  <c r="CJ111" i="1"/>
  <c r="CJ114" i="1"/>
  <c r="CE106" i="1"/>
  <c r="BZ106" i="1"/>
  <c r="CK106" i="1" l="1"/>
  <c r="CP106" i="1"/>
  <c r="CO101" i="2"/>
  <c r="CO9" i="2" s="1"/>
  <c r="CO27" i="2" s="1"/>
  <c r="BZ111" i="1"/>
  <c r="CE111" i="1"/>
  <c r="CP111" i="1" l="1"/>
  <c r="CP114" i="1"/>
  <c r="CK114" i="1"/>
  <c r="CK111" i="1"/>
  <c r="CO54" i="2"/>
  <c r="CO82" i="1" s="1"/>
  <c r="CO81" i="1"/>
  <c r="CF106" i="1"/>
  <c r="CL106" i="1" l="1"/>
  <c r="CQ106" i="1"/>
  <c r="CF111" i="1"/>
  <c r="BR22" i="3"/>
  <c r="BR64" i="1" s="1"/>
  <c r="BR114" i="1"/>
  <c r="BR101" i="2" s="1"/>
  <c r="CQ111" i="1" l="1"/>
  <c r="CQ114" i="1"/>
  <c r="CL114" i="1"/>
  <c r="CM114" i="1" s="1"/>
  <c r="CM115" i="1" s="1"/>
  <c r="CL111" i="1"/>
  <c r="BR116" i="1"/>
  <c r="BU116" i="1" s="1"/>
  <c r="BR115" i="1"/>
  <c r="BR80" i="1"/>
  <c r="BR81" i="1"/>
  <c r="CR106" i="1" l="1"/>
  <c r="BS115" i="1"/>
  <c r="BX115" i="1"/>
  <c r="BS49" i="2"/>
  <c r="BR82" i="1"/>
  <c r="BR40" i="3"/>
  <c r="CR111" i="1" l="1"/>
  <c r="CR114" i="1"/>
  <c r="CS114" i="1" s="1"/>
  <c r="CS115" i="1" s="1"/>
  <c r="BR83" i="1"/>
  <c r="BX114" i="1"/>
  <c r="BT115" i="1"/>
  <c r="BY115" i="1"/>
  <c r="BS114" i="1"/>
  <c r="CD114" i="1" l="1"/>
  <c r="CD101" i="2" s="1"/>
  <c r="CD9" i="2" s="1"/>
  <c r="BS117" i="1"/>
  <c r="BS101" i="2"/>
  <c r="BS9" i="2" s="1"/>
  <c r="BX101" i="2"/>
  <c r="BX9" i="2" s="1"/>
  <c r="BY114" i="1"/>
  <c r="BY101" i="2" s="1"/>
  <c r="BY9" i="2" s="1"/>
  <c r="BT114" i="1"/>
  <c r="BT101" i="2" s="1"/>
  <c r="BT9" i="2" s="1"/>
  <c r="BZ115" i="1"/>
  <c r="CJ101" i="2" l="1"/>
  <c r="CJ9" i="2" s="1"/>
  <c r="CP101" i="2"/>
  <c r="CP9" i="2" s="1"/>
  <c r="CE114" i="1"/>
  <c r="CE101" i="2" s="1"/>
  <c r="CE9" i="2" s="1"/>
  <c r="CE22" i="3" s="1"/>
  <c r="BT22" i="3"/>
  <c r="CD22" i="3"/>
  <c r="BY22" i="3"/>
  <c r="BU114" i="1"/>
  <c r="BS22" i="3"/>
  <c r="BU9" i="2"/>
  <c r="BZ114" i="1"/>
  <c r="BX22" i="3"/>
  <c r="BS119" i="1"/>
  <c r="BT113" i="1"/>
  <c r="BT117" i="1" s="1"/>
  <c r="BT119" i="1" s="1"/>
  <c r="CP27" i="2" l="1"/>
  <c r="CJ27" i="2"/>
  <c r="CK101" i="2"/>
  <c r="CK9" i="2" s="1"/>
  <c r="CK27" i="2" s="1"/>
  <c r="CF114" i="1"/>
  <c r="CF101" i="2" s="1"/>
  <c r="CF9" i="2" s="1"/>
  <c r="BU101" i="2"/>
  <c r="BU115" i="1"/>
  <c r="BU117" i="1"/>
  <c r="BU22" i="3"/>
  <c r="I23" i="10"/>
  <c r="BS17" i="1"/>
  <c r="BZ101" i="2"/>
  <c r="BZ9" i="2" s="1"/>
  <c r="CA114" i="1"/>
  <c r="BT17" i="1"/>
  <c r="BT120" i="1" s="1"/>
  <c r="CG114" i="1" l="1"/>
  <c r="CJ54" i="2"/>
  <c r="CJ82" i="1" s="1"/>
  <c r="CJ81" i="1"/>
  <c r="CK54" i="2"/>
  <c r="CK82" i="1" s="1"/>
  <c r="CK81" i="1"/>
  <c r="CP54" i="2"/>
  <c r="CP82" i="1" s="1"/>
  <c r="CP81" i="1"/>
  <c r="CQ101" i="2"/>
  <c r="CQ9" i="2" s="1"/>
  <c r="CR101" i="2"/>
  <c r="CR9" i="2" s="1"/>
  <c r="CR27" i="2" s="1"/>
  <c r="CA115" i="1"/>
  <c r="CA101" i="2"/>
  <c r="I24" i="10"/>
  <c r="CF22" i="3"/>
  <c r="CG9" i="2"/>
  <c r="BZ22" i="3"/>
  <c r="CA9" i="2"/>
  <c r="BU17" i="1"/>
  <c r="BU119" i="1"/>
  <c r="BW113" i="1"/>
  <c r="BS120" i="1"/>
  <c r="CG115" i="1"/>
  <c r="CG101" i="2"/>
  <c r="CR54" i="2" l="1"/>
  <c r="CR82" i="1" s="1"/>
  <c r="CR81" i="1"/>
  <c r="CQ27" i="2"/>
  <c r="CS9" i="2"/>
  <c r="CS101" i="2"/>
  <c r="CL101" i="2"/>
  <c r="CL9" i="2" s="1"/>
  <c r="BU120" i="1"/>
  <c r="BW117" i="1"/>
  <c r="CA113" i="1"/>
  <c r="CA117" i="1" s="1"/>
  <c r="CG22" i="3"/>
  <c r="K23" i="10"/>
  <c r="J23" i="10"/>
  <c r="CA22" i="3"/>
  <c r="CS27" i="2" l="1"/>
  <c r="M23" i="10"/>
  <c r="CQ54" i="2"/>
  <c r="CQ82" i="1" s="1"/>
  <c r="CQ81" i="1"/>
  <c r="CS54" i="2"/>
  <c r="CS82" i="1" s="1"/>
  <c r="CS81" i="1"/>
  <c r="CL27" i="2"/>
  <c r="CM9" i="2"/>
  <c r="CM101" i="2"/>
  <c r="J24" i="10"/>
  <c r="CA119" i="1"/>
  <c r="CC113" i="1"/>
  <c r="K24" i="10"/>
  <c r="BW119" i="1"/>
  <c r="BX113" i="1"/>
  <c r="BX117" i="1" s="1"/>
  <c r="M24" i="10" l="1"/>
  <c r="O24" i="10"/>
  <c r="CM27" i="2"/>
  <c r="CM54" i="2" s="1"/>
  <c r="CM82" i="1" s="1"/>
  <c r="L23" i="10"/>
  <c r="L24" i="10" s="1"/>
  <c r="CL54" i="2"/>
  <c r="CL82" i="1" s="1"/>
  <c r="CL81" i="1"/>
  <c r="BX119" i="1"/>
  <c r="BY113" i="1"/>
  <c r="BY117" i="1" s="1"/>
  <c r="BW17" i="1"/>
  <c r="BW120" i="1" s="1"/>
  <c r="CG113" i="1"/>
  <c r="CG117" i="1" s="1"/>
  <c r="CI113" i="1" s="1"/>
  <c r="CC117" i="1"/>
  <c r="CM81" i="1" l="1"/>
  <c r="CM113" i="1"/>
  <c r="CM117" i="1" s="1"/>
  <c r="CI117" i="1"/>
  <c r="CG119" i="1"/>
  <c r="CD113" i="1"/>
  <c r="CD117" i="1" s="1"/>
  <c r="CC119" i="1"/>
  <c r="BY119" i="1"/>
  <c r="BZ113" i="1"/>
  <c r="BZ117" i="1" s="1"/>
  <c r="BZ119" i="1" s="1"/>
  <c r="BX17" i="1"/>
  <c r="BX120" i="1" s="1"/>
  <c r="CJ113" i="1" l="1"/>
  <c r="CJ117" i="1" s="1"/>
  <c r="CI119" i="1"/>
  <c r="CO113" i="1"/>
  <c r="CM119" i="1"/>
  <c r="BZ17" i="1"/>
  <c r="CD119" i="1"/>
  <c r="CE113" i="1"/>
  <c r="CE117" i="1" s="1"/>
  <c r="BY17" i="1"/>
  <c r="BY120" i="1" s="1"/>
  <c r="CC17" i="1"/>
  <c r="CI17" i="1" l="1"/>
  <c r="CI120" i="1" s="1"/>
  <c r="CO117" i="1"/>
  <c r="CS113" i="1"/>
  <c r="CS117" i="1" s="1"/>
  <c r="CS119" i="1" s="1"/>
  <c r="CK113" i="1"/>
  <c r="CK117" i="1" s="1"/>
  <c r="CJ119" i="1"/>
  <c r="CA17" i="1"/>
  <c r="CE119" i="1"/>
  <c r="CF113" i="1"/>
  <c r="CF117" i="1" s="1"/>
  <c r="CF119" i="1" s="1"/>
  <c r="BZ120" i="1"/>
  <c r="CC120" i="1"/>
  <c r="CD17" i="1"/>
  <c r="CD120" i="1" s="1"/>
  <c r="CL113" i="1" l="1"/>
  <c r="CL117" i="1" s="1"/>
  <c r="CL119" i="1" s="1"/>
  <c r="CK119" i="1"/>
  <c r="CP113" i="1"/>
  <c r="CP117" i="1" s="1"/>
  <c r="CO119" i="1"/>
  <c r="CJ17" i="1"/>
  <c r="CJ120" i="1" s="1"/>
  <c r="CF17" i="1"/>
  <c r="CF120" i="1" s="1"/>
  <c r="CE17" i="1"/>
  <c r="CA120" i="1"/>
  <c r="CO17" i="1" l="1"/>
  <c r="CO120" i="1" s="1"/>
  <c r="CQ113" i="1"/>
  <c r="CQ117" i="1" s="1"/>
  <c r="CP119" i="1"/>
  <c r="CK17" i="1"/>
  <c r="CK120" i="1" s="1"/>
  <c r="CL17" i="1"/>
  <c r="CM17" i="1" s="1"/>
  <c r="CM120" i="1" s="1"/>
  <c r="CG17" i="1"/>
  <c r="CE120" i="1"/>
  <c r="CL120" i="1" l="1"/>
  <c r="CR113" i="1"/>
  <c r="CR117" i="1" s="1"/>
  <c r="CR119" i="1" s="1"/>
  <c r="CQ119" i="1"/>
  <c r="CP17" i="1"/>
  <c r="CP120" i="1" s="1"/>
  <c r="CG120" i="1"/>
  <c r="CQ17" i="1" l="1"/>
  <c r="CQ120" i="1" s="1"/>
  <c r="CR17" i="1"/>
  <c r="CS17" i="1" s="1"/>
  <c r="CS120" i="1" s="1"/>
  <c r="BX85" i="2"/>
  <c r="BS85" i="2"/>
  <c r="CR120" i="1" l="1"/>
  <c r="BT85" i="2"/>
  <c r="BY85" i="2"/>
  <c r="BS83" i="2"/>
  <c r="BS137" i="3" s="1"/>
  <c r="BX83" i="2"/>
  <c r="CD85" i="2"/>
  <c r="BU85" i="2"/>
  <c r="BU83" i="2" l="1"/>
  <c r="BU86" i="2"/>
  <c r="BS45" i="3"/>
  <c r="BT136" i="3"/>
  <c r="BS44" i="3"/>
  <c r="CD83" i="2"/>
  <c r="BY83" i="2"/>
  <c r="CE85" i="2"/>
  <c r="CE83" i="2" s="1"/>
  <c r="BZ85" i="2"/>
  <c r="BT83" i="2"/>
  <c r="BT137" i="3" l="1"/>
  <c r="CF85" i="2"/>
  <c r="BZ83" i="2"/>
  <c r="R19" i="72"/>
  <c r="CA85" i="2"/>
  <c r="R18" i="72"/>
  <c r="R16" i="72" s="1"/>
  <c r="BS42" i="3"/>
  <c r="CA86" i="2" l="1"/>
  <c r="CA83" i="2"/>
  <c r="CF83" i="2"/>
  <c r="CG85" i="2"/>
  <c r="BS43" i="3"/>
  <c r="BS43" i="2"/>
  <c r="BT45" i="3"/>
  <c r="BU137" i="3"/>
  <c r="R17" i="72"/>
  <c r="R20" i="72"/>
  <c r="BT44" i="3"/>
  <c r="BS97" i="1" l="1"/>
  <c r="CG83" i="2"/>
  <c r="CG86" i="2"/>
  <c r="BU44" i="3"/>
  <c r="BW136" i="3"/>
  <c r="S18" i="72"/>
  <c r="S16" i="72" s="1"/>
  <c r="BU45" i="3"/>
  <c r="S19" i="72"/>
  <c r="T19" i="72" s="1"/>
  <c r="R42" i="72"/>
  <c r="R41" i="72"/>
  <c r="BT42" i="3"/>
  <c r="T18" i="72" l="1"/>
  <c r="S20" i="72"/>
  <c r="S17" i="72"/>
  <c r="T16" i="72"/>
  <c r="BT43" i="3"/>
  <c r="BT43" i="2"/>
  <c r="BU42" i="3"/>
  <c r="CA136" i="3"/>
  <c r="BW137" i="3"/>
  <c r="S42" i="72" l="1"/>
  <c r="S41" i="72"/>
  <c r="BW45" i="3"/>
  <c r="BX136" i="3"/>
  <c r="BW44" i="3"/>
  <c r="T17" i="72"/>
  <c r="T20" i="72"/>
  <c r="G46" i="10"/>
  <c r="BU43" i="3"/>
  <c r="BT97" i="1"/>
  <c r="BU43" i="2"/>
  <c r="T41" i="72" l="1"/>
  <c r="T42" i="72"/>
  <c r="V19" i="72"/>
  <c r="V18" i="72"/>
  <c r="V16" i="72" s="1"/>
  <c r="BW42" i="3"/>
  <c r="BU97" i="1"/>
  <c r="BX137" i="3"/>
  <c r="BX44" i="3" s="1"/>
  <c r="V20" i="72" l="1"/>
  <c r="V17" i="72"/>
  <c r="W18" i="72"/>
  <c r="W16" i="72" s="1"/>
  <c r="BX45" i="3"/>
  <c r="BY136" i="3"/>
  <c r="BW43" i="3"/>
  <c r="BW43" i="2"/>
  <c r="BX42" i="3"/>
  <c r="W17" i="72" l="1"/>
  <c r="W20" i="72"/>
  <c r="BX43" i="3"/>
  <c r="BX43" i="2"/>
  <c r="BY137" i="3"/>
  <c r="BY44" i="3" s="1"/>
  <c r="BW97" i="1"/>
  <c r="W19" i="72"/>
  <c r="V42" i="72"/>
  <c r="V41" i="72"/>
  <c r="X18" i="72" l="1"/>
  <c r="X16" i="72" s="1"/>
  <c r="BX97" i="1"/>
  <c r="W41" i="72"/>
  <c r="W42" i="72"/>
  <c r="BY42" i="3"/>
  <c r="BY45" i="3"/>
  <c r="BZ136" i="3"/>
  <c r="X19" i="72" l="1"/>
  <c r="X17" i="72"/>
  <c r="X20" i="72"/>
  <c r="BZ137" i="3"/>
  <c r="BY43" i="3"/>
  <c r="BY43" i="2"/>
  <c r="BY97" i="1" l="1"/>
  <c r="BZ45" i="3"/>
  <c r="CA137" i="3"/>
  <c r="BZ44" i="3"/>
  <c r="X42" i="72"/>
  <c r="X41" i="72"/>
  <c r="Y18" i="72" l="1"/>
  <c r="Y16" i="72" s="1"/>
  <c r="BZ42" i="3"/>
  <c r="CC136" i="3"/>
  <c r="CA44" i="3"/>
  <c r="CA45" i="3"/>
  <c r="Y19" i="72"/>
  <c r="Z19" i="72" s="1"/>
  <c r="Y20" i="72" l="1"/>
  <c r="Y17" i="72"/>
  <c r="Z16" i="72"/>
  <c r="Z18" i="72"/>
  <c r="CG136" i="3"/>
  <c r="CC137" i="3"/>
  <c r="CC44" i="3" s="1"/>
  <c r="CC42" i="3" s="1"/>
  <c r="BZ43" i="3"/>
  <c r="BZ43" i="2"/>
  <c r="CA42" i="3"/>
  <c r="CC43" i="3" l="1"/>
  <c r="CC43" i="2"/>
  <c r="Y41" i="72"/>
  <c r="Y42" i="72"/>
  <c r="Z17" i="72"/>
  <c r="Z20" i="72"/>
  <c r="BZ97" i="1"/>
  <c r="CA43" i="2"/>
  <c r="AB18" i="72"/>
  <c r="AB16" i="72" s="1"/>
  <c r="CA43" i="3"/>
  <c r="CC45" i="3"/>
  <c r="CD136" i="3"/>
  <c r="CC97" i="1" l="1"/>
  <c r="CD137" i="3"/>
  <c r="Z42" i="72"/>
  <c r="Z41" i="72"/>
  <c r="AB17" i="72"/>
  <c r="AB20" i="72"/>
  <c r="AB19" i="72"/>
  <c r="CA97" i="1"/>
  <c r="AB42" i="72" l="1"/>
  <c r="AB41" i="72"/>
  <c r="CD45" i="3"/>
  <c r="CE136" i="3"/>
  <c r="CD44" i="3"/>
  <c r="AC18" i="72" l="1"/>
  <c r="AC16" i="72" s="1"/>
  <c r="CD42" i="3"/>
  <c r="CE137" i="3"/>
  <c r="CE44" i="3" s="1"/>
  <c r="AC19" i="72"/>
  <c r="AD18" i="72" l="1"/>
  <c r="AD16" i="72" s="1"/>
  <c r="CD43" i="3"/>
  <c r="CD43" i="2"/>
  <c r="CE42" i="3"/>
  <c r="AC17" i="72"/>
  <c r="AC20" i="72"/>
  <c r="CE45" i="3"/>
  <c r="CF136" i="3"/>
  <c r="AD19" i="72" l="1"/>
  <c r="AD20" i="72"/>
  <c r="AD17" i="72"/>
  <c r="CE43" i="3"/>
  <c r="CE43" i="2"/>
  <c r="CF137" i="3"/>
  <c r="CF44" i="3" s="1"/>
  <c r="AC41" i="72"/>
  <c r="AC42" i="72"/>
  <c r="CD97" i="1"/>
  <c r="CG137" i="3" l="1"/>
  <c r="CF45" i="3"/>
  <c r="AD42" i="72"/>
  <c r="AD41" i="72"/>
  <c r="AE18" i="72"/>
  <c r="AE16" i="72" s="1"/>
  <c r="CE97" i="1"/>
  <c r="CF42" i="3"/>
  <c r="CG44" i="3" l="1"/>
  <c r="AF18" i="72" s="1"/>
  <c r="CI136" i="3"/>
  <c r="CG45" i="3"/>
  <c r="AE19" i="72"/>
  <c r="AF19" i="72" s="1"/>
  <c r="CF43" i="3"/>
  <c r="CF43" i="2"/>
  <c r="CG42" i="3"/>
  <c r="AE17" i="72"/>
  <c r="AE20" i="72"/>
  <c r="AF16" i="72"/>
  <c r="CI137" i="3" l="1"/>
  <c r="CI45" i="3" s="1"/>
  <c r="AH19" i="72" s="1"/>
  <c r="CM136" i="3"/>
  <c r="AE41" i="72"/>
  <c r="AE42" i="72"/>
  <c r="CG43" i="3"/>
  <c r="AF20" i="72"/>
  <c r="AF17" i="72"/>
  <c r="CF97" i="1"/>
  <c r="CG43" i="2"/>
  <c r="CI44" i="3" l="1"/>
  <c r="CJ136" i="3"/>
  <c r="CG97" i="1"/>
  <c r="AF42" i="72"/>
  <c r="AF41" i="72"/>
  <c r="AH18" i="72" l="1"/>
  <c r="AH16" i="72" s="1"/>
  <c r="CI42" i="3"/>
  <c r="CJ137" i="3"/>
  <c r="CJ45" i="3" s="1"/>
  <c r="AI19" i="72" s="1"/>
  <c r="BT158" i="1"/>
  <c r="BT30" i="3" s="1"/>
  <c r="BU30" i="3" s="1"/>
  <c r="BU156" i="1"/>
  <c r="BU157" i="1" s="1"/>
  <c r="BW158" i="1" s="1"/>
  <c r="BS35" i="1"/>
  <c r="BS39" i="2" s="1"/>
  <c r="BS44" i="2" s="1"/>
  <c r="BT154" i="1"/>
  <c r="BT157" i="1" s="1"/>
  <c r="AH17" i="72" l="1"/>
  <c r="AH20" i="72"/>
  <c r="CI43" i="2"/>
  <c r="CI55" i="2"/>
  <c r="CI43" i="3"/>
  <c r="CI46" i="3" s="1"/>
  <c r="CI64" i="2" s="1"/>
  <c r="CI143" i="3"/>
  <c r="CI92" i="3"/>
  <c r="CJ44" i="3"/>
  <c r="AI18" i="72" s="1"/>
  <c r="AI16" i="72" s="1"/>
  <c r="CK136" i="3"/>
  <c r="BT35" i="1"/>
  <c r="BW154" i="1"/>
  <c r="BS36" i="1"/>
  <c r="BS170" i="1"/>
  <c r="BS50" i="1"/>
  <c r="BW30" i="3"/>
  <c r="BU158" i="1"/>
  <c r="CI56" i="2" l="1"/>
  <c r="CI83" i="1"/>
  <c r="AI17" i="72"/>
  <c r="AI20" i="72"/>
  <c r="AH42" i="72"/>
  <c r="AH41" i="72"/>
  <c r="CJ42" i="3"/>
  <c r="CJ143" i="3"/>
  <c r="CJ92" i="3"/>
  <c r="CK137" i="3"/>
  <c r="CK45" i="3" s="1"/>
  <c r="AJ19" i="72" s="1"/>
  <c r="CA154" i="1"/>
  <c r="CA157" i="1" s="1"/>
  <c r="CC158" i="1" s="1"/>
  <c r="BW157" i="1"/>
  <c r="BT36" i="1"/>
  <c r="BT50" i="1"/>
  <c r="BT170" i="1"/>
  <c r="BU35" i="1"/>
  <c r="BT39" i="2"/>
  <c r="CK44" i="3" l="1"/>
  <c r="AJ18" i="72" s="1"/>
  <c r="AJ16" i="72" s="1"/>
  <c r="AI42" i="72"/>
  <c r="AI41" i="72"/>
  <c r="CJ43" i="2"/>
  <c r="CJ55" i="2"/>
  <c r="CK42" i="3"/>
  <c r="CK143" i="3" s="1"/>
  <c r="CJ43" i="3"/>
  <c r="CJ46" i="3" s="1"/>
  <c r="CJ64" i="2" s="1"/>
  <c r="CL136" i="3"/>
  <c r="BU170" i="1"/>
  <c r="BU36" i="1"/>
  <c r="BU50" i="1"/>
  <c r="BX158" i="1"/>
  <c r="BW35" i="1"/>
  <c r="BX154" i="1"/>
  <c r="BX157" i="1" s="1"/>
  <c r="CC30" i="3"/>
  <c r="BT44" i="2"/>
  <c r="BU39" i="2"/>
  <c r="BU44" i="2" s="1"/>
  <c r="CJ56" i="2" l="1"/>
  <c r="CJ83" i="1"/>
  <c r="CK92" i="3"/>
  <c r="CK43" i="2"/>
  <c r="CK55" i="2"/>
  <c r="CK43" i="3"/>
  <c r="CK46" i="3" s="1"/>
  <c r="CK64" i="2" s="1"/>
  <c r="AJ17" i="72"/>
  <c r="AJ20" i="72"/>
  <c r="CL137" i="3"/>
  <c r="CL45" i="3" s="1"/>
  <c r="BX30" i="3"/>
  <c r="BY158" i="1"/>
  <c r="BX35" i="1"/>
  <c r="BY154" i="1"/>
  <c r="BY157" i="1" s="1"/>
  <c r="BW36" i="1"/>
  <c r="BW170" i="1"/>
  <c r="BW50" i="1"/>
  <c r="BW39" i="2"/>
  <c r="CK56" i="2" l="1"/>
  <c r="CK83" i="1"/>
  <c r="AK19" i="72"/>
  <c r="AL19" i="72" s="1"/>
  <c r="CM45" i="3"/>
  <c r="AJ42" i="72"/>
  <c r="AJ41" i="72"/>
  <c r="CL44" i="3"/>
  <c r="CM137" i="3"/>
  <c r="CM44" i="3" s="1"/>
  <c r="AL18" i="72" s="1"/>
  <c r="BZ158" i="1"/>
  <c r="BZ30" i="3" s="1"/>
  <c r="BY35" i="1"/>
  <c r="BZ154" i="1"/>
  <c r="BZ157" i="1" s="1"/>
  <c r="BX36" i="1"/>
  <c r="BX50" i="1"/>
  <c r="BX170" i="1"/>
  <c r="BX39" i="2"/>
  <c r="BX44" i="2" s="1"/>
  <c r="BW44" i="2"/>
  <c r="BY30" i="3"/>
  <c r="AK18" i="72" l="1"/>
  <c r="AK16" i="72" s="1"/>
  <c r="CL42" i="3"/>
  <c r="CO136" i="3"/>
  <c r="CL143" i="3"/>
  <c r="CL92" i="3"/>
  <c r="CA30" i="3"/>
  <c r="CA158" i="1"/>
  <c r="BY36" i="1"/>
  <c r="BY50" i="1"/>
  <c r="BY170" i="1"/>
  <c r="BY39" i="2"/>
  <c r="BZ35" i="1"/>
  <c r="CC154" i="1"/>
  <c r="CL43" i="2" l="1"/>
  <c r="CL55" i="2"/>
  <c r="CL43" i="3"/>
  <c r="CL46" i="3" s="1"/>
  <c r="CL64" i="2" s="1"/>
  <c r="CM42" i="3"/>
  <c r="CO44" i="3"/>
  <c r="AN18" i="72" s="1"/>
  <c r="AN16" i="72" s="1"/>
  <c r="AK20" i="72"/>
  <c r="AK17" i="72"/>
  <c r="AL16" i="72"/>
  <c r="CO137" i="3"/>
  <c r="CO45" i="3" s="1"/>
  <c r="AN19" i="72" s="1"/>
  <c r="CS136" i="3"/>
  <c r="CG154" i="1"/>
  <c r="CG157" i="1" s="1"/>
  <c r="CI158" i="1" s="1"/>
  <c r="CC157" i="1"/>
  <c r="BZ36" i="1"/>
  <c r="CA35" i="1"/>
  <c r="BZ170" i="1"/>
  <c r="BZ50" i="1"/>
  <c r="BZ39" i="2"/>
  <c r="BZ44" i="2" s="1"/>
  <c r="BY44" i="2"/>
  <c r="CL56" i="2" l="1"/>
  <c r="CL83" i="1"/>
  <c r="AN20" i="72"/>
  <c r="AN17" i="72"/>
  <c r="CM43" i="3"/>
  <c r="CM46" i="3" s="1"/>
  <c r="CM55" i="2"/>
  <c r="CO42" i="3"/>
  <c r="CM143" i="3"/>
  <c r="AL17" i="72"/>
  <c r="AL20" i="72"/>
  <c r="CM43" i="2"/>
  <c r="CM92" i="3"/>
  <c r="AK42" i="72"/>
  <c r="AK41" i="72"/>
  <c r="CP136" i="3"/>
  <c r="CA39" i="2"/>
  <c r="CA44" i="2" s="1"/>
  <c r="CD158" i="1"/>
  <c r="CC35" i="1"/>
  <c r="CD154" i="1"/>
  <c r="CD157" i="1" s="1"/>
  <c r="CA36" i="1"/>
  <c r="CA170" i="1"/>
  <c r="CA50" i="1"/>
  <c r="CM64" i="2" l="1"/>
  <c r="CM56" i="2"/>
  <c r="CM83" i="1"/>
  <c r="CO43" i="2"/>
  <c r="CO97" i="1" s="1"/>
  <c r="CO55" i="2"/>
  <c r="AN42" i="72"/>
  <c r="AN41" i="72"/>
  <c r="AL41" i="72"/>
  <c r="AL42" i="72"/>
  <c r="CO43" i="3"/>
  <c r="CO46" i="3" s="1"/>
  <c r="CP137" i="3"/>
  <c r="CP45" i="3" s="1"/>
  <c r="AO19" i="72" s="1"/>
  <c r="CO143" i="3"/>
  <c r="CO92" i="3"/>
  <c r="CD30" i="3"/>
  <c r="CE158" i="1"/>
  <c r="CE30" i="3" s="1"/>
  <c r="CD35" i="1"/>
  <c r="CE154" i="1"/>
  <c r="CE157" i="1" s="1"/>
  <c r="CC36" i="1"/>
  <c r="CC39" i="2"/>
  <c r="CC50" i="1"/>
  <c r="CC170" i="1"/>
  <c r="CP44" i="3" l="1"/>
  <c r="AO18" i="72" s="1"/>
  <c r="AO16" i="72" s="1"/>
  <c r="CO56" i="2"/>
  <c r="CO83" i="1"/>
  <c r="CO86" i="3"/>
  <c r="CO64" i="2"/>
  <c r="CP42" i="3"/>
  <c r="AO20" i="72"/>
  <c r="AO17" i="72"/>
  <c r="CQ136" i="3"/>
  <c r="CF158" i="1"/>
  <c r="CF30" i="3" s="1"/>
  <c r="CG30" i="3" s="1"/>
  <c r="CE35" i="1"/>
  <c r="CF154" i="1"/>
  <c r="CF157" i="1" s="1"/>
  <c r="CD36" i="1"/>
  <c r="CD170" i="1"/>
  <c r="CD50" i="1"/>
  <c r="CD39" i="2"/>
  <c r="CD44" i="2" s="1"/>
  <c r="CC44" i="2"/>
  <c r="CF35" i="1" l="1"/>
  <c r="CI154" i="1"/>
  <c r="CP43" i="2"/>
  <c r="CP97" i="1" s="1"/>
  <c r="CP55" i="2"/>
  <c r="AO41" i="72"/>
  <c r="AO42" i="72"/>
  <c r="CP43" i="3"/>
  <c r="CP46" i="3" s="1"/>
  <c r="CP143" i="3"/>
  <c r="CP92" i="3"/>
  <c r="CQ137" i="3"/>
  <c r="CQ45" i="3" s="1"/>
  <c r="AP19" i="72" s="1"/>
  <c r="CG158" i="1"/>
  <c r="CE36" i="1"/>
  <c r="CE170" i="1"/>
  <c r="CE50" i="1"/>
  <c r="CE39" i="2"/>
  <c r="CE44" i="2" s="1"/>
  <c r="CF36" i="1"/>
  <c r="CF50" i="1"/>
  <c r="CG35" i="1"/>
  <c r="CF39" i="2"/>
  <c r="CF44" i="2" s="1"/>
  <c r="CF170" i="1"/>
  <c r="CP56" i="2" l="1"/>
  <c r="CP83" i="1"/>
  <c r="CM154" i="1"/>
  <c r="CM157" i="1" s="1"/>
  <c r="CO158" i="1" s="1"/>
  <c r="CI157" i="1"/>
  <c r="CP86" i="3"/>
  <c r="CP64" i="2"/>
  <c r="CQ44" i="3"/>
  <c r="CR136" i="3"/>
  <c r="CG39" i="2"/>
  <c r="CG44" i="2" s="1"/>
  <c r="CG170" i="1"/>
  <c r="CG36" i="1"/>
  <c r="CG50" i="1"/>
  <c r="CJ158" i="1" l="1"/>
  <c r="CJ154" i="1"/>
  <c r="CJ157" i="1" s="1"/>
  <c r="CI35" i="1"/>
  <c r="AP18" i="72"/>
  <c r="AP16" i="72" s="1"/>
  <c r="CQ42" i="3"/>
  <c r="CR137" i="3"/>
  <c r="CR45" i="3" s="1"/>
  <c r="CD151" i="1"/>
  <c r="CE151" i="1" s="1"/>
  <c r="CF151" i="1" s="1"/>
  <c r="BT151" i="1"/>
  <c r="BW151" i="1"/>
  <c r="BX151" i="1" s="1"/>
  <c r="BY151" i="1" s="1"/>
  <c r="BZ151" i="1" s="1"/>
  <c r="BS150" i="1"/>
  <c r="BS29" i="3"/>
  <c r="CK158" i="1" l="1"/>
  <c r="CK154" i="1"/>
  <c r="CK157" i="1" s="1"/>
  <c r="CJ35" i="1"/>
  <c r="CI50" i="1"/>
  <c r="CI170" i="1"/>
  <c r="CI39" i="2"/>
  <c r="CI36" i="1"/>
  <c r="CQ43" i="2"/>
  <c r="CQ97" i="1" s="1"/>
  <c r="CQ55" i="2"/>
  <c r="AP17" i="72"/>
  <c r="AP20" i="72"/>
  <c r="CS45" i="3"/>
  <c r="AQ19" i="72"/>
  <c r="AR19" i="72" s="1"/>
  <c r="CQ43" i="3"/>
  <c r="CQ46" i="3" s="1"/>
  <c r="CQ143" i="3"/>
  <c r="CQ92" i="3"/>
  <c r="CR44" i="3"/>
  <c r="AQ18" i="72" s="1"/>
  <c r="AQ16" i="72" s="1"/>
  <c r="CS137" i="3"/>
  <c r="CS44" i="3" s="1"/>
  <c r="AR18" i="72" s="1"/>
  <c r="BS33" i="3"/>
  <c r="CI44" i="2" l="1"/>
  <c r="CI48" i="2" s="1"/>
  <c r="CI80" i="1" s="1"/>
  <c r="CJ50" i="1"/>
  <c r="CJ39" i="2"/>
  <c r="CJ44" i="2" s="1"/>
  <c r="CJ48" i="2" s="1"/>
  <c r="CJ80" i="1" s="1"/>
  <c r="CJ170" i="1"/>
  <c r="CJ36" i="1"/>
  <c r="CL154" i="1"/>
  <c r="CL157" i="1" s="1"/>
  <c r="CK35" i="1"/>
  <c r="CL158" i="1"/>
  <c r="CM158" i="1" s="1"/>
  <c r="CQ56" i="2"/>
  <c r="CQ83" i="1"/>
  <c r="CQ86" i="3"/>
  <c r="CQ64" i="2"/>
  <c r="AQ17" i="72"/>
  <c r="AQ20" i="72"/>
  <c r="AR16" i="72"/>
  <c r="CR42" i="3"/>
  <c r="AP42" i="72"/>
  <c r="AP41" i="72"/>
  <c r="BS35" i="3"/>
  <c r="CK50" i="1" l="1"/>
  <c r="CK170" i="1"/>
  <c r="CK39" i="2"/>
  <c r="CK44" i="2" s="1"/>
  <c r="CK48" i="2" s="1"/>
  <c r="CK80" i="1" s="1"/>
  <c r="CK36" i="1"/>
  <c r="CO154" i="1"/>
  <c r="CL35" i="1"/>
  <c r="CR43" i="2"/>
  <c r="CR97" i="1" s="1"/>
  <c r="CR55" i="2"/>
  <c r="CR43" i="3"/>
  <c r="CR46" i="3" s="1"/>
  <c r="CR92" i="3"/>
  <c r="CS42" i="3"/>
  <c r="CS55" i="2" s="1"/>
  <c r="CR143" i="3"/>
  <c r="AQ41" i="72"/>
  <c r="AQ42" i="72"/>
  <c r="AR20" i="72"/>
  <c r="AR17" i="72"/>
  <c r="BS68" i="3"/>
  <c r="BS37" i="3"/>
  <c r="CR56" i="2" l="1"/>
  <c r="CR83" i="1"/>
  <c r="CS56" i="2"/>
  <c r="CS83" i="1"/>
  <c r="CS154" i="1"/>
  <c r="CS157" i="1" s="1"/>
  <c r="CO157" i="1"/>
  <c r="CL50" i="1"/>
  <c r="CM35" i="1"/>
  <c r="CL39" i="2"/>
  <c r="CL170" i="1"/>
  <c r="CL36" i="1"/>
  <c r="CR86" i="3"/>
  <c r="CR64" i="2"/>
  <c r="CS43" i="2"/>
  <c r="CS97" i="1" s="1"/>
  <c r="CS43" i="3"/>
  <c r="CS46" i="3" s="1"/>
  <c r="CS143" i="3"/>
  <c r="CS92" i="3"/>
  <c r="AR41" i="72"/>
  <c r="AR42" i="72"/>
  <c r="BS38" i="3"/>
  <c r="CP158" i="1" l="1"/>
  <c r="CP154" i="1"/>
  <c r="CP157" i="1" s="1"/>
  <c r="CO35" i="1"/>
  <c r="CM50" i="1"/>
  <c r="CM170" i="1"/>
  <c r="CM36" i="1"/>
  <c r="CL44" i="2"/>
  <c r="CL48" i="2" s="1"/>
  <c r="CL80" i="1" s="1"/>
  <c r="CM39" i="2"/>
  <c r="CM44" i="2" s="1"/>
  <c r="CM48" i="2" s="1"/>
  <c r="CM80" i="1" s="1"/>
  <c r="CS86" i="3"/>
  <c r="CS64" i="2"/>
  <c r="BS143" i="3"/>
  <c r="BS85" i="3"/>
  <c r="BS69" i="3"/>
  <c r="BS46" i="3"/>
  <c r="BS91" i="3"/>
  <c r="CO50" i="1" l="1"/>
  <c r="CO170" i="1"/>
  <c r="CO39" i="2"/>
  <c r="CO36" i="1"/>
  <c r="CQ158" i="1"/>
  <c r="CQ154" i="1"/>
  <c r="CQ157" i="1" s="1"/>
  <c r="CP35" i="1"/>
  <c r="BS64" i="2"/>
  <c r="BS86" i="3"/>
  <c r="BS96" i="1"/>
  <c r="BS92" i="3"/>
  <c r="BS8" i="2"/>
  <c r="CR158" i="1" l="1"/>
  <c r="CS158" i="1" s="1"/>
  <c r="CR154" i="1"/>
  <c r="CR157" i="1" s="1"/>
  <c r="CR35" i="1" s="1"/>
  <c r="CQ35" i="1"/>
  <c r="CP50" i="1"/>
  <c r="CP170" i="1"/>
  <c r="CP39" i="2"/>
  <c r="CP44" i="2" s="1"/>
  <c r="CP48" i="2" s="1"/>
  <c r="CP80" i="1" s="1"/>
  <c r="CP36" i="1"/>
  <c r="CO44" i="2"/>
  <c r="CO48" i="2" s="1"/>
  <c r="CO80" i="1" s="1"/>
  <c r="BS27" i="2"/>
  <c r="BS43" i="1"/>
  <c r="CS35" i="1" l="1"/>
  <c r="CR50" i="1"/>
  <c r="CR170" i="1"/>
  <c r="CR39" i="2"/>
  <c r="CR44" i="2" s="1"/>
  <c r="CR48" i="2" s="1"/>
  <c r="CR80" i="1" s="1"/>
  <c r="CR36" i="1"/>
  <c r="CQ50" i="1"/>
  <c r="CQ39" i="2"/>
  <c r="CQ44" i="2" s="1"/>
  <c r="CQ48" i="2" s="1"/>
  <c r="CQ80" i="1" s="1"/>
  <c r="CQ170" i="1"/>
  <c r="CQ36" i="1"/>
  <c r="CS39" i="2"/>
  <c r="CS44" i="2" s="1"/>
  <c r="CS48" i="2" s="1"/>
  <c r="CS80" i="1" s="1"/>
  <c r="BS54" i="2"/>
  <c r="BS81" i="1"/>
  <c r="BS48" i="2"/>
  <c r="BS44" i="1"/>
  <c r="CS50" i="1" l="1"/>
  <c r="CS170" i="1"/>
  <c r="CS36" i="1"/>
  <c r="BS80" i="1"/>
  <c r="BS50" i="2"/>
  <c r="BS100" i="1"/>
  <c r="BS177" i="1"/>
  <c r="BS45" i="1"/>
  <c r="BS57" i="1"/>
  <c r="BS40" i="3"/>
  <c r="BS82" i="1"/>
  <c r="BS55" i="2"/>
  <c r="BS101" i="1" l="1"/>
  <c r="BT94" i="1"/>
  <c r="BS83" i="1"/>
  <c r="BS56" i="2"/>
  <c r="BS65" i="1"/>
  <c r="BT49" i="2"/>
  <c r="BS8" i="1"/>
  <c r="BS70" i="1" l="1"/>
  <c r="BS51" i="1"/>
  <c r="BS15" i="1"/>
  <c r="BS86" i="1"/>
  <c r="BS69" i="1"/>
  <c r="BS180" i="1"/>
  <c r="BS149" i="1"/>
  <c r="BT150" i="1" s="1"/>
  <c r="BS51" i="2"/>
  <c r="BS183" i="1" l="1"/>
  <c r="BS186" i="1" s="1"/>
  <c r="BS184" i="1"/>
  <c r="BS187" i="1" s="1"/>
  <c r="BS59" i="1" s="1"/>
  <c r="BS64" i="1"/>
  <c r="BS52" i="1"/>
  <c r="BS24" i="1"/>
  <c r="BS68" i="1"/>
  <c r="BS71" i="1"/>
  <c r="BT29" i="3"/>
  <c r="BU150" i="1"/>
  <c r="BS53" i="1" l="1"/>
  <c r="BS58" i="1"/>
  <c r="BS47" i="1"/>
  <c r="BT33" i="3"/>
  <c r="BU29" i="3"/>
  <c r="BS54" i="1" l="1"/>
  <c r="BU33" i="3"/>
  <c r="BT35" i="3"/>
  <c r="BT68" i="3" l="1"/>
  <c r="BT37" i="3"/>
  <c r="BT38" i="3" s="1"/>
  <c r="BU35" i="3"/>
  <c r="BU68" i="3" l="1"/>
  <c r="BT85" i="3"/>
  <c r="BT69" i="3"/>
  <c r="BT143" i="3"/>
  <c r="BT46" i="3"/>
  <c r="BT91" i="3"/>
  <c r="BU37" i="3"/>
  <c r="BU38" i="3" s="1"/>
  <c r="BT64" i="2" l="1"/>
  <c r="BT86" i="3"/>
  <c r="BT96" i="1"/>
  <c r="BT92" i="3"/>
  <c r="BT8" i="2"/>
  <c r="BU69" i="3"/>
  <c r="BU143" i="3"/>
  <c r="BU46" i="3"/>
  <c r="BU85" i="3"/>
  <c r="BU91" i="3"/>
  <c r="BU36" i="3"/>
  <c r="BT27" i="2" l="1"/>
  <c r="BU8" i="2"/>
  <c r="BT43" i="1"/>
  <c r="BU64" i="2"/>
  <c r="BN144" i="3"/>
  <c r="BU86" i="3"/>
  <c r="BU164" i="1"/>
  <c r="BU165" i="1" s="1"/>
  <c r="BU166" i="1" s="1"/>
  <c r="I20" i="10"/>
  <c r="I19" i="10" s="1"/>
  <c r="I21" i="10" s="1"/>
  <c r="I29" i="10" s="1"/>
  <c r="BU92" i="3"/>
  <c r="BU96" i="1"/>
  <c r="BU100" i="1" s="1"/>
  <c r="BU167" i="1" l="1"/>
  <c r="BT44" i="1"/>
  <c r="BU43" i="1"/>
  <c r="BU27" i="2"/>
  <c r="I31" i="10"/>
  <c r="I30" i="10"/>
  <c r="I35" i="10"/>
  <c r="BW94" i="1"/>
  <c r="CA94" i="1"/>
  <c r="BT54" i="2"/>
  <c r="BT81" i="1"/>
  <c r="BT48" i="2"/>
  <c r="BU54" i="2" l="1"/>
  <c r="BU81" i="1"/>
  <c r="BU48" i="2"/>
  <c r="BT40" i="3"/>
  <c r="BT82" i="1"/>
  <c r="BT55" i="2"/>
  <c r="BU44" i="1"/>
  <c r="BT80" i="1"/>
  <c r="BT50" i="2"/>
  <c r="BT177" i="1"/>
  <c r="BT100" i="1"/>
  <c r="BT101" i="1" s="1"/>
  <c r="BT45" i="1"/>
  <c r="BT57" i="1"/>
  <c r="BU57" i="1"/>
  <c r="BT83" i="1" l="1"/>
  <c r="BT56" i="2"/>
  <c r="BU80" i="1"/>
  <c r="BU50" i="2"/>
  <c r="BU82" i="1"/>
  <c r="BU58" i="2"/>
  <c r="BU55" i="2"/>
  <c r="BU40" i="3"/>
  <c r="BT65" i="1"/>
  <c r="BT8" i="1"/>
  <c r="BU177" i="1"/>
  <c r="BU45" i="1"/>
  <c r="BU101" i="1"/>
  <c r="BT149" i="1" l="1"/>
  <c r="BT70" i="1"/>
  <c r="BT180" i="1"/>
  <c r="BT86" i="1"/>
  <c r="BT69" i="1"/>
  <c r="BT51" i="1"/>
  <c r="BT15" i="1"/>
  <c r="BU8" i="1"/>
  <c r="BU51" i="2" s="1"/>
  <c r="BT51" i="2"/>
  <c r="CA49" i="2"/>
  <c r="BW49" i="2"/>
  <c r="BU65" i="1"/>
  <c r="BU56" i="2"/>
  <c r="BU83" i="1"/>
  <c r="BU59" i="2"/>
  <c r="BT183" i="1" l="1"/>
  <c r="BT184" i="1"/>
  <c r="BU70" i="1"/>
  <c r="BU86" i="1"/>
  <c r="BU15" i="1"/>
  <c r="BU69" i="1"/>
  <c r="BU180" i="1"/>
  <c r="BU51" i="1"/>
  <c r="BU149" i="1"/>
  <c r="BT64" i="1"/>
  <c r="BT52" i="1"/>
  <c r="BT71" i="1"/>
  <c r="BT24" i="1"/>
  <c r="BT68" i="1"/>
  <c r="BT53" i="1" l="1"/>
  <c r="BT58" i="1"/>
  <c r="BU58" i="1"/>
  <c r="BT47" i="1"/>
  <c r="BW150" i="1"/>
  <c r="BU151" i="1"/>
  <c r="BU184" i="1"/>
  <c r="BT187" i="1"/>
  <c r="BT59" i="1" s="1"/>
  <c r="BU187" i="1"/>
  <c r="BU59" i="1" s="1"/>
  <c r="G44" i="10"/>
  <c r="BU64" i="1"/>
  <c r="BU52" i="1"/>
  <c r="BU71" i="1"/>
  <c r="BU24" i="1"/>
  <c r="BU68" i="1"/>
  <c r="BU183" i="1"/>
  <c r="BT186" i="1"/>
  <c r="BU186" i="1"/>
  <c r="BW29" i="3" l="1"/>
  <c r="BT54" i="1"/>
  <c r="BU53" i="1"/>
  <c r="BU47" i="1"/>
  <c r="BU54" i="1" l="1"/>
  <c r="BW33" i="3"/>
  <c r="BW35" i="3" l="1"/>
  <c r="BW68" i="3" l="1"/>
  <c r="BW37" i="3"/>
  <c r="BW38" i="3" s="1"/>
  <c r="BW46" i="3" l="1"/>
  <c r="BW143" i="3"/>
  <c r="BW85" i="3"/>
  <c r="BW69" i="3"/>
  <c r="BW91" i="3"/>
  <c r="BW96" i="1" l="1"/>
  <c r="BW92" i="3"/>
  <c r="BW8" i="2"/>
  <c r="BW64" i="2"/>
  <c r="BW86" i="3"/>
  <c r="BW27" i="2" l="1"/>
  <c r="BW43" i="1"/>
  <c r="BW44" i="1" l="1"/>
  <c r="BW81" i="1"/>
  <c r="BW54" i="2"/>
  <c r="BW48" i="2"/>
  <c r="BW80" i="1" l="1"/>
  <c r="BW50" i="2"/>
  <c r="BW40" i="3"/>
  <c r="BW82" i="1"/>
  <c r="BW55" i="2"/>
  <c r="BW45" i="1"/>
  <c r="BW100" i="1"/>
  <c r="BW177" i="1"/>
  <c r="BW57" i="1"/>
  <c r="BW56" i="2" l="1"/>
  <c r="BW83" i="1"/>
  <c r="BW65" i="1"/>
  <c r="BW101" i="1"/>
  <c r="BX94" i="1"/>
  <c r="BX49" i="2"/>
  <c r="BW8" i="1"/>
  <c r="BW51" i="2" s="1"/>
  <c r="BW180" i="1" l="1"/>
  <c r="BW70" i="1"/>
  <c r="BW69" i="1"/>
  <c r="BW86" i="1"/>
  <c r="BW15" i="1"/>
  <c r="BW51" i="1"/>
  <c r="BW149" i="1"/>
  <c r="BX150" i="1" s="1"/>
  <c r="BW52" i="1" l="1"/>
  <c r="BW64" i="1"/>
  <c r="BW24" i="1"/>
  <c r="BW71" i="1"/>
  <c r="BW68" i="1"/>
  <c r="BX29" i="3"/>
  <c r="BW183" i="1"/>
  <c r="BW186" i="1" s="1"/>
  <c r="BW184" i="1"/>
  <c r="BW187" i="1" s="1"/>
  <c r="BW59" i="1" s="1"/>
  <c r="BX33" i="3" l="1"/>
  <c r="BW53" i="1"/>
  <c r="BW58" i="1"/>
  <c r="BW47" i="1"/>
  <c r="BW54" i="1" l="1"/>
  <c r="BX35" i="3"/>
  <c r="BX37" i="3" l="1"/>
  <c r="BX68" i="3"/>
  <c r="BX38" i="3"/>
  <c r="BX85" i="3" l="1"/>
  <c r="BX69" i="3"/>
  <c r="BX46" i="3"/>
  <c r="BX143" i="3"/>
  <c r="BX91" i="3"/>
  <c r="BX92" i="3" l="1"/>
  <c r="BX96" i="1"/>
  <c r="BX8" i="2"/>
  <c r="BX86" i="3"/>
  <c r="BX64" i="2"/>
  <c r="BX27" i="2" l="1"/>
  <c r="BX43" i="1"/>
  <c r="BX44" i="1" l="1"/>
  <c r="BX81" i="1"/>
  <c r="BX54" i="2"/>
  <c r="BX48" i="2"/>
  <c r="BX80" i="1" l="1"/>
  <c r="BX50" i="2"/>
  <c r="BX40" i="3"/>
  <c r="BX55" i="2"/>
  <c r="BX82" i="1"/>
  <c r="BX45" i="1"/>
  <c r="BX100" i="1"/>
  <c r="BX177" i="1"/>
  <c r="BX57" i="1"/>
  <c r="BX65" i="1" l="1"/>
  <c r="BY49" i="2"/>
  <c r="BX8" i="1"/>
  <c r="BX51" i="2" s="1"/>
  <c r="BY94" i="1"/>
  <c r="BX101" i="1"/>
  <c r="BX83" i="1"/>
  <c r="BX56" i="2"/>
  <c r="BX86" i="1" l="1"/>
  <c r="BX15" i="1"/>
  <c r="BX180" i="1"/>
  <c r="BX70" i="1"/>
  <c r="BX69" i="1"/>
  <c r="BX51" i="1"/>
  <c r="BX149" i="1"/>
  <c r="BY150" i="1" s="1"/>
  <c r="BX64" i="1" l="1"/>
  <c r="BX52" i="1"/>
  <c r="BX184" i="1"/>
  <c r="BX187" i="1" s="1"/>
  <c r="BX59" i="1" s="1"/>
  <c r="BX183" i="1"/>
  <c r="BX186" i="1" s="1"/>
  <c r="BX68" i="1"/>
  <c r="BX24" i="1"/>
  <c r="BX71" i="1"/>
  <c r="BY29" i="3"/>
  <c r="BX53" i="1" l="1"/>
  <c r="BX58" i="1"/>
  <c r="BX47" i="1"/>
  <c r="BY33" i="3"/>
  <c r="BY35" i="3" l="1"/>
  <c r="BX54" i="1"/>
  <c r="BY68" i="3" l="1"/>
  <c r="BY37" i="3"/>
  <c r="BY38" i="3" s="1"/>
  <c r="BY143" i="3" l="1"/>
  <c r="BY85" i="3"/>
  <c r="BY69" i="3"/>
  <c r="BY46" i="3"/>
  <c r="BY91" i="3"/>
  <c r="BY92" i="3" l="1"/>
  <c r="BY96" i="1"/>
  <c r="BY8" i="2"/>
  <c r="BY86" i="3"/>
  <c r="BY64" i="2"/>
  <c r="BY27" i="2" l="1"/>
  <c r="BY43" i="1"/>
  <c r="BY81" i="1" l="1"/>
  <c r="BY54" i="2"/>
  <c r="BY48" i="2"/>
  <c r="BY44" i="1"/>
  <c r="BY100" i="1" l="1"/>
  <c r="BY45" i="1"/>
  <c r="BY177" i="1"/>
  <c r="BY57" i="1"/>
  <c r="BY40" i="3"/>
  <c r="BY82" i="1"/>
  <c r="BY55" i="2"/>
  <c r="BY80" i="1"/>
  <c r="BY50" i="2"/>
  <c r="BY65" i="1" l="1"/>
  <c r="BY101" i="1"/>
  <c r="BZ94" i="1"/>
  <c r="BZ49" i="2"/>
  <c r="BY8" i="1"/>
  <c r="BY51" i="2" s="1"/>
  <c r="BY56" i="2"/>
  <c r="BY83" i="1"/>
  <c r="BY86" i="1" l="1"/>
  <c r="BY69" i="1"/>
  <c r="BY70" i="1"/>
  <c r="BY180" i="1"/>
  <c r="BY51" i="1"/>
  <c r="BY15" i="1"/>
  <c r="BY149" i="1"/>
  <c r="BZ150" i="1" s="1"/>
  <c r="BY68" i="1" l="1"/>
  <c r="BY71" i="1"/>
  <c r="BY24" i="1"/>
  <c r="BY52" i="1"/>
  <c r="BY64" i="1"/>
  <c r="BZ29" i="3"/>
  <c r="CA150" i="1"/>
  <c r="BY183" i="1"/>
  <c r="BY186" i="1" s="1"/>
  <c r="BY184" i="1"/>
  <c r="BY187" i="1" s="1"/>
  <c r="BY59" i="1" s="1"/>
  <c r="BZ33" i="3" l="1"/>
  <c r="CA29" i="3"/>
  <c r="BY53" i="1"/>
  <c r="BY58" i="1"/>
  <c r="BY47" i="1"/>
  <c r="CA33" i="3" l="1"/>
  <c r="BY54" i="1"/>
  <c r="BZ35" i="3"/>
  <c r="BZ37" i="3" l="1"/>
  <c r="BZ38" i="3" s="1"/>
  <c r="BZ68" i="3"/>
  <c r="CA35" i="3"/>
  <c r="BZ85" i="3" l="1"/>
  <c r="BZ143" i="3"/>
  <c r="BZ46" i="3"/>
  <c r="BZ69" i="3"/>
  <c r="BZ91" i="3"/>
  <c r="CA68" i="3"/>
  <c r="CA37" i="3"/>
  <c r="BZ96" i="1" l="1"/>
  <c r="BZ92" i="3"/>
  <c r="BZ8" i="2"/>
  <c r="CA36" i="3"/>
  <c r="CA38" i="3"/>
  <c r="BZ86" i="3"/>
  <c r="BZ64" i="2"/>
  <c r="J20" i="10" l="1"/>
  <c r="J19" i="10" s="1"/>
  <c r="J21" i="10" s="1"/>
  <c r="J29" i="10" s="1"/>
  <c r="CA164" i="1"/>
  <c r="CA165" i="1" s="1"/>
  <c r="CA166" i="1" s="1"/>
  <c r="CA143" i="3"/>
  <c r="CA91" i="3"/>
  <c r="CA85" i="3"/>
  <c r="CA46" i="3"/>
  <c r="CA69" i="3"/>
  <c r="BZ27" i="2"/>
  <c r="CA8" i="2"/>
  <c r="BZ43" i="1"/>
  <c r="CA27" i="2" l="1"/>
  <c r="CA167" i="1"/>
  <c r="CA86" i="3"/>
  <c r="CA64" i="2"/>
  <c r="CA92" i="3"/>
  <c r="CA96" i="1"/>
  <c r="CA100" i="1" s="1"/>
  <c r="BZ81" i="1"/>
  <c r="BZ54" i="2"/>
  <c r="BZ48" i="2"/>
  <c r="J35" i="10"/>
  <c r="J31" i="10"/>
  <c r="J30" i="10"/>
  <c r="BZ44" i="1"/>
  <c r="CA43" i="1"/>
  <c r="CC94" i="1" l="1"/>
  <c r="CG94" i="1"/>
  <c r="CA81" i="1"/>
  <c r="CA54" i="2"/>
  <c r="CA48" i="2"/>
  <c r="CA44" i="1"/>
  <c r="BZ82" i="1"/>
  <c r="BZ55" i="2"/>
  <c r="BZ40" i="3"/>
  <c r="BZ45" i="1"/>
  <c r="BZ177" i="1"/>
  <c r="BZ100" i="1"/>
  <c r="BZ101" i="1" s="1"/>
  <c r="BZ57" i="1"/>
  <c r="CA57" i="1"/>
  <c r="BZ80" i="1"/>
  <c r="BZ50" i="2"/>
  <c r="CA80" i="1" l="1"/>
  <c r="CA50" i="2"/>
  <c r="CA82" i="1"/>
  <c r="CA55" i="2"/>
  <c r="CA58" i="2"/>
  <c r="CA40" i="3"/>
  <c r="BZ8" i="1"/>
  <c r="BZ51" i="2" s="1"/>
  <c r="BZ56" i="2"/>
  <c r="BZ83" i="1"/>
  <c r="CA45" i="1"/>
  <c r="CA177" i="1"/>
  <c r="CA101" i="1"/>
  <c r="BZ65" i="1"/>
  <c r="CA59" i="2" l="1"/>
  <c r="CA56" i="2"/>
  <c r="CA83" i="1"/>
  <c r="CA65" i="1"/>
  <c r="CC49" i="2"/>
  <c r="CG49" i="2"/>
  <c r="BZ149" i="1"/>
  <c r="BZ180" i="1"/>
  <c r="BZ86" i="1"/>
  <c r="BZ70" i="1"/>
  <c r="BZ69" i="1"/>
  <c r="BZ51" i="1"/>
  <c r="BZ15" i="1"/>
  <c r="CA8" i="1"/>
  <c r="CA51" i="2" s="1"/>
  <c r="BZ71" i="1" l="1"/>
  <c r="BZ68" i="1"/>
  <c r="BZ24" i="1"/>
  <c r="BZ64" i="1"/>
  <c r="BZ52" i="1"/>
  <c r="CA180" i="1"/>
  <c r="CA86" i="1"/>
  <c r="CA70" i="1"/>
  <c r="CA69" i="1"/>
  <c r="CA51" i="1"/>
  <c r="CA15" i="1"/>
  <c r="CA149" i="1"/>
  <c r="BZ183" i="1"/>
  <c r="BZ184" i="1"/>
  <c r="CC150" i="1" l="1"/>
  <c r="CA151" i="1"/>
  <c r="CA68" i="1"/>
  <c r="CA71" i="1"/>
  <c r="CA24" i="1"/>
  <c r="CA184" i="1"/>
  <c r="BZ187" i="1"/>
  <c r="BZ59" i="1" s="1"/>
  <c r="CA187" i="1"/>
  <c r="CA59" i="1" s="1"/>
  <c r="CA64" i="1"/>
  <c r="CA52" i="1"/>
  <c r="CA183" i="1"/>
  <c r="BZ186" i="1"/>
  <c r="CA186" i="1"/>
  <c r="BZ53" i="1"/>
  <c r="BZ58" i="1"/>
  <c r="CA58" i="1"/>
  <c r="BZ47" i="1"/>
  <c r="CA53" i="1" l="1"/>
  <c r="CA47" i="1"/>
  <c r="BZ54" i="1"/>
  <c r="CC29" i="3"/>
  <c r="CA54" i="1" l="1"/>
  <c r="CC33" i="3"/>
  <c r="CC35" i="3" l="1"/>
  <c r="CC68" i="3" l="1"/>
  <c r="CC37" i="3"/>
  <c r="CC38" i="3" s="1"/>
  <c r="CI85" i="3" s="1"/>
  <c r="CC85" i="3" l="1"/>
  <c r="CC143" i="3"/>
  <c r="CC46" i="3"/>
  <c r="CI86" i="3" s="1"/>
  <c r="CC69" i="3"/>
  <c r="CC91" i="3"/>
  <c r="CC92" i="3" l="1"/>
  <c r="CC96" i="1"/>
  <c r="CC8" i="2"/>
  <c r="CC64" i="2"/>
  <c r="CC86" i="3"/>
  <c r="CC27" i="2" l="1"/>
  <c r="CC43" i="1"/>
  <c r="CC81" i="1" l="1"/>
  <c r="CC54" i="2"/>
  <c r="CC48" i="2"/>
  <c r="CC44" i="1"/>
  <c r="CC82" i="1" l="1"/>
  <c r="CC40" i="3"/>
  <c r="CC55" i="2"/>
  <c r="CC45" i="1"/>
  <c r="CC100" i="1"/>
  <c r="CC177" i="1"/>
  <c r="CC57" i="1"/>
  <c r="CC80" i="1"/>
  <c r="CC50" i="2"/>
  <c r="CC65" i="1" l="1"/>
  <c r="CD94" i="1"/>
  <c r="CC101" i="1"/>
  <c r="CD49" i="2"/>
  <c r="CC8" i="1"/>
  <c r="CC51" i="2" s="1"/>
  <c r="CC83" i="1"/>
  <c r="CC56" i="2"/>
  <c r="CC70" i="1" l="1"/>
  <c r="CC69" i="1"/>
  <c r="CC180" i="1"/>
  <c r="CC15" i="1"/>
  <c r="CC86" i="1"/>
  <c r="CC51" i="1"/>
  <c r="CC149" i="1"/>
  <c r="CD150" i="1" s="1"/>
  <c r="CC68" i="1" l="1"/>
  <c r="CC71" i="1"/>
  <c r="CC24" i="1"/>
  <c r="CC64" i="1"/>
  <c r="CC52" i="1"/>
  <c r="CC184" i="1"/>
  <c r="CC187" i="1" s="1"/>
  <c r="CC59" i="1" s="1"/>
  <c r="CC183" i="1"/>
  <c r="CC186" i="1" s="1"/>
  <c r="CD29" i="3"/>
  <c r="CC53" i="1" l="1"/>
  <c r="CC58" i="1"/>
  <c r="CC47" i="1"/>
  <c r="CD33" i="3"/>
  <c r="CD35" i="3" l="1"/>
  <c r="CC54" i="1"/>
  <c r="CD68" i="3" l="1"/>
  <c r="CD37" i="3"/>
  <c r="CD38" i="3" l="1"/>
  <c r="CJ85" i="3" s="1"/>
  <c r="CD143" i="3" l="1"/>
  <c r="CD85" i="3"/>
  <c r="CD46" i="3"/>
  <c r="CJ86" i="3" s="1"/>
  <c r="CD69" i="3"/>
  <c r="CD91" i="3"/>
  <c r="CD92" i="3" l="1"/>
  <c r="CD96" i="1"/>
  <c r="CD8" i="2"/>
  <c r="CD64" i="2"/>
  <c r="CD86" i="3"/>
  <c r="CD27" i="2" l="1"/>
  <c r="CD43" i="1"/>
  <c r="CD44" i="1" l="1"/>
  <c r="CD81" i="1"/>
  <c r="CD54" i="2"/>
  <c r="CD48" i="2"/>
  <c r="CD80" i="1" l="1"/>
  <c r="CD50" i="2"/>
  <c r="CD40" i="3"/>
  <c r="CD82" i="1"/>
  <c r="CD55" i="2"/>
  <c r="CD100" i="1"/>
  <c r="CD45" i="1"/>
  <c r="CD177" i="1"/>
  <c r="CD57" i="1"/>
  <c r="CD101" i="1" l="1"/>
  <c r="CE94" i="1"/>
  <c r="CD83" i="1"/>
  <c r="CD56" i="2"/>
  <c r="CE49" i="2"/>
  <c r="CD8" i="1"/>
  <c r="CD65" i="1"/>
  <c r="CD69" i="1" l="1"/>
  <c r="CD70" i="1"/>
  <c r="CD86" i="1"/>
  <c r="CD51" i="1"/>
  <c r="CD180" i="1"/>
  <c r="CD15" i="1"/>
  <c r="CD149" i="1"/>
  <c r="CE150" i="1" s="1"/>
  <c r="CD51" i="2"/>
  <c r="CD64" i="1" l="1"/>
  <c r="CD52" i="1"/>
  <c r="CD68" i="1"/>
  <c r="CD71" i="1"/>
  <c r="CD24" i="1"/>
  <c r="CE29" i="3"/>
  <c r="CD183" i="1"/>
  <c r="CD186" i="1" s="1"/>
  <c r="CD184" i="1"/>
  <c r="CD187" i="1" s="1"/>
  <c r="CD59" i="1" s="1"/>
  <c r="CD53" i="1" l="1"/>
  <c r="CD58" i="1"/>
  <c r="CD47" i="1"/>
  <c r="CE33" i="3"/>
  <c r="CE35" i="3" l="1"/>
  <c r="CD54" i="1"/>
  <c r="CE37" i="3" l="1"/>
  <c r="CE38" i="3" s="1"/>
  <c r="CK85" i="3" s="1"/>
  <c r="CE68" i="3"/>
  <c r="CE85" i="3" l="1"/>
  <c r="CE46" i="3"/>
  <c r="CK86" i="3" s="1"/>
  <c r="CE143" i="3"/>
  <c r="CE69" i="3"/>
  <c r="CE91" i="3"/>
  <c r="CE96" i="1" l="1"/>
  <c r="CE92" i="3"/>
  <c r="CE8" i="2"/>
  <c r="CE86" i="3"/>
  <c r="CE64" i="2"/>
  <c r="CE27" i="2" l="1"/>
  <c r="CE43" i="1"/>
  <c r="CE44" i="1" l="1"/>
  <c r="CE81" i="1"/>
  <c r="CE54" i="2"/>
  <c r="CE48" i="2"/>
  <c r="CE80" i="1" l="1"/>
  <c r="CE50" i="2"/>
  <c r="CE82" i="1"/>
  <c r="CE55" i="2"/>
  <c r="CE40" i="3"/>
  <c r="CE45" i="1"/>
  <c r="CE100" i="1"/>
  <c r="CE177" i="1"/>
  <c r="CE57" i="1"/>
  <c r="CF94" i="1" l="1"/>
  <c r="CE101" i="1"/>
  <c r="CE83" i="1"/>
  <c r="CE56" i="2"/>
  <c r="CF49" i="2"/>
  <c r="CE8" i="1"/>
  <c r="CE51" i="2" s="1"/>
  <c r="CE65" i="1"/>
  <c r="CE69" i="1" l="1"/>
  <c r="CE180" i="1"/>
  <c r="CE86" i="1"/>
  <c r="CE70" i="1"/>
  <c r="CE51" i="1"/>
  <c r="CE15" i="1"/>
  <c r="CE149" i="1"/>
  <c r="CF150" i="1" s="1"/>
  <c r="CE64" i="1" l="1"/>
  <c r="CE52" i="1"/>
  <c r="CE71" i="1"/>
  <c r="CE68" i="1"/>
  <c r="CE24" i="1"/>
  <c r="CE183" i="1"/>
  <c r="CE186" i="1" s="1"/>
  <c r="CE184" i="1"/>
  <c r="CE187" i="1" s="1"/>
  <c r="CE59" i="1" s="1"/>
  <c r="CF29" i="3"/>
  <c r="CG150" i="1"/>
  <c r="CF33" i="3" l="1"/>
  <c r="CG29" i="3"/>
  <c r="CE53" i="1"/>
  <c r="CE58" i="1"/>
  <c r="CE47" i="1"/>
  <c r="CG33" i="3" l="1"/>
  <c r="CE54" i="1"/>
  <c r="CF35" i="3"/>
  <c r="CG35" i="3" l="1"/>
  <c r="CF37" i="3"/>
  <c r="CF68" i="3"/>
  <c r="CG37" i="3" l="1"/>
  <c r="CF38" i="3"/>
  <c r="CL85" i="3" s="1"/>
  <c r="CG68" i="3"/>
  <c r="CF85" i="3" l="1"/>
  <c r="CF143" i="3"/>
  <c r="CF46" i="3"/>
  <c r="CL86" i="3" s="1"/>
  <c r="CF69" i="3"/>
  <c r="CF91" i="3"/>
  <c r="CG36" i="3"/>
  <c r="CG38" i="3"/>
  <c r="CM85" i="3" s="1"/>
  <c r="CF96" i="1" l="1"/>
  <c r="CF8" i="2"/>
  <c r="CF92" i="3"/>
  <c r="CG85" i="3"/>
  <c r="CG69" i="3"/>
  <c r="CG91" i="3"/>
  <c r="CG143" i="3"/>
  <c r="CG46" i="3"/>
  <c r="CM86" i="3" s="1"/>
  <c r="CG164" i="1"/>
  <c r="CG165" i="1" s="1"/>
  <c r="CG166" i="1" s="1"/>
  <c r="K20" i="10"/>
  <c r="CF64" i="2"/>
  <c r="CF86" i="3"/>
  <c r="CF27" i="2" l="1"/>
  <c r="CG8" i="2"/>
  <c r="CF43" i="1"/>
  <c r="K19" i="10"/>
  <c r="K21" i="10" s="1"/>
  <c r="K29" i="10" s="1"/>
  <c r="CG64" i="2"/>
  <c r="CG86" i="3"/>
  <c r="CG92" i="3"/>
  <c r="CG96" i="1"/>
  <c r="CG100" i="1" s="1"/>
  <c r="CG167" i="1"/>
  <c r="CM94" i="1" l="1"/>
  <c r="CM100" i="1" s="1"/>
  <c r="CI94" i="1"/>
  <c r="CF44" i="1"/>
  <c r="CG43" i="1"/>
  <c r="CI43" i="1" s="1"/>
  <c r="CF81" i="1"/>
  <c r="CF54" i="2"/>
  <c r="CF48" i="2"/>
  <c r="CG27" i="2"/>
  <c r="L19" i="10"/>
  <c r="L21" i="10" s="1"/>
  <c r="L29" i="10" s="1"/>
  <c r="K35" i="10"/>
  <c r="K31" i="10"/>
  <c r="K30" i="10"/>
  <c r="CJ43" i="1" l="1"/>
  <c r="CI44" i="1"/>
  <c r="CO94" i="1"/>
  <c r="CS94" i="1"/>
  <c r="CS100" i="1" s="1"/>
  <c r="L35" i="10"/>
  <c r="L30" i="10"/>
  <c r="L31" i="10"/>
  <c r="CG44" i="1"/>
  <c r="CF40" i="3"/>
  <c r="CF82" i="1"/>
  <c r="CF55" i="2"/>
  <c r="CG81" i="1"/>
  <c r="CG54" i="2"/>
  <c r="CG48" i="2"/>
  <c r="CF45" i="1"/>
  <c r="CF100" i="1"/>
  <c r="CF101" i="1" s="1"/>
  <c r="CF177" i="1"/>
  <c r="CF57" i="1"/>
  <c r="CG57" i="1"/>
  <c r="O20" i="10"/>
  <c r="O19" i="10" s="1"/>
  <c r="O21" i="10" s="1"/>
  <c r="O29" i="10" s="1"/>
  <c r="M19" i="10"/>
  <c r="M21" i="10" s="1"/>
  <c r="M29" i="10" s="1"/>
  <c r="N20" i="10"/>
  <c r="N19" i="10" s="1"/>
  <c r="N21" i="10" s="1"/>
  <c r="N29" i="10" s="1"/>
  <c r="CF80" i="1"/>
  <c r="CF50" i="2"/>
  <c r="CI177" i="1" l="1"/>
  <c r="CI100" i="1"/>
  <c r="CI45" i="1"/>
  <c r="CI57" i="1"/>
  <c r="CK43" i="1"/>
  <c r="CJ44" i="1"/>
  <c r="CJ57" i="1" s="1"/>
  <c r="CF65" i="1"/>
  <c r="CG177" i="1"/>
  <c r="CG45" i="1"/>
  <c r="CG101" i="1"/>
  <c r="CF8" i="1"/>
  <c r="CF51" i="2" s="1"/>
  <c r="N31" i="10"/>
  <c r="N30" i="10"/>
  <c r="N35" i="10"/>
  <c r="M30" i="10"/>
  <c r="M35" i="10"/>
  <c r="M31" i="10"/>
  <c r="CG40" i="3"/>
  <c r="CG55" i="2"/>
  <c r="CG82" i="1"/>
  <c r="CG50" i="2"/>
  <c r="CG80" i="1"/>
  <c r="O35" i="10"/>
  <c r="G39" i="10"/>
  <c r="O30" i="10"/>
  <c r="O31" i="10"/>
  <c r="CF83" i="1"/>
  <c r="CF56" i="2"/>
  <c r="CI101" i="1" l="1"/>
  <c r="CJ94" i="1"/>
  <c r="CL43" i="1"/>
  <c r="CK44" i="1"/>
  <c r="CI65" i="1"/>
  <c r="CJ177" i="1"/>
  <c r="CJ100" i="1"/>
  <c r="CJ45" i="1"/>
  <c r="CM49" i="2"/>
  <c r="CM50" i="2" s="1"/>
  <c r="CI49" i="2"/>
  <c r="CI50" i="2" s="1"/>
  <c r="CI8" i="1" s="1"/>
  <c r="CG65" i="1"/>
  <c r="CG83" i="1"/>
  <c r="CG56" i="2"/>
  <c r="G38" i="10"/>
  <c r="G42" i="10" s="1"/>
  <c r="G45" i="10" s="1"/>
  <c r="G47" i="10" s="1"/>
  <c r="CF69" i="1"/>
  <c r="CF70" i="1"/>
  <c r="CF51" i="1"/>
  <c r="CF15" i="1"/>
  <c r="CG8" i="1"/>
  <c r="CF86" i="1"/>
  <c r="CF180" i="1"/>
  <c r="CF149" i="1"/>
  <c r="CJ101" i="1" l="1"/>
  <c r="CK94" i="1"/>
  <c r="CI69" i="1"/>
  <c r="CI70" i="1"/>
  <c r="CI180" i="1"/>
  <c r="CI149" i="1"/>
  <c r="CJ150" i="1" s="1"/>
  <c r="CI15" i="1"/>
  <c r="CI86" i="1"/>
  <c r="CI51" i="1"/>
  <c r="CM43" i="1"/>
  <c r="CL44" i="1"/>
  <c r="CJ65" i="1"/>
  <c r="CK100" i="1"/>
  <c r="CK45" i="1"/>
  <c r="CK177" i="1"/>
  <c r="CM57" i="1"/>
  <c r="CK57" i="1"/>
  <c r="CO49" i="2"/>
  <c r="CO50" i="2" s="1"/>
  <c r="CO8" i="1" s="1"/>
  <c r="CS49" i="2"/>
  <c r="CS50" i="2" s="1"/>
  <c r="CI51" i="2"/>
  <c r="CJ49" i="2"/>
  <c r="CJ50" i="2" s="1"/>
  <c r="CJ8" i="1" s="1"/>
  <c r="CG51" i="2"/>
  <c r="CF68" i="1"/>
  <c r="CF24" i="1"/>
  <c r="CF71" i="1"/>
  <c r="CG149" i="1"/>
  <c r="CI150" i="1" s="1"/>
  <c r="CG180" i="1"/>
  <c r="CG86" i="1"/>
  <c r="CG51" i="1"/>
  <c r="CG69" i="1"/>
  <c r="CG15" i="1"/>
  <c r="CG70" i="1"/>
  <c r="CF183" i="1"/>
  <c r="CF184" i="1"/>
  <c r="CF52" i="1"/>
  <c r="CF64" i="1"/>
  <c r="CL94" i="1" l="1"/>
  <c r="CK101" i="1"/>
  <c r="CI184" i="1"/>
  <c r="CI183" i="1"/>
  <c r="CL100" i="1"/>
  <c r="CL101" i="1" s="1"/>
  <c r="CL177" i="1"/>
  <c r="CL45" i="1"/>
  <c r="CJ180" i="1"/>
  <c r="CJ149" i="1"/>
  <c r="CK150" i="1" s="1"/>
  <c r="CJ15" i="1"/>
  <c r="CJ70" i="1"/>
  <c r="CJ86" i="1"/>
  <c r="CJ69" i="1"/>
  <c r="CJ51" i="1"/>
  <c r="CL57" i="1"/>
  <c r="CO43" i="1"/>
  <c r="CM44" i="1"/>
  <c r="CO180" i="1"/>
  <c r="CO69" i="1"/>
  <c r="CO70" i="1"/>
  <c r="CO86" i="1"/>
  <c r="CO15" i="1"/>
  <c r="CO51" i="1"/>
  <c r="CI68" i="1"/>
  <c r="CI71" i="1"/>
  <c r="CI24" i="1"/>
  <c r="CK65" i="1"/>
  <c r="CI64" i="1"/>
  <c r="CI52" i="1"/>
  <c r="CO51" i="2"/>
  <c r="CP49" i="2"/>
  <c r="CP50" i="2" s="1"/>
  <c r="CP8" i="1" s="1"/>
  <c r="CK49" i="2"/>
  <c r="CK50" i="2" s="1"/>
  <c r="CK8" i="1" s="1"/>
  <c r="CJ51" i="2"/>
  <c r="CG151" i="1"/>
  <c r="CG71" i="1"/>
  <c r="CG68" i="1"/>
  <c r="CG24" i="1"/>
  <c r="CF53" i="1"/>
  <c r="CF58" i="1"/>
  <c r="CG58" i="1"/>
  <c r="CF47" i="1"/>
  <c r="CF187" i="1"/>
  <c r="CF59" i="1" s="1"/>
  <c r="CG184" i="1"/>
  <c r="CG187" i="1"/>
  <c r="CG59" i="1" s="1"/>
  <c r="CG183" i="1"/>
  <c r="CF186" i="1"/>
  <c r="CG186" i="1"/>
  <c r="CG64" i="1"/>
  <c r="CG52" i="1"/>
  <c r="CI58" i="1" l="1"/>
  <c r="CI53" i="1"/>
  <c r="CI54" i="1" s="1"/>
  <c r="CI47" i="1"/>
  <c r="CJ71" i="1"/>
  <c r="CJ68" i="1"/>
  <c r="CJ24" i="1"/>
  <c r="CJ58" i="1" s="1"/>
  <c r="CI187" i="1"/>
  <c r="CI59" i="1" s="1"/>
  <c r="CO64" i="1"/>
  <c r="CO52" i="1"/>
  <c r="CP43" i="1"/>
  <c r="CO44" i="1"/>
  <c r="CJ183" i="1"/>
  <c r="CJ186" i="1" s="1"/>
  <c r="CJ184" i="1"/>
  <c r="CJ187" i="1" s="1"/>
  <c r="CJ59" i="1" s="1"/>
  <c r="CK86" i="1"/>
  <c r="CK180" i="1"/>
  <c r="CK149" i="1"/>
  <c r="CL150" i="1" s="1"/>
  <c r="CM150" i="1" s="1"/>
  <c r="CK15" i="1"/>
  <c r="CK69" i="1"/>
  <c r="CK70" i="1"/>
  <c r="CK51" i="1"/>
  <c r="CP70" i="1"/>
  <c r="CP15" i="1"/>
  <c r="CP86" i="1"/>
  <c r="CP180" i="1"/>
  <c r="CP69" i="1"/>
  <c r="CP149" i="1"/>
  <c r="CQ150" i="1" s="1"/>
  <c r="CP51" i="1"/>
  <c r="CM45" i="1"/>
  <c r="CM177" i="1"/>
  <c r="CM101" i="1"/>
  <c r="CO71" i="1"/>
  <c r="CO68" i="1"/>
  <c r="CO24" i="1"/>
  <c r="CL65" i="1"/>
  <c r="CI186" i="1"/>
  <c r="CJ64" i="1"/>
  <c r="CJ52" i="1"/>
  <c r="CQ49" i="2"/>
  <c r="CQ50" i="2" s="1"/>
  <c r="CQ8" i="1" s="1"/>
  <c r="CP51" i="2"/>
  <c r="CK51" i="2"/>
  <c r="CL49" i="2"/>
  <c r="CL50" i="2" s="1"/>
  <c r="CG53" i="1"/>
  <c r="CG47" i="1"/>
  <c r="CF54" i="1"/>
  <c r="CP64" i="1" l="1"/>
  <c r="CP52" i="1"/>
  <c r="CM65" i="1"/>
  <c r="CJ53" i="1"/>
  <c r="CJ54" i="1" s="1"/>
  <c r="CJ47" i="1"/>
  <c r="CQ86" i="1"/>
  <c r="CQ180" i="1"/>
  <c r="CQ149" i="1"/>
  <c r="CR150" i="1" s="1"/>
  <c r="CQ70" i="1"/>
  <c r="CQ69" i="1"/>
  <c r="CQ15" i="1"/>
  <c r="CQ51" i="1"/>
  <c r="CK64" i="1"/>
  <c r="CK52" i="1"/>
  <c r="CO100" i="1"/>
  <c r="CO177" i="1"/>
  <c r="CO45" i="1"/>
  <c r="CO53" i="1" s="1"/>
  <c r="CO54" i="1" s="1"/>
  <c r="CQ43" i="1"/>
  <c r="CP44" i="1"/>
  <c r="CL8" i="1"/>
  <c r="CL51" i="2" s="1"/>
  <c r="CK183" i="1"/>
  <c r="CK186" i="1" s="1"/>
  <c r="CK184" i="1"/>
  <c r="CK187" i="1" s="1"/>
  <c r="CK59" i="1" s="1"/>
  <c r="CK71" i="1"/>
  <c r="CK24" i="1"/>
  <c r="CK68" i="1"/>
  <c r="CO57" i="1"/>
  <c r="CP71" i="1"/>
  <c r="CP24" i="1"/>
  <c r="CP68" i="1"/>
  <c r="CQ51" i="2"/>
  <c r="CR49" i="2"/>
  <c r="CR50" i="2" s="1"/>
  <c r="CG54" i="1"/>
  <c r="CK53" i="1" l="1"/>
  <c r="CK54" i="1" s="1"/>
  <c r="CK47" i="1"/>
  <c r="CP177" i="1"/>
  <c r="CP45" i="1"/>
  <c r="CP53" i="1" s="1"/>
  <c r="CP54" i="1" s="1"/>
  <c r="CP100" i="1"/>
  <c r="CQ52" i="1"/>
  <c r="CQ64" i="1"/>
  <c r="CQ68" i="1"/>
  <c r="CQ24" i="1"/>
  <c r="CQ71" i="1"/>
  <c r="CO47" i="1"/>
  <c r="CO65" i="1"/>
  <c r="CP94" i="1"/>
  <c r="CO101" i="1"/>
  <c r="CO184" i="1"/>
  <c r="CO183" i="1"/>
  <c r="CP57" i="1"/>
  <c r="CL86" i="1"/>
  <c r="CL70" i="1"/>
  <c r="CL180" i="1"/>
  <c r="CL149" i="1"/>
  <c r="CL69" i="1"/>
  <c r="CM8" i="1"/>
  <c r="CL15" i="1"/>
  <c r="CL51" i="1"/>
  <c r="CR43" i="1"/>
  <c r="CQ44" i="1"/>
  <c r="CQ57" i="1" s="1"/>
  <c r="CK58" i="1"/>
  <c r="CR8" i="1"/>
  <c r="CR51" i="2" s="1"/>
  <c r="CP58" i="1"/>
  <c r="CS43" i="1" l="1"/>
  <c r="CS44" i="1" s="1"/>
  <c r="CR44" i="1"/>
  <c r="CL68" i="1"/>
  <c r="CL71" i="1"/>
  <c r="CL24" i="1"/>
  <c r="CO186" i="1"/>
  <c r="CP183" i="1"/>
  <c r="CP186" i="1" s="1"/>
  <c r="CP184" i="1"/>
  <c r="CP187" i="1" s="1"/>
  <c r="CP59" i="1" s="1"/>
  <c r="CO187" i="1"/>
  <c r="CO59" i="1" s="1"/>
  <c r="CQ177" i="1"/>
  <c r="CQ100" i="1"/>
  <c r="CQ45" i="1"/>
  <c r="CR57" i="1"/>
  <c r="CQ94" i="1"/>
  <c r="CP101" i="1"/>
  <c r="CL64" i="1"/>
  <c r="CL52" i="1"/>
  <c r="CR69" i="1"/>
  <c r="CR86" i="1"/>
  <c r="CR180" i="1"/>
  <c r="CR149" i="1"/>
  <c r="CR70" i="1"/>
  <c r="CS8" i="1"/>
  <c r="CR15" i="1"/>
  <c r="CR51" i="1"/>
  <c r="CP47" i="1"/>
  <c r="CP65" i="1"/>
  <c r="CM180" i="1"/>
  <c r="CM149" i="1"/>
  <c r="CM69" i="1"/>
  <c r="CM70" i="1"/>
  <c r="CM86" i="1"/>
  <c r="CM15" i="1"/>
  <c r="CM51" i="1"/>
  <c r="CM51" i="2"/>
  <c r="CO149" i="1"/>
  <c r="CP150" i="1" s="1"/>
  <c r="CQ58" i="1"/>
  <c r="CL184" i="1"/>
  <c r="CL183" i="1"/>
  <c r="CO150" i="1" l="1"/>
  <c r="CS150" i="1" s="1"/>
  <c r="CM151" i="1"/>
  <c r="CQ47" i="1"/>
  <c r="CQ65" i="1"/>
  <c r="CQ184" i="1"/>
  <c r="CQ183" i="1"/>
  <c r="CR64" i="1"/>
  <c r="CR52" i="1"/>
  <c r="CM184" i="1"/>
  <c r="CL187" i="1"/>
  <c r="CL59" i="1" s="1"/>
  <c r="CM187" i="1"/>
  <c r="CM59" i="1" s="1"/>
  <c r="CR177" i="1"/>
  <c r="CR100" i="1"/>
  <c r="CR101" i="1" s="1"/>
  <c r="CR45" i="1"/>
  <c r="CL53" i="1"/>
  <c r="CL54" i="1" s="1"/>
  <c r="CL47" i="1"/>
  <c r="CL58" i="1"/>
  <c r="CM58" i="1"/>
  <c r="CM52" i="1"/>
  <c r="CM64" i="1"/>
  <c r="CM183" i="1"/>
  <c r="CL186" i="1"/>
  <c r="CM186" i="1"/>
  <c r="CS180" i="1"/>
  <c r="CS149" i="1"/>
  <c r="CS86" i="1"/>
  <c r="CS69" i="1"/>
  <c r="CS15" i="1"/>
  <c r="CS70" i="1"/>
  <c r="CS51" i="1"/>
  <c r="CS51" i="2"/>
  <c r="CS177" i="1"/>
  <c r="CS45" i="1"/>
  <c r="CS101" i="1"/>
  <c r="CQ101" i="1"/>
  <c r="CR94" i="1"/>
  <c r="CM71" i="1"/>
  <c r="CM68" i="1"/>
  <c r="CM24" i="1"/>
  <c r="CR68" i="1"/>
  <c r="CR24" i="1"/>
  <c r="CR71" i="1"/>
  <c r="CQ53" i="1"/>
  <c r="CQ54" i="1" s="1"/>
  <c r="CS57" i="1"/>
  <c r="CQ186" i="1" l="1"/>
  <c r="CQ187" i="1"/>
  <c r="CQ59" i="1" s="1"/>
  <c r="CS52" i="1"/>
  <c r="CS64" i="1"/>
  <c r="CR47" i="1"/>
  <c r="CR65" i="1"/>
  <c r="CM53" i="1"/>
  <c r="CM54" i="1" s="1"/>
  <c r="CS58" i="1"/>
  <c r="CO58" i="1"/>
  <c r="CM47" i="1"/>
  <c r="CS71" i="1"/>
  <c r="CS24" i="1"/>
  <c r="CS53" i="1" s="1"/>
  <c r="CS68" i="1"/>
  <c r="CR184" i="1"/>
  <c r="CR183" i="1"/>
  <c r="CS186" i="1" s="1"/>
  <c r="CR53" i="1"/>
  <c r="CR54" i="1" s="1"/>
  <c r="CR58" i="1"/>
  <c r="CS65" i="1"/>
  <c r="CS151" i="1"/>
  <c r="CS54" i="1" l="1"/>
  <c r="CS184" i="1"/>
  <c r="CR187" i="1"/>
  <c r="CR59" i="1" s="1"/>
  <c r="CS187" i="1"/>
  <c r="CS59" i="1" s="1"/>
  <c r="CS47" i="1"/>
  <c r="CS183" i="1"/>
  <c r="CR186" i="1"/>
</calcChain>
</file>

<file path=xl/sharedStrings.xml><?xml version="1.0" encoding="utf-8"?>
<sst xmlns="http://schemas.openxmlformats.org/spreadsheetml/2006/main" count="1136" uniqueCount="769">
  <si>
    <t>USD</t>
  </si>
  <si>
    <t>Total US</t>
  </si>
  <si>
    <t>Non-Organic Items</t>
  </si>
  <si>
    <t>Others</t>
  </si>
  <si>
    <t>Unrecorded Goodwill</t>
  </si>
  <si>
    <t>Total</t>
  </si>
  <si>
    <t>Prepaid Expenses &amp; Other (% of revenues)</t>
  </si>
  <si>
    <t>2018E</t>
  </si>
  <si>
    <t>US Organic</t>
  </si>
  <si>
    <t>Intl Organic</t>
  </si>
  <si>
    <t>Tax Rate</t>
  </si>
  <si>
    <t>Discounted Cash Flow</t>
  </si>
  <si>
    <t>Discount Periods</t>
  </si>
  <si>
    <t>Operating Income</t>
  </si>
  <si>
    <t>- Minority Interest</t>
  </si>
  <si>
    <t>- Income Taxes</t>
  </si>
  <si>
    <t>Tax rate</t>
  </si>
  <si>
    <t>After Tax Earnings</t>
  </si>
  <si>
    <t>Two Year</t>
  </si>
  <si>
    <t>+ Depreciation &amp; Amortization</t>
  </si>
  <si>
    <t>- Increase in Working Capital</t>
  </si>
  <si>
    <t>- Capital Expenditures</t>
  </si>
  <si>
    <t>Free Cash Flows</t>
  </si>
  <si>
    <t>% growth</t>
  </si>
  <si>
    <t>Discount Factor</t>
  </si>
  <si>
    <t>Present Value of Free Cash Flows</t>
  </si>
  <si>
    <t>Sum of PV of Free Cash Flows</t>
  </si>
  <si>
    <t>+ PV of Terminal Value</t>
  </si>
  <si>
    <t>+ PV of Tax Benefits</t>
  </si>
  <si>
    <t>+ MV of Equity Investments</t>
  </si>
  <si>
    <t>Equity Value</t>
  </si>
  <si>
    <t>Equity Value / share</t>
  </si>
  <si>
    <t>Weighted Average Cost of Debt &amp; Equity Capital (WACC)</t>
  </si>
  <si>
    <t>Levered Beta</t>
  </si>
  <si>
    <t>Market Risk Premium</t>
  </si>
  <si>
    <t>Cost of Equity:</t>
  </si>
  <si>
    <t>Marginal Cost of Debt</t>
  </si>
  <si>
    <t>Marginal Tax Rate</t>
  </si>
  <si>
    <t>After-tax Cost of Debt:</t>
  </si>
  <si>
    <t>Target Debt Ratio</t>
  </si>
  <si>
    <t>Target Equity Ratio</t>
  </si>
  <si>
    <t>Weighted Average Cost of Capital</t>
  </si>
  <si>
    <t>Terminal Growth Rate</t>
  </si>
  <si>
    <t>Total Revenues</t>
  </si>
  <si>
    <t>Total Operating Expenses</t>
  </si>
  <si>
    <t>Income Taxes</t>
  </si>
  <si>
    <t>Total Non-operating Expense</t>
  </si>
  <si>
    <t>Quarterly Income Statement</t>
  </si>
  <si>
    <t>Segment Sheet</t>
  </si>
  <si>
    <t>Quarterly Balance Sheet</t>
  </si>
  <si>
    <t>Quarterly Cash Flow Statement</t>
  </si>
  <si>
    <t>Diluted EPS</t>
  </si>
  <si>
    <t>$ Y/Y GM</t>
  </si>
  <si>
    <t>$ Y/Y G&amp;A</t>
  </si>
  <si>
    <t>$ Y/Y R&amp;D</t>
  </si>
  <si>
    <t>$ Y/Y Sales</t>
  </si>
  <si>
    <r>
      <t xml:space="preserve">Quality of Income </t>
    </r>
    <r>
      <rPr>
        <sz val="8"/>
        <rFont val="Arial"/>
        <family val="2"/>
      </rPr>
      <t>(FCF/Net Inc)</t>
    </r>
  </si>
  <si>
    <t>$ Y/Y Op Profit</t>
  </si>
  <si>
    <t>Fully Diluted Shares</t>
  </si>
  <si>
    <t>2-Year</t>
  </si>
  <si>
    <t>Average Basic Shares</t>
  </si>
  <si>
    <t>Period End Basic Shares</t>
  </si>
  <si>
    <t>Revenue</t>
  </si>
  <si>
    <t>Pre-Tax Income</t>
  </si>
  <si>
    <t>Cost of Revenues</t>
  </si>
  <si>
    <t>Operating Income / Loss</t>
  </si>
  <si>
    <t>Stockholders' Equity</t>
  </si>
  <si>
    <t>Modelware</t>
  </si>
  <si>
    <t>Income before Taxes</t>
  </si>
  <si>
    <t>Net Income / Loss</t>
  </si>
  <si>
    <t>FX Impact</t>
  </si>
  <si>
    <t>Reconciliation to GAAP</t>
  </si>
  <si>
    <t>Federal tax rate</t>
  </si>
  <si>
    <t>State and local tax rates</t>
  </si>
  <si>
    <t>Handicap factor</t>
  </si>
  <si>
    <t>GAAP  EPS</t>
  </si>
  <si>
    <t>Deferred Revenues</t>
  </si>
  <si>
    <t>EQUITY</t>
  </si>
  <si>
    <t>Days Sales Outstanding (DSO)</t>
  </si>
  <si>
    <t>Acquisitions / write-offs</t>
  </si>
  <si>
    <t>Options Outstanding BOP</t>
  </si>
  <si>
    <t>Options Exercised</t>
  </si>
  <si>
    <t>Options Outstanding EOP</t>
  </si>
  <si>
    <t>Wtd Avg Exercise Price (of exercised)</t>
  </si>
  <si>
    <t>Research and development</t>
  </si>
  <si>
    <t>Extraordinary Items</t>
  </si>
  <si>
    <t>Revenue by Channel</t>
  </si>
  <si>
    <t>International</t>
  </si>
  <si>
    <t>NM</t>
  </si>
  <si>
    <t>Fully Diluted Shares (Non-GAAP)</t>
  </si>
  <si>
    <t>Net (cash)/debt (debt-cash)</t>
  </si>
  <si>
    <t>Net (cash)/debt per share</t>
  </si>
  <si>
    <t>Deferred taxes (% of OpExp)</t>
  </si>
  <si>
    <t>Deferred revenues (% of revenues)</t>
  </si>
  <si>
    <t>Net Operating Assets</t>
  </si>
  <si>
    <t>* Accruals</t>
  </si>
  <si>
    <t>Modelware EPS</t>
  </si>
  <si>
    <t>Net to Common Shares</t>
  </si>
  <si>
    <t>Quarterly Sales</t>
  </si>
  <si>
    <t>Y/Y GM</t>
  </si>
  <si>
    <t>Y/Y G&amp;A</t>
  </si>
  <si>
    <t>Y/Y R&amp;D</t>
  </si>
  <si>
    <t>Y/Y Op Margin</t>
  </si>
  <si>
    <t>2007A</t>
  </si>
  <si>
    <t>2008A</t>
  </si>
  <si>
    <t>2009A</t>
  </si>
  <si>
    <t>ASSETS</t>
  </si>
  <si>
    <t>Total Current Assets</t>
  </si>
  <si>
    <t>Goodwill</t>
  </si>
  <si>
    <t>Other</t>
  </si>
  <si>
    <t>Total Assets</t>
  </si>
  <si>
    <t>LIABILITIES</t>
  </si>
  <si>
    <t>Accounts Payable</t>
  </si>
  <si>
    <t>Total Current Liabilities</t>
  </si>
  <si>
    <t>Total Liabilities</t>
  </si>
  <si>
    <t>Dollars in millions, except per share data</t>
  </si>
  <si>
    <t>Common Stock</t>
  </si>
  <si>
    <t>Additional Paid in Capital</t>
  </si>
  <si>
    <t>AOCI</t>
  </si>
  <si>
    <t>Retained Earnings/(Accumulated Deficit)</t>
  </si>
  <si>
    <t>Total Liabilities &amp; Equity</t>
  </si>
  <si>
    <t>Check</t>
  </si>
  <si>
    <t>Financial Metrics</t>
  </si>
  <si>
    <t>Total Debt</t>
  </si>
  <si>
    <t>Returns</t>
  </si>
  <si>
    <t>Return on Equity (ROE)</t>
  </si>
  <si>
    <t>Return on Assets (ROA)</t>
  </si>
  <si>
    <t>Return on Invested Capital (ROIC)</t>
  </si>
  <si>
    <t>Debt Coverage</t>
  </si>
  <si>
    <t>EBITDA Coverage</t>
  </si>
  <si>
    <t>EBIT Coverage</t>
  </si>
  <si>
    <t>Net Debt / EBITDA</t>
  </si>
  <si>
    <t>Debt / Capital</t>
  </si>
  <si>
    <t>Liquidity</t>
  </si>
  <si>
    <t>Current Ratio (CA/CL)</t>
  </si>
  <si>
    <t>Quick Ratio ((Cash+Mkt Sec+AR)/CL)</t>
  </si>
  <si>
    <t>Cash Ratio</t>
  </si>
  <si>
    <t>Acid-Test Ratio</t>
  </si>
  <si>
    <t>Working Capital Metrics</t>
  </si>
  <si>
    <t>Inventory Days (DIO)</t>
  </si>
  <si>
    <t>Days Payable Outstanding (DPO)</t>
  </si>
  <si>
    <t>Cash Conversion Cycle</t>
  </si>
  <si>
    <t>Additional balance Sheet Metrics</t>
  </si>
  <si>
    <t>Cash &amp; equivalents per share</t>
  </si>
  <si>
    <t>Accrued expenses (% of OpExp)</t>
  </si>
  <si>
    <t>Changes in Shareholders' Equity</t>
  </si>
  <si>
    <t>Opening Balance</t>
  </si>
  <si>
    <t>Issue of Shares (including premium)</t>
  </si>
  <si>
    <t>Net Income</t>
  </si>
  <si>
    <t>Dividend</t>
  </si>
  <si>
    <t>Other AOCI</t>
  </si>
  <si>
    <t>2011A</t>
  </si>
  <si>
    <t>Closing Balance</t>
  </si>
  <si>
    <t>ASSET SCHEDULES</t>
  </si>
  <si>
    <t>PP&amp;E</t>
  </si>
  <si>
    <t>PP&amp;E, gross - BoP</t>
  </si>
  <si>
    <t>Capex</t>
  </si>
  <si>
    <t>% of sales</t>
  </si>
  <si>
    <t>Acquisitions</t>
  </si>
  <si>
    <t>PP&amp;E, gross - EoP</t>
  </si>
  <si>
    <t>Accumulated depreciation - BoP</t>
  </si>
  <si>
    <t>Depreciation</t>
  </si>
  <si>
    <t>% of beg gross</t>
  </si>
  <si>
    <t>Accum Depreciation - EoP</t>
  </si>
  <si>
    <t>PP&amp;E, net</t>
  </si>
  <si>
    <t>Intangibles</t>
  </si>
  <si>
    <t>Intangibles - BoP</t>
  </si>
  <si>
    <t>Amortization</t>
  </si>
  <si>
    <t>Intangibles - EoP</t>
  </si>
  <si>
    <t>Beg Balance</t>
  </si>
  <si>
    <t>Ending Balance</t>
  </si>
  <si>
    <t>OPERATING</t>
  </si>
  <si>
    <t>GAAP Net Income</t>
  </si>
  <si>
    <t>Changes in Operating Assets &amp; Liabilities</t>
  </si>
  <si>
    <t>INVESTING</t>
  </si>
  <si>
    <t>Net Cash Used in Investing Activities</t>
  </si>
  <si>
    <t>FINANCING</t>
  </si>
  <si>
    <t>Net Cash From Financing Activities</t>
  </si>
  <si>
    <t>Effect of Exchange Rate on Cash &amp; CE</t>
  </si>
  <si>
    <t>Net Change in Cash</t>
  </si>
  <si>
    <t>Cash and Cash Equivalents (BOP)</t>
  </si>
  <si>
    <t>Cash and Cash Equivalents (EOP)</t>
  </si>
  <si>
    <t>Revenues</t>
  </si>
  <si>
    <t>y/y growth</t>
  </si>
  <si>
    <t>EBITDA</t>
  </si>
  <si>
    <t>2010A</t>
  </si>
  <si>
    <t>days in period</t>
  </si>
  <si>
    <t>M&amp;A Accounting</t>
  </si>
  <si>
    <t>Total Purchase Price</t>
  </si>
  <si>
    <t xml:space="preserve">Total </t>
  </si>
  <si>
    <t>Additional Financial Metrics</t>
  </si>
  <si>
    <t>Dividends</t>
  </si>
  <si>
    <t>Dividends/Share</t>
  </si>
  <si>
    <t>payout ratio</t>
  </si>
  <si>
    <t>STOCK REPURCHASES / ISSUANCES</t>
  </si>
  <si>
    <t>Options Granted</t>
  </si>
  <si>
    <t>Options Lapsed</t>
  </si>
  <si>
    <t>Y/Y Growth</t>
  </si>
  <si>
    <t>Exercised shares as a % of outstanding</t>
  </si>
  <si>
    <t>Options lapsed as a % of outstanding</t>
  </si>
  <si>
    <t>Options granted - Y/Y Growth</t>
  </si>
  <si>
    <t>Repurchases</t>
  </si>
  <si>
    <t>Shares repurchased</t>
  </si>
  <si>
    <t>Cost of repurchases</t>
  </si>
  <si>
    <t>Avg cost</t>
  </si>
  <si>
    <t>% change</t>
  </si>
  <si>
    <t>Free Cash Flow (FCF)</t>
  </si>
  <si>
    <t>FCF per share</t>
  </si>
  <si>
    <t>Free Cash Flow Yield</t>
  </si>
  <si>
    <t>Market Price</t>
  </si>
  <si>
    <t>Proceeds from stock issuance ($m)</t>
  </si>
  <si>
    <t>Allocations</t>
  </si>
  <si>
    <t>STOCK-BASED COMPENSATION</t>
  </si>
  <si>
    <t>COGS</t>
  </si>
  <si>
    <t>SG&amp;A</t>
  </si>
  <si>
    <t>Total OpEx</t>
  </si>
  <si>
    <t>Stock Comp Expense</t>
  </si>
  <si>
    <t>Comp Exp as a % of OpEx</t>
  </si>
  <si>
    <t>Margins</t>
  </si>
  <si>
    <t>Gross Profit</t>
  </si>
  <si>
    <t>Incremental Operating Profit</t>
  </si>
  <si>
    <t>Growth Rates (Y-o-Y)</t>
  </si>
  <si>
    <t>Sales</t>
  </si>
  <si>
    <t>Constant currency</t>
  </si>
  <si>
    <t>Organic</t>
  </si>
  <si>
    <t>FX</t>
  </si>
  <si>
    <t>EPS</t>
  </si>
  <si>
    <t>Scenarios</t>
  </si>
  <si>
    <t>GM Y/Y</t>
  </si>
  <si>
    <t>Base Case</t>
  </si>
  <si>
    <t>Bull Case</t>
  </si>
  <si>
    <t>Bear Case</t>
  </si>
  <si>
    <t>Basic Shares (BOP)</t>
  </si>
  <si>
    <t>Basic Shares (EOP)</t>
  </si>
  <si>
    <t>Statutory Tax Rate</t>
  </si>
  <si>
    <t>Operating margin Y/Y</t>
  </si>
  <si>
    <t>Fiscal year ends June 30</t>
  </si>
  <si>
    <t>Myriad Genetics Inc.</t>
  </si>
  <si>
    <t>2012A</t>
  </si>
  <si>
    <t>2013A</t>
  </si>
  <si>
    <t>Preferred Stock</t>
  </si>
  <si>
    <t>Cash and Cash Equivalents</t>
  </si>
  <si>
    <t>Marketable Investment Securities</t>
  </si>
  <si>
    <t xml:space="preserve">Prepaid Expenses </t>
  </si>
  <si>
    <t>Trade Accounts Receivable</t>
  </si>
  <si>
    <t>Deferred Taxes</t>
  </si>
  <si>
    <t>Other Receivables</t>
  </si>
  <si>
    <t>Net Equipment and Leasehold Improvements</t>
  </si>
  <si>
    <t>Long-term Marketable Investment Securities</t>
  </si>
  <si>
    <t>Long-term Deferred Taxes</t>
  </si>
  <si>
    <t>Note Receivable</t>
  </si>
  <si>
    <t>Other Assets</t>
  </si>
  <si>
    <t>Intangible Assets, net</t>
  </si>
  <si>
    <t>Accrued Liabilities</t>
  </si>
  <si>
    <t>Unrecognized Tax Benefits</t>
  </si>
  <si>
    <t>Inventory</t>
  </si>
  <si>
    <t>Depreciation and amortization</t>
  </si>
  <si>
    <t>Loss on disposition of assets</t>
  </si>
  <si>
    <t>Share-based compensation expense</t>
  </si>
  <si>
    <t>Bad debt expense</t>
  </si>
  <si>
    <t>Accreted interest on note receivable</t>
  </si>
  <si>
    <t>Unrecognized tax benefits</t>
  </si>
  <si>
    <t>Deferred income taxes</t>
  </si>
  <si>
    <t>Prepaid Expenses</t>
  </si>
  <si>
    <t>Deferred Revenue</t>
  </si>
  <si>
    <t>Repurchase and retirement of common stock</t>
  </si>
  <si>
    <t>BRACAnalysis</t>
  </si>
  <si>
    <t>BART</t>
  </si>
  <si>
    <t>Myriad myRisk</t>
  </si>
  <si>
    <t>Molecular diagnostic testing</t>
  </si>
  <si>
    <t>Companion diagnostic services</t>
  </si>
  <si>
    <t>Selling, general, and admin. expense</t>
  </si>
  <si>
    <t>Selling, general, and admin. Expense</t>
  </si>
  <si>
    <t>Loss from discontinued operations</t>
  </si>
  <si>
    <t>Annual doesn't match with reported 10k</t>
  </si>
  <si>
    <t>MYRIAD GENETICS, INC.</t>
  </si>
  <si>
    <t>Dividend  paid</t>
  </si>
  <si>
    <t>Quarterly Income Statement,  2007A–2018E</t>
  </si>
  <si>
    <t>MYGN.N</t>
  </si>
  <si>
    <t>Oncology</t>
  </si>
  <si>
    <t>MYGN.O</t>
  </si>
  <si>
    <t>Accumulated amortization - BoP</t>
  </si>
  <si>
    <t>Accum Amortization - EoP</t>
  </si>
  <si>
    <t>Intangible, net</t>
  </si>
  <si>
    <t>Interest Income</t>
  </si>
  <si>
    <t>Cash and investments - Avg over Period</t>
  </si>
  <si>
    <t>Average annual interest rate</t>
  </si>
  <si>
    <t>Currency</t>
  </si>
  <si>
    <t>Current Stock Price</t>
  </si>
  <si>
    <t>Count</t>
  </si>
  <si>
    <t>MYGN.O,mscalc:closePriceCurrencyCalc</t>
  </si>
  <si>
    <t>MYGN.O,mscalc:targetPrice,,,,USD</t>
  </si>
  <si>
    <t>Crescendo</t>
  </si>
  <si>
    <t>Deferred Tax Liabilites</t>
  </si>
  <si>
    <t>VectraDA</t>
  </si>
  <si>
    <t>Rheumatology</t>
  </si>
  <si>
    <t>Prolaris</t>
  </si>
  <si>
    <t>Comp Dx Svcs</t>
  </si>
  <si>
    <t>COLARIS</t>
  </si>
  <si>
    <t>Total Inorganics</t>
  </si>
  <si>
    <t>Click on the following to go to specific sections of our MYGN model:</t>
  </si>
  <si>
    <t>BRCAnalysis CDx</t>
  </si>
  <si>
    <t>myPath Melanoma</t>
  </si>
  <si>
    <t>myPlan Lung Cancer</t>
  </si>
  <si>
    <t>HRD Platinum</t>
  </si>
  <si>
    <t>$IV$2</t>
  </si>
  <si>
    <t>2014A</t>
  </si>
  <si>
    <t>Shares Outstanding (mm)</t>
  </si>
  <si>
    <t>DCF Growth Rates</t>
  </si>
  <si>
    <t>Share Price Calculation</t>
  </si>
  <si>
    <t xml:space="preserve">Fiscal year ended June 30, </t>
  </si>
  <si>
    <t>% margin</t>
  </si>
  <si>
    <t>US$ millions, except per share data</t>
  </si>
  <si>
    <t>Terminal</t>
  </si>
  <si>
    <t>25</t>
  </si>
  <si>
    <t>EBIT</t>
  </si>
  <si>
    <t>MYGN.O,mscalc:targetPrice</t>
  </si>
  <si>
    <t xml:space="preserve"> </t>
  </si>
  <si>
    <t>Company</t>
  </si>
  <si>
    <t>MYGN.O,mscalc:sedolCodeCalc</t>
  </si>
  <si>
    <t>2614153</t>
  </si>
  <si>
    <t>Women's Health/ Preventative Care</t>
  </si>
  <si>
    <t>Excess tax benefit from stock comp</t>
  </si>
  <si>
    <t>Cap Ex</t>
  </si>
  <si>
    <t>Net Cash From Operations</t>
  </si>
  <si>
    <t>Cash to Myriad Pharmaceuticals, Inc.</t>
  </si>
  <si>
    <t xml:space="preserve">Proceeds from comp stock issuance </t>
  </si>
  <si>
    <t>Quarterly Cash Flow</t>
  </si>
  <si>
    <t>2020E</t>
  </si>
  <si>
    <t>2015A</t>
  </si>
  <si>
    <t>Summary Cash Flow</t>
  </si>
  <si>
    <t>Net Cash Flow</t>
  </si>
  <si>
    <t>Operating Cash Flow</t>
  </si>
  <si>
    <t>Free Cash Flow</t>
  </si>
  <si>
    <t>FCF/Share</t>
  </si>
  <si>
    <t>Other receivables (% of revenues)</t>
  </si>
  <si>
    <t>% of Total</t>
  </si>
  <si>
    <t>myRisk Franchise</t>
  </si>
  <si>
    <t>Molecular Dx Testing</t>
  </si>
  <si>
    <t>Yr/Yr % Growth</t>
  </si>
  <si>
    <t xml:space="preserve">BRACAnalysis + BART </t>
  </si>
  <si>
    <t>% of myRisk Franchise</t>
  </si>
  <si>
    <t>% Constant Currency</t>
  </si>
  <si>
    <t>Total Molecular Dx Testing</t>
  </si>
  <si>
    <t>% of Total Revenues</t>
  </si>
  <si>
    <t>% Organic</t>
  </si>
  <si>
    <t>% M&amp;A Impact</t>
  </si>
  <si>
    <t>German Clinic</t>
  </si>
  <si>
    <t>Molecular Dx Y/Y</t>
  </si>
  <si>
    <t>Revenue by Geography</t>
  </si>
  <si>
    <t xml:space="preserve">Risk-free Interest Rate </t>
  </si>
  <si>
    <t>2021E</t>
  </si>
  <si>
    <t>Annual Change in EBIT Margins</t>
  </si>
  <si>
    <t>Depreciation &amp; Amortization (% of revenues)</t>
  </si>
  <si>
    <t>Capital Expenditures (% of revenues)</t>
  </si>
  <si>
    <t>Change in Working Capital (% of revenues)</t>
  </si>
  <si>
    <t>2019E</t>
  </si>
  <si>
    <t>Assurex</t>
  </si>
  <si>
    <t>Debt</t>
  </si>
  <si>
    <t>Debt issuance / repayment</t>
  </si>
  <si>
    <t>Debt - BoP</t>
  </si>
  <si>
    <t>Issuance</t>
  </si>
  <si>
    <t>(Repayment)</t>
  </si>
  <si>
    <t>Debt - EoP</t>
  </si>
  <si>
    <t>Interest Expense</t>
  </si>
  <si>
    <t>2022E</t>
  </si>
  <si>
    <t>Enterprise Value (FYE 17E)</t>
  </si>
  <si>
    <t>- Net Debt (FYE 17E)</t>
  </si>
  <si>
    <t>2016A</t>
  </si>
  <si>
    <t>Proceeds (purchases) of securities</t>
  </si>
  <si>
    <t>Proceeds (purchases) from marketable securities</t>
  </si>
  <si>
    <t>Net income</t>
  </si>
  <si>
    <t>Short-term debt</t>
  </si>
  <si>
    <t>Assurex opex</t>
  </si>
  <si>
    <t>Organic OPEX</t>
  </si>
  <si>
    <t>Cost synergies</t>
  </si>
  <si>
    <t>Organic Operating Expenses</t>
  </si>
  <si>
    <t>$ Y/Y Opex</t>
  </si>
  <si>
    <t>Y/Y Opex</t>
  </si>
  <si>
    <t>Operating Expenses</t>
  </si>
  <si>
    <t>Organic EBIT</t>
  </si>
  <si>
    <t>2017A</t>
  </si>
  <si>
    <t>Other + Endopredict</t>
  </si>
  <si>
    <t>2023E</t>
  </si>
  <si>
    <t xml:space="preserve">Adjusted EBIT </t>
  </si>
  <si>
    <t>Cash Taxes</t>
  </si>
  <si>
    <t>NOPAT (adjusted)</t>
  </si>
  <si>
    <t>NOPAT margin</t>
  </si>
  <si>
    <t>Net Deferred Tax Liabilities</t>
  </si>
  <si>
    <t>Other Long-Term Liabilities</t>
  </si>
  <si>
    <t>Off-balance sheet operating leases</t>
  </si>
  <si>
    <t>Equity</t>
  </si>
  <si>
    <t>Minority Interest</t>
  </si>
  <si>
    <t>Preferred Equity</t>
  </si>
  <si>
    <t>Shareholders Equity</t>
  </si>
  <si>
    <t>Accumulated Asset write-downs</t>
  </si>
  <si>
    <t>Non-performing Assets</t>
  </si>
  <si>
    <t>(Less cash)</t>
  </si>
  <si>
    <t>(Less unconsolidated investments)</t>
  </si>
  <si>
    <t>(Less Goodwill)</t>
  </si>
  <si>
    <t>Total Invested Capital (inc-Goodwill)</t>
  </si>
  <si>
    <t>Total Invested Capital (ex-Goodwill)</t>
  </si>
  <si>
    <t>ROIC (inc-Goodwill)</t>
  </si>
  <si>
    <t>ROIC (ex-Goodwill)</t>
  </si>
  <si>
    <t>Return on Invested Capital (ROIC)(ex-Goodwill)</t>
  </si>
  <si>
    <t>LT Debt</t>
  </si>
  <si>
    <t>33</t>
  </si>
  <si>
    <t>Growth Rate (FY23E)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</si>
  <si>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</si>
  <si>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</si>
  <si>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</si>
  <si>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</si>
  <si>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</si>
  <si>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</si>
  <si>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</si>
  <si>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</si>
  <si>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Steve Beuchaw, Zachary Wachter</t>
  </si>
  <si>
    <t>Date: 28 Mar 2018</t>
  </si>
  <si>
    <t>Ticker: MYGN.O</t>
  </si>
  <si>
    <t>Stock Rating: Equal-Weight</t>
  </si>
  <si>
    <t>Industry: Life Science Tools &amp; Diagnostics</t>
  </si>
  <si>
    <t>Industry View: In-Line</t>
  </si>
  <si>
    <t>Price as of 28 Mar 2018: 29.94</t>
  </si>
  <si>
    <t>Target Price: 33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</si>
  <si>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</si>
  <si>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</si>
  <si>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</si>
  <si>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</si>
  <si>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Myriad Genetics Inc..</t>
  </si>
  <si>
    <t>STOCK RATINGS</t>
  </si>
  <si>
    <t>Global Stock Ratings Distribution</t>
  </si>
  <si>
    <t>(as of February 28, 2018)</t>
  </si>
  <si>
    <t>Coverage Universe</t>
  </si>
  <si>
    <t>Investment Banking Clients (IBC)</t>
  </si>
  <si>
    <t>Other Material Investment Services Clients (MISC)</t>
  </si>
  <si>
    <t>Stock Rating Category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</si>
  <si>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</si>
  <si>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</si>
  <si>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</si>
  <si>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</si>
  <si>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</si>
  <si>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</si>
  <si>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</si>
  <si>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</si>
  <si>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</si>
  <si>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</si>
  <si>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</si>
  <si>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</si>
  <si>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</si>
  <si>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</si>
  <si>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</si>
  <si>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</si>
  <si>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</si>
  <si>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</si>
  <si>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</si>
  <si>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</si>
  <si>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</si>
  <si>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</si>
  <si>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</si>
  <si>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</si>
  <si>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</si>
  <si>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</si>
  <si>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</si>
  <si>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</si>
  <si>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</si>
  <si>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</si>
  <si>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</si>
  <si>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</si>
  <si>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</si>
  <si>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</si>
  <si>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</si>
  <si>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</si>
  <si>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</si>
  <si>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</si>
  <si>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</si>
  <si>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</si>
  <si>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</si>
  <si>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</si>
  <si>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</si>
  <si>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</si>
  <si>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</si>
  <si>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</si>
  <si>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</si>
  <si>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</si>
  <si>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</si>
  <si>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</si>
  <si>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</si>
  <si>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</si>
  <si>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</si>
  <si>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</si>
  <si>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</si>
  <si>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</si>
  <si>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</si>
  <si>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</si>
  <si>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</si>
  <si>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</si>
  <si>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</si>
  <si>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</si>
  <si>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</si>
  <si>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</si>
  <si>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</si>
  <si>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</si>
  <si>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</si>
  <si>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</si>
  <si>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</si>
  <si>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</si>
  <si>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</si>
  <si>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</si>
  <si>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</si>
  <si>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</si>
  <si>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</si>
  <si>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</si>
  <si>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</si>
  <si>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</si>
  <si>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</si>
  <si>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</si>
  <si>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</si>
  <si>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</si>
  <si>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</si>
  <si>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</si>
  <si>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</si>
  <si>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</si>
  <si>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</si>
  <si>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</si>
  <si>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</si>
  <si>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</si>
  <si>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</si>
  <si>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</si>
  <si>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</si>
  <si>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</si>
  <si>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</si>
  <si>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</si>
  <si>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</si>
  <si>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</si>
  <si>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</si>
  <si>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</si>
  <si>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</si>
  <si>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</si>
  <si>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</si>
  <si>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</si>
  <si>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</si>
  <si>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</si>
  <si>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</si>
  <si>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</si>
  <si>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</si>
  <si>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</si>
  <si>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</si>
  <si>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</si>
  <si>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</si>
  <si>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</si>
  <si>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</si>
  <si>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</si>
  <si>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</si>
  <si>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</si>
  <si>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</si>
  <si>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</si>
  <si>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</si>
  <si>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</si>
  <si>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</si>
  <si>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</si>
  <si>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</si>
  <si>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</si>
  <si>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</si>
  <si>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</si>
  <si>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</si>
  <si>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</si>
  <si>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</si>
  <si>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</si>
  <si>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</si>
  <si>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</si>
  <si>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</si>
  <si>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</si>
  <si>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</si>
  <si>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</si>
  <si>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</si>
  <si>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</si>
  <si>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</si>
  <si>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</si>
  <si>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</si>
  <si>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</si>
  <si>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</si>
  <si>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</si>
  <si>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</si>
  <si>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</si>
  <si>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</si>
  <si>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</si>
  <si>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</si>
  <si>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</si>
  <si>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</si>
  <si>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</si>
  <si>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</si>
  <si>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</si>
  <si>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</si>
  <si>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</si>
  <si>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</si>
  <si>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</si>
  <si>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</si>
  <si>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</si>
  <si>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</si>
  <si>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</si>
  <si>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</si>
  <si>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</si>
  <si>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</si>
  <si>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</si>
  <si>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</si>
  <si>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</si>
  <si>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</si>
  <si>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</si>
  <si>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</si>
  <si>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</si>
  <si>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</si>
  <si>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</si>
  <si>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</si>
  <si>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</si>
  <si>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</si>
  <si>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</si>
  <si>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</si>
  <si>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</si>
  <si>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</si>
  <si>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</si>
  <si>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</si>
  <si>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</si>
  <si>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</si>
  <si>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</si>
  <si>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</si>
  <si>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</si>
  <si>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</si>
  <si>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</si>
  <si>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</si>
  <si>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</si>
  <si>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</si>
  <si>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</si>
  <si>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</si>
  <si>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</si>
  <si>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</si>
  <si>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</si>
  <si>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</si>
  <si>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</si>
  <si>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</si>
  <si>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</si>
  <si>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</si>
  <si>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</si>
  <si>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</si>
  <si>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</si>
  <si>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</si>
  <si>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</si>
  <si>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</si>
  <si>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</si>
  <si>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</si>
  <si>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</si>
  <si>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</si>
  <si>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</si>
  <si>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</si>
  <si>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</si>
  <si>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</si>
  <si>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</si>
  <si>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</si>
  <si>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</si>
  <si>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</si>
  <si>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</si>
  <si>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</si>
  <si>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</si>
  <si>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</si>
  <si>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</si>
  <si>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</si>
  <si>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</si>
  <si>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</si>
  <si>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</si>
  <si>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</si>
  <si>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</si>
  <si>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</si>
  <si>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Myriad Genetics Inc..</t>
  </si>
  <si>
    <t>Within the last 12 months, Morgan Stanley has provided or is providing investment banking services to,</t>
  </si>
  <si>
    <t>or has an investment banking client relationship with, the following company: Myriad Genetics Inc..</t>
  </si>
  <si>
    <t>In the next 3 months, Morgan Stanley expects to receive or intends to seek compensation for investment</t>
  </si>
  <si>
    <t>banking services from Myriad Genetics Inc..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</si>
  <si>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</si>
  <si>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</si>
  <si>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</si>
  <si>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</si>
  <si>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</si>
  <si>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Steve Beuchaw.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</si>
  <si>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</si>
  <si>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</si>
  <si>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</si>
  <si>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</si>
  <si>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</si>
  <si>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</si>
  <si>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</si>
  <si>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</si>
  <si>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</si>
  <si>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</si>
  <si>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</si>
  <si>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</si>
  <si>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</si>
  <si>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</si>
  <si>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</si>
  <si>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</si>
  <si>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</si>
  <si>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</si>
  <si>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</si>
  <si>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</si>
  <si>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</si>
  <si>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</si>
  <si>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</si>
  <si>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</si>
  <si>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</si>
  <si>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</si>
  <si>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</si>
  <si>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</si>
  <si>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</si>
  <si>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</si>
  <si>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</si>
  <si>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</si>
  <si>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</si>
  <si>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</si>
  <si>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</si>
  <si>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</si>
  <si>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</si>
  <si>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</si>
  <si>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</si>
  <si>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</si>
  <si>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</si>
  <si>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</si>
  <si>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</si>
  <si>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</si>
  <si>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</si>
  <si>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</si>
  <si>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</si>
  <si>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</si>
  <si>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</si>
  <si>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</si>
  <si>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</si>
  <si>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</si>
  <si>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</si>
  <si>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</si>
  <si>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</si>
  <si>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</si>
  <si>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</si>
  <si>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</si>
  <si>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</si>
  <si>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</si>
  <si>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</si>
  <si>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</si>
  <si>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</si>
  <si>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</si>
  <si>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</si>
  <si>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</si>
  <si>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</si>
  <si>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</si>
  <si>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Regular Update</t>
  </si>
  <si>
    <t>NorthAmerica</t>
  </si>
  <si>
    <t>wachter</t>
  </si>
  <si>
    <t>MSA12974, MSA15NPP</t>
  </si>
  <si>
    <t>62855J104</t>
  </si>
  <si>
    <t>L:\HEALTH\Tools\Models\Published models\MYGN_Published.xlsm</t>
  </si>
  <si>
    <t>[BRO MSA]</t>
  </si>
  <si>
    <t>[PRODUCT MODEL]</t>
  </si>
  <si>
    <t>[EMAIL_ALERT YES]</t>
  </si>
  <si>
    <t>[DISCIPLINE Company]</t>
  </si>
  <si>
    <t>[SUPPRESSED NO]</t>
  </si>
  <si>
    <t>[DOCDAT 2018-03-28]</t>
  </si>
  <si>
    <t>[DOCTIME 13:47]</t>
  </si>
  <si>
    <t>[PSYM MYGN.O(S&amp;P) (None)]</t>
  </si>
  <si>
    <t>[COU 1]</t>
  </si>
  <si>
    <t>[ANA MSA15NPP]</t>
  </si>
  <si>
    <t>[HL MYGN.O Model]</t>
  </si>
  <si>
    <t>[IND HLTHCR]</t>
  </si>
  <si>
    <t>[PANA MSA12974]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</si>
</sst>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_(* #,##0.0_);_(* \(#,##0.0\);_(* &quot;-&quot;??_);_(@_)"/>
    <numFmt numFmtId="166" formatCode="_(* #,##0.000_);_(* \(#,##0.000\);_(* &quot;-&quot;??_);_(@_)"/>
    <numFmt numFmtId="167" formatCode="#,##0.0_);\(#,##0.0\)"/>
    <numFmt numFmtId="168" formatCode="0.0%"/>
    <numFmt numFmtId="169" formatCode="0.0\x"/>
    <numFmt numFmtId="170" formatCode="0.0"/>
    <numFmt numFmtId="171" formatCode="0.0_);\(0.0\)"/>
    <numFmt numFmtId="172" formatCode="#,##0.000_);\(#,##0.000\)"/>
    <numFmt numFmtId="173" formatCode="&quot;$&quot;#,##0.0;[Red]&quot;$&quot;#,##0.0"/>
    <numFmt numFmtId="174" formatCode="#,##0.0%_);\(#,##0.0%\)"/>
    <numFmt numFmtId="175" formatCode="&quot;$&quot;#,##0.0_);\(&quot;$&quot;#,##0.0\)"/>
    <numFmt numFmtId="176" formatCode="_(* #,##0_);_(* \(#,##0\);_(* &quot;-&quot;??_);_(@_)"/>
    <numFmt numFmtId="177" formatCode="[&lt;=9999999]###\-####;\(###\)\ ###\-####"/>
    <numFmt numFmtId="179" formatCode="&quot;$&quot;#,##0.0"/>
    <numFmt numFmtId="180" formatCode="0_)"/>
    <numFmt numFmtId="184" formatCode="#,##0.0"/>
    <numFmt numFmtId="186" formatCode="#,##0.00%_);\(#,##0.00%\)"/>
    <numFmt numFmtId="199" formatCode="_(* #,##0.0_);_(* \(#,##0.0\);_(* &quot;-&quot;?_);_(@_)"/>
    <numFmt numFmtId="201" formatCode="_(&quot;$&quot;* #,##0.0_);_(&quot;$&quot;* \(#,##0.0\);_(&quot;$&quot;* &quot;-&quot;??_);_(@_)"/>
    <numFmt numFmtId="202" formatCode="\1\)"/>
    <numFmt numFmtId="204" formatCode="0.000"/>
    <numFmt numFmtId="206" formatCode="General&quot;A&quot;"/>
    <numFmt numFmtId="207" formatCode="General&quot;E&quot;"/>
    <numFmt numFmtId="209" formatCode="_(* #,##0.0000_);_(* \(#,##0.0000\);_(* &quot;-&quot;??_);_(@_)"/>
    <numFmt numFmtId="210" formatCode="&quot;$&quot;#,##0.000_);\(&quot;$&quot;#,##0.000\)"/>
    <numFmt numFmtId="215" formatCode="#,##0%_);\(#,##0%\)"/>
    <numFmt numFmtId="216" formatCode="_([$$-409]* #,##0.00_);_([$$-409]* \(#,##0.00\);_([$$-409]* &quot;-&quot;??_);_(@_)"/>
    <numFmt numFmtId="227" formatCode="mm/dd/yy\ hh:mm"/>
  </numFmts>
  <fonts count="11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color indexed="9"/>
      <name val="Arial"/>
      <family val="2"/>
    </font>
    <font>
      <b/>
      <sz val="8"/>
      <color indexed="12"/>
      <name val="Arial"/>
      <family val="2"/>
    </font>
    <font>
      <b/>
      <sz val="10"/>
      <color indexed="8"/>
      <name val="Arial"/>
      <family val="2"/>
    </font>
    <font>
      <sz val="8"/>
      <name val="Tms Rmn"/>
    </font>
    <font>
      <i/>
      <sz val="8"/>
      <color indexed="8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b/>
      <u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sz val="8"/>
      <color indexed="12"/>
      <name val="Arial"/>
      <family val="2"/>
    </font>
    <font>
      <sz val="8"/>
      <color indexed="10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10"/>
      <color indexed="10"/>
      <name val="Arial"/>
      <family val="2"/>
    </font>
    <font>
      <i/>
      <sz val="10"/>
      <name val="Arial"/>
      <family val="2"/>
    </font>
    <font>
      <i/>
      <sz val="8"/>
      <color indexed="10"/>
      <name val="Arial"/>
      <family val="2"/>
    </font>
    <font>
      <sz val="8"/>
      <color indexed="17"/>
      <name val="Arial"/>
      <family val="2"/>
    </font>
    <font>
      <i/>
      <sz val="8"/>
      <color indexed="12"/>
      <name val="Arial"/>
      <family val="2"/>
    </font>
    <font>
      <b/>
      <u/>
      <sz val="8"/>
      <name val="Arial"/>
      <family val="2"/>
    </font>
    <font>
      <i/>
      <sz val="8"/>
      <name val="Arial"/>
      <family val="2"/>
    </font>
    <font>
      <sz val="10"/>
      <name val="MS Sans Serif"/>
      <family val="2"/>
    </font>
    <font>
      <b/>
      <sz val="12"/>
      <name val="Times New Roman"/>
      <family val="1"/>
    </font>
    <font>
      <b/>
      <sz val="10"/>
      <color indexed="8"/>
      <name val="Times New Roman"/>
      <family val="1"/>
    </font>
    <font>
      <u/>
      <sz val="10"/>
      <color indexed="12"/>
      <name val="Arial"/>
      <family val="2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9"/>
      <name val="Arial"/>
      <family val="2"/>
    </font>
    <font>
      <b/>
      <sz val="10"/>
      <color indexed="10"/>
      <name val="Arial"/>
      <family val="2"/>
    </font>
    <font>
      <sz val="10"/>
      <name val="Times New Roman"/>
      <family val="1"/>
    </font>
    <font>
      <sz val="8"/>
      <color indexed="9"/>
      <name val="Arial"/>
      <family val="2"/>
    </font>
    <font>
      <sz val="10"/>
      <name val="Courier"/>
      <family val="3"/>
    </font>
    <font>
      <b/>
      <sz val="16"/>
      <color indexed="9"/>
      <name val="Arial"/>
      <family val="2"/>
    </font>
    <font>
      <sz val="10"/>
      <color indexed="9"/>
      <name val="Times New Roman"/>
      <family val="1"/>
    </font>
    <font>
      <b/>
      <i/>
      <sz val="10"/>
      <name val="Arial"/>
      <family val="2"/>
    </font>
    <font>
      <b/>
      <i/>
      <sz val="10"/>
      <name val="Times New Roman"/>
      <family val="1"/>
    </font>
    <font>
      <sz val="8"/>
      <color indexed="12"/>
      <name val="Times New Roman"/>
      <family val="1"/>
    </font>
    <font>
      <b/>
      <u/>
      <sz val="10"/>
      <color indexed="12"/>
      <name val="Arial"/>
      <family val="2"/>
    </font>
    <font>
      <b/>
      <u/>
      <sz val="10"/>
      <name val="Arial"/>
      <family val="2"/>
    </font>
    <font>
      <b/>
      <i/>
      <sz val="8"/>
      <name val="Arial"/>
      <family val="2"/>
    </font>
    <font>
      <b/>
      <sz val="8"/>
      <color indexed="10"/>
      <name val="Arial"/>
      <family val="2"/>
    </font>
    <font>
      <sz val="8"/>
      <color indexed="10"/>
      <name val="Helvetica"/>
      <family val="2"/>
    </font>
    <font>
      <b/>
      <sz val="8"/>
      <color indexed="8"/>
      <name val="Arial"/>
      <family val="2"/>
    </font>
    <font>
      <sz val="8"/>
      <color indexed="8"/>
      <name val="Times New Roman"/>
      <family val="1"/>
    </font>
    <font>
      <i/>
      <sz val="8"/>
      <color indexed="20"/>
      <name val="Arial"/>
      <family val="2"/>
    </font>
    <font>
      <sz val="8"/>
      <color indexed="20"/>
      <name val="Arial"/>
      <family val="2"/>
    </font>
    <font>
      <sz val="8"/>
      <color indexed="20"/>
      <name val="Arial"/>
      <family val="2"/>
    </font>
    <font>
      <b/>
      <sz val="8"/>
      <color indexed="20"/>
      <name val="Arial"/>
      <family val="2"/>
    </font>
    <font>
      <i/>
      <sz val="8"/>
      <color indexed="17"/>
      <name val="Arial"/>
      <family val="2"/>
    </font>
    <font>
      <sz val="8"/>
      <color indexed="17"/>
      <name val="Arial"/>
      <family val="2"/>
    </font>
    <font>
      <b/>
      <sz val="9"/>
      <color indexed="10"/>
      <name val="Arial"/>
      <family val="2"/>
    </font>
    <font>
      <sz val="8"/>
      <color indexed="18"/>
      <name val="Arial"/>
      <family val="2"/>
    </font>
    <font>
      <sz val="7"/>
      <name val="Arial"/>
      <family val="2"/>
    </font>
    <font>
      <sz val="5"/>
      <name val="Arial"/>
      <family val="2"/>
    </font>
    <font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7"/>
      <name val="Arial"/>
      <family val="2"/>
    </font>
    <font>
      <sz val="8"/>
      <color indexed="10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8"/>
      <color indexed="18"/>
      <name val="Arial"/>
      <family val="2"/>
    </font>
    <font>
      <b/>
      <sz val="10"/>
      <color indexed="10"/>
      <name val="Arial"/>
      <family val="2"/>
    </font>
    <font>
      <sz val="11"/>
      <color indexed="8"/>
      <name val="Calibri"/>
      <family val="2"/>
    </font>
    <font>
      <b/>
      <sz val="8"/>
      <color indexed="1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8"/>
      <name val="Times"/>
      <family val="1"/>
    </font>
    <font>
      <sz val="10"/>
      <name val="Arial"/>
      <family val="2"/>
    </font>
    <font>
      <sz val="9"/>
      <color indexed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70C0"/>
      <name val="Arial"/>
      <family val="2"/>
    </font>
    <font>
      <sz val="8"/>
      <color rgb="FF00B050"/>
      <name val="Arial"/>
      <family val="2"/>
    </font>
    <font>
      <i/>
      <sz val="8"/>
      <color rgb="FF00B050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10"/>
      <color theme="0"/>
      <name val="Arial"/>
      <family val="2"/>
    </font>
    <font>
      <sz val="8"/>
      <color theme="4" tint="-0.249977111117893"/>
      <name val="Arial"/>
      <family val="2"/>
    </font>
    <font>
      <b/>
      <sz val="9"/>
      <color theme="0"/>
      <name val="Arial"/>
      <family val="2"/>
    </font>
    <font>
      <i/>
      <sz val="8"/>
      <color rgb="FF0070C0"/>
      <name val="Arial"/>
      <family val="2"/>
    </font>
    <font>
      <i/>
      <sz val="8"/>
      <color rgb="FF7030A0"/>
      <name val="Arial"/>
      <family val="2"/>
    </font>
    <font>
      <sz val="8"/>
      <color rgb="FF7030A0"/>
      <name val="Arial"/>
      <family val="2"/>
    </font>
    <font>
      <b/>
      <sz val="8"/>
      <color rgb="FF0070C0"/>
      <name val="Arial"/>
      <family val="2"/>
    </font>
    <font>
      <b/>
      <sz val="8"/>
      <color rgb="FF7030A0"/>
      <name val="Arial"/>
      <family val="2"/>
    </font>
    <font>
      <sz val="10"/>
      <color rgb="FF7030A0"/>
      <name val="Arial"/>
      <family val="2"/>
    </font>
    <font>
      <sz val="10"/>
      <color rgb="FF0070C0"/>
      <name val="Arial"/>
      <family val="2"/>
    </font>
    <font>
      <sz val="8"/>
      <color rgb="FFFF0000"/>
      <name val="Arial"/>
      <family val="2"/>
    </font>
    <font>
      <sz val="8"/>
      <color theme="3"/>
      <name val="Arial"/>
      <family val="2"/>
    </font>
    <font>
      <b/>
      <sz val="10"/>
      <color theme="0"/>
      <name val="Arial"/>
      <family val="2"/>
    </font>
    <font>
      <b/>
      <sz val="10"/>
      <color rgb="FF0070C0"/>
      <name val="Arial"/>
      <family val="2"/>
    </font>
    <font>
      <b/>
      <i/>
      <sz val="10"/>
      <color rgb="FF7030A0"/>
      <name val="Arial"/>
      <family val="2"/>
    </font>
    <font>
      <b/>
      <sz val="8"/>
      <color rgb="FF00B050"/>
      <name val="Arial"/>
      <family val="2"/>
    </font>
    <font>
      <sz val="10"/>
      <name val="Arial"/>
      <family val="2"/>
    </font>
    <font>
      <b/>
      <sz val="9"/>
      <color rgb="FFFF0000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137CB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6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51">
    <xf numFmtId="0" fontId="0" fillId="0" borderId="0" applyNumberFormat="0" applyFill="0" applyBorder="0" applyAlignment="0" applyProtection="0"/>
    <xf numFmtId="0" fontId="107" fillId="0" borderId="0"/>
    <xf numFmtId="0" fontId="3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0" fontId="3" fillId="4" borderId="0" applyNumberFormat="0" applyFont="0" applyBorder="0" applyAlignment="0" applyProtection="0"/>
    <xf numFmtId="0" fontId="3" fillId="0" borderId="0"/>
    <xf numFmtId="0" fontId="33" fillId="0" borderId="0"/>
    <xf numFmtId="180" fontId="33" fillId="0" borderId="0"/>
    <xf numFmtId="180" fontId="33" fillId="0" borderId="0"/>
    <xf numFmtId="0" fontId="33" fillId="0" borderId="0"/>
    <xf numFmtId="0" fontId="35" fillId="0" borderId="0"/>
    <xf numFmtId="44" fontId="10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4" fillId="0" borderId="0" applyFont="0" applyFill="0" applyBorder="0" applyAlignment="0" applyProtection="0"/>
    <xf numFmtId="40" fontId="18" fillId="0" borderId="0" applyFont="0" applyFill="0" applyBorder="0" applyAlignment="0" applyProtection="0"/>
    <xf numFmtId="167" fontId="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84" fillId="0" borderId="0" applyFont="0" applyFill="0" applyBorder="0" applyAlignment="0" applyProtection="0"/>
    <xf numFmtId="0" fontId="36" fillId="0" borderId="0" applyNumberFormat="0" applyFill="0" applyBorder="0" applyAlignment="0" applyProtection="0">
      <alignment vertical="top"/>
      <protection locked="0"/>
    </xf>
    <xf numFmtId="0" fontId="85" fillId="0" borderId="0" applyNumberFormat="0" applyFill="0" applyBorder="0" applyAlignment="0" applyProtection="0"/>
    <xf numFmtId="0" fontId="5" fillId="0" borderId="0"/>
    <xf numFmtId="0" fontId="5" fillId="0" borderId="0" applyNumberFormat="0" applyFill="0" applyBorder="0" applyAlignment="0" applyProtection="0"/>
    <xf numFmtId="0" fontId="84" fillId="0" borderId="0"/>
    <xf numFmtId="0" fontId="82" fillId="0" borderId="0"/>
    <xf numFmtId="0" fontId="18" fillId="0" borderId="0"/>
    <xf numFmtId="0" fontId="10" fillId="0" borderId="0"/>
    <xf numFmtId="0" fontId="10" fillId="0" borderId="0"/>
    <xf numFmtId="0" fontId="18" fillId="0" borderId="0"/>
    <xf numFmtId="0" fontId="18" fillId="0" borderId="0"/>
    <xf numFmtId="0" fontId="3" fillId="0" borderId="0"/>
    <xf numFmtId="0" fontId="18" fillId="0" borderId="0"/>
    <xf numFmtId="0" fontId="3" fillId="0" borderId="0"/>
    <xf numFmtId="0" fontId="37" fillId="0" borderId="0">
      <alignment vertical="center"/>
    </xf>
    <xf numFmtId="9" fontId="3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84" fillId="0" borderId="0" applyFont="0" applyFill="0" applyBorder="0" applyAlignment="0" applyProtection="0"/>
    <xf numFmtId="0" fontId="5" fillId="4" borderId="0" applyNumberFormat="0" applyFont="0" applyBorder="0" applyAlignment="0" applyProtection="0"/>
    <xf numFmtId="0" fontId="38" fillId="0" borderId="0"/>
    <xf numFmtId="0" fontId="38" fillId="0" borderId="6">
      <alignment horizontal="centerContinuous"/>
    </xf>
    <xf numFmtId="0" fontId="39" fillId="0" borderId="6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/>
    <xf numFmtId="0" fontId="1" fillId="0" borderId="0"/>
    <xf numFmtId="44" fontId="3" fillId="0" borderId="0" applyFont="0" applyFill="0" applyBorder="0" applyAlignment="0" applyProtection="0"/>
    <xf numFmtId="0" fontId="44" fillId="0" borderId="0"/>
  </cellStyleXfs>
  <cellXfs count="944">
    <xf numFmtId="0" fontId="0" fillId="0" borderId="0" xfId="0"/>
    <xf numFmtId="0" fontId="6" fillId="5" borderId="0" xfId="0" applyFont="1" applyFill="1" applyBorder="1"/>
    <xf numFmtId="164" fontId="7" fillId="6" borderId="2" xfId="0" applyNumberFormat="1" applyFont="1" applyFill="1" applyBorder="1" applyAlignment="1">
      <alignment horizontal="center"/>
    </xf>
    <xf numFmtId="0" fontId="8" fillId="5" borderId="0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0" xfId="0" applyFont="1" applyFill="1" applyBorder="1"/>
    <xf numFmtId="0" fontId="6" fillId="5" borderId="0" xfId="0" applyFont="1" applyFill="1" applyBorder="1" applyAlignment="1">
      <alignment horizontal="left" indent="1"/>
    </xf>
    <xf numFmtId="0" fontId="9" fillId="5" borderId="2" xfId="28" applyFont="1" applyFill="1" applyBorder="1" applyAlignment="1">
      <alignment horizontal="left"/>
    </xf>
    <xf numFmtId="0" fontId="11" fillId="5" borderId="0" xfId="28" applyFont="1" applyFill="1" applyBorder="1" applyAlignment="1">
      <alignment horizontal="left"/>
    </xf>
    <xf numFmtId="0" fontId="12" fillId="5" borderId="0" xfId="32" applyFont="1" applyFill="1" applyBorder="1" applyAlignment="1">
      <alignment horizontal="left"/>
    </xf>
    <xf numFmtId="0" fontId="13" fillId="0" borderId="0" xfId="0" applyFont="1"/>
    <xf numFmtId="165" fontId="13" fillId="0" borderId="0" xfId="14" applyNumberFormat="1" applyFont="1"/>
    <xf numFmtId="167" fontId="13" fillId="0" borderId="0" xfId="14" applyNumberFormat="1" applyFont="1"/>
    <xf numFmtId="167" fontId="4" fillId="0" borderId="0" xfId="14" applyNumberFormat="1" applyFont="1"/>
    <xf numFmtId="167" fontId="13" fillId="0" borderId="0" xfId="0" applyNumberFormat="1" applyFont="1"/>
    <xf numFmtId="0" fontId="15" fillId="5" borderId="0" xfId="0" applyFont="1" applyFill="1" applyBorder="1"/>
    <xf numFmtId="169" fontId="6" fillId="5" borderId="0" xfId="0" applyNumberFormat="1" applyFont="1" applyFill="1" applyBorder="1"/>
    <xf numFmtId="170" fontId="6" fillId="5" borderId="0" xfId="0" applyNumberFormat="1" applyFont="1" applyFill="1" applyBorder="1"/>
    <xf numFmtId="170" fontId="15" fillId="5" borderId="0" xfId="0" applyNumberFormat="1" applyFont="1" applyFill="1" applyBorder="1"/>
    <xf numFmtId="170" fontId="6" fillId="5" borderId="0" xfId="29" applyNumberFormat="1" applyFont="1" applyFill="1" applyBorder="1"/>
    <xf numFmtId="170" fontId="13" fillId="0" borderId="0" xfId="29" applyNumberFormat="1" applyFont="1" applyFill="1" applyBorder="1"/>
    <xf numFmtId="170" fontId="13" fillId="5" borderId="0" xfId="29" applyNumberFormat="1" applyFont="1" applyFill="1" applyBorder="1"/>
    <xf numFmtId="169" fontId="13" fillId="5" borderId="0" xfId="0" applyNumberFormat="1" applyFont="1" applyFill="1" applyAlignment="1">
      <alignment horizontal="right"/>
    </xf>
    <xf numFmtId="0" fontId="15" fillId="0" borderId="0" xfId="0" applyFont="1" applyFill="1" applyBorder="1"/>
    <xf numFmtId="0" fontId="0" fillId="5" borderId="0" xfId="0" applyFill="1" applyBorder="1"/>
    <xf numFmtId="165" fontId="6" fillId="5" borderId="0" xfId="14" applyNumberFormat="1" applyFont="1" applyFill="1" applyBorder="1" applyAlignment="1"/>
    <xf numFmtId="0" fontId="16" fillId="5" borderId="2" xfId="0" applyFont="1" applyFill="1" applyBorder="1"/>
    <xf numFmtId="0" fontId="0" fillId="0" borderId="2" xfId="0" applyBorder="1"/>
    <xf numFmtId="0" fontId="6" fillId="5" borderId="0" xfId="0" applyFont="1" applyFill="1" applyBorder="1" applyAlignment="1">
      <alignment horizontal="left"/>
    </xf>
    <xf numFmtId="0" fontId="17" fillId="5" borderId="0" xfId="30" applyNumberFormat="1" applyFont="1" applyFill="1" applyBorder="1" applyAlignment="1" applyProtection="1">
      <alignment horizontal="left"/>
    </xf>
    <xf numFmtId="173" fontId="4" fillId="5" borderId="0" xfId="0" applyNumberFormat="1" applyFont="1" applyFill="1" applyBorder="1"/>
    <xf numFmtId="0" fontId="0" fillId="0" borderId="0" xfId="0" applyFill="1" applyBorder="1"/>
    <xf numFmtId="0" fontId="6" fillId="0" borderId="0" xfId="0" applyFont="1" applyFill="1" applyAlignment="1">
      <alignment horizontal="left" vertical="top" wrapText="1" indent="1"/>
    </xf>
    <xf numFmtId="0" fontId="6" fillId="0" borderId="0" xfId="0" applyFont="1" applyFill="1" applyAlignment="1">
      <alignment wrapText="1"/>
    </xf>
    <xf numFmtId="0" fontId="6" fillId="0" borderId="0" xfId="0" applyFont="1" applyFill="1" applyAlignment="1">
      <alignment horizontal="left" vertical="top" wrapText="1" indent="3"/>
    </xf>
    <xf numFmtId="0" fontId="20" fillId="0" borderId="0" xfId="0" applyFont="1"/>
    <xf numFmtId="165" fontId="13" fillId="0" borderId="0" xfId="14" applyNumberFormat="1" applyFont="1" applyFill="1"/>
    <xf numFmtId="165" fontId="6" fillId="0" borderId="0" xfId="14" applyNumberFormat="1" applyFont="1" applyFill="1" applyBorder="1" applyAlignment="1">
      <alignment horizontal="right" wrapText="1"/>
    </xf>
    <xf numFmtId="165" fontId="6" fillId="0" borderId="0" xfId="14" applyNumberFormat="1" applyFont="1" applyFill="1" applyBorder="1" applyAlignment="1">
      <alignment wrapText="1"/>
    </xf>
    <xf numFmtId="165" fontId="6" fillId="0" borderId="0" xfId="14" applyNumberFormat="1" applyFont="1" applyFill="1" applyBorder="1"/>
    <xf numFmtId="0" fontId="21" fillId="0" borderId="0" xfId="0" applyFont="1"/>
    <xf numFmtId="0" fontId="4" fillId="0" borderId="0" xfId="0" applyFont="1" applyFill="1" applyAlignment="1">
      <alignment horizontal="left" vertical="top" wrapText="1"/>
    </xf>
    <xf numFmtId="165" fontId="22" fillId="0" borderId="0" xfId="14" applyNumberFormat="1" applyFont="1" applyFill="1" applyBorder="1" applyAlignment="1">
      <alignment horizontal="right" wrapText="1"/>
    </xf>
    <xf numFmtId="0" fontId="0" fillId="0" borderId="0" xfId="0" applyFill="1"/>
    <xf numFmtId="0" fontId="16" fillId="0" borderId="0" xfId="0" applyFont="1" applyFill="1"/>
    <xf numFmtId="0" fontId="17" fillId="0" borderId="0" xfId="30" applyNumberFormat="1" applyFont="1" applyFill="1" applyAlignment="1" applyProtection="1">
      <alignment horizontal="left"/>
    </xf>
    <xf numFmtId="166" fontId="0" fillId="0" borderId="0" xfId="0" applyNumberFormat="1" applyFill="1"/>
    <xf numFmtId="0" fontId="6" fillId="0" borderId="0" xfId="0" applyFont="1" applyFill="1"/>
    <xf numFmtId="165" fontId="22" fillId="0" borderId="0" xfId="14" applyNumberFormat="1" applyFont="1" applyFill="1"/>
    <xf numFmtId="165" fontId="6" fillId="0" borderId="0" xfId="14" applyNumberFormat="1" applyFont="1" applyFill="1"/>
    <xf numFmtId="0" fontId="24" fillId="0" borderId="0" xfId="0" applyFont="1" applyFill="1"/>
    <xf numFmtId="0" fontId="5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6" fillId="0" borderId="0" xfId="0" applyFont="1"/>
    <xf numFmtId="0" fontId="5" fillId="0" borderId="0" xfId="0" applyFont="1"/>
    <xf numFmtId="168" fontId="12" fillId="0" borderId="0" xfId="36" applyNumberFormat="1" applyFont="1"/>
    <xf numFmtId="0" fontId="28" fillId="5" borderId="0" xfId="0" applyFont="1" applyFill="1" applyAlignment="1">
      <alignment horizontal="center"/>
    </xf>
    <xf numFmtId="9" fontId="22" fillId="5" borderId="0" xfId="0" applyNumberFormat="1" applyFont="1" applyFill="1" applyAlignment="1"/>
    <xf numFmtId="9" fontId="6" fillId="5" borderId="0" xfId="0" applyNumberFormat="1" applyFont="1" applyFill="1" applyAlignment="1"/>
    <xf numFmtId="0" fontId="5" fillId="5" borderId="0" xfId="0" applyFont="1" applyFill="1" applyBorder="1"/>
    <xf numFmtId="175" fontId="29" fillId="5" borderId="0" xfId="14" applyNumberFormat="1" applyFont="1" applyFill="1" applyBorder="1" applyAlignment="1"/>
    <xf numFmtId="167" fontId="22" fillId="5" borderId="0" xfId="14" applyNumberFormat="1" applyFont="1" applyFill="1" applyBorder="1" applyAlignment="1"/>
    <xf numFmtId="167" fontId="6" fillId="5" borderId="0" xfId="14" applyNumberFormat="1" applyFont="1" applyFill="1" applyBorder="1" applyAlignment="1"/>
    <xf numFmtId="167" fontId="4" fillId="5" borderId="0" xfId="14" applyNumberFormat="1" applyFont="1" applyFill="1" applyBorder="1" applyAlignment="1"/>
    <xf numFmtId="167" fontId="6" fillId="5" borderId="0" xfId="0" applyNumberFormat="1" applyFont="1" applyFill="1" applyBorder="1" applyAlignment="1">
      <alignment horizontal="center"/>
    </xf>
    <xf numFmtId="175" fontId="4" fillId="5" borderId="0" xfId="14" applyNumberFormat="1" applyFont="1" applyFill="1" applyBorder="1" applyAlignment="1"/>
    <xf numFmtId="167" fontId="4" fillId="5" borderId="0" xfId="0" applyNumberFormat="1" applyFont="1" applyFill="1" applyBorder="1" applyAlignment="1">
      <alignment horizontal="center"/>
    </xf>
    <xf numFmtId="167" fontId="6" fillId="5" borderId="0" xfId="0" applyNumberFormat="1" applyFont="1" applyFill="1" applyBorder="1"/>
    <xf numFmtId="174" fontId="6" fillId="5" borderId="0" xfId="0" applyNumberFormat="1" applyFont="1" applyFill="1" applyBorder="1" applyAlignment="1"/>
    <xf numFmtId="167" fontId="6" fillId="5" borderId="0" xfId="0" applyNumberFormat="1" applyFont="1" applyFill="1"/>
    <xf numFmtId="9" fontId="6" fillId="5" borderId="0" xfId="0" applyNumberFormat="1" applyFont="1" applyFill="1" applyBorder="1" applyAlignment="1"/>
    <xf numFmtId="165" fontId="12" fillId="5" borderId="0" xfId="14" applyNumberFormat="1" applyFont="1" applyFill="1" applyBorder="1" applyAlignment="1"/>
    <xf numFmtId="9" fontId="6" fillId="5" borderId="0" xfId="0" applyNumberFormat="1" applyFont="1" applyFill="1" applyBorder="1" applyAlignment="1">
      <alignment horizontal="center"/>
    </xf>
    <xf numFmtId="0" fontId="0" fillId="0" borderId="0" xfId="0" applyBorder="1"/>
    <xf numFmtId="167" fontId="23" fillId="0" borderId="0" xfId="14" applyNumberFormat="1" applyFont="1" applyFill="1" applyBorder="1" applyAlignment="1"/>
    <xf numFmtId="0" fontId="6" fillId="0" borderId="0" xfId="0" applyFont="1" applyFill="1" applyBorder="1"/>
    <xf numFmtId="0" fontId="12" fillId="5" borderId="0" xfId="0" applyFont="1" applyFill="1" applyBorder="1" applyAlignment="1">
      <alignment horizontal="left" indent="1"/>
    </xf>
    <xf numFmtId="9" fontId="13" fillId="5" borderId="0" xfId="36" applyFont="1" applyFill="1"/>
    <xf numFmtId="0" fontId="13" fillId="5" borderId="0" xfId="0" applyFont="1" applyFill="1"/>
    <xf numFmtId="167" fontId="6" fillId="5" borderId="0" xfId="14" applyNumberFormat="1" applyFont="1" applyFill="1" applyAlignment="1"/>
    <xf numFmtId="7" fontId="6" fillId="0" borderId="0" xfId="14" applyNumberFormat="1" applyFont="1" applyFill="1" applyAlignment="1"/>
    <xf numFmtId="9" fontId="12" fillId="0" borderId="0" xfId="0" applyNumberFormat="1" applyFont="1" applyFill="1" applyAlignment="1">
      <alignment horizontal="right"/>
    </xf>
    <xf numFmtId="165" fontId="6" fillId="0" borderId="0" xfId="14" applyNumberFormat="1" applyFont="1" applyFill="1" applyAlignment="1"/>
    <xf numFmtId="8" fontId="22" fillId="0" borderId="0" xfId="0" applyNumberFormat="1" applyFont="1" applyFill="1" applyAlignment="1">
      <alignment horizontal="right"/>
    </xf>
    <xf numFmtId="165" fontId="22" fillId="0" borderId="0" xfId="14" applyNumberFormat="1" applyFont="1" applyFill="1" applyAlignment="1"/>
    <xf numFmtId="165" fontId="6" fillId="0" borderId="0" xfId="14" applyNumberFormat="1" applyFont="1" applyFill="1" applyAlignment="1">
      <alignment horizontal="center"/>
    </xf>
    <xf numFmtId="7" fontId="6" fillId="0" borderId="0" xfId="0" applyNumberFormat="1" applyFont="1" applyFill="1" applyBorder="1"/>
    <xf numFmtId="0" fontId="12" fillId="0" borderId="0" xfId="0" applyFont="1" applyFill="1" applyBorder="1"/>
    <xf numFmtId="168" fontId="12" fillId="0" borderId="0" xfId="0" applyNumberFormat="1" applyFont="1" applyFill="1"/>
    <xf numFmtId="0" fontId="4" fillId="0" borderId="0" xfId="0" applyFont="1" applyFill="1" applyBorder="1"/>
    <xf numFmtId="0" fontId="13" fillId="0" borderId="0" xfId="0" applyFont="1" applyFill="1"/>
    <xf numFmtId="165" fontId="6" fillId="0" borderId="9" xfId="14" applyNumberFormat="1" applyFont="1" applyFill="1" applyBorder="1" applyAlignment="1">
      <alignment horizontal="right" wrapText="1"/>
    </xf>
    <xf numFmtId="165" fontId="6" fillId="0" borderId="9" xfId="14" applyNumberFormat="1" applyFont="1" applyFill="1" applyBorder="1" applyAlignment="1">
      <alignment wrapText="1"/>
    </xf>
    <xf numFmtId="0" fontId="0" fillId="0" borderId="9" xfId="0" applyFill="1" applyBorder="1"/>
    <xf numFmtId="0" fontId="31" fillId="5" borderId="0" xfId="0" applyFont="1" applyFill="1"/>
    <xf numFmtId="0" fontId="8" fillId="3" borderId="10" xfId="0" applyNumberFormat="1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174" fontId="13" fillId="3" borderId="0" xfId="0" applyNumberFormat="1" applyFont="1" applyFill="1"/>
    <xf numFmtId="0" fontId="13" fillId="3" borderId="0" xfId="0" applyFont="1" applyFill="1"/>
    <xf numFmtId="0" fontId="4" fillId="3" borderId="0" xfId="0" applyFont="1" applyFill="1"/>
    <xf numFmtId="168" fontId="13" fillId="3" borderId="0" xfId="0" applyNumberFormat="1" applyFont="1" applyFill="1"/>
    <xf numFmtId="175" fontId="8" fillId="5" borderId="0" xfId="14" applyNumberFormat="1" applyFont="1" applyFill="1" applyBorder="1" applyAlignment="1">
      <alignment horizontal="center"/>
    </xf>
    <xf numFmtId="174" fontId="14" fillId="0" borderId="0" xfId="0" applyNumberFormat="1" applyFont="1" applyFill="1"/>
    <xf numFmtId="167" fontId="6" fillId="0" borderId="0" xfId="0" applyNumberFormat="1" applyFont="1" applyFill="1" applyBorder="1"/>
    <xf numFmtId="174" fontId="6" fillId="0" borderId="0" xfId="0" applyNumberFormat="1" applyFont="1" applyFill="1" applyBorder="1" applyAlignment="1"/>
    <xf numFmtId="169" fontId="13" fillId="0" borderId="0" xfId="0" applyNumberFormat="1" applyFont="1" applyFill="1" applyBorder="1" applyAlignment="1">
      <alignment horizontal="right"/>
    </xf>
    <xf numFmtId="167" fontId="6" fillId="0" borderId="0" xfId="0" applyNumberFormat="1" applyFont="1" applyFill="1" applyBorder="1" applyAlignment="1">
      <alignment horizontal="right"/>
    </xf>
    <xf numFmtId="0" fontId="31" fillId="0" borderId="0" xfId="0" applyFont="1" applyFill="1" applyBorder="1"/>
    <xf numFmtId="0" fontId="13" fillId="0" borderId="0" xfId="0" applyFont="1" applyFill="1" applyBorder="1"/>
    <xf numFmtId="165" fontId="6" fillId="0" borderId="0" xfId="14" applyNumberFormat="1" applyFont="1" applyFill="1" applyBorder="1" applyAlignment="1"/>
    <xf numFmtId="165" fontId="12" fillId="0" borderId="0" xfId="14" applyNumberFormat="1" applyFont="1" applyFill="1" applyBorder="1" applyAlignment="1"/>
    <xf numFmtId="175" fontId="8" fillId="0" borderId="0" xfId="14" applyNumberFormat="1" applyFont="1" applyFill="1" applyBorder="1" applyAlignment="1">
      <alignment horizontal="center"/>
    </xf>
    <xf numFmtId="0" fontId="20" fillId="0" borderId="0" xfId="0" applyFont="1" applyFill="1"/>
    <xf numFmtId="0" fontId="21" fillId="0" borderId="0" xfId="0" applyFont="1" applyFill="1"/>
    <xf numFmtId="0" fontId="31" fillId="0" borderId="0" xfId="0" applyFont="1" applyFill="1"/>
    <xf numFmtId="0" fontId="4" fillId="0" borderId="0" xfId="0" applyFont="1" applyFill="1"/>
    <xf numFmtId="167" fontId="22" fillId="5" borderId="2" xfId="14" applyNumberFormat="1" applyFont="1" applyFill="1" applyBorder="1" applyAlignment="1"/>
    <xf numFmtId="0" fontId="13" fillId="2" borderId="0" xfId="0" applyFont="1" applyFill="1"/>
    <xf numFmtId="43" fontId="22" fillId="5" borderId="0" xfId="14" applyFont="1" applyFill="1" applyAlignment="1"/>
    <xf numFmtId="43" fontId="22" fillId="0" borderId="0" xfId="14" applyFont="1" applyFill="1" applyBorder="1" applyAlignment="1"/>
    <xf numFmtId="0" fontId="4" fillId="0" borderId="0" xfId="0" applyFont="1"/>
    <xf numFmtId="0" fontId="5" fillId="0" borderId="9" xfId="0" applyFont="1" applyFill="1" applyBorder="1"/>
    <xf numFmtId="8" fontId="6" fillId="0" borderId="0" xfId="0" applyNumberFormat="1" applyFont="1" applyFill="1" applyAlignment="1">
      <alignment horizontal="right"/>
    </xf>
    <xf numFmtId="167" fontId="13" fillId="0" borderId="0" xfId="0" applyNumberFormat="1" applyFont="1" applyFill="1"/>
    <xf numFmtId="165" fontId="14" fillId="0" borderId="0" xfId="14" applyNumberFormat="1" applyFont="1" applyFill="1"/>
    <xf numFmtId="0" fontId="16" fillId="0" borderId="0" xfId="0" applyFont="1" applyFill="1" applyBorder="1"/>
    <xf numFmtId="171" fontId="6" fillId="0" borderId="0" xfId="0" applyNumberFormat="1" applyFont="1" applyFill="1" applyBorder="1"/>
    <xf numFmtId="0" fontId="6" fillId="0" borderId="0" xfId="0" applyFont="1" applyFill="1" applyBorder="1" applyAlignment="1">
      <alignment horizontal="left" indent="1"/>
    </xf>
    <xf numFmtId="0" fontId="7" fillId="5" borderId="2" xfId="0" applyFont="1" applyFill="1" applyBorder="1"/>
    <xf numFmtId="0" fontId="0" fillId="5" borderId="0" xfId="0" applyFill="1"/>
    <xf numFmtId="174" fontId="6" fillId="0" borderId="0" xfId="0" applyNumberFormat="1" applyFont="1" applyFill="1" applyAlignment="1"/>
    <xf numFmtId="0" fontId="6" fillId="0" borderId="0" xfId="34" applyFont="1"/>
    <xf numFmtId="0" fontId="4" fillId="0" borderId="0" xfId="34" applyFont="1"/>
    <xf numFmtId="0" fontId="6" fillId="0" borderId="0" xfId="34" applyFont="1" applyBorder="1"/>
    <xf numFmtId="164" fontId="6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13" fillId="0" borderId="0" xfId="0" applyFont="1" applyBorder="1"/>
    <xf numFmtId="39" fontId="4" fillId="0" borderId="0" xfId="34" applyNumberFormat="1" applyFont="1" applyFill="1" applyBorder="1"/>
    <xf numFmtId="186" fontId="12" fillId="0" borderId="0" xfId="34" applyNumberFormat="1" applyFont="1" applyFill="1" applyBorder="1"/>
    <xf numFmtId="0" fontId="6" fillId="0" borderId="0" xfId="34" applyFont="1" applyFill="1" applyBorder="1"/>
    <xf numFmtId="175" fontId="4" fillId="0" borderId="0" xfId="34" applyNumberFormat="1" applyFont="1"/>
    <xf numFmtId="175" fontId="4" fillId="0" borderId="0" xfId="34" applyNumberFormat="1" applyFont="1" applyFill="1" applyAlignment="1">
      <alignment horizontal="center"/>
    </xf>
    <xf numFmtId="175" fontId="6" fillId="0" borderId="0" xfId="34" applyNumberFormat="1" applyFont="1"/>
    <xf numFmtId="175" fontId="6" fillId="0" borderId="0" xfId="34" applyNumberFormat="1" applyFont="1" applyFill="1" applyAlignment="1">
      <alignment horizontal="center"/>
    </xf>
    <xf numFmtId="175" fontId="6" fillId="0" borderId="0" xfId="34" quotePrefix="1" applyNumberFormat="1" applyFont="1" applyAlignment="1">
      <alignment horizontal="left" indent="1"/>
    </xf>
    <xf numFmtId="167" fontId="6" fillId="0" borderId="0" xfId="34" applyNumberFormat="1" applyFont="1" applyFill="1" applyAlignment="1">
      <alignment horizontal="center"/>
    </xf>
    <xf numFmtId="186" fontId="4" fillId="0" borderId="0" xfId="34" applyNumberFormat="1" applyFont="1" applyBorder="1"/>
    <xf numFmtId="179" fontId="4" fillId="0" borderId="0" xfId="34" applyNumberFormat="1" applyFont="1" applyFill="1" applyAlignment="1">
      <alignment horizontal="center"/>
    </xf>
    <xf numFmtId="186" fontId="6" fillId="0" borderId="0" xfId="34" applyNumberFormat="1" applyFont="1" applyBorder="1"/>
    <xf numFmtId="179" fontId="6" fillId="0" borderId="0" xfId="34" applyNumberFormat="1" applyFont="1" applyFill="1" applyAlignment="1">
      <alignment horizontal="center"/>
    </xf>
    <xf numFmtId="186" fontId="6" fillId="0" borderId="0" xfId="34" quotePrefix="1" applyNumberFormat="1" applyFont="1" applyBorder="1" applyAlignment="1">
      <alignment horizontal="left" indent="1"/>
    </xf>
    <xf numFmtId="186" fontId="6" fillId="0" borderId="0" xfId="34" applyNumberFormat="1" applyFont="1" applyBorder="1" applyAlignment="1">
      <alignment horizontal="left" indent="1"/>
    </xf>
    <xf numFmtId="184" fontId="6" fillId="0" borderId="0" xfId="34" applyNumberFormat="1" applyFont="1" applyFill="1" applyAlignment="1">
      <alignment horizontal="center"/>
    </xf>
    <xf numFmtId="175" fontId="12" fillId="0" borderId="0" xfId="34" applyNumberFormat="1" applyFont="1" applyBorder="1" applyAlignment="1">
      <alignment horizontal="left" indent="1"/>
    </xf>
    <xf numFmtId="175" fontId="4" fillId="0" borderId="0" xfId="34" applyNumberFormat="1" applyFont="1" applyBorder="1"/>
    <xf numFmtId="9" fontId="12" fillId="0" borderId="0" xfId="34" applyNumberFormat="1" applyFont="1" applyFill="1" applyBorder="1" applyAlignment="1">
      <alignment horizontal="center"/>
    </xf>
    <xf numFmtId="175" fontId="6" fillId="0" borderId="0" xfId="34" applyNumberFormat="1" applyFont="1" applyBorder="1"/>
    <xf numFmtId="172" fontId="6" fillId="0" borderId="0" xfId="34" applyNumberFormat="1" applyFont="1" applyFill="1" applyBorder="1" applyAlignment="1">
      <alignment horizontal="center"/>
    </xf>
    <xf numFmtId="175" fontId="4" fillId="0" borderId="0" xfId="34" applyNumberFormat="1" applyFont="1" applyFill="1" applyBorder="1"/>
    <xf numFmtId="179" fontId="4" fillId="0" borderId="0" xfId="34" applyNumberFormat="1" applyFont="1" applyFill="1" applyBorder="1"/>
    <xf numFmtId="175" fontId="6" fillId="0" borderId="0" xfId="34" applyNumberFormat="1" applyFont="1" applyFill="1" applyBorder="1"/>
    <xf numFmtId="5" fontId="6" fillId="0" borderId="0" xfId="34" applyNumberFormat="1" applyFont="1" applyFill="1" applyBorder="1"/>
    <xf numFmtId="179" fontId="6" fillId="0" borderId="0" xfId="34" applyNumberFormat="1" applyFont="1" applyFill="1" applyBorder="1"/>
    <xf numFmtId="175" fontId="6" fillId="0" borderId="0" xfId="34" quotePrefix="1" applyNumberFormat="1" applyFont="1" applyBorder="1"/>
    <xf numFmtId="175" fontId="6" fillId="0" borderId="0" xfId="34" applyNumberFormat="1" applyFont="1" applyBorder="1" applyAlignment="1">
      <alignment horizontal="left" indent="2"/>
    </xf>
    <xf numFmtId="0" fontId="18" fillId="0" borderId="0" xfId="31" applyFont="1"/>
    <xf numFmtId="0" fontId="6" fillId="0" borderId="0" xfId="31" applyFont="1"/>
    <xf numFmtId="0" fontId="5" fillId="0" borderId="0" xfId="0" applyFont="1" applyBorder="1"/>
    <xf numFmtId="0" fontId="43" fillId="0" borderId="0" xfId="0" applyFont="1" applyFill="1" applyBorder="1"/>
    <xf numFmtId="0" fontId="7" fillId="0" borderId="0" xfId="0" applyFont="1" applyFill="1" applyBorder="1"/>
    <xf numFmtId="167" fontId="6" fillId="0" borderId="0" xfId="14" applyNumberFormat="1" applyFont="1" applyFill="1"/>
    <xf numFmtId="167" fontId="13" fillId="0" borderId="0" xfId="0" applyNumberFormat="1" applyFont="1" applyFill="1" applyAlignment="1"/>
    <xf numFmtId="167" fontId="13" fillId="0" borderId="9" xfId="0" applyNumberFormat="1" applyFont="1" applyFill="1" applyBorder="1"/>
    <xf numFmtId="0" fontId="41" fillId="0" borderId="0" xfId="0" applyFont="1" applyFill="1"/>
    <xf numFmtId="175" fontId="22" fillId="5" borderId="0" xfId="14" applyNumberFormat="1" applyFont="1" applyFill="1" applyAlignment="1"/>
    <xf numFmtId="175" fontId="6" fillId="5" borderId="0" xfId="14" applyNumberFormat="1" applyFont="1" applyFill="1" applyAlignment="1"/>
    <xf numFmtId="167" fontId="22" fillId="5" borderId="0" xfId="14" applyNumberFormat="1" applyFont="1" applyFill="1" applyAlignment="1"/>
    <xf numFmtId="175" fontId="4" fillId="5" borderId="11" xfId="14" applyNumberFormat="1" applyFont="1" applyFill="1" applyBorder="1" applyAlignment="1"/>
    <xf numFmtId="167" fontId="4" fillId="5" borderId="7" xfId="14" applyNumberFormat="1" applyFont="1" applyFill="1" applyBorder="1" applyAlignment="1"/>
    <xf numFmtId="167" fontId="6" fillId="0" borderId="0" xfId="0" applyNumberFormat="1" applyFont="1" applyFill="1"/>
    <xf numFmtId="7" fontId="6" fillId="0" borderId="0" xfId="0" applyNumberFormat="1" applyFont="1" applyFill="1"/>
    <xf numFmtId="169" fontId="13" fillId="0" borderId="0" xfId="0" applyNumberFormat="1" applyFont="1" applyFill="1" applyAlignment="1">
      <alignment horizontal="right"/>
    </xf>
    <xf numFmtId="167" fontId="6" fillId="0" borderId="0" xfId="0" applyNumberFormat="1" applyFont="1" applyFill="1" applyAlignment="1">
      <alignment horizontal="right"/>
    </xf>
    <xf numFmtId="167" fontId="6" fillId="0" borderId="0" xfId="14" applyNumberFormat="1" applyFont="1" applyFill="1" applyAlignment="1"/>
    <xf numFmtId="167" fontId="6" fillId="0" borderId="0" xfId="14" applyNumberFormat="1" applyFont="1" applyFill="1" applyBorder="1" applyAlignment="1"/>
    <xf numFmtId="176" fontId="6" fillId="0" borderId="0" xfId="0" applyNumberFormat="1" applyFont="1" applyFill="1" applyBorder="1"/>
    <xf numFmtId="168" fontId="6" fillId="0" borderId="0" xfId="36" applyNumberFormat="1" applyFont="1" applyFill="1"/>
    <xf numFmtId="0" fontId="6" fillId="0" borderId="0" xfId="0" applyFont="1" applyFill="1" applyBorder="1" applyAlignment="1"/>
    <xf numFmtId="9" fontId="6" fillId="0" borderId="0" xfId="0" applyNumberFormat="1" applyFont="1" applyFill="1" applyAlignment="1"/>
    <xf numFmtId="9" fontId="6" fillId="0" borderId="0" xfId="0" applyNumberFormat="1" applyFont="1" applyFill="1" applyBorder="1" applyAlignment="1"/>
    <xf numFmtId="0" fontId="6" fillId="0" borderId="0" xfId="0" applyFont="1" applyFill="1" applyBorder="1" applyAlignment="1">
      <alignment horizontal="right"/>
    </xf>
    <xf numFmtId="171" fontId="6" fillId="0" borderId="0" xfId="0" applyNumberFormat="1" applyFont="1" applyFill="1" applyAlignment="1"/>
    <xf numFmtId="171" fontId="22" fillId="0" borderId="0" xfId="0" applyNumberFormat="1" applyFont="1" applyFill="1" applyBorder="1" applyAlignment="1">
      <alignment horizontal="right"/>
    </xf>
    <xf numFmtId="171" fontId="6" fillId="0" borderId="0" xfId="0" applyNumberFormat="1" applyFont="1" applyFill="1" applyBorder="1" applyAlignment="1">
      <alignment horizontal="right"/>
    </xf>
    <xf numFmtId="171" fontId="22" fillId="0" borderId="0" xfId="0" applyNumberFormat="1" applyFont="1" applyFill="1" applyBorder="1"/>
    <xf numFmtId="168" fontId="12" fillId="0" borderId="0" xfId="14" applyNumberFormat="1" applyFont="1" applyFill="1" applyAlignment="1"/>
    <xf numFmtId="165" fontId="6" fillId="0" borderId="12" xfId="14" applyNumberFormat="1" applyFont="1" applyFill="1" applyBorder="1" applyAlignment="1"/>
    <xf numFmtId="165" fontId="22" fillId="0" borderId="12" xfId="14" applyNumberFormat="1" applyFont="1" applyFill="1" applyBorder="1" applyAlignment="1"/>
    <xf numFmtId="0" fontId="4" fillId="5" borderId="2" xfId="0" applyFont="1" applyFill="1" applyBorder="1" applyAlignment="1">
      <alignment horizontal="center"/>
    </xf>
    <xf numFmtId="9" fontId="22" fillId="0" borderId="0" xfId="0" applyNumberFormat="1" applyFont="1" applyFill="1" applyAlignment="1"/>
    <xf numFmtId="9" fontId="22" fillId="0" borderId="0" xfId="0" applyNumberFormat="1" applyFont="1" applyFill="1" applyBorder="1" applyAlignment="1"/>
    <xf numFmtId="7" fontId="6" fillId="0" borderId="0" xfId="14" applyNumberFormat="1" applyFont="1" applyFill="1" applyBorder="1" applyAlignment="1"/>
    <xf numFmtId="168" fontId="13" fillId="0" borderId="0" xfId="36" applyNumberFormat="1" applyFont="1" applyFill="1"/>
    <xf numFmtId="165" fontId="6" fillId="0" borderId="0" xfId="14" applyNumberFormat="1" applyFont="1" applyFill="1" applyAlignment="1">
      <alignment horizontal="right"/>
    </xf>
    <xf numFmtId="165" fontId="4" fillId="0" borderId="0" xfId="14" applyNumberFormat="1" applyFont="1" applyFill="1" applyBorder="1" applyAlignment="1">
      <alignment horizontal="right"/>
    </xf>
    <xf numFmtId="165" fontId="6" fillId="0" borderId="0" xfId="14" applyNumberFormat="1" applyFont="1" applyFill="1" applyBorder="1" applyAlignment="1">
      <alignment horizontal="right"/>
    </xf>
    <xf numFmtId="165" fontId="6" fillId="0" borderId="0" xfId="14" applyNumberFormat="1" applyFont="1" applyFill="1" applyBorder="1" applyAlignment="1">
      <alignment horizontal="center"/>
    </xf>
    <xf numFmtId="49" fontId="0" fillId="0" borderId="0" xfId="0" applyNumberFormat="1"/>
    <xf numFmtId="0" fontId="18" fillId="5" borderId="0" xfId="27" applyFill="1"/>
    <xf numFmtId="0" fontId="44" fillId="5" borderId="0" xfId="27" applyFont="1" applyFill="1"/>
    <xf numFmtId="0" fontId="44" fillId="5" borderId="0" xfId="27" applyFont="1" applyFill="1" applyBorder="1" applyAlignment="1">
      <alignment horizontal="center"/>
    </xf>
    <xf numFmtId="0" fontId="46" fillId="6" borderId="4" xfId="0" applyFont="1" applyFill="1" applyBorder="1"/>
    <xf numFmtId="0" fontId="19" fillId="5" borderId="0" xfId="0" applyFont="1" applyFill="1"/>
    <xf numFmtId="0" fontId="47" fillId="5" borderId="0" xfId="27" applyFont="1" applyFill="1" applyAlignment="1">
      <alignment horizontal="left"/>
    </xf>
    <xf numFmtId="0" fontId="42" fillId="5" borderId="0" xfId="27" applyFont="1" applyFill="1"/>
    <xf numFmtId="0" fontId="48" fillId="5" borderId="0" xfId="27" applyFont="1" applyFill="1" applyAlignment="1">
      <alignment horizontal="left"/>
    </xf>
    <xf numFmtId="0" fontId="16" fillId="5" borderId="0" xfId="27" applyFont="1" applyFill="1"/>
    <xf numFmtId="0" fontId="49" fillId="5" borderId="0" xfId="27" applyFont="1" applyFill="1"/>
    <xf numFmtId="0" fontId="34" fillId="5" borderId="0" xfId="27" applyFont="1" applyFill="1"/>
    <xf numFmtId="0" fontId="50" fillId="5" borderId="0" xfId="0" applyFont="1" applyFill="1"/>
    <xf numFmtId="0" fontId="51" fillId="0" borderId="0" xfId="21" applyFont="1" applyAlignment="1" applyProtection="1"/>
    <xf numFmtId="177" fontId="54" fillId="0" borderId="0" xfId="17" applyNumberFormat="1" applyFont="1" applyFill="1" applyAlignment="1"/>
    <xf numFmtId="177" fontId="54" fillId="0" borderId="0" xfId="17" applyNumberFormat="1" applyFont="1" applyFill="1" applyAlignment="1">
      <alignment horizontal="right"/>
    </xf>
    <xf numFmtId="177" fontId="54" fillId="0" borderId="0" xfId="17" applyNumberFormat="1" applyFont="1" applyFill="1" applyBorder="1" applyAlignment="1">
      <alignment horizontal="right"/>
    </xf>
    <xf numFmtId="0" fontId="23" fillId="0" borderId="0" xfId="0" applyFont="1" applyFill="1" applyBorder="1" applyAlignment="1">
      <alignment horizontal="right"/>
    </xf>
    <xf numFmtId="0" fontId="23" fillId="0" borderId="0" xfId="0" applyFont="1" applyFill="1" applyBorder="1"/>
    <xf numFmtId="0" fontId="25" fillId="0" borderId="0" xfId="0" applyFont="1" applyFill="1"/>
    <xf numFmtId="0" fontId="25" fillId="2" borderId="4" xfId="0" applyFont="1" applyFill="1" applyBorder="1"/>
    <xf numFmtId="166" fontId="25" fillId="2" borderId="4" xfId="0" applyNumberFormat="1" applyFont="1" applyFill="1" applyBorder="1"/>
    <xf numFmtId="7" fontId="6" fillId="2" borderId="4" xfId="0" applyNumberFormat="1" applyFont="1" applyFill="1" applyBorder="1"/>
    <xf numFmtId="167" fontId="6" fillId="2" borderId="4" xfId="0" applyNumberFormat="1" applyFont="1" applyFill="1" applyBorder="1"/>
    <xf numFmtId="164" fontId="4" fillId="0" borderId="2" xfId="0" applyNumberFormat="1" applyFont="1" applyFill="1" applyBorder="1" applyAlignment="1">
      <alignment horizontal="center"/>
    </xf>
    <xf numFmtId="0" fontId="7" fillId="0" borderId="2" xfId="0" applyFont="1" applyFill="1" applyBorder="1"/>
    <xf numFmtId="168" fontId="13" fillId="0" borderId="0" xfId="0" applyNumberFormat="1" applyFont="1" applyFill="1" applyBorder="1"/>
    <xf numFmtId="168" fontId="6" fillId="0" borderId="0" xfId="0" applyNumberFormat="1" applyFont="1" applyFill="1" applyBorder="1"/>
    <xf numFmtId="176" fontId="0" fillId="0" borderId="0" xfId="0" applyNumberFormat="1" applyFill="1"/>
    <xf numFmtId="0" fontId="3" fillId="0" borderId="0" xfId="0" applyFont="1" applyFill="1"/>
    <xf numFmtId="0" fontId="26" fillId="0" borderId="0" xfId="0" applyFont="1" applyFill="1"/>
    <xf numFmtId="165" fontId="0" fillId="0" borderId="0" xfId="0" applyNumberFormat="1" applyFill="1"/>
    <xf numFmtId="0" fontId="13" fillId="3" borderId="0" xfId="0" applyFont="1" applyFill="1" applyAlignment="1">
      <alignment horizontal="left" indent="2"/>
    </xf>
    <xf numFmtId="167" fontId="22" fillId="0" borderId="0" xfId="14" applyNumberFormat="1" applyFont="1" applyFill="1" applyAlignment="1"/>
    <xf numFmtId="167" fontId="22" fillId="0" borderId="0" xfId="14" applyNumberFormat="1" applyFont="1" applyFill="1" applyBorder="1" applyAlignment="1"/>
    <xf numFmtId="0" fontId="16" fillId="5" borderId="0" xfId="0" applyFont="1" applyFill="1"/>
    <xf numFmtId="171" fontId="22" fillId="0" borderId="0" xfId="0" applyNumberFormat="1" applyFont="1" applyFill="1" applyAlignment="1"/>
    <xf numFmtId="171" fontId="6" fillId="0" borderId="0" xfId="14" quotePrefix="1" applyNumberFormat="1" applyFont="1" applyFill="1" applyAlignment="1"/>
    <xf numFmtId="171" fontId="6" fillId="0" borderId="0" xfId="0" applyNumberFormat="1" applyFont="1" applyFill="1" applyAlignment="1">
      <alignment horizontal="right"/>
    </xf>
    <xf numFmtId="171" fontId="6" fillId="0" borderId="0" xfId="14" quotePrefix="1" applyNumberFormat="1" applyFont="1" applyFill="1" applyAlignment="1">
      <alignment horizontal="right"/>
    </xf>
    <xf numFmtId="171" fontId="22" fillId="0" borderId="0" xfId="0" applyNumberFormat="1" applyFont="1" applyFill="1" applyAlignment="1">
      <alignment horizontal="right"/>
    </xf>
    <xf numFmtId="171" fontId="6" fillId="0" borderId="12" xfId="0" applyNumberFormat="1" applyFont="1" applyFill="1" applyBorder="1" applyAlignment="1"/>
    <xf numFmtId="171" fontId="6" fillId="0" borderId="12" xfId="0" applyNumberFormat="1" applyFont="1" applyFill="1" applyBorder="1" applyAlignment="1">
      <alignment horizontal="right"/>
    </xf>
    <xf numFmtId="0" fontId="5" fillId="0" borderId="0" xfId="0" applyFont="1" applyFill="1"/>
    <xf numFmtId="167" fontId="6" fillId="0" borderId="2" xfId="14" applyNumberFormat="1" applyFont="1" applyFill="1" applyBorder="1" applyAlignment="1"/>
    <xf numFmtId="167" fontId="4" fillId="0" borderId="0" xfId="14" applyNumberFormat="1" applyFont="1" applyFill="1"/>
    <xf numFmtId="167" fontId="4" fillId="0" borderId="0" xfId="14" applyNumberFormat="1" applyFont="1" applyFill="1" applyBorder="1" applyAlignment="1"/>
    <xf numFmtId="167" fontId="6" fillId="0" borderId="0" xfId="0" applyNumberFormat="1" applyFont="1" applyFill="1" applyBorder="1" applyAlignment="1">
      <alignment horizontal="center"/>
    </xf>
    <xf numFmtId="175" fontId="6" fillId="0" borderId="0" xfId="14" applyNumberFormat="1" applyFont="1" applyFill="1" applyAlignment="1"/>
    <xf numFmtId="175" fontId="4" fillId="0" borderId="0" xfId="14" applyNumberFormat="1" applyFont="1" applyFill="1" applyBorder="1" applyAlignment="1"/>
    <xf numFmtId="167" fontId="4" fillId="0" borderId="7" xfId="14" applyNumberFormat="1" applyFont="1" applyFill="1" applyBorder="1" applyAlignment="1"/>
    <xf numFmtId="165" fontId="55" fillId="0" borderId="0" xfId="14" applyNumberFormat="1" applyFont="1" applyFill="1" applyBorder="1" applyAlignment="1">
      <alignment horizontal="right" wrapText="1"/>
    </xf>
    <xf numFmtId="165" fontId="4" fillId="0" borderId="0" xfId="14" applyNumberFormat="1" applyFont="1" applyFill="1" applyBorder="1" applyAlignment="1">
      <alignment horizontal="right" wrapText="1"/>
    </xf>
    <xf numFmtId="165" fontId="4" fillId="0" borderId="9" xfId="14" applyNumberFormat="1" applyFont="1" applyFill="1" applyBorder="1" applyAlignment="1">
      <alignment horizontal="right" wrapText="1"/>
    </xf>
    <xf numFmtId="165" fontId="4" fillId="0" borderId="14" xfId="14" applyNumberFormat="1" applyFont="1" applyFill="1" applyBorder="1" applyAlignment="1">
      <alignment horizontal="right" wrapText="1"/>
    </xf>
    <xf numFmtId="0" fontId="45" fillId="6" borderId="15" xfId="27" applyFont="1" applyFill="1" applyBorder="1" applyAlignment="1">
      <alignment vertical="center" wrapText="1"/>
    </xf>
    <xf numFmtId="167" fontId="22" fillId="0" borderId="0" xfId="14" applyNumberFormat="1" applyFont="1"/>
    <xf numFmtId="167" fontId="13" fillId="0" borderId="0" xfId="14" applyNumberFormat="1" applyFont="1" applyFill="1" applyBorder="1" applyAlignment="1">
      <alignment horizontal="right"/>
    </xf>
    <xf numFmtId="168" fontId="12" fillId="0" borderId="0" xfId="36" applyNumberFormat="1" applyFont="1" applyFill="1"/>
    <xf numFmtId="0" fontId="12" fillId="0" borderId="0" xfId="0" applyFont="1" applyFill="1" applyBorder="1" applyAlignment="1">
      <alignment horizontal="left" indent="2"/>
    </xf>
    <xf numFmtId="0" fontId="6" fillId="0" borderId="2" xfId="0" applyFont="1" applyFill="1" applyBorder="1" applyAlignment="1">
      <alignment horizontal="left" vertical="top" wrapText="1" indent="1"/>
    </xf>
    <xf numFmtId="165" fontId="22" fillId="0" borderId="2" xfId="14" applyNumberFormat="1" applyFont="1" applyFill="1" applyBorder="1" applyAlignment="1">
      <alignment horizontal="right" wrapText="1"/>
    </xf>
    <xf numFmtId="165" fontId="6" fillId="0" borderId="16" xfId="14" applyNumberFormat="1" applyFont="1" applyFill="1" applyBorder="1" applyAlignment="1">
      <alignment horizontal="right" wrapText="1"/>
    </xf>
    <xf numFmtId="165" fontId="6" fillId="0" borderId="2" xfId="14" applyNumberFormat="1" applyFont="1" applyFill="1" applyBorder="1" applyAlignment="1">
      <alignment horizontal="right" wrapText="1"/>
    </xf>
    <xf numFmtId="0" fontId="0" fillId="0" borderId="2" xfId="0" applyFill="1" applyBorder="1"/>
    <xf numFmtId="167" fontId="14" fillId="0" borderId="2" xfId="0" applyNumberFormat="1" applyFont="1" applyFill="1" applyBorder="1"/>
    <xf numFmtId="167" fontId="13" fillId="0" borderId="2" xfId="0" applyNumberFormat="1" applyFont="1" applyFill="1" applyBorder="1"/>
    <xf numFmtId="165" fontId="13" fillId="0" borderId="0" xfId="0" applyNumberFormat="1" applyFont="1" applyFill="1"/>
    <xf numFmtId="0" fontId="17" fillId="3" borderId="0" xfId="0" applyFont="1" applyFill="1" applyBorder="1" applyAlignment="1">
      <alignment horizontal="center"/>
    </xf>
    <xf numFmtId="167" fontId="4" fillId="0" borderId="0" xfId="0" applyNumberFormat="1" applyFont="1" applyFill="1"/>
    <xf numFmtId="167" fontId="22" fillId="0" borderId="0" xfId="0" applyNumberFormat="1" applyFont="1" applyFill="1" applyBorder="1"/>
    <xf numFmtId="167" fontId="4" fillId="0" borderId="0" xfId="0" applyNumberFormat="1" applyFont="1" applyFill="1" applyBorder="1"/>
    <xf numFmtId="175" fontId="4" fillId="0" borderId="11" xfId="14" applyNumberFormat="1" applyFont="1" applyFill="1" applyBorder="1" applyAlignment="1"/>
    <xf numFmtId="172" fontId="6" fillId="0" borderId="0" xfId="14" applyNumberFormat="1" applyFont="1" applyFill="1"/>
    <xf numFmtId="0" fontId="13" fillId="5" borderId="0" xfId="0" applyFont="1" applyFill="1" applyAlignment="1">
      <alignment horizontal="left" wrapText="1" indent="1"/>
    </xf>
    <xf numFmtId="174" fontId="13" fillId="0" borderId="0" xfId="0" applyNumberFormat="1" applyFont="1" applyFill="1"/>
    <xf numFmtId="7" fontId="6" fillId="0" borderId="0" xfId="0" applyNumberFormat="1" applyFont="1" applyFill="1" applyAlignment="1">
      <alignment horizontal="right"/>
    </xf>
    <xf numFmtId="7" fontId="6" fillId="0" borderId="0" xfId="0" applyNumberFormat="1" applyFont="1" applyFill="1" applyBorder="1" applyAlignment="1">
      <alignment horizontal="right"/>
    </xf>
    <xf numFmtId="9" fontId="12" fillId="0" borderId="0" xfId="0" applyNumberFormat="1" applyFont="1" applyFill="1" applyAlignment="1">
      <alignment horizontal="left" indent="2"/>
    </xf>
    <xf numFmtId="167" fontId="13" fillId="0" borderId="0" xfId="14" applyNumberFormat="1" applyFont="1" applyFill="1"/>
    <xf numFmtId="168" fontId="12" fillId="0" borderId="0" xfId="0" applyNumberFormat="1" applyFont="1" applyFill="1" applyAlignment="1">
      <alignment horizontal="right"/>
    </xf>
    <xf numFmtId="168" fontId="12" fillId="0" borderId="0" xfId="0" applyNumberFormat="1" applyFont="1" applyFill="1" applyBorder="1" applyAlignment="1">
      <alignment horizontal="right"/>
    </xf>
    <xf numFmtId="168" fontId="12" fillId="0" borderId="0" xfId="0" applyNumberFormat="1" applyFont="1" applyFill="1" applyBorder="1"/>
    <xf numFmtId="0" fontId="52" fillId="0" borderId="0" xfId="0" applyFont="1" applyFill="1" applyBorder="1"/>
    <xf numFmtId="165" fontId="8" fillId="0" borderId="0" xfId="14" applyNumberFormat="1" applyFont="1" applyFill="1" applyBorder="1" applyAlignment="1">
      <alignment horizontal="right" wrapText="1"/>
    </xf>
    <xf numFmtId="167" fontId="22" fillId="0" borderId="0" xfId="0" applyNumberFormat="1" applyFont="1" applyFill="1"/>
    <xf numFmtId="176" fontId="13" fillId="0" borderId="0" xfId="18" applyNumberFormat="1" applyFont="1" applyFill="1"/>
    <xf numFmtId="43" fontId="6" fillId="0" borderId="0" xfId="14" applyFont="1" applyFill="1" applyAlignment="1"/>
    <xf numFmtId="0" fontId="12" fillId="0" borderId="0" xfId="0" applyFont="1" applyFill="1" applyBorder="1" applyAlignment="1">
      <alignment horizontal="left" indent="1"/>
    </xf>
    <xf numFmtId="171" fontId="6" fillId="0" borderId="0" xfId="0" applyNumberFormat="1" applyFont="1" applyFill="1" applyBorder="1" applyAlignment="1">
      <alignment horizontal="left" indent="1"/>
    </xf>
    <xf numFmtId="38" fontId="6" fillId="0" borderId="0" xfId="0" applyNumberFormat="1" applyFont="1" applyFill="1" applyBorder="1" applyAlignment="1">
      <alignment horizontal="left" indent="1"/>
    </xf>
    <xf numFmtId="38" fontId="6" fillId="0" borderId="0" xfId="0" applyNumberFormat="1" applyFont="1" applyFill="1" applyBorder="1"/>
    <xf numFmtId="38" fontId="23" fillId="0" borderId="0" xfId="0" applyNumberFormat="1" applyFont="1" applyFill="1" applyBorder="1"/>
    <xf numFmtId="0" fontId="26" fillId="0" borderId="0" xfId="0" applyFont="1" applyFill="1" applyBorder="1"/>
    <xf numFmtId="43" fontId="0" fillId="0" borderId="0" xfId="0" applyNumberFormat="1" applyFill="1"/>
    <xf numFmtId="174" fontId="6" fillId="0" borderId="0" xfId="0" applyNumberFormat="1" applyFont="1" applyFill="1"/>
    <xf numFmtId="9" fontId="28" fillId="0" borderId="0" xfId="0" applyNumberFormat="1" applyFont="1" applyFill="1" applyBorder="1" applyAlignment="1">
      <alignment horizontal="left" indent="1"/>
    </xf>
    <xf numFmtId="0" fontId="6" fillId="0" borderId="0" xfId="0" applyFont="1" applyFill="1" applyBorder="1" applyAlignment="1">
      <alignment horizontal="left" vertical="top" wrapText="1" indent="1"/>
    </xf>
    <xf numFmtId="174" fontId="12" fillId="0" borderId="0" xfId="0" applyNumberFormat="1" applyFont="1" applyFill="1" applyAlignment="1">
      <alignment horizontal="right"/>
    </xf>
    <xf numFmtId="174" fontId="12" fillId="0" borderId="0" xfId="0" applyNumberFormat="1" applyFont="1" applyFill="1" applyBorder="1" applyAlignment="1">
      <alignment horizontal="right"/>
    </xf>
    <xf numFmtId="165" fontId="4" fillId="0" borderId="0" xfId="14" applyNumberFormat="1" applyFont="1" applyFill="1" applyBorder="1"/>
    <xf numFmtId="174" fontId="30" fillId="0" borderId="0" xfId="0" applyNumberFormat="1" applyFont="1" applyFill="1" applyBorder="1" applyAlignment="1">
      <alignment horizontal="right"/>
    </xf>
    <xf numFmtId="171" fontId="0" fillId="0" borderId="0" xfId="0" applyNumberFormat="1" applyFill="1"/>
    <xf numFmtId="166" fontId="0" fillId="0" borderId="0" xfId="0" applyNumberFormat="1"/>
    <xf numFmtId="167" fontId="22" fillId="0" borderId="0" xfId="34" applyNumberFormat="1" applyFont="1" applyFill="1" applyAlignment="1">
      <alignment horizontal="center"/>
    </xf>
    <xf numFmtId="169" fontId="14" fillId="0" borderId="0" xfId="0" applyNumberFormat="1" applyFont="1" applyFill="1" applyAlignment="1">
      <alignment horizontal="right"/>
    </xf>
    <xf numFmtId="174" fontId="6" fillId="0" borderId="0" xfId="0" applyNumberFormat="1" applyFont="1" applyFill="1" applyBorder="1"/>
    <xf numFmtId="165" fontId="6" fillId="0" borderId="0" xfId="14" applyNumberFormat="1" applyFont="1" applyFill="1" applyBorder="1" applyAlignment="1">
      <alignment horizontal="center" wrapText="1"/>
    </xf>
    <xf numFmtId="175" fontId="4" fillId="0" borderId="0" xfId="14" applyNumberFormat="1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168" fontId="13" fillId="0" borderId="0" xfId="0" applyNumberFormat="1" applyFont="1" applyFill="1"/>
    <xf numFmtId="0" fontId="17" fillId="0" borderId="0" xfId="0" applyFont="1" applyFill="1"/>
    <xf numFmtId="175" fontId="29" fillId="0" borderId="0" xfId="14" applyNumberFormat="1" applyFont="1" applyFill="1" applyBorder="1" applyAlignment="1"/>
    <xf numFmtId="175" fontId="22" fillId="0" borderId="0" xfId="14" applyNumberFormat="1" applyFont="1" applyFill="1" applyBorder="1" applyAlignment="1"/>
    <xf numFmtId="43" fontId="6" fillId="0" borderId="0" xfId="14" applyNumberFormat="1" applyFont="1" applyFill="1" applyBorder="1" applyAlignment="1">
      <alignment horizontal="center" wrapText="1"/>
    </xf>
    <xf numFmtId="165" fontId="4" fillId="0" borderId="7" xfId="14" applyNumberFormat="1" applyFont="1" applyFill="1" applyBorder="1" applyAlignment="1">
      <alignment horizontal="right" wrapText="1"/>
    </xf>
    <xf numFmtId="0" fontId="3" fillId="0" borderId="0" xfId="0" applyFont="1"/>
    <xf numFmtId="0" fontId="3" fillId="0" borderId="2" xfId="0" applyFont="1" applyBorder="1"/>
    <xf numFmtId="0" fontId="56" fillId="5" borderId="0" xfId="27" applyFont="1" applyFill="1"/>
    <xf numFmtId="0" fontId="3" fillId="0" borderId="9" xfId="0" applyFont="1" applyFill="1" applyBorder="1"/>
    <xf numFmtId="0" fontId="3" fillId="0" borderId="16" xfId="0" applyFont="1" applyFill="1" applyBorder="1"/>
    <xf numFmtId="0" fontId="3" fillId="0" borderId="0" xfId="0" applyFont="1" applyBorder="1"/>
    <xf numFmtId="166" fontId="3" fillId="0" borderId="0" xfId="0" applyNumberFormat="1" applyFont="1" applyFill="1"/>
    <xf numFmtId="43" fontId="3" fillId="0" borderId="0" xfId="0" applyNumberFormat="1" applyFont="1"/>
    <xf numFmtId="7" fontId="4" fillId="0" borderId="5" xfId="34" applyNumberFormat="1" applyFont="1" applyFill="1" applyBorder="1"/>
    <xf numFmtId="165" fontId="60" fillId="0" borderId="0" xfId="14" applyNumberFormat="1" applyFont="1" applyFill="1" applyBorder="1" applyAlignment="1">
      <alignment horizontal="right" wrapText="1"/>
    </xf>
    <xf numFmtId="8" fontId="23" fillId="0" borderId="0" xfId="0" applyNumberFormat="1" applyFont="1" applyFill="1" applyAlignment="1">
      <alignment horizontal="right"/>
    </xf>
    <xf numFmtId="0" fontId="41" fillId="0" borderId="0" xfId="0" applyFont="1" applyFill="1" applyBorder="1"/>
    <xf numFmtId="168" fontId="13" fillId="3" borderId="9" xfId="0" applyNumberFormat="1" applyFont="1" applyFill="1" applyBorder="1"/>
    <xf numFmtId="167" fontId="6" fillId="0" borderId="0" xfId="14" applyNumberFormat="1" applyFont="1" applyFill="1" applyBorder="1" applyAlignment="1">
      <alignment horizontal="right"/>
    </xf>
    <xf numFmtId="167" fontId="13" fillId="0" borderId="0" xfId="0" applyNumberFormat="1" applyFont="1" applyFill="1" applyBorder="1"/>
    <xf numFmtId="166" fontId="25" fillId="0" borderId="0" xfId="0" applyNumberFormat="1" applyFont="1" applyFill="1" applyBorder="1"/>
    <xf numFmtId="2" fontId="13" fillId="7" borderId="0" xfId="0" applyNumberFormat="1" applyFont="1" applyFill="1"/>
    <xf numFmtId="0" fontId="29" fillId="2" borderId="0" xfId="0" applyFont="1" applyFill="1"/>
    <xf numFmtId="9" fontId="29" fillId="2" borderId="0" xfId="0" applyNumberFormat="1" applyFont="1" applyFill="1"/>
    <xf numFmtId="167" fontId="3" fillId="0" borderId="0" xfId="0" applyNumberFormat="1" applyFont="1"/>
    <xf numFmtId="0" fontId="28" fillId="2" borderId="2" xfId="0" applyFont="1" applyFill="1" applyBorder="1"/>
    <xf numFmtId="167" fontId="6" fillId="2" borderId="2" xfId="0" applyNumberFormat="1" applyFont="1" applyFill="1" applyBorder="1"/>
    <xf numFmtId="0" fontId="6" fillId="5" borderId="2" xfId="0" applyFont="1" applyFill="1" applyBorder="1"/>
    <xf numFmtId="165" fontId="13" fillId="0" borderId="2" xfId="14" applyNumberFormat="1" applyFont="1" applyBorder="1"/>
    <xf numFmtId="174" fontId="6" fillId="0" borderId="2" xfId="0" applyNumberFormat="1" applyFont="1" applyFill="1" applyBorder="1" applyAlignment="1"/>
    <xf numFmtId="43" fontId="0" fillId="0" borderId="0" xfId="0" applyNumberFormat="1"/>
    <xf numFmtId="0" fontId="13" fillId="7" borderId="0" xfId="0" applyFont="1" applyFill="1" applyAlignment="1">
      <alignment horizontal="left" indent="2"/>
    </xf>
    <xf numFmtId="168" fontId="13" fillId="7" borderId="0" xfId="0" applyNumberFormat="1" applyFont="1" applyFill="1"/>
    <xf numFmtId="168" fontId="13" fillId="7" borderId="9" xfId="0" applyNumberFormat="1" applyFont="1" applyFill="1" applyBorder="1"/>
    <xf numFmtId="167" fontId="13" fillId="7" borderId="0" xfId="0" applyNumberFormat="1" applyFont="1" applyFill="1" applyBorder="1"/>
    <xf numFmtId="167" fontId="13" fillId="7" borderId="13" xfId="0" applyNumberFormat="1" applyFont="1" applyFill="1" applyBorder="1"/>
    <xf numFmtId="167" fontId="13" fillId="7" borderId="9" xfId="0" applyNumberFormat="1" applyFont="1" applyFill="1" applyBorder="1"/>
    <xf numFmtId="167" fontId="29" fillId="0" borderId="0" xfId="14" applyNumberFormat="1" applyFont="1" applyFill="1" applyAlignment="1"/>
    <xf numFmtId="168" fontId="61" fillId="0" borderId="0" xfId="36" applyNumberFormat="1" applyFont="1" applyFill="1"/>
    <xf numFmtId="168" fontId="61" fillId="0" borderId="0" xfId="0" applyNumberFormat="1" applyFont="1" applyFill="1" applyAlignment="1">
      <alignment horizontal="right"/>
    </xf>
    <xf numFmtId="168" fontId="61" fillId="0" borderId="0" xfId="0" applyNumberFormat="1" applyFont="1" applyFill="1"/>
    <xf numFmtId="9" fontId="61" fillId="0" borderId="0" xfId="0" applyNumberFormat="1" applyFont="1" applyFill="1" applyAlignment="1">
      <alignment horizontal="right"/>
    </xf>
    <xf numFmtId="2" fontId="63" fillId="0" borderId="9" xfId="0" applyNumberFormat="1" applyFont="1" applyFill="1" applyBorder="1"/>
    <xf numFmtId="0" fontId="27" fillId="0" borderId="0" xfId="0" applyFont="1" applyBorder="1"/>
    <xf numFmtId="9" fontId="6" fillId="0" borderId="0" xfId="36" applyNumberFormat="1" applyFont="1" applyFill="1" applyBorder="1" applyAlignment="1">
      <alignment horizontal="right" wrapText="1"/>
    </xf>
    <xf numFmtId="9" fontId="0" fillId="0" borderId="0" xfId="36" applyFont="1"/>
    <xf numFmtId="7" fontId="4" fillId="0" borderId="0" xfId="0" applyNumberFormat="1" applyFont="1" applyFill="1" applyBorder="1" applyAlignment="1">
      <alignment horizontal="center"/>
    </xf>
    <xf numFmtId="5" fontId="53" fillId="0" borderId="0" xfId="0" applyNumberFormat="1" applyFont="1" applyFill="1" applyBorder="1"/>
    <xf numFmtId="174" fontId="12" fillId="5" borderId="0" xfId="0" applyNumberFormat="1" applyFont="1" applyFill="1" applyBorder="1" applyAlignment="1">
      <alignment horizontal="right"/>
    </xf>
    <xf numFmtId="0" fontId="24" fillId="0" borderId="0" xfId="0" applyFont="1" applyFill="1" applyBorder="1"/>
    <xf numFmtId="165" fontId="22" fillId="0" borderId="0" xfId="14" applyNumberFormat="1" applyFont="1" applyFill="1" applyBorder="1"/>
    <xf numFmtId="165" fontId="14" fillId="0" borderId="0" xfId="0" applyNumberFormat="1" applyFont="1" applyFill="1" applyBorder="1" applyAlignment="1">
      <alignment wrapText="1"/>
    </xf>
    <xf numFmtId="9" fontId="6" fillId="0" borderId="0" xfId="0" applyNumberFormat="1" applyFont="1" applyFill="1" applyBorder="1" applyAlignment="1">
      <alignment horizontal="center"/>
    </xf>
    <xf numFmtId="176" fontId="0" fillId="0" borderId="0" xfId="0" applyNumberFormat="1" applyFill="1" applyBorder="1"/>
    <xf numFmtId="167" fontId="14" fillId="0" borderId="0" xfId="0" applyNumberFormat="1" applyFont="1" applyFill="1" applyAlignment="1">
      <alignment horizontal="right"/>
    </xf>
    <xf numFmtId="165" fontId="64" fillId="0" borderId="0" xfId="14" applyNumberFormat="1" applyFont="1" applyFill="1" applyBorder="1"/>
    <xf numFmtId="175" fontId="22" fillId="0" borderId="0" xfId="14" applyNumberFormat="1" applyFont="1" applyFill="1" applyAlignment="1"/>
    <xf numFmtId="167" fontId="22" fillId="0" borderId="2" xfId="14" applyNumberFormat="1" applyFont="1" applyFill="1" applyBorder="1" applyAlignment="1"/>
    <xf numFmtId="5" fontId="6" fillId="0" borderId="0" xfId="0" applyNumberFormat="1" applyFont="1" applyFill="1"/>
    <xf numFmtId="168" fontId="13" fillId="0" borderId="9" xfId="0" applyNumberFormat="1" applyFont="1" applyFill="1" applyBorder="1"/>
    <xf numFmtId="166" fontId="6" fillId="0" borderId="0" xfId="14" applyNumberFormat="1" applyFont="1" applyFill="1"/>
    <xf numFmtId="168" fontId="32" fillId="0" borderId="0" xfId="36" applyNumberFormat="1" applyFont="1" applyFill="1" applyAlignment="1">
      <alignment horizontal="right"/>
    </xf>
    <xf numFmtId="167" fontId="13" fillId="0" borderId="0" xfId="0" applyNumberFormat="1" applyFont="1" applyFill="1" applyAlignment="1">
      <alignment horizontal="right"/>
    </xf>
    <xf numFmtId="174" fontId="61" fillId="0" borderId="0" xfId="0" applyNumberFormat="1" applyFont="1" applyFill="1" applyBorder="1" applyAlignment="1">
      <alignment horizontal="right"/>
    </xf>
    <xf numFmtId="0" fontId="32" fillId="8" borderId="0" xfId="0" applyFont="1" applyFill="1" applyAlignment="1">
      <alignment horizontal="left" indent="1"/>
    </xf>
    <xf numFmtId="0" fontId="0" fillId="8" borderId="0" xfId="0" applyFill="1"/>
    <xf numFmtId="0" fontId="0" fillId="8" borderId="0" xfId="0" applyFill="1" applyBorder="1"/>
    <xf numFmtId="0" fontId="3" fillId="8" borderId="9" xfId="0" applyFont="1" applyFill="1" applyBorder="1"/>
    <xf numFmtId="168" fontId="58" fillId="8" borderId="0" xfId="36" applyNumberFormat="1" applyFont="1" applyFill="1" applyBorder="1" applyAlignment="1">
      <alignment horizontal="right"/>
    </xf>
    <xf numFmtId="168" fontId="13" fillId="8" borderId="9" xfId="36" applyNumberFormat="1" applyFont="1" applyFill="1" applyBorder="1" applyAlignment="1">
      <alignment horizontal="right"/>
    </xf>
    <xf numFmtId="0" fontId="32" fillId="8" borderId="0" xfId="0" applyFont="1" applyFill="1" applyAlignment="1">
      <alignment horizontal="left" indent="2"/>
    </xf>
    <xf numFmtId="168" fontId="13" fillId="8" borderId="0" xfId="36" applyNumberFormat="1" applyFont="1" applyFill="1" applyBorder="1" applyAlignment="1">
      <alignment horizontal="right"/>
    </xf>
    <xf numFmtId="179" fontId="53" fillId="0" borderId="0" xfId="34" applyNumberFormat="1" applyFont="1" applyFill="1" applyBorder="1"/>
    <xf numFmtId="174" fontId="59" fillId="0" borderId="0" xfId="0" applyNumberFormat="1" applyFont="1" applyFill="1" applyBorder="1"/>
    <xf numFmtId="174" fontId="6" fillId="0" borderId="0" xfId="0" applyNumberFormat="1" applyFont="1" applyFill="1" applyBorder="1" applyAlignment="1">
      <alignment horizontal="right"/>
    </xf>
    <xf numFmtId="167" fontId="22" fillId="0" borderId="0" xfId="0" applyNumberFormat="1" applyFont="1" applyFill="1" applyAlignment="1">
      <alignment horizontal="right"/>
    </xf>
    <xf numFmtId="166" fontId="65" fillId="0" borderId="0" xfId="0" applyNumberFormat="1" applyFont="1"/>
    <xf numFmtId="166" fontId="66" fillId="0" borderId="0" xfId="14" applyNumberFormat="1" applyFont="1" applyFill="1"/>
    <xf numFmtId="43" fontId="25" fillId="2" borderId="4" xfId="0" applyNumberFormat="1" applyFont="1" applyFill="1" applyBorder="1"/>
    <xf numFmtId="43" fontId="6" fillId="2" borderId="4" xfId="0" applyNumberFormat="1" applyFont="1" applyFill="1" applyBorder="1"/>
    <xf numFmtId="0" fontId="4" fillId="0" borderId="2" xfId="0" applyFont="1" applyFill="1" applyBorder="1" applyAlignment="1">
      <alignment horizontal="center"/>
    </xf>
    <xf numFmtId="9" fontId="26" fillId="0" borderId="0" xfId="36" applyFont="1" applyFill="1"/>
    <xf numFmtId="43" fontId="22" fillId="0" borderId="0" xfId="14" applyFont="1" applyFill="1" applyAlignment="1"/>
    <xf numFmtId="5" fontId="4" fillId="0" borderId="11" xfId="14" applyNumberFormat="1" applyFont="1" applyFill="1" applyBorder="1" applyAlignment="1"/>
    <xf numFmtId="5" fontId="4" fillId="0" borderId="0" xfId="0" applyNumberFormat="1" applyFont="1" applyFill="1" applyBorder="1" applyAlignment="1">
      <alignment horizontal="center"/>
    </xf>
    <xf numFmtId="0" fontId="13" fillId="0" borderId="0" xfId="0" applyFont="1" applyFill="1" applyAlignment="1">
      <alignment horizontal="left" vertical="top" wrapText="1" indent="1"/>
    </xf>
    <xf numFmtId="165" fontId="32" fillId="0" borderId="0" xfId="14" applyNumberFormat="1" applyFont="1" applyFill="1" applyBorder="1" applyAlignment="1"/>
    <xf numFmtId="165" fontId="0" fillId="0" borderId="0" xfId="0" applyNumberFormat="1"/>
    <xf numFmtId="199" fontId="0" fillId="0" borderId="0" xfId="0" applyNumberFormat="1" applyFill="1"/>
    <xf numFmtId="175" fontId="12" fillId="0" borderId="2" xfId="34" applyNumberFormat="1" applyFont="1" applyBorder="1" applyAlignment="1">
      <alignment horizontal="left" indent="2"/>
    </xf>
    <xf numFmtId="175" fontId="4" fillId="0" borderId="2" xfId="34" applyNumberFormat="1" applyFont="1" applyBorder="1"/>
    <xf numFmtId="0" fontId="6" fillId="0" borderId="0" xfId="33" quotePrefix="1" applyFont="1" applyBorder="1" applyAlignment="1" applyProtection="1">
      <alignment horizontal="left" indent="1"/>
      <protection locked="0"/>
    </xf>
    <xf numFmtId="167" fontId="6" fillId="0" borderId="0" xfId="34" applyNumberFormat="1" applyFont="1" applyFill="1" applyBorder="1" applyAlignment="1">
      <alignment horizontal="center"/>
    </xf>
    <xf numFmtId="0" fontId="22" fillId="8" borderId="0" xfId="34" applyFont="1" applyFill="1" applyBorder="1"/>
    <xf numFmtId="2" fontId="22" fillId="8" borderId="0" xfId="34" applyNumberFormat="1" applyFont="1" applyFill="1" applyBorder="1" applyAlignment="1">
      <alignment horizontal="center"/>
    </xf>
    <xf numFmtId="175" fontId="6" fillId="0" borderId="2" xfId="34" applyNumberFormat="1" applyFont="1" applyBorder="1"/>
    <xf numFmtId="168" fontId="4" fillId="0" borderId="5" xfId="34" applyNumberFormat="1" applyFont="1" applyFill="1" applyBorder="1"/>
    <xf numFmtId="175" fontId="6" fillId="0" borderId="2" xfId="34" quotePrefix="1" applyNumberFormat="1" applyFont="1" applyBorder="1"/>
    <xf numFmtId="5" fontId="6" fillId="0" borderId="2" xfId="34" applyNumberFormat="1" applyFont="1" applyFill="1" applyBorder="1"/>
    <xf numFmtId="167" fontId="22" fillId="0" borderId="0" xfId="14" applyNumberFormat="1" applyFont="1" applyFill="1"/>
    <xf numFmtId="165" fontId="14" fillId="0" borderId="0" xfId="14" applyNumberFormat="1" applyFont="1" applyFill="1" applyBorder="1" applyAlignment="1">
      <alignment horizontal="right" wrapText="1"/>
    </xf>
    <xf numFmtId="0" fontId="6" fillId="0" borderId="0" xfId="0" applyFont="1" applyFill="1" applyBorder="1" applyAlignment="1">
      <alignment horizontal="center"/>
    </xf>
    <xf numFmtId="164" fontId="43" fillId="6" borderId="0" xfId="0" applyNumberFormat="1" applyFont="1" applyFill="1" applyBorder="1" applyAlignment="1">
      <alignment horizontal="center"/>
    </xf>
    <xf numFmtId="0" fontId="43" fillId="5" borderId="0" xfId="0" applyFont="1" applyFill="1" applyBorder="1"/>
    <xf numFmtId="164" fontId="6" fillId="0" borderId="0" xfId="0" applyNumberFormat="1" applyFont="1" applyFill="1" applyBorder="1" applyAlignment="1">
      <alignment horizontal="center"/>
    </xf>
    <xf numFmtId="0" fontId="3" fillId="0" borderId="0" xfId="0" applyFont="1" applyFill="1" applyBorder="1"/>
    <xf numFmtId="176" fontId="3" fillId="0" borderId="0" xfId="0" applyNumberFormat="1" applyFont="1" applyFill="1" applyBorder="1"/>
    <xf numFmtId="43" fontId="3" fillId="0" borderId="0" xfId="0" applyNumberFormat="1" applyFont="1" applyFill="1" applyBorder="1"/>
    <xf numFmtId="9" fontId="3" fillId="0" borderId="0" xfId="36" applyFont="1" applyFill="1" applyBorder="1"/>
    <xf numFmtId="199" fontId="13" fillId="0" borderId="0" xfId="0" applyNumberFormat="1" applyFont="1" applyFill="1"/>
    <xf numFmtId="167" fontId="14" fillId="0" borderId="9" xfId="0" applyNumberFormat="1" applyFont="1" applyFill="1" applyBorder="1"/>
    <xf numFmtId="167" fontId="14" fillId="0" borderId="0" xfId="14" applyNumberFormat="1" applyFont="1" applyFill="1" applyAlignment="1"/>
    <xf numFmtId="167" fontId="14" fillId="5" borderId="0" xfId="14" applyNumberFormat="1" applyFont="1" applyFill="1" applyAlignment="1"/>
    <xf numFmtId="167" fontId="14" fillId="0" borderId="0" xfId="14" applyNumberFormat="1" applyFont="1" applyFill="1" applyBorder="1" applyAlignment="1"/>
    <xf numFmtId="167" fontId="14" fillId="5" borderId="0" xfId="14" applyNumberFormat="1" applyFont="1" applyFill="1" applyBorder="1" applyAlignment="1"/>
    <xf numFmtId="165" fontId="6" fillId="0" borderId="0" xfId="14" applyNumberFormat="1" applyFont="1"/>
    <xf numFmtId="175" fontId="6" fillId="0" borderId="0" xfId="14" applyNumberFormat="1" applyFont="1" applyFill="1"/>
    <xf numFmtId="175" fontId="14" fillId="5" borderId="0" xfId="14" applyNumberFormat="1" applyFont="1" applyFill="1" applyBorder="1" applyAlignment="1"/>
    <xf numFmtId="175" fontId="14" fillId="0" borderId="0" xfId="14" applyNumberFormat="1" applyFont="1" applyFill="1" applyBorder="1" applyAlignment="1"/>
    <xf numFmtId="175" fontId="6" fillId="0" borderId="0" xfId="14" applyNumberFormat="1" applyFont="1"/>
    <xf numFmtId="165" fontId="6" fillId="0" borderId="2" xfId="14" applyNumberFormat="1" applyFont="1" applyBorder="1"/>
    <xf numFmtId="175" fontId="6" fillId="0" borderId="2" xfId="14" applyNumberFormat="1" applyFont="1" applyBorder="1"/>
    <xf numFmtId="165" fontId="6" fillId="0" borderId="2" xfId="14" applyNumberFormat="1" applyFont="1" applyFill="1" applyBorder="1"/>
    <xf numFmtId="171" fontId="6" fillId="0" borderId="0" xfId="0" applyNumberFormat="1" applyFont="1" applyFill="1" applyBorder="1" applyAlignment="1"/>
    <xf numFmtId="0" fontId="8" fillId="0" borderId="0" xfId="0" applyFont="1" applyFill="1" applyBorder="1" applyAlignment="1">
      <alignment horizontal="center"/>
    </xf>
    <xf numFmtId="165" fontId="14" fillId="0" borderId="0" xfId="14" applyNumberFormat="1" applyFont="1" applyFill="1" applyBorder="1" applyAlignment="1">
      <alignment horizontal="center" wrapText="1"/>
    </xf>
    <xf numFmtId="0" fontId="68" fillId="0" borderId="0" xfId="0" applyFont="1" applyFill="1"/>
    <xf numFmtId="0" fontId="13" fillId="0" borderId="0" xfId="0" applyFont="1" applyFill="1" applyAlignment="1">
      <alignment horizontal="left"/>
    </xf>
    <xf numFmtId="168" fontId="6" fillId="0" borderId="0" xfId="0" applyNumberFormat="1" applyFont="1" applyFill="1"/>
    <xf numFmtId="0" fontId="6" fillId="0" borderId="0" xfId="0" applyFont="1" applyFill="1" applyBorder="1" applyAlignment="1">
      <alignment wrapText="1"/>
    </xf>
    <xf numFmtId="165" fontId="14" fillId="0" borderId="0" xfId="14" applyNumberFormat="1" applyFont="1" applyFill="1" applyAlignment="1"/>
    <xf numFmtId="8" fontId="14" fillId="0" borderId="0" xfId="0" applyNumberFormat="1" applyFont="1" applyFill="1" applyAlignment="1">
      <alignment horizontal="right"/>
    </xf>
    <xf numFmtId="0" fontId="71" fillId="0" borderId="0" xfId="0" applyFont="1" applyFill="1"/>
    <xf numFmtId="170" fontId="70" fillId="0" borderId="0" xfId="0" applyNumberFormat="1" applyFont="1" applyFill="1"/>
    <xf numFmtId="0" fontId="68" fillId="0" borderId="0" xfId="0" applyFont="1" applyFill="1" applyBorder="1"/>
    <xf numFmtId="0" fontId="70" fillId="0" borderId="0" xfId="0" applyFont="1" applyFill="1"/>
    <xf numFmtId="170" fontId="68" fillId="0" borderId="0" xfId="0" applyNumberFormat="1" applyFont="1" applyFill="1"/>
    <xf numFmtId="165" fontId="0" fillId="0" borderId="0" xfId="0" applyNumberFormat="1" applyFill="1" applyBorder="1"/>
    <xf numFmtId="0" fontId="13" fillId="0" borderId="0" xfId="0" applyFont="1" applyFill="1" applyAlignment="1">
      <alignment horizontal="left" indent="1"/>
    </xf>
    <xf numFmtId="167" fontId="6" fillId="0" borderId="9" xfId="14" applyNumberFormat="1" applyFont="1" applyFill="1" applyBorder="1" applyAlignment="1">
      <alignment horizontal="right"/>
    </xf>
    <xf numFmtId="0" fontId="16" fillId="0" borderId="0" xfId="0" applyFont="1"/>
    <xf numFmtId="165" fontId="14" fillId="0" borderId="12" xfId="14" applyNumberFormat="1" applyFont="1" applyFill="1" applyBorder="1" applyAlignment="1"/>
    <xf numFmtId="175" fontId="6" fillId="5" borderId="0" xfId="0" applyNumberFormat="1" applyFont="1" applyFill="1" applyAlignment="1"/>
    <xf numFmtId="43" fontId="0" fillId="0" borderId="0" xfId="14" applyFont="1" applyFill="1"/>
    <xf numFmtId="165" fontId="13" fillId="0" borderId="0" xfId="18" applyNumberFormat="1" applyFont="1" applyFill="1"/>
    <xf numFmtId="165" fontId="14" fillId="0" borderId="0" xfId="18" applyNumberFormat="1" applyFont="1" applyFill="1"/>
    <xf numFmtId="0" fontId="21" fillId="0" borderId="0" xfId="0" applyFont="1" applyFill="1" applyBorder="1"/>
    <xf numFmtId="0" fontId="28" fillId="0" borderId="0" xfId="0" applyFont="1" applyFill="1" applyAlignment="1">
      <alignment horizontal="center"/>
    </xf>
    <xf numFmtId="168" fontId="25" fillId="0" borderId="0" xfId="0" applyNumberFormat="1" applyFont="1" applyFill="1" applyBorder="1"/>
    <xf numFmtId="168" fontId="13" fillId="0" borderId="0" xfId="0" applyNumberFormat="1" applyFont="1" applyFill="1" applyBorder="1" applyAlignment="1">
      <alignment horizontal="right"/>
    </xf>
    <xf numFmtId="7" fontId="4" fillId="0" borderId="0" xfId="14" applyNumberFormat="1" applyFont="1" applyFill="1" applyBorder="1"/>
    <xf numFmtId="174" fontId="13" fillId="2" borderId="0" xfId="0" applyNumberFormat="1" applyFont="1" applyFill="1"/>
    <xf numFmtId="0" fontId="13" fillId="7" borderId="0" xfId="0" applyFont="1" applyFill="1" applyAlignment="1">
      <alignment horizontal="left" indent="1"/>
    </xf>
    <xf numFmtId="174" fontId="13" fillId="7" borderId="0" xfId="0" applyNumberFormat="1" applyFont="1" applyFill="1"/>
    <xf numFmtId="0" fontId="13" fillId="7" borderId="0" xfId="0" applyFont="1" applyFill="1" applyAlignment="1"/>
    <xf numFmtId="0" fontId="4" fillId="7" borderId="0" xfId="0" applyFont="1" applyFill="1"/>
    <xf numFmtId="168" fontId="13" fillId="7" borderId="0" xfId="0" applyNumberFormat="1" applyFont="1" applyFill="1" applyAlignment="1">
      <alignment horizontal="right"/>
    </xf>
    <xf numFmtId="0" fontId="13" fillId="2" borderId="0" xfId="0" applyFont="1" applyFill="1" applyAlignment="1">
      <alignment horizontal="left"/>
    </xf>
    <xf numFmtId="174" fontId="14" fillId="7" borderId="0" xfId="0" applyNumberFormat="1" applyFont="1" applyFill="1"/>
    <xf numFmtId="174" fontId="14" fillId="2" borderId="0" xfId="0" applyNumberFormat="1" applyFont="1" applyFill="1"/>
    <xf numFmtId="168" fontId="14" fillId="7" borderId="0" xfId="0" applyNumberFormat="1" applyFont="1" applyFill="1" applyAlignment="1">
      <alignment horizontal="right"/>
    </xf>
    <xf numFmtId="165" fontId="14" fillId="0" borderId="2" xfId="14" applyNumberFormat="1" applyFont="1" applyFill="1" applyBorder="1" applyAlignment="1">
      <alignment horizontal="right" wrapText="1"/>
    </xf>
    <xf numFmtId="167" fontId="14" fillId="0" borderId="0" xfId="0" applyNumberFormat="1" applyFont="1" applyFill="1" applyAlignment="1"/>
    <xf numFmtId="168" fontId="12" fillId="5" borderId="0" xfId="0" applyNumberFormat="1" applyFont="1" applyFill="1" applyAlignment="1"/>
    <xf numFmtId="168" fontId="12" fillId="5" borderId="0" xfId="0" applyNumberFormat="1" applyFont="1" applyFill="1" applyBorder="1"/>
    <xf numFmtId="168" fontId="12" fillId="5" borderId="0" xfId="0" applyNumberFormat="1" applyFont="1" applyFill="1" applyBorder="1" applyAlignment="1">
      <alignment horizontal="center"/>
    </xf>
    <xf numFmtId="168" fontId="12" fillId="0" borderId="0" xfId="0" applyNumberFormat="1" applyFont="1" applyFill="1" applyBorder="1" applyAlignment="1">
      <alignment horizontal="center"/>
    </xf>
    <xf numFmtId="175" fontId="29" fillId="0" borderId="2" xfId="14" applyNumberFormat="1" applyFont="1" applyFill="1" applyBorder="1" applyAlignment="1"/>
    <xf numFmtId="168" fontId="32" fillId="0" borderId="0" xfId="36" applyNumberFormat="1" applyFont="1" applyFill="1"/>
    <xf numFmtId="7" fontId="17" fillId="0" borderId="4" xfId="0" applyNumberFormat="1" applyFont="1" applyFill="1" applyBorder="1" applyAlignment="1"/>
    <xf numFmtId="168" fontId="13" fillId="0" borderId="0" xfId="36" applyNumberFormat="1" applyFont="1" applyFill="1" applyBorder="1" applyAlignment="1">
      <alignment horizontal="right"/>
    </xf>
    <xf numFmtId="7" fontId="4" fillId="0" borderId="0" xfId="0" applyNumberFormat="1" applyFont="1" applyFill="1" applyBorder="1" applyAlignment="1"/>
    <xf numFmtId="7" fontId="4" fillId="0" borderId="4" xfId="0" applyNumberFormat="1" applyFont="1" applyFill="1" applyBorder="1" applyAlignment="1"/>
    <xf numFmtId="174" fontId="30" fillId="0" borderId="0" xfId="0" applyNumberFormat="1" applyFont="1" applyFill="1" applyAlignment="1">
      <alignment horizontal="right"/>
    </xf>
    <xf numFmtId="2" fontId="63" fillId="0" borderId="0" xfId="14" applyNumberFormat="1" applyFont="1" applyFill="1" applyBorder="1" applyAlignment="1"/>
    <xf numFmtId="1" fontId="8" fillId="0" borderId="0" xfId="0" applyNumberFormat="1" applyFont="1" applyFill="1" applyBorder="1" applyAlignment="1">
      <alignment horizontal="center"/>
    </xf>
    <xf numFmtId="174" fontId="28" fillId="0" borderId="0" xfId="0" applyNumberFormat="1" applyFont="1" applyFill="1" applyBorder="1" applyAlignment="1">
      <alignment horizontal="right"/>
    </xf>
    <xf numFmtId="174" fontId="6" fillId="7" borderId="0" xfId="0" applyNumberFormat="1" applyFont="1" applyFill="1"/>
    <xf numFmtId="168" fontId="62" fillId="2" borderId="0" xfId="0" applyNumberFormat="1" applyFont="1" applyFill="1"/>
    <xf numFmtId="165" fontId="28" fillId="0" borderId="0" xfId="14" applyNumberFormat="1" applyFont="1" applyFill="1" applyBorder="1"/>
    <xf numFmtId="0" fontId="75" fillId="0" borderId="0" xfId="0" applyFont="1" applyFill="1" applyBorder="1"/>
    <xf numFmtId="0" fontId="67" fillId="0" borderId="0" xfId="0" applyFont="1" applyFill="1"/>
    <xf numFmtId="0" fontId="73" fillId="0" borderId="0" xfId="0" applyFont="1" applyFill="1"/>
    <xf numFmtId="9" fontId="6" fillId="0" borderId="0" xfId="36" applyFont="1"/>
    <xf numFmtId="9" fontId="6" fillId="0" borderId="0" xfId="36" applyFont="1" applyFill="1" applyBorder="1"/>
    <xf numFmtId="43" fontId="0" fillId="0" borderId="0" xfId="0" applyNumberFormat="1" applyFill="1" applyBorder="1"/>
    <xf numFmtId="167" fontId="0" fillId="0" borderId="0" xfId="0" applyNumberFormat="1"/>
    <xf numFmtId="0" fontId="79" fillId="0" borderId="0" xfId="0" applyFont="1"/>
    <xf numFmtId="0" fontId="79" fillId="0" borderId="0" xfId="0" applyFont="1" applyFill="1"/>
    <xf numFmtId="0" fontId="67" fillId="0" borderId="0" xfId="0" applyFont="1" applyFill="1" applyBorder="1"/>
    <xf numFmtId="165" fontId="67" fillId="0" borderId="0" xfId="14" applyNumberFormat="1" applyFont="1" applyFill="1" applyBorder="1"/>
    <xf numFmtId="167" fontId="69" fillId="0" borderId="0" xfId="14" applyNumberFormat="1" applyFont="1" applyFill="1" applyBorder="1" applyAlignment="1"/>
    <xf numFmtId="174" fontId="12" fillId="0" borderId="0" xfId="0" applyNumberFormat="1" applyFont="1" applyFill="1" applyBorder="1" applyAlignment="1">
      <alignment horizontal="right"/>
    </xf>
    <xf numFmtId="174" fontId="61" fillId="0" borderId="0" xfId="0" applyNumberFormat="1" applyFont="1" applyFill="1" applyBorder="1" applyAlignment="1">
      <alignment horizontal="right"/>
    </xf>
    <xf numFmtId="167" fontId="13" fillId="0" borderId="0" xfId="14" applyNumberFormat="1" applyFont="1" applyFill="1" applyBorder="1" applyAlignment="1"/>
    <xf numFmtId="165" fontId="13" fillId="0" borderId="0" xfId="14" applyNumberFormat="1" applyFont="1" applyFill="1" applyBorder="1"/>
    <xf numFmtId="174" fontId="32" fillId="0" borderId="0" xfId="0" applyNumberFormat="1" applyFont="1" applyFill="1" applyBorder="1" applyAlignment="1">
      <alignment horizontal="right"/>
    </xf>
    <xf numFmtId="167" fontId="17" fillId="0" borderId="0" xfId="14" applyNumberFormat="1" applyFont="1" applyFill="1" applyBorder="1" applyAlignment="1"/>
    <xf numFmtId="165" fontId="17" fillId="0" borderId="0" xfId="14" applyNumberFormat="1" applyFont="1" applyFill="1" applyBorder="1"/>
    <xf numFmtId="165" fontId="0" fillId="0" borderId="0" xfId="0" applyNumberFormat="1" applyBorder="1"/>
    <xf numFmtId="9" fontId="0" fillId="0" borderId="0" xfId="36" applyFont="1" applyFill="1" applyBorder="1"/>
    <xf numFmtId="165" fontId="0" fillId="0" borderId="0" xfId="36" applyNumberFormat="1" applyFont="1" applyFill="1" applyBorder="1"/>
    <xf numFmtId="9" fontId="16" fillId="0" borderId="0" xfId="36" applyFont="1" applyFill="1" applyBorder="1"/>
    <xf numFmtId="1" fontId="0" fillId="0" borderId="0" xfId="36" applyNumberFormat="1" applyFont="1" applyFill="1" applyBorder="1"/>
    <xf numFmtId="1" fontId="16" fillId="0" borderId="0" xfId="36" applyNumberFormat="1" applyFont="1" applyFill="1" applyBorder="1"/>
    <xf numFmtId="164" fontId="43" fillId="0" borderId="0" xfId="0" applyNumberFormat="1" applyFont="1" applyFill="1" applyBorder="1" applyAlignment="1">
      <alignment horizontal="center"/>
    </xf>
    <xf numFmtId="0" fontId="79" fillId="0" borderId="0" xfId="0" applyFont="1" applyFill="1" applyBorder="1"/>
    <xf numFmtId="165" fontId="6" fillId="0" borderId="0" xfId="0" applyNumberFormat="1" applyFont="1" applyFill="1" applyBorder="1"/>
    <xf numFmtId="167" fontId="67" fillId="0" borderId="0" xfId="14" applyNumberFormat="1" applyFont="1" applyFill="1" applyBorder="1" applyAlignment="1"/>
    <xf numFmtId="165" fontId="69" fillId="0" borderId="0" xfId="14" applyNumberFormat="1" applyFont="1" applyFill="1" applyBorder="1"/>
    <xf numFmtId="167" fontId="78" fillId="0" borderId="0" xfId="14" applyNumberFormat="1" applyFont="1" applyFill="1" applyBorder="1" applyAlignment="1"/>
    <xf numFmtId="165" fontId="67" fillId="0" borderId="0" xfId="14" applyNumberFormat="1" applyFont="1" applyFill="1" applyBorder="1" applyAlignment="1">
      <alignment horizontal="right" wrapText="1"/>
    </xf>
    <xf numFmtId="165" fontId="67" fillId="0" borderId="9" xfId="14" applyNumberFormat="1" applyFont="1" applyFill="1" applyBorder="1" applyAlignment="1">
      <alignment horizontal="right" wrapText="1"/>
    </xf>
    <xf numFmtId="0" fontId="69" fillId="0" borderId="0" xfId="0" applyFont="1" applyFill="1" applyBorder="1" applyAlignment="1">
      <alignment horizontal="center"/>
    </xf>
    <xf numFmtId="165" fontId="73" fillId="0" borderId="0" xfId="14" applyNumberFormat="1" applyFont="1" applyFill="1" applyBorder="1" applyAlignment="1">
      <alignment horizontal="right" wrapText="1"/>
    </xf>
    <xf numFmtId="165" fontId="73" fillId="0" borderId="9" xfId="14" applyNumberFormat="1" applyFont="1" applyFill="1" applyBorder="1" applyAlignment="1">
      <alignment horizontal="right" wrapText="1"/>
    </xf>
    <xf numFmtId="165" fontId="78" fillId="0" borderId="9" xfId="14" applyNumberFormat="1" applyFont="1" applyFill="1" applyBorder="1" applyAlignment="1">
      <alignment horizontal="right" wrapText="1"/>
    </xf>
    <xf numFmtId="167" fontId="79" fillId="0" borderId="0" xfId="0" applyNumberFormat="1" applyFont="1" applyFill="1"/>
    <xf numFmtId="167" fontId="6" fillId="2" borderId="0" xfId="0" applyNumberFormat="1" applyFont="1" applyFill="1" applyBorder="1"/>
    <xf numFmtId="168" fontId="13" fillId="0" borderId="0" xfId="36" applyNumberFormat="1" applyFont="1" applyFill="1" applyBorder="1"/>
    <xf numFmtId="169" fontId="12" fillId="5" borderId="0" xfId="0" applyNumberFormat="1" applyFont="1" applyFill="1" applyBorder="1" applyAlignment="1">
      <alignment horizontal="right"/>
    </xf>
    <xf numFmtId="8" fontId="22" fillId="0" borderId="0" xfId="0" applyNumberFormat="1" applyFont="1" applyFill="1" applyBorder="1" applyAlignment="1">
      <alignment horizontal="right"/>
    </xf>
    <xf numFmtId="168" fontId="12" fillId="0" borderId="0" xfId="36" applyNumberFormat="1" applyFont="1" applyFill="1" applyBorder="1"/>
    <xf numFmtId="175" fontId="6" fillId="5" borderId="0" xfId="14" applyNumberFormat="1" applyFont="1" applyFill="1" applyBorder="1" applyAlignment="1"/>
    <xf numFmtId="7" fontId="6" fillId="5" borderId="0" xfId="0" applyNumberFormat="1" applyFont="1" applyFill="1" applyBorder="1"/>
    <xf numFmtId="167" fontId="23" fillId="2" borderId="0" xfId="0" applyNumberFormat="1" applyFont="1" applyFill="1" applyBorder="1"/>
    <xf numFmtId="169" fontId="13" fillId="5" borderId="0" xfId="0" applyNumberFormat="1" applyFont="1" applyFill="1" applyBorder="1" applyAlignment="1">
      <alignment horizontal="right"/>
    </xf>
    <xf numFmtId="167" fontId="6" fillId="5" borderId="0" xfId="0" applyNumberFormat="1" applyFont="1" applyFill="1" applyBorder="1" applyAlignment="1">
      <alignment horizontal="right"/>
    </xf>
    <xf numFmtId="9" fontId="12" fillId="0" borderId="0" xfId="0" applyNumberFormat="1" applyFont="1" applyFill="1" applyBorder="1" applyAlignment="1">
      <alignment horizontal="right"/>
    </xf>
    <xf numFmtId="166" fontId="4" fillId="0" borderId="0" xfId="14" applyNumberFormat="1" applyFont="1" applyFill="1" applyBorder="1" applyAlignment="1">
      <alignment horizontal="right" wrapText="1"/>
    </xf>
    <xf numFmtId="43" fontId="6" fillId="0" borderId="0" xfId="14" applyNumberFormat="1" applyFont="1" applyFill="1" applyBorder="1" applyAlignment="1">
      <alignment horizontal="right" wrapText="1"/>
    </xf>
    <xf numFmtId="37" fontId="14" fillId="5" borderId="0" xfId="14" applyNumberFormat="1" applyFont="1" applyFill="1" applyAlignment="1"/>
    <xf numFmtId="165" fontId="86" fillId="0" borderId="0" xfId="14" applyNumberFormat="1" applyFont="1" applyFill="1" applyAlignment="1"/>
    <xf numFmtId="165" fontId="86" fillId="0" borderId="12" xfId="14" applyNumberFormat="1" applyFont="1" applyFill="1" applyBorder="1" applyAlignment="1"/>
    <xf numFmtId="168" fontId="6" fillId="0" borderId="0" xfId="36" applyNumberFormat="1" applyFont="1" applyFill="1" applyBorder="1"/>
    <xf numFmtId="9" fontId="4" fillId="0" borderId="0" xfId="36" applyFont="1" applyFill="1" applyBorder="1" applyAlignment="1">
      <alignment horizontal="right" wrapText="1"/>
    </xf>
    <xf numFmtId="168" fontId="87" fillId="0" borderId="0" xfId="0" applyNumberFormat="1" applyFont="1" applyFill="1"/>
    <xf numFmtId="167" fontId="87" fillId="0" borderId="0" xfId="14" applyNumberFormat="1" applyFont="1" applyFill="1" applyAlignment="1"/>
    <xf numFmtId="171" fontId="87" fillId="0" borderId="12" xfId="0" applyNumberFormat="1" applyFont="1" applyFill="1" applyBorder="1" applyAlignment="1"/>
    <xf numFmtId="168" fontId="88" fillId="0" borderId="0" xfId="14" applyNumberFormat="1" applyFont="1" applyFill="1" applyAlignment="1"/>
    <xf numFmtId="168" fontId="88" fillId="0" borderId="0" xfId="36" applyNumberFormat="1" applyFont="1" applyFill="1" applyAlignment="1"/>
    <xf numFmtId="9" fontId="87" fillId="0" borderId="0" xfId="0" applyNumberFormat="1" applyFont="1" applyFill="1" applyAlignment="1"/>
    <xf numFmtId="165" fontId="6" fillId="0" borderId="9" xfId="14" applyNumberFormat="1" applyFont="1" applyFill="1" applyBorder="1" applyAlignment="1">
      <alignment horizontal="right"/>
    </xf>
    <xf numFmtId="165" fontId="86" fillId="0" borderId="9" xfId="0" applyNumberFormat="1" applyFont="1" applyFill="1" applyBorder="1"/>
    <xf numFmtId="165" fontId="13" fillId="0" borderId="9" xfId="0" applyNumberFormat="1" applyFont="1" applyFill="1" applyBorder="1"/>
    <xf numFmtId="168" fontId="12" fillId="0" borderId="2" xfId="16" applyNumberFormat="1" applyFont="1" applyFill="1" applyBorder="1" applyAlignment="1" applyProtection="1">
      <alignment horizontal="center"/>
      <protection locked="0"/>
    </xf>
    <xf numFmtId="0" fontId="13" fillId="0" borderId="2" xfId="0" applyFont="1" applyBorder="1"/>
    <xf numFmtId="179" fontId="4" fillId="0" borderId="2" xfId="34" applyNumberFormat="1" applyFont="1" applyFill="1" applyBorder="1" applyAlignment="1">
      <alignment horizontal="center"/>
    </xf>
    <xf numFmtId="43" fontId="22" fillId="0" borderId="0" xfId="14" applyNumberFormat="1" applyFont="1" applyFill="1" applyBorder="1"/>
    <xf numFmtId="168" fontId="22" fillId="0" borderId="0" xfId="34" applyNumberFormat="1" applyFont="1" applyFill="1" applyBorder="1"/>
    <xf numFmtId="175" fontId="4" fillId="0" borderId="0" xfId="34" applyNumberFormat="1" applyFont="1" applyBorder="1" applyAlignment="1">
      <alignment horizontal="left" indent="2"/>
    </xf>
    <xf numFmtId="168" fontId="4" fillId="0" borderId="0" xfId="34" applyNumberFormat="1" applyFont="1" applyFill="1" applyBorder="1"/>
    <xf numFmtId="168" fontId="6" fillId="0" borderId="0" xfId="34" applyNumberFormat="1" applyFont="1" applyFill="1" applyBorder="1"/>
    <xf numFmtId="175" fontId="4" fillId="0" borderId="2" xfId="34" applyNumberFormat="1" applyFont="1" applyBorder="1" applyAlignment="1">
      <alignment horizontal="left" indent="2"/>
    </xf>
    <xf numFmtId="168" fontId="22" fillId="0" borderId="2" xfId="34" applyNumberFormat="1" applyFont="1" applyFill="1" applyBorder="1"/>
    <xf numFmtId="0" fontId="12" fillId="0" borderId="0" xfId="34" applyFont="1" applyBorder="1" applyAlignment="1">
      <alignment horizontal="left"/>
    </xf>
    <xf numFmtId="0" fontId="4" fillId="0" borderId="0" xfId="34" applyFont="1" applyFill="1" applyBorder="1" applyAlignment="1">
      <alignment horizontal="center"/>
    </xf>
    <xf numFmtId="164" fontId="89" fillId="0" borderId="0" xfId="0" applyNumberFormat="1" applyFont="1" applyBorder="1" applyAlignment="1">
      <alignment horizontal="center"/>
    </xf>
    <xf numFmtId="43" fontId="0" fillId="5" borderId="0" xfId="0" applyNumberFormat="1" applyFill="1"/>
    <xf numFmtId="168" fontId="12" fillId="0" borderId="0" xfId="36" applyNumberFormat="1" applyFont="1" applyFill="1" applyAlignment="1">
      <alignment horizontal="center"/>
    </xf>
    <xf numFmtId="168" fontId="12" fillId="0" borderId="0" xfId="34" applyNumberFormat="1" applyFont="1" applyFill="1" applyBorder="1" applyAlignment="1">
      <alignment horizontal="center"/>
    </xf>
    <xf numFmtId="168" fontId="0" fillId="0" borderId="0" xfId="36" applyNumberFormat="1" applyFont="1"/>
    <xf numFmtId="0" fontId="90" fillId="9" borderId="0" xfId="0" applyFont="1" applyFill="1" applyBorder="1" applyAlignment="1">
      <alignment horizontal="left"/>
    </xf>
    <xf numFmtId="0" fontId="90" fillId="9" borderId="0" xfId="0" applyFont="1" applyFill="1" applyBorder="1" applyAlignment="1">
      <alignment horizontal="center"/>
    </xf>
    <xf numFmtId="0" fontId="90" fillId="9" borderId="17" xfId="0" applyFont="1" applyFill="1" applyBorder="1" applyAlignment="1">
      <alignment horizontal="centerContinuous"/>
    </xf>
    <xf numFmtId="0" fontId="90" fillId="9" borderId="2" xfId="0" applyFont="1" applyFill="1" applyBorder="1" applyAlignment="1">
      <alignment horizontal="left"/>
    </xf>
    <xf numFmtId="0" fontId="90" fillId="9" borderId="2" xfId="0" applyFont="1" applyFill="1" applyBorder="1" applyAlignment="1">
      <alignment horizontal="center"/>
    </xf>
    <xf numFmtId="206" fontId="90" fillId="9" borderId="2" xfId="0" applyNumberFormat="1" applyFont="1" applyFill="1" applyBorder="1" applyAlignment="1">
      <alignment horizontal="center"/>
    </xf>
    <xf numFmtId="207" fontId="90" fillId="9" borderId="2" xfId="0" applyNumberFormat="1" applyFont="1" applyFill="1" applyBorder="1" applyAlignment="1">
      <alignment horizontal="center"/>
    </xf>
    <xf numFmtId="0" fontId="91" fillId="9" borderId="0" xfId="0" applyFont="1" applyFill="1"/>
    <xf numFmtId="168" fontId="4" fillId="0" borderId="2" xfId="34" applyNumberFormat="1" applyFont="1" applyFill="1" applyBorder="1"/>
    <xf numFmtId="7" fontId="4" fillId="0" borderId="0" xfId="34" applyNumberFormat="1" applyFont="1" applyFill="1" applyBorder="1"/>
    <xf numFmtId="7" fontId="4" fillId="0" borderId="13" xfId="34" applyNumberFormat="1" applyFont="1" applyFill="1" applyBorder="1"/>
    <xf numFmtId="0" fontId="5" fillId="0" borderId="2" xfId="0" applyFont="1" applyBorder="1"/>
    <xf numFmtId="179" fontId="13" fillId="0" borderId="0" xfId="0" applyNumberFormat="1" applyFont="1"/>
    <xf numFmtId="165" fontId="13" fillId="0" borderId="0" xfId="0" applyNumberFormat="1" applyFont="1"/>
    <xf numFmtId="43" fontId="13" fillId="0" borderId="0" xfId="0" applyNumberFormat="1" applyFont="1"/>
    <xf numFmtId="0" fontId="4" fillId="10" borderId="0" xfId="34" applyFont="1" applyFill="1"/>
    <xf numFmtId="175" fontId="4" fillId="10" borderId="0" xfId="34" applyNumberFormat="1" applyFont="1" applyFill="1" applyAlignment="1">
      <alignment horizontal="center"/>
    </xf>
    <xf numFmtId="9" fontId="0" fillId="0" borderId="0" xfId="36" applyFont="1" applyFill="1"/>
    <xf numFmtId="168" fontId="0" fillId="0" borderId="0" xfId="0" applyNumberFormat="1"/>
    <xf numFmtId="174" fontId="6" fillId="11" borderId="0" xfId="0" applyNumberFormat="1" applyFont="1" applyFill="1" applyBorder="1" applyAlignment="1"/>
    <xf numFmtId="7" fontId="0" fillId="0" borderId="0" xfId="0" applyNumberFormat="1"/>
    <xf numFmtId="9" fontId="6" fillId="0" borderId="0" xfId="36" applyFont="1" applyFill="1" applyBorder="1" applyAlignment="1">
      <alignment horizontal="right" wrapText="1"/>
    </xf>
    <xf numFmtId="9" fontId="6" fillId="0" borderId="0" xfId="36" applyFont="1" applyBorder="1"/>
    <xf numFmtId="175" fontId="6" fillId="0" borderId="2" xfId="14" applyNumberFormat="1" applyFont="1" applyFill="1" applyBorder="1"/>
    <xf numFmtId="209" fontId="28" fillId="2" borderId="2" xfId="14" applyNumberFormat="1" applyFont="1" applyFill="1" applyBorder="1"/>
    <xf numFmtId="166" fontId="6" fillId="0" borderId="0" xfId="14" applyNumberFormat="1" applyFont="1" applyFill="1" applyAlignment="1"/>
    <xf numFmtId="210" fontId="6" fillId="0" borderId="0" xfId="14" applyNumberFormat="1" applyFont="1" applyFill="1" applyAlignment="1"/>
    <xf numFmtId="43" fontId="3" fillId="0" borderId="0" xfId="14" applyFont="1"/>
    <xf numFmtId="168" fontId="6" fillId="0" borderId="0" xfId="0" applyNumberFormat="1" applyFont="1" applyFill="1" applyBorder="1" applyAlignment="1">
      <alignment horizontal="center"/>
    </xf>
    <xf numFmtId="7" fontId="0" fillId="5" borderId="0" xfId="0" applyNumberFormat="1" applyFill="1"/>
    <xf numFmtId="0" fontId="4" fillId="0" borderId="0" xfId="0" applyFont="1" applyFill="1" applyAlignment="1">
      <alignment horizontal="left"/>
    </xf>
    <xf numFmtId="0" fontId="13" fillId="0" borderId="0" xfId="0" applyFont="1" applyFill="1" applyAlignment="1">
      <alignment horizontal="left" vertical="distributed" indent="1"/>
    </xf>
    <xf numFmtId="0" fontId="13" fillId="0" borderId="2" xfId="0" applyFont="1" applyFill="1" applyBorder="1" applyAlignment="1">
      <alignment horizontal="left" vertical="distributed" indent="1"/>
    </xf>
    <xf numFmtId="0" fontId="4" fillId="0" borderId="0" xfId="0" applyFont="1" applyFill="1" applyAlignment="1">
      <alignment vertical="distributed"/>
    </xf>
    <xf numFmtId="0" fontId="13" fillId="0" borderId="0" xfId="0" applyFont="1" applyFill="1" applyAlignment="1">
      <alignment vertical="distributed"/>
    </xf>
    <xf numFmtId="0" fontId="12" fillId="0" borderId="0" xfId="0" applyFont="1" applyFill="1" applyAlignment="1">
      <alignment horizontal="left" indent="1"/>
    </xf>
    <xf numFmtId="168" fontId="12" fillId="0" borderId="9" xfId="36" applyNumberFormat="1" applyFont="1" applyFill="1" applyBorder="1" applyAlignment="1">
      <alignment horizontal="right"/>
    </xf>
    <xf numFmtId="168" fontId="61" fillId="0" borderId="0" xfId="36" applyNumberFormat="1" applyFont="1" applyFill="1" applyAlignment="1">
      <alignment horizontal="right"/>
    </xf>
    <xf numFmtId="167" fontId="13" fillId="0" borderId="0" xfId="0" applyNumberFormat="1" applyFont="1" applyFill="1" applyAlignment="1">
      <alignment horizontal="left" indent="1"/>
    </xf>
    <xf numFmtId="7" fontId="4" fillId="0" borderId="4" xfId="0" applyNumberFormat="1" applyFont="1" applyFill="1" applyBorder="1" applyAlignment="1">
      <alignment horizontal="left" indent="1"/>
    </xf>
    <xf numFmtId="7" fontId="17" fillId="0" borderId="4" xfId="14" applyNumberFormat="1" applyFont="1" applyFill="1" applyBorder="1" applyAlignment="1">
      <alignment horizontal="right"/>
    </xf>
    <xf numFmtId="7" fontId="17" fillId="0" borderId="5" xfId="14" applyNumberFormat="1" applyFont="1" applyFill="1" applyBorder="1"/>
    <xf numFmtId="7" fontId="17" fillId="0" borderId="4" xfId="14" applyNumberFormat="1" applyFont="1" applyFill="1" applyBorder="1" applyAlignment="1"/>
    <xf numFmtId="0" fontId="15" fillId="0" borderId="0" xfId="0" applyFont="1" applyFill="1"/>
    <xf numFmtId="167" fontId="3" fillId="0" borderId="0" xfId="0" applyNumberFormat="1" applyFont="1" applyFill="1"/>
    <xf numFmtId="168" fontId="3" fillId="0" borderId="0" xfId="36" applyNumberFormat="1" applyFont="1" applyFill="1"/>
    <xf numFmtId="2" fontId="63" fillId="0" borderId="0" xfId="0" applyNumberFormat="1" applyFont="1" applyFill="1"/>
    <xf numFmtId="0" fontId="13" fillId="0" borderId="0" xfId="0" applyFont="1" applyFill="1" applyAlignment="1">
      <alignment horizontal="left" indent="2"/>
    </xf>
    <xf numFmtId="168" fontId="13" fillId="0" borderId="0" xfId="0" applyNumberFormat="1" applyFont="1" applyFill="1" applyAlignment="1">
      <alignment horizontal="center"/>
    </xf>
    <xf numFmtId="0" fontId="13" fillId="0" borderId="0" xfId="0" applyNumberFormat="1" applyFont="1" applyFill="1"/>
    <xf numFmtId="0" fontId="28" fillId="0" borderId="0" xfId="0" applyFont="1" applyFill="1" applyAlignment="1">
      <alignment horizontal="left" indent="1"/>
    </xf>
    <xf numFmtId="1" fontId="28" fillId="0" borderId="0" xfId="0" applyNumberFormat="1" applyFont="1" applyFill="1" applyAlignment="1">
      <alignment horizontal="center"/>
    </xf>
    <xf numFmtId="0" fontId="9" fillId="0" borderId="0" xfId="28" applyFont="1" applyFill="1" applyBorder="1" applyAlignment="1">
      <alignment horizontal="left"/>
    </xf>
    <xf numFmtId="0" fontId="11" fillId="0" borderId="0" xfId="28" applyFont="1" applyFill="1" applyBorder="1" applyAlignment="1">
      <alignment horizontal="left"/>
    </xf>
    <xf numFmtId="0" fontId="12" fillId="0" borderId="0" xfId="32" applyFont="1" applyFill="1" applyBorder="1" applyAlignment="1">
      <alignment horizontal="left"/>
    </xf>
    <xf numFmtId="168" fontId="0" fillId="0" borderId="0" xfId="0" applyNumberFormat="1" applyFill="1"/>
    <xf numFmtId="204" fontId="5" fillId="0" borderId="0" xfId="0" applyNumberFormat="1" applyFont="1" applyFill="1"/>
    <xf numFmtId="43" fontId="3" fillId="0" borderId="0" xfId="0" applyNumberFormat="1" applyFont="1" applyFill="1"/>
    <xf numFmtId="168" fontId="13" fillId="0" borderId="0" xfId="0" applyNumberFormat="1" applyFont="1" applyFill="1" applyAlignment="1">
      <alignment horizontal="right"/>
    </xf>
    <xf numFmtId="168" fontId="13" fillId="0" borderId="9" xfId="0" applyNumberFormat="1" applyFont="1" applyFill="1" applyBorder="1" applyAlignment="1">
      <alignment horizontal="right"/>
    </xf>
    <xf numFmtId="168" fontId="6" fillId="0" borderId="0" xfId="0" applyNumberFormat="1" applyFont="1" applyFill="1" applyAlignment="1">
      <alignment horizontal="right"/>
    </xf>
    <xf numFmtId="168" fontId="6" fillId="0" borderId="9" xfId="0" applyNumberFormat="1" applyFont="1" applyFill="1" applyBorder="1" applyAlignment="1">
      <alignment horizontal="right"/>
    </xf>
    <xf numFmtId="168" fontId="6" fillId="0" borderId="9" xfId="0" applyNumberFormat="1" applyFont="1" applyFill="1" applyBorder="1"/>
    <xf numFmtId="168" fontId="13" fillId="0" borderId="16" xfId="0" applyNumberFormat="1" applyFont="1" applyFill="1" applyBorder="1" applyAlignment="1">
      <alignment horizontal="right"/>
    </xf>
    <xf numFmtId="7" fontId="4" fillId="0" borderId="0" xfId="0" applyNumberFormat="1" applyFont="1" applyFill="1" applyBorder="1" applyAlignment="1">
      <alignment horizontal="left"/>
    </xf>
    <xf numFmtId="7" fontId="4" fillId="0" borderId="0" xfId="14" applyNumberFormat="1" applyFont="1" applyFill="1" applyBorder="1" applyAlignment="1"/>
    <xf numFmtId="7" fontId="4" fillId="0" borderId="16" xfId="14" applyNumberFormat="1" applyFont="1" applyFill="1" applyBorder="1"/>
    <xf numFmtId="7" fontId="4" fillId="0" borderId="0" xfId="14" applyNumberFormat="1" applyFont="1" applyFill="1" applyBorder="1" applyAlignment="1">
      <alignment horizontal="right"/>
    </xf>
    <xf numFmtId="166" fontId="6" fillId="0" borderId="0" xfId="0" applyNumberFormat="1" applyFont="1" applyFill="1"/>
    <xf numFmtId="0" fontId="12" fillId="0" borderId="0" xfId="28" applyFont="1" applyFill="1" applyBorder="1" applyAlignment="1">
      <alignment horizontal="left"/>
    </xf>
    <xf numFmtId="0" fontId="4" fillId="0" borderId="0" xfId="0" applyFont="1" applyFill="1" applyBorder="1" applyAlignment="1">
      <alignment horizontal="left" vertical="top" wrapText="1"/>
    </xf>
    <xf numFmtId="165" fontId="3" fillId="0" borderId="0" xfId="0" applyNumberFormat="1" applyFont="1" applyFill="1" applyBorder="1"/>
    <xf numFmtId="0" fontId="27" fillId="0" borderId="0" xfId="0" applyFont="1"/>
    <xf numFmtId="167" fontId="14" fillId="0" borderId="0" xfId="14" applyNumberFormat="1" applyFont="1" applyFill="1"/>
    <xf numFmtId="167" fontId="6" fillId="12" borderId="0" xfId="14" applyNumberFormat="1" applyFont="1" applyFill="1" applyBorder="1" applyAlignment="1"/>
    <xf numFmtId="0" fontId="7" fillId="0" borderId="2" xfId="0" applyFont="1" applyFill="1" applyBorder="1" applyAlignment="1">
      <alignment horizontal="right"/>
    </xf>
    <xf numFmtId="209" fontId="6" fillId="0" borderId="0" xfId="14" applyNumberFormat="1" applyFont="1" applyFill="1" applyAlignment="1"/>
    <xf numFmtId="170" fontId="15" fillId="12" borderId="0" xfId="0" applyNumberFormat="1" applyFont="1" applyFill="1" applyBorder="1"/>
    <xf numFmtId="167" fontId="6" fillId="12" borderId="0" xfId="0" applyNumberFormat="1" applyFont="1" applyFill="1" applyBorder="1"/>
    <xf numFmtId="167" fontId="6" fillId="12" borderId="0" xfId="0" applyNumberFormat="1" applyFont="1" applyFill="1"/>
    <xf numFmtId="170" fontId="13" fillId="12" borderId="0" xfId="29" applyNumberFormat="1" applyFont="1" applyFill="1" applyBorder="1"/>
    <xf numFmtId="167" fontId="6" fillId="12" borderId="0" xfId="14" applyNumberFormat="1" applyFont="1" applyFill="1" applyAlignment="1"/>
    <xf numFmtId="170" fontId="6" fillId="12" borderId="0" xfId="29" applyNumberFormat="1" applyFont="1" applyFill="1" applyBorder="1"/>
    <xf numFmtId="39" fontId="6" fillId="12" borderId="0" xfId="14" applyNumberFormat="1" applyFont="1" applyFill="1" applyAlignment="1"/>
    <xf numFmtId="9" fontId="13" fillId="0" borderId="0" xfId="0" applyNumberFormat="1" applyFont="1" applyFill="1"/>
    <xf numFmtId="9" fontId="13" fillId="0" borderId="9" xfId="0" applyNumberFormat="1" applyFont="1" applyFill="1" applyBorder="1" applyAlignment="1">
      <alignment horizontal="right"/>
    </xf>
    <xf numFmtId="9" fontId="13" fillId="0" borderId="16" xfId="0" applyNumberFormat="1" applyFont="1" applyFill="1" applyBorder="1" applyAlignment="1">
      <alignment horizontal="right"/>
    </xf>
    <xf numFmtId="9" fontId="13" fillId="0" borderId="0" xfId="0" applyNumberFormat="1" applyFont="1" applyFill="1" applyAlignment="1">
      <alignment horizontal="right"/>
    </xf>
    <xf numFmtId="0" fontId="6" fillId="0" borderId="0" xfId="0" applyFont="1" applyFill="1" applyAlignment="1">
      <alignment horizontal="left" indent="1"/>
    </xf>
    <xf numFmtId="164" fontId="43" fillId="6" borderId="2" xfId="0" applyNumberFormat="1" applyFont="1" applyFill="1" applyBorder="1" applyAlignment="1">
      <alignment horizontal="center"/>
    </xf>
    <xf numFmtId="0" fontId="43" fillId="0" borderId="2" xfId="0" applyFont="1" applyFill="1" applyBorder="1"/>
    <xf numFmtId="0" fontId="14" fillId="0" borderId="0" xfId="0" applyFont="1" applyFill="1" applyBorder="1" applyAlignment="1">
      <alignment horizontal="center"/>
    </xf>
    <xf numFmtId="164" fontId="6" fillId="0" borderId="2" xfId="0" applyNumberFormat="1" applyFont="1" applyFill="1" applyBorder="1" applyAlignment="1">
      <alignment horizontal="center"/>
    </xf>
    <xf numFmtId="2" fontId="83" fillId="0" borderId="9" xfId="0" applyNumberFormat="1" applyFont="1" applyFill="1" applyBorder="1"/>
    <xf numFmtId="176" fontId="26" fillId="0" borderId="0" xfId="14" applyNumberFormat="1" applyFont="1" applyFill="1"/>
    <xf numFmtId="0" fontId="4" fillId="11" borderId="7" xfId="0" applyFont="1" applyFill="1" applyBorder="1" applyAlignment="1">
      <alignment horizontal="left"/>
    </xf>
    <xf numFmtId="165" fontId="96" fillId="0" borderId="0" xfId="14" applyNumberFormat="1" applyFont="1" applyFill="1" applyBorder="1"/>
    <xf numFmtId="0" fontId="12" fillId="0" borderId="0" xfId="0" applyFont="1" applyFill="1" applyAlignment="1">
      <alignment horizontal="left" indent="2"/>
    </xf>
    <xf numFmtId="0" fontId="6" fillId="0" borderId="0" xfId="0" applyFont="1" applyFill="1" applyAlignment="1">
      <alignment horizontal="left" indent="2"/>
    </xf>
    <xf numFmtId="0" fontId="6" fillId="0" borderId="0" xfId="0" applyFont="1" applyFill="1" applyAlignment="1">
      <alignment horizontal="left"/>
    </xf>
    <xf numFmtId="168" fontId="96" fillId="0" borderId="0" xfId="0" applyNumberFormat="1" applyFont="1" applyFill="1"/>
    <xf numFmtId="165" fontId="96" fillId="0" borderId="0" xfId="14" applyNumberFormat="1" applyFont="1" applyFill="1" applyBorder="1" applyAlignment="1">
      <alignment horizontal="right" wrapText="1"/>
    </xf>
    <xf numFmtId="0" fontId="12" fillId="10" borderId="0" xfId="0" applyFont="1" applyFill="1" applyAlignment="1">
      <alignment horizontal="left" indent="2"/>
    </xf>
    <xf numFmtId="174" fontId="12" fillId="10" borderId="0" xfId="0" applyNumberFormat="1" applyFont="1" applyFill="1" applyBorder="1" applyAlignment="1">
      <alignment horizontal="right"/>
    </xf>
    <xf numFmtId="167" fontId="6" fillId="10" borderId="0" xfId="14" applyNumberFormat="1" applyFont="1" applyFill="1" applyBorder="1" applyAlignment="1"/>
    <xf numFmtId="0" fontId="4" fillId="10" borderId="0" xfId="0" applyFont="1" applyFill="1" applyBorder="1" applyAlignment="1">
      <alignment horizontal="left" vertical="top" wrapText="1" indent="1"/>
    </xf>
    <xf numFmtId="165" fontId="74" fillId="10" borderId="0" xfId="14" applyNumberFormat="1" applyFont="1" applyFill="1" applyBorder="1"/>
    <xf numFmtId="165" fontId="4" fillId="10" borderId="0" xfId="14" applyNumberFormat="1" applyFont="1" applyFill="1" applyBorder="1"/>
    <xf numFmtId="167" fontId="4" fillId="10" borderId="0" xfId="14" applyNumberFormat="1" applyFont="1" applyFill="1" applyBorder="1" applyAlignment="1"/>
    <xf numFmtId="165" fontId="77" fillId="10" borderId="0" xfId="14" applyNumberFormat="1" applyFont="1" applyFill="1" applyBorder="1"/>
    <xf numFmtId="0" fontId="12" fillId="10" borderId="0" xfId="0" applyFont="1" applyFill="1" applyBorder="1" applyAlignment="1">
      <alignment horizontal="left" indent="2"/>
    </xf>
    <xf numFmtId="174" fontId="30" fillId="10" borderId="0" xfId="0" applyNumberFormat="1" applyFont="1" applyFill="1" applyBorder="1" applyAlignment="1">
      <alignment horizontal="right"/>
    </xf>
    <xf numFmtId="174" fontId="61" fillId="10" borderId="0" xfId="0" applyNumberFormat="1" applyFont="1" applyFill="1" applyBorder="1" applyAlignment="1">
      <alignment horizontal="right"/>
    </xf>
    <xf numFmtId="9" fontId="12" fillId="10" borderId="0" xfId="0" applyNumberFormat="1" applyFont="1" applyFill="1" applyBorder="1" applyAlignment="1">
      <alignment horizontal="left" indent="2"/>
    </xf>
    <xf numFmtId="174" fontId="6" fillId="10" borderId="0" xfId="0" applyNumberFormat="1" applyFont="1" applyFill="1" applyBorder="1"/>
    <xf numFmtId="174" fontId="59" fillId="10" borderId="0" xfId="0" applyNumberFormat="1" applyFont="1" applyFill="1" applyBorder="1"/>
    <xf numFmtId="174" fontId="12" fillId="10" borderId="0" xfId="0" applyNumberFormat="1" applyFont="1" applyFill="1" applyBorder="1"/>
    <xf numFmtId="0" fontId="4" fillId="10" borderId="0" xfId="0" applyFont="1" applyFill="1" applyBorder="1" applyAlignment="1">
      <alignment horizontal="left" vertical="top" wrapText="1"/>
    </xf>
    <xf numFmtId="165" fontId="60" fillId="10" borderId="0" xfId="14" applyNumberFormat="1" applyFont="1" applyFill="1" applyBorder="1"/>
    <xf numFmtId="174" fontId="57" fillId="10" borderId="0" xfId="0" applyNumberFormat="1" applyFont="1" applyFill="1" applyBorder="1" applyAlignment="1">
      <alignment horizontal="right"/>
    </xf>
    <xf numFmtId="9" fontId="4" fillId="0" borderId="0" xfId="0" applyNumberFormat="1" applyFont="1" applyFill="1" applyBorder="1" applyAlignment="1">
      <alignment horizontal="left" indent="2"/>
    </xf>
    <xf numFmtId="9" fontId="6" fillId="0" borderId="0" xfId="0" applyNumberFormat="1" applyFont="1" applyFill="1" applyAlignment="1">
      <alignment horizontal="left" indent="3"/>
    </xf>
    <xf numFmtId="165" fontId="96" fillId="0" borderId="0" xfId="14" applyNumberFormat="1" applyFont="1" applyFill="1"/>
    <xf numFmtId="174" fontId="95" fillId="0" borderId="0" xfId="0" applyNumberFormat="1" applyFont="1" applyFill="1" applyAlignment="1">
      <alignment horizontal="right"/>
    </xf>
    <xf numFmtId="0" fontId="99" fillId="0" borderId="0" xfId="0" applyFont="1" applyFill="1"/>
    <xf numFmtId="0" fontId="6" fillId="0" borderId="0" xfId="0" applyFont="1" applyFill="1" applyBorder="1" applyAlignment="1">
      <alignment horizontal="left" vertical="top" wrapText="1"/>
    </xf>
    <xf numFmtId="9" fontId="6" fillId="0" borderId="0" xfId="0" applyNumberFormat="1" applyFont="1" applyFill="1" applyBorder="1" applyAlignment="1">
      <alignment horizontal="left" indent="2"/>
    </xf>
    <xf numFmtId="165" fontId="86" fillId="0" borderId="0" xfId="14" applyNumberFormat="1" applyFont="1" applyFill="1" applyBorder="1"/>
    <xf numFmtId="10" fontId="63" fillId="0" borderId="0" xfId="36" applyNumberFormat="1" applyFont="1" applyFill="1"/>
    <xf numFmtId="10" fontId="63" fillId="0" borderId="9" xfId="36" applyNumberFormat="1" applyFont="1" applyFill="1" applyBorder="1"/>
    <xf numFmtId="10" fontId="63" fillId="0" borderId="0" xfId="36" applyNumberFormat="1" applyFont="1" applyFill="1" applyBorder="1" applyAlignment="1"/>
    <xf numFmtId="10" fontId="24" fillId="0" borderId="9" xfId="36" applyNumberFormat="1" applyFont="1" applyFill="1" applyBorder="1"/>
    <xf numFmtId="165" fontId="101" fillId="0" borderId="0" xfId="14" applyNumberFormat="1" applyFont="1" applyFill="1" applyBorder="1" applyAlignment="1"/>
    <xf numFmtId="165" fontId="101" fillId="0" borderId="0" xfId="14" applyNumberFormat="1" applyFont="1" applyFill="1" applyAlignment="1"/>
    <xf numFmtId="165" fontId="4" fillId="13" borderId="9" xfId="14" applyNumberFormat="1" applyFont="1" applyFill="1" applyBorder="1" applyAlignment="1">
      <alignment horizontal="right" wrapText="1"/>
    </xf>
    <xf numFmtId="168" fontId="0" fillId="0" borderId="0" xfId="36" applyNumberFormat="1" applyFont="1" applyFill="1"/>
    <xf numFmtId="165" fontId="102" fillId="0" borderId="0" xfId="14" applyNumberFormat="1" applyFont="1" applyFill="1" applyBorder="1"/>
    <xf numFmtId="43" fontId="0" fillId="0" borderId="0" xfId="14" applyFont="1"/>
    <xf numFmtId="39" fontId="6" fillId="0" borderId="0" xfId="34" quotePrefix="1" applyNumberFormat="1" applyFont="1" applyBorder="1" applyAlignment="1">
      <alignment horizontal="left" indent="1"/>
    </xf>
    <xf numFmtId="39" fontId="6" fillId="0" borderId="0" xfId="34" applyNumberFormat="1" applyFont="1" applyBorder="1"/>
    <xf numFmtId="175" fontId="12" fillId="0" borderId="2" xfId="34" applyNumberFormat="1" applyFont="1" applyBorder="1" applyAlignment="1">
      <alignment horizontal="left" indent="1"/>
    </xf>
    <xf numFmtId="9" fontId="12" fillId="0" borderId="2" xfId="34" applyNumberFormat="1" applyFont="1" applyFill="1" applyBorder="1" applyAlignment="1">
      <alignment horizontal="center"/>
    </xf>
    <xf numFmtId="168" fontId="12" fillId="0" borderId="2" xfId="34" applyNumberFormat="1" applyFont="1" applyFill="1" applyBorder="1" applyAlignment="1">
      <alignment horizontal="center"/>
    </xf>
    <xf numFmtId="43" fontId="28" fillId="2" borderId="2" xfId="14" applyNumberFormat="1" applyFont="1" applyFill="1" applyBorder="1"/>
    <xf numFmtId="43" fontId="6" fillId="2" borderId="2" xfId="0" applyNumberFormat="1" applyFont="1" applyFill="1" applyBorder="1"/>
    <xf numFmtId="166" fontId="6" fillId="0" borderId="0" xfId="0" applyNumberFormat="1" applyFont="1"/>
    <xf numFmtId="0" fontId="16" fillId="5" borderId="0" xfId="0" applyFont="1" applyFill="1" applyBorder="1"/>
    <xf numFmtId="0" fontId="91" fillId="9" borderId="0" xfId="0" applyFont="1" applyFill="1" applyBorder="1"/>
    <xf numFmtId="10" fontId="0" fillId="0" borderId="0" xfId="36" applyNumberFormat="1" applyFont="1"/>
    <xf numFmtId="209" fontId="0" fillId="0" borderId="0" xfId="0" applyNumberFormat="1"/>
    <xf numFmtId="0" fontId="45" fillId="6" borderId="15" xfId="27" applyFont="1" applyFill="1" applyBorder="1" applyAlignment="1">
      <alignment horizontal="right"/>
    </xf>
    <xf numFmtId="215" fontId="12" fillId="0" borderId="0" xfId="0" applyNumberFormat="1" applyFont="1" applyFill="1" applyBorder="1" applyAlignment="1">
      <alignment horizontal="right"/>
    </xf>
    <xf numFmtId="0" fontId="103" fillId="14" borderId="0" xfId="0" applyFont="1" applyFill="1" applyAlignment="1">
      <alignment horizontal="right"/>
    </xf>
    <xf numFmtId="0" fontId="93" fillId="14" borderId="0" xfId="0" applyFont="1" applyFill="1" applyAlignment="1">
      <alignment horizontal="right"/>
    </xf>
    <xf numFmtId="0" fontId="80" fillId="0" borderId="0" xfId="0" applyFont="1"/>
    <xf numFmtId="0" fontId="80" fillId="0" borderId="0" xfId="0" applyFont="1" applyFill="1"/>
    <xf numFmtId="165" fontId="80" fillId="0" borderId="0" xfId="0" applyNumberFormat="1" applyFont="1" applyFill="1"/>
    <xf numFmtId="0" fontId="40" fillId="10" borderId="0" xfId="0" applyFont="1" applyFill="1"/>
    <xf numFmtId="165" fontId="40" fillId="10" borderId="0" xfId="0" applyNumberFormat="1" applyFont="1" applyFill="1"/>
    <xf numFmtId="165" fontId="86" fillId="0" borderId="0" xfId="14" applyNumberFormat="1" applyFont="1" applyFill="1" applyBorder="1" applyAlignment="1">
      <alignment horizontal="right" wrapText="1"/>
    </xf>
    <xf numFmtId="165" fontId="86" fillId="0" borderId="2" xfId="14" applyNumberFormat="1" applyFont="1" applyFill="1" applyBorder="1" applyAlignment="1">
      <alignment horizontal="right" wrapText="1"/>
    </xf>
    <xf numFmtId="165" fontId="86" fillId="0" borderId="0" xfId="14" applyNumberFormat="1" applyFont="1" applyFill="1"/>
    <xf numFmtId="167" fontId="86" fillId="0" borderId="9" xfId="0" applyNumberFormat="1" applyFont="1" applyFill="1" applyBorder="1"/>
    <xf numFmtId="168" fontId="6" fillId="5" borderId="0" xfId="0" applyNumberFormat="1" applyFont="1" applyFill="1" applyAlignment="1"/>
    <xf numFmtId="13" fontId="13" fillId="0" borderId="0" xfId="0" applyNumberFormat="1" applyFont="1"/>
    <xf numFmtId="43" fontId="14" fillId="0" borderId="0" xfId="14" applyNumberFormat="1" applyFont="1" applyFill="1" applyBorder="1"/>
    <xf numFmtId="168" fontId="14" fillId="0" borderId="0" xfId="34" applyNumberFormat="1" applyFont="1" applyFill="1" applyBorder="1"/>
    <xf numFmtId="5" fontId="4" fillId="5" borderId="11" xfId="14" applyNumberFormat="1" applyFont="1" applyFill="1" applyBorder="1" applyAlignment="1"/>
    <xf numFmtId="215" fontId="12" fillId="10" borderId="0" xfId="0" applyNumberFormat="1" applyFont="1" applyFill="1" applyBorder="1" applyAlignment="1">
      <alignment horizontal="right"/>
    </xf>
    <xf numFmtId="175" fontId="86" fillId="0" borderId="0" xfId="14" applyNumberFormat="1" applyFont="1" applyFill="1" applyAlignment="1"/>
    <xf numFmtId="7" fontId="4" fillId="15" borderId="10" xfId="0" applyNumberFormat="1" applyFont="1" applyFill="1" applyBorder="1"/>
    <xf numFmtId="165" fontId="6" fillId="0" borderId="1" xfId="14" applyNumberFormat="1" applyFont="1" applyFill="1" applyBorder="1" applyAlignment="1">
      <alignment horizontal="right" wrapText="1"/>
    </xf>
    <xf numFmtId="9" fontId="5" fillId="0" borderId="0" xfId="36" applyFont="1" applyBorder="1"/>
    <xf numFmtId="7" fontId="27" fillId="0" borderId="0" xfId="0" applyNumberFormat="1" applyFont="1" applyBorder="1"/>
    <xf numFmtId="165" fontId="5" fillId="0" borderId="0" xfId="0" applyNumberFormat="1" applyFont="1" applyFill="1" applyBorder="1"/>
    <xf numFmtId="9" fontId="6" fillId="0" borderId="0" xfId="36" applyFont="1" applyBorder="1" applyAlignment="1">
      <alignment horizontal="center"/>
    </xf>
    <xf numFmtId="44" fontId="6" fillId="0" borderId="0" xfId="18" applyFont="1" applyBorder="1" applyAlignment="1">
      <alignment horizontal="center"/>
    </xf>
    <xf numFmtId="43" fontId="16" fillId="5" borderId="0" xfId="0" applyNumberFormat="1" applyFont="1" applyFill="1" applyBorder="1"/>
    <xf numFmtId="165" fontId="14" fillId="0" borderId="0" xfId="14" applyNumberFormat="1" applyFont="1" applyFill="1" applyBorder="1" applyAlignment="1">
      <alignment horizontal="right"/>
    </xf>
    <xf numFmtId="165" fontId="92" fillId="0" borderId="0" xfId="14" applyNumberFormat="1" applyFont="1" applyFill="1" applyBorder="1"/>
    <xf numFmtId="167" fontId="0" fillId="5" borderId="0" xfId="0" applyNumberFormat="1" applyFill="1" applyBorder="1"/>
    <xf numFmtId="199" fontId="0" fillId="5" borderId="0" xfId="0" applyNumberFormat="1" applyFill="1" applyBorder="1"/>
    <xf numFmtId="216" fontId="0" fillId="0" borderId="0" xfId="0" applyNumberFormat="1" applyBorder="1"/>
    <xf numFmtId="168" fontId="0" fillId="0" borderId="0" xfId="36" applyNumberFormat="1" applyFont="1" applyBorder="1"/>
    <xf numFmtId="0" fontId="91" fillId="16" borderId="0" xfId="0" applyFont="1" applyFill="1" applyBorder="1"/>
    <xf numFmtId="216" fontId="99" fillId="0" borderId="0" xfId="0" applyNumberFormat="1" applyFont="1" applyBorder="1"/>
    <xf numFmtId="9" fontId="0" fillId="0" borderId="0" xfId="36" applyFont="1" applyBorder="1"/>
    <xf numFmtId="0" fontId="16" fillId="0" borderId="0" xfId="0" applyFont="1" applyBorder="1"/>
    <xf numFmtId="7" fontId="0" fillId="0" borderId="0" xfId="0" applyNumberFormat="1" applyBorder="1"/>
    <xf numFmtId="216" fontId="100" fillId="0" borderId="0" xfId="0" applyNumberFormat="1" applyFont="1" applyBorder="1"/>
    <xf numFmtId="0" fontId="100" fillId="0" borderId="0" xfId="0" applyFont="1" applyBorder="1"/>
    <xf numFmtId="216" fontId="104" fillId="0" borderId="0" xfId="14" applyNumberFormat="1" applyFont="1" applyBorder="1"/>
    <xf numFmtId="9" fontId="13" fillId="0" borderId="9" xfId="0" applyNumberFormat="1" applyFont="1" applyFill="1" applyBorder="1"/>
    <xf numFmtId="0" fontId="51" fillId="0" borderId="0" xfId="0" applyFont="1" applyBorder="1"/>
    <xf numFmtId="175" fontId="27" fillId="0" borderId="0" xfId="0" applyNumberFormat="1" applyFont="1" applyBorder="1"/>
    <xf numFmtId="168" fontId="5" fillId="0" borderId="0" xfId="36" applyNumberFormat="1" applyFont="1" applyBorder="1"/>
    <xf numFmtId="7" fontId="5" fillId="0" borderId="0" xfId="0" applyNumberFormat="1" applyFont="1" applyBorder="1"/>
    <xf numFmtId="7" fontId="6" fillId="5" borderId="0" xfId="14" applyNumberFormat="1" applyFont="1" applyFill="1" applyBorder="1"/>
    <xf numFmtId="165" fontId="6" fillId="5" borderId="0" xfId="14" applyNumberFormat="1" applyFont="1" applyFill="1" applyBorder="1"/>
    <xf numFmtId="216" fontId="0" fillId="17" borderId="0" xfId="0" applyNumberFormat="1" applyFill="1" applyBorder="1"/>
    <xf numFmtId="9" fontId="47" fillId="17" borderId="0" xfId="36" applyFont="1" applyFill="1" applyBorder="1"/>
    <xf numFmtId="0" fontId="99" fillId="0" borderId="0" xfId="0" applyFont="1" applyBorder="1"/>
    <xf numFmtId="216" fontId="3" fillId="17" borderId="0" xfId="0" applyNumberFormat="1" applyFont="1" applyFill="1" applyBorder="1"/>
    <xf numFmtId="165" fontId="98" fillId="0" borderId="9" xfId="14" applyNumberFormat="1" applyFont="1" applyFill="1" applyBorder="1" applyAlignment="1">
      <alignment horizontal="right" wrapText="1"/>
    </xf>
    <xf numFmtId="165" fontId="4" fillId="0" borderId="2" xfId="14" applyNumberFormat="1" applyFont="1" applyFill="1" applyBorder="1" applyAlignment="1">
      <alignment horizontal="right" wrapText="1"/>
    </xf>
    <xf numFmtId="165" fontId="4" fillId="0" borderId="16" xfId="14" applyNumberFormat="1" applyFont="1" applyFill="1" applyBorder="1" applyAlignment="1">
      <alignment horizontal="right" wrapText="1"/>
    </xf>
    <xf numFmtId="216" fontId="97" fillId="0" borderId="5" xfId="14" applyNumberFormat="1" applyFont="1" applyFill="1" applyBorder="1"/>
    <xf numFmtId="168" fontId="94" fillId="0" borderId="0" xfId="36" applyNumberFormat="1" applyFont="1" applyFill="1" applyAlignment="1">
      <alignment horizontal="right"/>
    </xf>
    <xf numFmtId="201" fontId="4" fillId="0" borderId="0" xfId="18" applyNumberFormat="1" applyFont="1"/>
    <xf numFmtId="201" fontId="4" fillId="0" borderId="9" xfId="18" applyNumberFormat="1" applyFont="1" applyBorder="1"/>
    <xf numFmtId="165" fontId="97" fillId="0" borderId="0" xfId="14" applyNumberFormat="1" applyFont="1" applyFill="1" applyBorder="1" applyAlignment="1">
      <alignment horizontal="right" wrapText="1"/>
    </xf>
    <xf numFmtId="7" fontId="97" fillId="0" borderId="4" xfId="14" applyNumberFormat="1" applyFont="1" applyFill="1" applyBorder="1" applyAlignment="1"/>
    <xf numFmtId="167" fontId="13" fillId="0" borderId="13" xfId="0" applyNumberFormat="1" applyFont="1" applyFill="1" applyBorder="1"/>
    <xf numFmtId="167" fontId="96" fillId="0" borderId="9" xfId="0" applyNumberFormat="1" applyFont="1" applyFill="1" applyBorder="1"/>
    <xf numFmtId="7" fontId="17" fillId="0" borderId="5" xfId="14" applyNumberFormat="1" applyFont="1" applyFill="1" applyBorder="1" applyAlignment="1"/>
    <xf numFmtId="0" fontId="6" fillId="15" borderId="0" xfId="0" applyFont="1" applyFill="1" applyAlignment="1">
      <alignment horizontal="left"/>
    </xf>
    <xf numFmtId="167" fontId="6" fillId="15" borderId="0" xfId="0" applyNumberFormat="1" applyFont="1" applyFill="1" applyBorder="1" applyAlignment="1">
      <alignment horizontal="center"/>
    </xf>
    <xf numFmtId="9" fontId="13" fillId="15" borderId="0" xfId="36" applyFont="1" applyFill="1" applyBorder="1"/>
    <xf numFmtId="9" fontId="13" fillId="15" borderId="9" xfId="36" applyFont="1" applyFill="1" applyBorder="1"/>
    <xf numFmtId="0" fontId="13" fillId="15" borderId="0" xfId="0" applyFont="1" applyFill="1" applyAlignment="1">
      <alignment horizontal="left"/>
    </xf>
    <xf numFmtId="167" fontId="6" fillId="15" borderId="0" xfId="0" applyNumberFormat="1" applyFont="1" applyFill="1" applyBorder="1"/>
    <xf numFmtId="168" fontId="13" fillId="15" borderId="0" xfId="0" applyNumberFormat="1" applyFont="1" applyFill="1" applyAlignment="1">
      <alignment horizontal="right"/>
    </xf>
    <xf numFmtId="168" fontId="13" fillId="15" borderId="9" xfId="0" applyNumberFormat="1" applyFont="1" applyFill="1" applyBorder="1" applyAlignment="1">
      <alignment horizontal="right"/>
    </xf>
    <xf numFmtId="168" fontId="87" fillId="15" borderId="0" xfId="0" applyNumberFormat="1" applyFont="1" applyFill="1" applyAlignment="1">
      <alignment horizontal="right"/>
    </xf>
    <xf numFmtId="9" fontId="13" fillId="17" borderId="9" xfId="36" applyFont="1" applyFill="1" applyBorder="1"/>
    <xf numFmtId="168" fontId="13" fillId="0" borderId="9" xfId="36" applyNumberFormat="1" applyFont="1" applyFill="1" applyBorder="1"/>
    <xf numFmtId="0" fontId="6" fillId="11" borderId="0" xfId="0" applyFont="1" applyFill="1"/>
    <xf numFmtId="165" fontId="8" fillId="11" borderId="0" xfId="14" applyNumberFormat="1" applyFont="1" applyFill="1" applyBorder="1" applyAlignment="1">
      <alignment horizontal="right" wrapText="1"/>
    </xf>
    <xf numFmtId="165" fontId="14" fillId="11" borderId="0" xfId="14" applyNumberFormat="1" applyFont="1" applyFill="1" applyBorder="1" applyAlignment="1">
      <alignment horizontal="right" wrapText="1"/>
    </xf>
    <xf numFmtId="165" fontId="4" fillId="11" borderId="9" xfId="14" applyNumberFormat="1" applyFont="1" applyFill="1" applyBorder="1" applyAlignment="1">
      <alignment horizontal="right" wrapText="1"/>
    </xf>
    <xf numFmtId="167" fontId="13" fillId="11" borderId="0" xfId="0" applyNumberFormat="1" applyFont="1" applyFill="1"/>
    <xf numFmtId="165" fontId="97" fillId="11" borderId="9" xfId="14" applyNumberFormat="1" applyFont="1" applyFill="1" applyBorder="1" applyAlignment="1">
      <alignment horizontal="right" wrapText="1"/>
    </xf>
    <xf numFmtId="165" fontId="96" fillId="11" borderId="0" xfId="14" applyNumberFormat="1" applyFont="1" applyFill="1" applyBorder="1" applyAlignment="1">
      <alignment horizontal="right" wrapText="1"/>
    </xf>
    <xf numFmtId="165" fontId="6" fillId="11" borderId="9" xfId="14" applyNumberFormat="1" applyFont="1" applyFill="1" applyBorder="1" applyAlignment="1">
      <alignment horizontal="right" wrapText="1"/>
    </xf>
    <xf numFmtId="167" fontId="6" fillId="11" borderId="0" xfId="0" applyNumberFormat="1" applyFont="1" applyFill="1"/>
    <xf numFmtId="165" fontId="86" fillId="11" borderId="0" xfId="14" applyNumberFormat="1" applyFont="1" applyFill="1" applyBorder="1" applyAlignment="1">
      <alignment horizontal="right" wrapText="1"/>
    </xf>
    <xf numFmtId="0" fontId="4" fillId="11" borderId="0" xfId="0" applyFont="1" applyFill="1"/>
    <xf numFmtId="165" fontId="55" fillId="11" borderId="0" xfId="14" applyNumberFormat="1" applyFont="1" applyFill="1" applyBorder="1" applyAlignment="1">
      <alignment horizontal="right" wrapText="1"/>
    </xf>
    <xf numFmtId="0" fontId="32" fillId="11" borderId="0" xfId="0" applyFont="1" applyFill="1" applyAlignment="1">
      <alignment horizontal="left" indent="2"/>
    </xf>
    <xf numFmtId="0" fontId="0" fillId="11" borderId="0" xfId="0" applyFill="1"/>
    <xf numFmtId="0" fontId="0" fillId="11" borderId="0" xfId="0" applyFill="1" applyBorder="1"/>
    <xf numFmtId="0" fontId="3" fillId="11" borderId="9" xfId="0" applyFont="1" applyFill="1" applyBorder="1"/>
    <xf numFmtId="168" fontId="13" fillId="11" borderId="0" xfId="0" applyNumberFormat="1" applyFont="1" applyFill="1" applyBorder="1" applyAlignment="1">
      <alignment horizontal="right"/>
    </xf>
    <xf numFmtId="168" fontId="13" fillId="11" borderId="0" xfId="36" applyNumberFormat="1" applyFont="1" applyFill="1" applyBorder="1" applyAlignment="1">
      <alignment horizontal="right"/>
    </xf>
    <xf numFmtId="168" fontId="13" fillId="11" borderId="9" xfId="36" applyNumberFormat="1" applyFont="1" applyFill="1" applyBorder="1" applyAlignment="1">
      <alignment horizontal="right"/>
    </xf>
    <xf numFmtId="174" fontId="6" fillId="11" borderId="0" xfId="0" applyNumberFormat="1" applyFont="1" applyFill="1" applyBorder="1" applyAlignment="1">
      <alignment horizontal="right"/>
    </xf>
    <xf numFmtId="0" fontId="6" fillId="11" borderId="0" xfId="0" applyFont="1" applyFill="1" applyAlignment="1">
      <alignment horizontal="left"/>
    </xf>
    <xf numFmtId="167" fontId="6" fillId="11" borderId="0" xfId="0" applyNumberFormat="1" applyFont="1" applyFill="1" applyBorder="1"/>
    <xf numFmtId="168" fontId="13" fillId="11" borderId="0" xfId="0" applyNumberFormat="1" applyFont="1" applyFill="1" applyAlignment="1">
      <alignment horizontal="right"/>
    </xf>
    <xf numFmtId="168" fontId="13" fillId="11" borderId="9" xfId="0" applyNumberFormat="1" applyFont="1" applyFill="1" applyBorder="1" applyAlignment="1">
      <alignment horizontal="right"/>
    </xf>
    <xf numFmtId="167" fontId="6" fillId="11" borderId="0" xfId="0" applyNumberFormat="1" applyFont="1" applyFill="1" applyBorder="1" applyAlignment="1">
      <alignment horizontal="right"/>
    </xf>
    <xf numFmtId="168" fontId="13" fillId="11" borderId="13" xfId="0" applyNumberFormat="1" applyFont="1" applyFill="1" applyBorder="1" applyAlignment="1">
      <alignment horizontal="right"/>
    </xf>
    <xf numFmtId="165" fontId="86" fillId="0" borderId="0" xfId="18" applyNumberFormat="1" applyFont="1" applyFill="1"/>
    <xf numFmtId="165" fontId="25" fillId="2" borderId="4" xfId="0" applyNumberFormat="1" applyFont="1" applyFill="1" applyBorder="1"/>
    <xf numFmtId="165" fontId="106" fillId="0" borderId="2" xfId="14" applyNumberFormat="1" applyFont="1" applyFill="1" applyBorder="1" applyAlignment="1">
      <alignment horizontal="right" wrapText="1"/>
    </xf>
    <xf numFmtId="168" fontId="88" fillId="0" borderId="0" xfId="36" applyNumberFormat="1" applyFont="1" applyFill="1" applyAlignment="1">
      <alignment horizontal="right"/>
    </xf>
    <xf numFmtId="0" fontId="68" fillId="0" borderId="0" xfId="0" applyFont="1" applyFill="1"/>
    <xf numFmtId="0" fontId="13" fillId="0" borderId="2" xfId="0" applyFont="1" applyFill="1" applyBorder="1"/>
    <xf numFmtId="7" fontId="5" fillId="0" borderId="9" xfId="0" applyNumberFormat="1" applyFont="1" applyFill="1" applyBorder="1"/>
    <xf numFmtId="165" fontId="87" fillId="11" borderId="0" xfId="14" applyNumberFormat="1" applyFont="1" applyFill="1" applyBorder="1" applyAlignment="1">
      <alignment horizontal="right" wrapText="1"/>
    </xf>
    <xf numFmtId="168" fontId="96" fillId="15" borderId="0" xfId="0" applyNumberFormat="1" applyFont="1" applyFill="1" applyAlignment="1">
      <alignment horizontal="right"/>
    </xf>
    <xf numFmtId="168" fontId="13" fillId="11" borderId="0" xfId="0" applyNumberFormat="1" applyFont="1" applyFill="1"/>
    <xf numFmtId="168" fontId="13" fillId="11" borderId="9" xfId="0" applyNumberFormat="1" applyFont="1" applyFill="1" applyBorder="1"/>
    <xf numFmtId="167" fontId="6" fillId="11" borderId="0" xfId="0" applyNumberFormat="1" applyFont="1" applyFill="1" applyBorder="1" applyAlignment="1">
      <alignment horizontal="center"/>
    </xf>
    <xf numFmtId="167" fontId="13" fillId="11" borderId="0" xfId="0" applyNumberFormat="1" applyFont="1" applyFill="1" applyBorder="1"/>
    <xf numFmtId="167" fontId="13" fillId="11" borderId="9" xfId="0" applyNumberFormat="1" applyFont="1" applyFill="1" applyBorder="1"/>
    <xf numFmtId="9" fontId="13" fillId="11" borderId="0" xfId="36" applyFont="1" applyFill="1" applyBorder="1"/>
    <xf numFmtId="168" fontId="13" fillId="11" borderId="9" xfId="36" applyNumberFormat="1" applyFont="1" applyFill="1" applyBorder="1"/>
    <xf numFmtId="168" fontId="6" fillId="11" borderId="0" xfId="0" applyNumberFormat="1" applyFont="1" applyFill="1" applyBorder="1" applyAlignment="1">
      <alignment horizontal="center"/>
    </xf>
    <xf numFmtId="168" fontId="13" fillId="11" borderId="0" xfId="36" applyNumberFormat="1" applyFont="1" applyFill="1" applyBorder="1"/>
    <xf numFmtId="165" fontId="98" fillId="11" borderId="0" xfId="14" applyNumberFormat="1" applyFont="1" applyFill="1" applyBorder="1" applyAlignment="1">
      <alignment horizontal="right" wrapText="1"/>
    </xf>
    <xf numFmtId="165" fontId="98" fillId="11" borderId="9" xfId="14" applyNumberFormat="1" applyFont="1" applyFill="1" applyBorder="1" applyAlignment="1">
      <alignment horizontal="right" wrapText="1"/>
    </xf>
    <xf numFmtId="167" fontId="96" fillId="11" borderId="0" xfId="0" applyNumberFormat="1" applyFont="1" applyFill="1"/>
    <xf numFmtId="176" fontId="0" fillId="0" borderId="0" xfId="14" applyNumberFormat="1" applyFont="1"/>
    <xf numFmtId="176" fontId="12" fillId="0" borderId="0" xfId="14" applyNumberFormat="1" applyFont="1" applyFill="1" applyBorder="1" applyAlignment="1">
      <alignment horizontal="right"/>
    </xf>
    <xf numFmtId="43" fontId="12" fillId="0" borderId="0" xfId="14" applyFont="1" applyFill="1" applyBorder="1" applyAlignment="1">
      <alignment horizontal="right"/>
    </xf>
    <xf numFmtId="167" fontId="86" fillId="0" borderId="0" xfId="14" applyNumberFormat="1" applyFont="1" applyFill="1" applyAlignment="1"/>
    <xf numFmtId="5" fontId="96" fillId="0" borderId="2" xfId="34" applyNumberFormat="1" applyFont="1" applyFill="1" applyBorder="1"/>
    <xf numFmtId="168" fontId="4" fillId="0" borderId="0" xfId="0" applyNumberFormat="1" applyFont="1" applyFill="1" applyBorder="1"/>
    <xf numFmtId="0" fontId="15" fillId="0" borderId="0" xfId="0" applyFont="1" applyFill="1" applyBorder="1" applyAlignment="1" applyProtection="1">
      <protection locked="0"/>
    </xf>
    <xf numFmtId="165" fontId="6" fillId="0" borderId="0" xfId="14" applyNumberFormat="1" applyFont="1" applyFill="1" applyBorder="1" applyProtection="1"/>
    <xf numFmtId="165" fontId="6" fillId="0" borderId="0" xfId="14" applyNumberFormat="1" applyFont="1" applyFill="1" applyBorder="1" applyAlignment="1" applyProtection="1">
      <alignment horizontal="right"/>
    </xf>
    <xf numFmtId="0" fontId="6" fillId="0" borderId="0" xfId="0" applyFont="1" applyFill="1" applyBorder="1" applyAlignment="1" applyProtection="1">
      <protection locked="0"/>
    </xf>
    <xf numFmtId="169" fontId="6" fillId="0" borderId="0" xfId="14" applyNumberFormat="1" applyFont="1" applyFill="1" applyBorder="1" applyProtection="1"/>
    <xf numFmtId="167" fontId="96" fillId="0" borderId="0" xfId="14" applyNumberFormat="1" applyFont="1" applyFill="1" applyBorder="1" applyAlignment="1" applyProtection="1">
      <alignment horizontal="right"/>
      <protection locked="0"/>
    </xf>
    <xf numFmtId="168" fontId="6" fillId="0" borderId="0" xfId="36" applyNumberFormat="1" applyFont="1" applyFill="1" applyBorder="1" applyProtection="1"/>
    <xf numFmtId="168" fontId="96" fillId="0" borderId="0" xfId="36" applyNumberFormat="1" applyFont="1" applyFill="1" applyBorder="1" applyAlignment="1" applyProtection="1">
      <alignment horizontal="right"/>
      <protection locked="0"/>
    </xf>
    <xf numFmtId="167" fontId="6" fillId="0" borderId="0" xfId="14" applyNumberFormat="1" applyFont="1" applyFill="1" applyBorder="1" applyAlignment="1" applyProtection="1">
      <alignment horizontal="right"/>
      <protection locked="0"/>
    </xf>
    <xf numFmtId="167" fontId="6" fillId="0" borderId="0" xfId="36" applyNumberFormat="1" applyFont="1" applyFill="1" applyBorder="1" applyAlignment="1" applyProtection="1">
      <alignment horizontal="right"/>
    </xf>
    <xf numFmtId="167" fontId="6" fillId="0" borderId="0" xfId="36" applyNumberFormat="1" applyFont="1" applyFill="1" applyBorder="1" applyProtection="1"/>
    <xf numFmtId="0" fontId="4" fillId="0" borderId="0" xfId="0" applyFont="1" applyFill="1" applyBorder="1" applyAlignment="1" applyProtection="1">
      <protection locked="0"/>
    </xf>
    <xf numFmtId="168" fontId="4" fillId="0" borderId="0" xfId="36" applyNumberFormat="1" applyFont="1" applyFill="1" applyBorder="1" applyProtection="1"/>
    <xf numFmtId="167" fontId="4" fillId="0" borderId="0" xfId="14" applyNumberFormat="1" applyFont="1" applyFill="1" applyBorder="1" applyAlignment="1" applyProtection="1">
      <alignment horizontal="right"/>
      <protection locked="0"/>
    </xf>
    <xf numFmtId="167" fontId="4" fillId="0" borderId="0" xfId="36" applyNumberFormat="1" applyFont="1" applyFill="1" applyBorder="1" applyAlignment="1" applyProtection="1">
      <alignment horizontal="right"/>
    </xf>
    <xf numFmtId="167" fontId="4" fillId="0" borderId="0" xfId="36" applyNumberFormat="1" applyFont="1" applyFill="1" applyBorder="1" applyProtection="1"/>
    <xf numFmtId="9" fontId="4" fillId="0" borderId="0" xfId="36" applyFont="1" applyFill="1" applyBorder="1" applyProtection="1"/>
    <xf numFmtId="168" fontId="4" fillId="0" borderId="0" xfId="36" applyNumberFormat="1" applyFont="1" applyFill="1" applyBorder="1" applyAlignment="1" applyProtection="1">
      <alignment horizontal="right"/>
      <protection locked="0"/>
    </xf>
    <xf numFmtId="168" fontId="4" fillId="0" borderId="0" xfId="36" applyNumberFormat="1" applyFont="1" applyFill="1" applyBorder="1" applyAlignment="1" applyProtection="1">
      <alignment horizontal="right"/>
    </xf>
    <xf numFmtId="9" fontId="6" fillId="0" borderId="0" xfId="36" applyFont="1" applyFill="1" applyBorder="1" applyProtection="1"/>
    <xf numFmtId="168" fontId="6" fillId="0" borderId="0" xfId="36" applyNumberFormat="1" applyFont="1" applyFill="1" applyBorder="1" applyAlignment="1" applyProtection="1">
      <alignment horizontal="right"/>
      <protection locked="0"/>
    </xf>
    <xf numFmtId="9" fontId="6" fillId="0" borderId="0" xfId="36" applyFont="1" applyFill="1" applyBorder="1" applyAlignment="1" applyProtection="1">
      <alignment horizontal="right"/>
    </xf>
    <xf numFmtId="165" fontId="6" fillId="0" borderId="0" xfId="14" applyNumberFormat="1" applyFont="1" applyFill="1" applyBorder="1" applyAlignment="1" applyProtection="1">
      <alignment horizontal="right"/>
      <protection locked="0"/>
    </xf>
    <xf numFmtId="0" fontId="12" fillId="0" borderId="0" xfId="0" applyFont="1" applyFill="1" applyBorder="1" applyAlignment="1" applyProtection="1">
      <protection locked="0"/>
    </xf>
    <xf numFmtId="165" fontId="4" fillId="0" borderId="0" xfId="14" applyNumberFormat="1" applyFont="1" applyFill="1" applyBorder="1" applyAlignment="1" applyProtection="1">
      <alignment horizontal="right"/>
      <protection locked="0"/>
    </xf>
    <xf numFmtId="165" fontId="4" fillId="0" borderId="0" xfId="14" applyNumberFormat="1" applyFont="1" applyFill="1" applyBorder="1" applyAlignment="1" applyProtection="1">
      <alignment horizontal="right"/>
    </xf>
    <xf numFmtId="165" fontId="4" fillId="0" borderId="0" xfId="14" applyNumberFormat="1" applyFont="1" applyFill="1" applyBorder="1" applyProtection="1"/>
    <xf numFmtId="176" fontId="4" fillId="0" borderId="0" xfId="14" applyNumberFormat="1" applyFont="1" applyFill="1" applyBorder="1" applyAlignment="1" applyProtection="1">
      <alignment horizontal="right"/>
      <protection locked="0"/>
    </xf>
    <xf numFmtId="176" fontId="4" fillId="0" borderId="0" xfId="14" applyNumberFormat="1" applyFont="1" applyFill="1" applyBorder="1" applyAlignment="1" applyProtection="1">
      <alignment horizontal="right"/>
    </xf>
    <xf numFmtId="176" fontId="4" fillId="0" borderId="0" xfId="14" applyNumberFormat="1" applyFont="1" applyFill="1" applyBorder="1" applyProtection="1"/>
    <xf numFmtId="176" fontId="6" fillId="0" borderId="0" xfId="36" applyNumberFormat="1" applyFont="1" applyFill="1" applyBorder="1" applyProtection="1"/>
    <xf numFmtId="167" fontId="6" fillId="0" borderId="0" xfId="14" applyNumberFormat="1" applyFont="1" applyFill="1" applyBorder="1" applyProtection="1"/>
    <xf numFmtId="167" fontId="6" fillId="0" borderId="0" xfId="14" applyNumberFormat="1" applyFont="1" applyFill="1" applyBorder="1" applyAlignment="1" applyProtection="1">
      <alignment horizontal="right"/>
    </xf>
    <xf numFmtId="215" fontId="6" fillId="0" borderId="0" xfId="0" applyNumberFormat="1" applyFont="1" applyFill="1" applyAlignment="1"/>
    <xf numFmtId="168" fontId="94" fillId="18" borderId="0" xfId="0" applyNumberFormat="1" applyFont="1" applyFill="1" applyAlignment="1">
      <alignment horizontal="right"/>
    </xf>
    <xf numFmtId="168" fontId="94" fillId="18" borderId="0" xfId="36" applyNumberFormat="1" applyFont="1" applyFill="1" applyAlignment="1"/>
    <xf numFmtId="9" fontId="3" fillId="5" borderId="0" xfId="36" applyFont="1" applyFill="1"/>
    <xf numFmtId="7" fontId="108" fillId="0" borderId="0" xfId="14" applyNumberFormat="1" applyFont="1" applyFill="1" applyBorder="1"/>
    <xf numFmtId="168" fontId="88" fillId="19" borderId="0" xfId="36" applyNumberFormat="1" applyFont="1" applyFill="1" applyAlignment="1"/>
    <xf numFmtId="9" fontId="63" fillId="0" borderId="9" xfId="36" applyFont="1" applyFill="1" applyBorder="1"/>
    <xf numFmtId="43" fontId="13" fillId="0" borderId="0" xfId="14" applyFont="1" applyFill="1" applyBorder="1"/>
    <xf numFmtId="176" fontId="4" fillId="10" borderId="0" xfId="14" applyNumberFormat="1" applyFont="1" applyFill="1" applyBorder="1"/>
    <xf numFmtId="175" fontId="98" fillId="0" borderId="0" xfId="34" applyNumberFormat="1" applyFont="1" applyFill="1" applyAlignment="1">
      <alignment horizontal="center"/>
    </xf>
    <xf numFmtId="168" fontId="95" fillId="0" borderId="2" xfId="16" applyNumberFormat="1" applyFont="1" applyFill="1" applyBorder="1" applyAlignment="1" applyProtection="1">
      <alignment horizontal="center"/>
      <protection locked="0"/>
    </xf>
    <xf numFmtId="184" fontId="96" fillId="0" borderId="0" xfId="34" applyNumberFormat="1" applyFont="1" applyFill="1" applyAlignment="1">
      <alignment horizontal="center"/>
    </xf>
    <xf numFmtId="167" fontId="96" fillId="0" borderId="0" xfId="34" applyNumberFormat="1" applyFont="1" applyFill="1" applyBorder="1" applyAlignment="1">
      <alignment horizontal="center"/>
    </xf>
    <xf numFmtId="0" fontId="47" fillId="0" borderId="0" xfId="0" applyFont="1" applyBorder="1" applyAlignment="1">
      <alignment horizontal="right"/>
    </xf>
    <xf numFmtId="0" fontId="47" fillId="0" borderId="0" xfId="0" applyFont="1" applyBorder="1"/>
    <xf numFmtId="0" fontId="103" fillId="16" borderId="0" xfId="0" applyFont="1" applyFill="1" applyBorder="1"/>
    <xf numFmtId="9" fontId="47" fillId="0" borderId="0" xfId="36" applyFont="1" applyBorder="1"/>
    <xf numFmtId="0" fontId="105" fillId="0" borderId="0" xfId="0" applyFont="1" applyBorder="1"/>
    <xf numFmtId="0" fontId="6" fillId="0" borderId="2" xfId="0" applyFont="1" applyFill="1" applyBorder="1" applyAlignment="1">
      <alignment horizontal="center"/>
    </xf>
    <xf numFmtId="0" fontId="68" fillId="0" borderId="0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4" fillId="0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3" fillId="0" borderId="0" xfId="47"/>
    <xf numFmtId="0" fontId="3" fillId="20" borderId="0" xfId="50" applyFont="1" applyFill="1" applyAlignment="1">
      <alignment vertical="top"/>
    </xf>
    <xf numFmtId="0" fontId="3" fillId="20" borderId="0" xfId="47" applyFill="1" applyAlignment="1">
      <alignment vertical="top"/>
    </xf>
    <xf numFmtId="0" fontId="3" fillId="20" borderId="0" xfId="47" applyFill="1"/>
    <xf numFmtId="0" fontId="72" fillId="20" borderId="0" xfId="50" applyFont="1" applyFill="1" applyAlignment="1">
      <alignment horizontal="left" vertical="top"/>
    </xf>
    <xf numFmtId="0" fontId="3" fillId="20" borderId="0" xfId="47" applyFont="1" applyFill="1" applyAlignment="1">
      <alignment vertical="top"/>
    </xf>
    <xf numFmtId="0" fontId="27" fillId="20" borderId="0" xfId="50" applyFont="1" applyFill="1" applyAlignment="1">
      <alignment vertical="top"/>
    </xf>
    <xf numFmtId="0" fontId="0" fillId="20" borderId="0" xfId="0" applyFill="1" applyAlignment="1">
      <alignment vertical="top"/>
    </xf>
    <xf numFmtId="0" fontId="109" fillId="20" borderId="0" xfId="0" applyFont="1" applyFill="1" applyAlignment="1">
      <alignment vertical="top"/>
    </xf>
    <xf numFmtId="0" fontId="110" fillId="20" borderId="0" xfId="0" applyFont="1" applyFill="1" applyAlignment="1">
      <alignment vertical="top"/>
    </xf>
    <xf numFmtId="0" fontId="110" fillId="20" borderId="0" xfId="0" applyFont="1" applyFill="1" applyAlignment="1">
      <alignment vertical="top"/>
    </xf>
    <xf numFmtId="0" fontId="109" fillId="20" borderId="0" xfId="0" applyFont="1" applyFill="1" applyAlignment="1">
      <alignment vertical="top"/>
    </xf>
    <xf numFmtId="0" fontId="0" fillId="20" borderId="0" xfId="0" applyFill="1" applyAlignment="1">
      <alignment vertical="top"/>
    </xf>
    <xf numFmtId="0" fontId="0" fillId="20" borderId="22" xfId="0" applyFill="1" applyBorder="1" applyAlignment="1">
      <alignment vertical="top"/>
    </xf>
    <xf numFmtId="0" fontId="109" fillId="20" borderId="18" xfId="0" applyFont="1" applyFill="1" applyBorder="1" applyAlignment="1">
      <alignment vertical="top"/>
    </xf>
    <xf numFmtId="0" fontId="109" fillId="20" borderId="19" xfId="0" applyFont="1" applyFill="1" applyBorder="1" applyAlignment="1">
      <alignment vertical="top"/>
    </xf>
    <xf numFmtId="0" fontId="109" fillId="20" borderId="20" xfId="0" applyFont="1" applyFill="1" applyBorder="1" applyAlignment="1">
      <alignment vertical="top"/>
    </xf>
    <xf numFmtId="0" fontId="109" fillId="20" borderId="21" xfId="0" applyFont="1" applyFill="1" applyBorder="1" applyAlignment="1">
      <alignment vertical="top"/>
    </xf>
    <xf numFmtId="9" fontId="109" fillId="20" borderId="18" xfId="0" applyNumberFormat="1" applyFont="1" applyFill="1" applyBorder="1" applyAlignment="1">
      <alignment vertical="top"/>
    </xf>
    <xf numFmtId="3" fontId="109" fillId="20" borderId="18" xfId="0" applyNumberFormat="1" applyFont="1" applyFill="1" applyBorder="1" applyAlignment="1">
      <alignment vertical="top"/>
    </xf>
    <xf numFmtId="0" fontId="0" fillId="20" borderId="23" xfId="0" applyFill="1" applyBorder="1" applyAlignment="1">
      <alignment vertical="top"/>
    </xf>
    <xf numFmtId="2" fontId="3" fillId="0" borderId="0" xfId="47" applyNumberFormat="1" applyAlignment="1">
      <alignment horizontal="left"/>
    </xf>
    <xf numFmtId="0" fontId="3" fillId="0" borderId="0" xfId="47" applyNumberFormat="1" applyAlignment="1">
      <alignment horizontal="left"/>
    </xf>
    <xf numFmtId="1" fontId="3" fillId="0" borderId="0" xfId="47" applyNumberFormat="1" applyAlignment="1">
      <alignment horizontal="left"/>
    </xf>
    <xf numFmtId="0" fontId="3" fillId="0" borderId="0" xfId="47" applyFont="1"/>
    <xf numFmtId="227" fontId="3" fillId="0" borderId="0" xfId="47" applyNumberFormat="1" applyAlignment="1">
      <alignment horizontal="left"/>
    </xf>
    <xf numFmtId="49" fontId="3" fillId="0" borderId="0" xfId="47" applyNumberFormat="1"/>
  </cellXfs>
  <cellStyles count="51">
    <cellStyle name=" 1" xfId="2"/>
    <cellStyle name="_COV" xfId="3"/>
    <cellStyle name="_COV_A_Nov20 2 2" xfId="4"/>
    <cellStyle name="_SUMMARY " xfId="5"/>
    <cellStyle name="=C:\WINNT35\SYSTEM32\COMMAND.COM" xfId="7"/>
    <cellStyle name="0_Capex &amp; Depreciation " xfId="8"/>
    <cellStyle name="0_Pension_UTX Example_Acute Care " xfId="9"/>
    <cellStyle name="0_TPP.N Ver 15_Acute Care " xfId="10"/>
    <cellStyle name="0_Valuing BP " xfId="11"/>
    <cellStyle name="c_HardInc " xfId="12"/>
    <cellStyle name="Comma" xfId="14" builtinId="3"/>
    <cellStyle name="Comma 2" xfId="15"/>
    <cellStyle name="Comma 3" xfId="46"/>
    <cellStyle name="Comma_BKS" xfId="16"/>
    <cellStyle name="Comma_Sheet1" xfId="17"/>
    <cellStyle name="Currency" xfId="18" builtinId="4"/>
    <cellStyle name="Currency 2" xfId="19"/>
    <cellStyle name="Currency 3" xfId="20"/>
    <cellStyle name="Currency 4" xfId="13"/>
    <cellStyle name="Currency 5" xfId="45"/>
    <cellStyle name="Currency 5 2 2" xfId="49"/>
    <cellStyle name="Hyperlink" xfId="21" builtinId="8"/>
    <cellStyle name="Hyperlink 2" xfId="22"/>
    <cellStyle name="Normal" xfId="0" builtinId="0"/>
    <cellStyle name="Normal 2" xfId="23"/>
    <cellStyle name="Normal 29" xfId="48"/>
    <cellStyle name="Normal 3" xfId="24"/>
    <cellStyle name="Normal 3 2" xfId="47"/>
    <cellStyle name="Normal 4" xfId="25"/>
    <cellStyle name="Normal 5" xfId="26"/>
    <cellStyle name="Normal 6" xfId="43"/>
    <cellStyle name="Normal 7" xfId="1"/>
    <cellStyle name="Normal_ABMD2Q2009_v2" xfId="27"/>
    <cellStyle name="Normal_bec" xfId="28"/>
    <cellStyle name="Normal_BS" xfId="29"/>
    <cellStyle name="Normal_CYTC" xfId="30"/>
    <cellStyle name="Normal_DisclaimerSheet Samples" xfId="50"/>
    <cellStyle name="Normal_EVVV" xfId="31"/>
    <cellStyle name="Normal_HOLXcurrent" xfId="32"/>
    <cellStyle name="Normal_MAY" xfId="33"/>
    <cellStyle name="Normal_WBMD" xfId="34"/>
    <cellStyle name="p " xfId="35"/>
    <cellStyle name="Percent" xfId="36" builtinId="5"/>
    <cellStyle name="Percent 2" xfId="37"/>
    <cellStyle name="Percent 3" xfId="38"/>
    <cellStyle name="Percent 4" xfId="44"/>
    <cellStyle name="RRSInstruction" xfId="39"/>
    <cellStyle name="RRSInstruction 2" xfId="6"/>
    <cellStyle name="s_HardInc " xfId="40"/>
    <cellStyle name="s_Valuation " xfId="41"/>
    <cellStyle name="ssp " xfId="4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externalLinks/externalLink1.xml" Type="http://schemas.openxmlformats.org/officeDocument/2006/relationships/externalLink"/>
<Relationship Id="rId13" Target="externalLinks/externalLink2.xml" Type="http://schemas.openxmlformats.org/officeDocument/2006/relationships/externalLink"/>
<Relationship Id="rId14" Target="externalLinks/externalLink3.xml" Type="http://schemas.openxmlformats.org/officeDocument/2006/relationships/externalLink"/>
<Relationship Id="rId15" Target="externalLinks/externalLink4.xml" Type="http://schemas.openxmlformats.org/officeDocument/2006/relationships/externalLink"/>
<Relationship Id="rId16" Target="externalLinks/externalLink5.xml" Type="http://schemas.openxmlformats.org/officeDocument/2006/relationships/externalLink"/>
<Relationship Id="rId17" Target="externalLinks/externalLink6.xml" Type="http://schemas.openxmlformats.org/officeDocument/2006/relationships/externalLink"/>
<Relationship Id="rId18" Target="externalLinks/externalLink7.xml" Type="http://schemas.openxmlformats.org/officeDocument/2006/relationships/externalLink"/>
<Relationship Id="rId19" Target="theme/theme1.xml" Type="http://schemas.openxmlformats.org/officeDocument/2006/relationships/theme"/>
<Relationship Id="rId2" Target="worksheets/sheet2.xml" Type="http://schemas.openxmlformats.org/officeDocument/2006/relationships/worksheet"/>
<Relationship Id="rId20" Target="styles.xml" Type="http://schemas.openxmlformats.org/officeDocument/2006/relationships/styles"/>
<Relationship Id="rId21" Target="sharedStrings.xml" Type="http://schemas.openxmlformats.org/officeDocument/2006/relationships/sharedStrings"/>
<Relationship Id="rId22" Target="calcChain.xml" Type="http://schemas.openxmlformats.org/officeDocument/2006/relationships/calcChain"/>
<Relationship Id="rId23" Target="../customXml/item1.xml" Type="http://schemas.openxmlformats.org/officeDocument/2006/relationships/customXml"/>
<Relationship Id="rId24" Target="../customXml/item2.xml" Type="http://schemas.openxmlformats.org/officeDocument/2006/relationships/customXml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ctrlProps/ctrlProp1.xml><?xml version="1.0" encoding="utf-8"?>
<formControlPr xmlns="http://schemas.microsoft.com/office/spreadsheetml/2009/9/main" objectType="Drop" dropStyle="combo" dx="16" fmlaLink="$B$95" fmlaRange="$DK$2:$DK$4" noThreeD="1" val="0"/>
</file>

<file path=xl/ctrlProps/ctrlProp2.xml><?xml version="1.0" encoding="utf-8"?>
<formControlPr xmlns="http://schemas.microsoft.com/office/spreadsheetml/2009/9/main" objectType="Drop" dropStyle="combo" dx="16" fmlaLink="#REF!" fmlaRange="#REF!" noThreeD="1" sel="0" val="0"/>
</file>

<file path=xl/ctrlProps/ctrlProp3.xml><?xml version="1.0" encoding="utf-8"?>
<formControlPr xmlns="http://schemas.microsoft.com/office/spreadsheetml/2009/9/main" objectType="Drop" dropStyle="combo" dx="16" fmlaLink="$A$109" fmlaRange="$BL$2:$BL$4" noThreeD="1" sel="0" val="0"/>
</file>

<file path=xl/ctrlProps/ctrlProp4.xml><?xml version="1.0" encoding="utf-8"?>
<formControlPr xmlns="http://schemas.microsoft.com/office/spreadsheetml/2009/9/main" objectType="Drop" dropStyle="combo" dx="16" fmlaLink="'P&amp;L'!$B$95" fmlaRange="'P&amp;L'!$DK$2:$DK$4" noThreeD="1" val="0"/>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media/image4.jpeg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171</xdr:row>
      <xdr:rowOff>0</xdr:rowOff>
    </xdr:from>
    <xdr:to>
      <xdr:col>7</xdr:col>
      <xdr:colOff>390525</xdr:colOff>
      <xdr:row>194</xdr:row>
      <xdr:rowOff>104775</xdr:rowOff>
    </xdr:to>
    <xdr:pic>
      <xdr:nvPicPr>
        <xdr:cNvPr id="31676417" name="Picture 1" descr="C:\Users\wachter\AppData\Local\Temp\MercuryPriceRatingHistoryChart\MYGN.O_2018_03_27_18_35_43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31757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1647825</xdr:colOff>
      <xdr:row>0</xdr:row>
      <xdr:rowOff>95250</xdr:rowOff>
    </xdr:from>
    <xdr:to>
      <xdr:col>4</xdr:col>
      <xdr:colOff>514350</xdr:colOff>
      <xdr:row>2</xdr:row>
      <xdr:rowOff>257175</xdr:rowOff>
    </xdr:to>
    <xdr:sp macro="" textlink="">
      <xdr:nvSpPr>
        <xdr:cNvPr id="8193" name="Text Box 1"/>
        <xdr:cNvSpPr txBox="1">
          <a:spLocks noChangeArrowheads="1"/>
        </xdr:cNvSpPr>
      </xdr:nvSpPr>
      <xdr:spPr bwMode="auto">
        <a:xfrm>
          <a:off x="5895975" y="95250"/>
          <a:ext cx="3448050" cy="790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Steve Beuchaw</a:t>
          </a:r>
        </a:p>
        <a:p>
          <a:pPr algn="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Medical Technology</a:t>
          </a:r>
        </a:p>
        <a:p>
          <a:pPr algn="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steve.beuchaw@morganstanley.com</a:t>
          </a:r>
        </a:p>
        <a:p>
          <a:pPr algn="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(212) 761-6672</a:t>
          </a:r>
        </a:p>
      </xdr:txBody>
    </xdr:sp>
    <xdr:clientData/>
  </xdr:twoCellAnchor>
  <xdr:twoCellAnchor editAs="oneCell">
    <xdr:from>
      <xdr:col>0</xdr:col>
      <xdr:colOff>47625</xdr:colOff>
      <xdr:row>1</xdr:row>
      <xdr:rowOff>0</xdr:rowOff>
    </xdr:from>
    <xdr:to>
      <xdr:col>0</xdr:col>
      <xdr:colOff>3257550</xdr:colOff>
      <xdr:row>2</xdr:row>
      <xdr:rowOff>9525</xdr:rowOff>
    </xdr:to>
    <xdr:pic>
      <xdr:nvPicPr>
        <xdr:cNvPr id="31942653" name="Picture 2" descr="Morgan%20Stanley%20sm_573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1925"/>
          <a:ext cx="32099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</xdr:row>
          <xdr:rowOff>66675</xdr:rowOff>
        </xdr:from>
        <xdr:to>
          <xdr:col>1</xdr:col>
          <xdr:colOff>1181100</xdr:colOff>
          <xdr:row>5</xdr:row>
          <xdr:rowOff>95250</xdr:rowOff>
        </xdr:to>
        <xdr:sp macro="" textlink="">
          <xdr:nvSpPr>
            <xdr:cNvPr id="4101" name="Drop Dow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</xdr:row>
          <xdr:rowOff>66675</xdr:rowOff>
        </xdr:from>
        <xdr:to>
          <xdr:col>1</xdr:col>
          <xdr:colOff>609600</xdr:colOff>
          <xdr:row>5</xdr:row>
          <xdr:rowOff>104775</xdr:rowOff>
        </xdr:to>
        <xdr:sp macro="" textlink="">
          <xdr:nvSpPr>
            <xdr:cNvPr id="31589377" name="Drop Down 1" hidden="1">
              <a:extLst>
                <a:ext uri="{63B3BB69-23CF-44E3-9099-C40C66FF867C}">
                  <a14:compatExt spid="_x0000_s31589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104775</xdr:colOff>
          <xdr:row>38</xdr:row>
          <xdr:rowOff>114300</xdr:rowOff>
        </xdr:from>
        <xdr:to>
          <xdr:col>21</xdr:col>
          <xdr:colOff>400050</xdr:colOff>
          <xdr:row>41</xdr:row>
          <xdr:rowOff>19050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28575</xdr:rowOff>
        </xdr:from>
        <xdr:to>
          <xdr:col>1</xdr:col>
          <xdr:colOff>285750</xdr:colOff>
          <xdr:row>1</xdr:row>
          <xdr:rowOff>95250</xdr:rowOff>
        </xdr:to>
        <xdr:sp macro="" textlink="">
          <xdr:nvSpPr>
            <xdr:cNvPr id="6150" name="Drop Dow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
<Relationships xmlns="http://schemas.openxmlformats.org/package/2006/relationships">
<Relationship Id="rId1" Target="file://///172.16.68.11/Archimedes/TEMP/Regions%20Fin%20Stmts%20THE%20GOAL%20HC.xls" TargetMode="External" Type="http://schemas.openxmlformats.org/officeDocument/2006/relationships/externalLinkPath"/>
</Relationships>

</file>

<file path=xl/externalLinks/_rels/externalLink2.xml.rels><?xml version="1.0" encoding="UTF-8" standalone="yes"?>
<Relationships xmlns="http://schemas.openxmlformats.org/package/2006/relationships">
<Relationship Id="rId1" Target="TEMP/data/excel/P.XLS" TargetMode="External" Type="http://schemas.microsoft.com/office/2006/relationships/xlExternalLinkPath/xlStartup"/>
</Relationships>

</file>

<file path=xl/externalLinks/_rels/externalLink3.xml.rels><?xml version="1.0" encoding="UTF-8" standalone="yes"?>
<Relationships xmlns="http://schemas.openxmlformats.org/package/2006/relationships">
<Relationship Id="rId1" Target="file://///Sony/c/business/&#38750;&#37444;/&#38750;&#37444;&#20250;~1/&#21516;&#21644;&#37489;&#26989;/5714work.wk4" TargetMode="External" Type="http://schemas.openxmlformats.org/officeDocument/2006/relationships/externalLinkPath"/>
</Relationships>

</file>

<file path=xl/externalLinks/_rels/externalLink4.xml.rels><?xml version="1.0" encoding="UTF-8" standalone="yes"?>
<Relationships xmlns="http://schemas.openxmlformats.org/package/2006/relationships">
<Relationship Id="rId1" Target="na/ny/users/johndasc/Docs/ID/Charts/Chart_Gallery/From%20Vlad/B11_BarSingle_AverageLine.xls" TargetMode="External" Type="http://schemas.microsoft.com/office/2006/relationships/xlExternalLinkPath/xlAlternateStartup"/>
</Relationships>

</file>

<file path=xl/externalLinks/_rels/externalLink5.xml.rels><?xml version="1.0" encoding="UTF-8" standalone="yes"?>
<Relationships xmlns="http://schemas.openxmlformats.org/package/2006/relationships">
<Relationship Id="rId1" Target="Documents%20and%20Settings/rockefel/Local%20Settings/Temporary%20Internet%20Files/OLK56/USERS/LADIWALA/VALTN/BBL/BIO-VL3.XLS" TargetMode="External" Type="http://schemas.microsoft.com/office/2006/relationships/xlExternalLinkPath/xlStartup"/>
</Relationships>

</file>

<file path=xl/externalLinks/_rels/externalLink6.xml.rels><?xml version="1.0" encoding="UTF-8" standalone="yes"?>
<Relationships xmlns="http://schemas.openxmlformats.org/package/2006/relationships">
<Relationship Id="rId1" Target="I" TargetMode="External" Type="http://schemas.microsoft.com/office/2006/relationships/xlExternalLinkPath/xlPathMissing"/>
</Relationships>

</file>

<file path=xl/externalLinks/_rels/externalLink7.xml.rels><?xml version="1.0" encoding="UTF-8" standalone="yes"?>
<Relationships xmlns="http://schemas.openxmlformats.org/package/2006/relationships">
<Relationship Id="rId1" Target="HEALTH/Tools/Weekly/Industry%20Multiples.xlsm" TargetMode="External" Type="http://schemas.microsoft.com/office/2006/relationships/xlExternalLinkPath/xlAlternate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Notes"/>
      <sheetName val="ImportHistory"/>
      <sheetName val="Data"/>
      <sheetName val="Contents"/>
      <sheetName val="MW"/>
      <sheetName val="MW1"/>
      <sheetName val="MW2"/>
      <sheetName val="Graphs"/>
      <sheetName val="Americas Exec"/>
      <sheetName val="Consulting Services"/>
      <sheetName val="Corp OH"/>
      <sheetName val="Corp Funding"/>
      <sheetName val="SCEM"/>
      <sheetName val="SPS"/>
      <sheetName val="NA"/>
      <sheetName val="LA"/>
      <sheetName val="AMERICAS"/>
      <sheetName val="EUROPE"/>
      <sheetName val="Asia"/>
      <sheetName val="TOTAL SEI"/>
      <sheetName val="ROE"/>
    </sheetNames>
    <sheetDataSet>
      <sheetData sheetId="0" refreshError="1">
        <row r="16">
          <cell r="D16" t="str">
            <v>Hold Com</v>
          </cell>
          <cell r="E16">
            <v>547</v>
          </cell>
          <cell r="F16" t="str">
            <v>Accounts Payable Associated Companies</v>
          </cell>
        </row>
        <row r="17">
          <cell r="D17" t="str">
            <v>SE Americas Exec</v>
          </cell>
          <cell r="E17">
            <v>3</v>
          </cell>
          <cell r="F17" t="str">
            <v>ACCUMULATED DEPRECIATION</v>
          </cell>
        </row>
        <row r="18">
          <cell r="D18" t="str">
            <v>SE Consulting Serv</v>
          </cell>
          <cell r="E18">
            <v>507</v>
          </cell>
          <cell r="F18" t="str">
            <v>Administrative and General O&amp;M Expense</v>
          </cell>
        </row>
        <row r="19">
          <cell r="D19" t="str">
            <v>SE Corp Funding</v>
          </cell>
          <cell r="E19">
            <v>518</v>
          </cell>
          <cell r="F19" t="str">
            <v>AFUDC Debt</v>
          </cell>
        </row>
        <row r="23">
          <cell r="D23" t="str">
            <v>SEG SCEM</v>
          </cell>
          <cell r="E23">
            <v>493</v>
          </cell>
          <cell r="F23" t="str">
            <v>Associated Revenues</v>
          </cell>
        </row>
        <row r="24">
          <cell r="D24" t="str">
            <v>SEI Asia</v>
          </cell>
          <cell r="E24">
            <v>1130</v>
          </cell>
          <cell r="F24" t="str">
            <v>Average Price Per Share</v>
          </cell>
        </row>
        <row r="25">
          <cell r="D25" t="str">
            <v>SEI Europe</v>
          </cell>
          <cell r="E25">
            <v>291</v>
          </cell>
          <cell r="F25" t="str">
            <v>Average Return on Equity %</v>
          </cell>
        </row>
        <row r="83">
          <cell r="E83">
            <v>1104</v>
          </cell>
          <cell r="F83" t="str">
            <v>Intercompany Preferred Stock</v>
          </cell>
        </row>
        <row r="88">
          <cell r="E88">
            <v>16</v>
          </cell>
          <cell r="F88" t="str">
            <v>LONG TERM DEBT</v>
          </cell>
        </row>
        <row r="92">
          <cell r="E92">
            <v>579</v>
          </cell>
          <cell r="F92" t="str">
            <v>Minority Interest Debt B Redemptions</v>
          </cell>
        </row>
      </sheetData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P"/>
      <sheetName val="BS"/>
      <sheetName val="TOSCO"/>
      <sheetName val="Segment ROCE"/>
      <sheetName val="ROGIC"/>
      <sheetName val="E&amp;P"/>
      <sheetName val="NEPS"/>
      <sheetName val="RefineryMaint"/>
      <sheetName val="Hamaca"/>
      <sheetName val="Bohai"/>
      <sheetName val="Bayu Undan"/>
      <sheetName val="R&amp;M"/>
      <sheetName val="GPM"/>
      <sheetName val="Variance"/>
      <sheetName val="ARCO - Alaska"/>
      <sheetName val="Capex"/>
      <sheetName val="Reserves"/>
      <sheetName val="WACC"/>
      <sheetName val="Valuation"/>
      <sheetName val="NAV"/>
      <sheetName val="Chemical JV"/>
      <sheetName val="Chems"/>
      <sheetName val="EKOFISK"/>
      <sheetName val="PUDS"/>
      <sheetName val="GE Data"/>
      <sheetName val="IndexInformation"/>
      <sheetName val="MainCode"/>
      <sheetName val="NY UPLOAD"/>
      <sheetName val="NY UPLOAD Shadow"/>
      <sheetName val="Distribution"/>
      <sheetName val="A-Link Source"/>
      <sheetName val="Q-Link Source"/>
      <sheetName val="Income Statement"/>
      <sheetName val="Revenue&amp;EBIT"/>
      <sheetName val="Fin. Summary"/>
      <sheetName val="COP"/>
      <sheetName val="Inputs"/>
      <sheetName val="XOM"/>
      <sheetName val="New Source Charts"/>
      <sheetName val="Modelware"/>
      <sheetName val="R&amp;MIS"/>
      <sheetName val="E&amp;P Growth &amp; Returns"/>
      <sheetName val="Global Product Sum"/>
      <sheetName val="Scenario"/>
      <sheetName val="Quarter"/>
      <sheetName val="Annual"/>
      <sheetName val="AN"/>
      <sheetName val="COC"/>
      <sheetName val="ｾｸﾞﾒﾝﾄ"/>
      <sheetName val="単独"/>
      <sheetName val="Factset Profile"/>
      <sheetName val="cas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単独"/>
      <sheetName val="連結"/>
      <sheetName val="期中"/>
      <sheetName val="valu"/>
      <sheetName val="増減分析"/>
      <sheetName val="新素材"/>
      <sheetName val="子会社"/>
      <sheetName val="環境"/>
      <sheetName val="製錬拠点"/>
      <sheetName val="ﾃｨｻﾊﾟ"/>
      <sheetName val="ﾚｲﾃﾞﾌﾟﾗﾀ"/>
      <sheetName val="小坂"/>
      <sheetName val="中計"/>
      <sheetName val="cash"/>
      <sheetName val="ｾｸﾞﾒﾝﾄ"/>
      <sheetName val="含み益"/>
      <sheetName val="capx"/>
      <sheetName val="dep"/>
      <sheetName val="人"/>
      <sheetName val="exp"/>
      <sheetName val="Valuation Matrix"/>
      <sheetName val="HANDOUT"/>
      <sheetName val="Interm-Euro"/>
      <sheetName val="SCATTER DATA"/>
      <sheetName val="10 Yr DCF"/>
      <sheetName val="Annual-Euro"/>
      <sheetName val="Residual Income Model"/>
      <sheetName val="P"/>
      <sheetName val="EARNMOD"/>
      <sheetName val="Operating Leases tagged"/>
      <sheetName val="exh 11"/>
      <sheetName val="exh 14"/>
      <sheetName val="exh 12"/>
      <sheetName val="exh 10"/>
      <sheetName val="exh 1 and 5"/>
      <sheetName val="exh 15"/>
      <sheetName val="exh 3"/>
      <sheetName val="exh 9"/>
      <sheetName val="Good 12-00 (2)"/>
      <sheetName val="Good 11-36"/>
      <sheetName val="Good 11-50"/>
      <sheetName val="Sheet3 (5)"/>
      <sheetName val="WACC"/>
      <sheetName val="Sheet1"/>
      <sheetName val="Fixed Line Mkt"/>
      <sheetName val="Cash Flow"/>
      <sheetName val="upside_downside"/>
      <sheetName val="Income Statement"/>
      <sheetName val="Balance Sheet"/>
      <sheetName val="Valsum"/>
      <sheetName val="Total_Production"/>
      <sheetName val="RFS"/>
      <sheetName val="Corn_Uses"/>
      <sheetName val="US_Production"/>
      <sheetName val="DCF"/>
      <sheetName val="OP"/>
      <sheetName val="Inputs"/>
      <sheetName val="MWA RR"/>
      <sheetName val="Summary"/>
      <sheetName val="IS"/>
      <sheetName val="Risk-Reward_View_Chart"/>
      <sheetName val="variables"/>
      <sheetName val="IS Quarterly"/>
      <sheetName val="Sheet1 (2)"/>
      <sheetName val="1Q11 Preview"/>
      <sheetName val="2Q11 Preview"/>
      <sheetName val="Model"/>
      <sheetName val="Intrinsic Value"/>
      <sheetName val="Rev by Geo"/>
      <sheetName val="fin"/>
      <sheetName val="Report template"/>
      <sheetName val="Model (WIP)"/>
      <sheetName val="sales bkd"/>
      <sheetName val="Presentation"/>
      <sheetName val="Valuation"/>
      <sheetName val="Exclusion List"/>
    </sheetNames>
    <sheetDataSet>
      <sheetData sheetId="0" refreshError="1">
        <row r="14">
          <cell r="AR14">
            <v>28</v>
          </cell>
        </row>
        <row r="15">
          <cell r="AR15">
            <v>5</v>
          </cell>
        </row>
        <row r="16">
          <cell r="AR16">
            <v>14</v>
          </cell>
        </row>
        <row r="17">
          <cell r="AR17">
            <v>6</v>
          </cell>
        </row>
        <row r="18">
          <cell r="AR18">
            <v>-5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64">
          <cell r="E164">
            <v>1247</v>
          </cell>
          <cell r="F164">
            <v>1807</v>
          </cell>
          <cell r="G164">
            <v>2812</v>
          </cell>
          <cell r="H164">
            <v>2828</v>
          </cell>
          <cell r="I164">
            <v>6670</v>
          </cell>
        </row>
        <row r="165">
          <cell r="E165" t="e">
            <v>#VALUE!</v>
          </cell>
          <cell r="F165" t="e">
            <v>#VALUE!</v>
          </cell>
          <cell r="G165" t="e">
            <v>#VALUE!</v>
          </cell>
          <cell r="H165" t="e">
            <v>#VALUE!</v>
          </cell>
          <cell r="I165" t="e">
            <v>#VALUE!</v>
          </cell>
        </row>
        <row r="167">
          <cell r="E167">
            <v>2721</v>
          </cell>
          <cell r="F167">
            <v>1584</v>
          </cell>
          <cell r="G167">
            <v>1802</v>
          </cell>
          <cell r="H167">
            <v>1616</v>
          </cell>
          <cell r="I167">
            <v>795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Cash Flow"/>
      <sheetName val="upside_downside"/>
      <sheetName val="Income Statement"/>
      <sheetName val="Balance Sheet"/>
      <sheetName val="RI"/>
      <sheetName val="BULLBEAR"/>
      <sheetName val="Sheet2"/>
      <sheetName val="DCF"/>
      <sheetName val="MWA RR"/>
      <sheetName val="REVENUE BY GEOGRAPHY"/>
      <sheetName val="NonQtr"/>
      <sheetName val="Data 20d"/>
      <sheetName val="Data"/>
      <sheetName val="Risk-Reward_View_Chart"/>
      <sheetName val="Valsum"/>
      <sheetName val="Interims"/>
      <sheetName val="Financial Statements"/>
      <sheetName val="Summary"/>
      <sheetName val="Floater Demand"/>
      <sheetName val="Inputs"/>
      <sheetName val="FX"/>
      <sheetName val="Good 12-00 (2)"/>
      <sheetName val="Good 11-36"/>
      <sheetName val="Good 11-50"/>
      <sheetName val="Sheet3 (5)"/>
      <sheetName val="CPB"/>
      <sheetName val="Total_Food_Promo"/>
      <sheetName val="CPB_2yr"/>
      <sheetName val="B11_BarSingle_AverageLine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WP Detail "/>
      <sheetName val="Model"/>
      <sheetName val="Sheet4"/>
      <sheetName val="ForeignStake"/>
      <sheetName val="rev change analysis"/>
      <sheetName val="rev contribution analysi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  <sheetName val=" Capital"/>
      <sheetName val="New Business"/>
      <sheetName val="Basket_June09_2010"/>
      <sheetName val="C1070"/>
      <sheetName val="Basket_Jan09"/>
      <sheetName val="Basket_2010"/>
      <sheetName val="Inflation v Price 6mth lag"/>
      <sheetName val="Basket_2011"/>
      <sheetName val="Basket_June09"/>
      <sheetName val="Basket_June09_Futures"/>
      <sheetName val="Commodities Exposure"/>
      <sheetName val="Charts"/>
      <sheetName val="Pension"/>
      <sheetName val="Walk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o"/>
      <sheetName val="Bio (2)"/>
      <sheetName val="Bio (3)"/>
      <sheetName val="Bio (4)"/>
      <sheetName val="Bio (5)"/>
      <sheetName val="Sheet1"/>
      <sheetName val="Sheet2"/>
      <sheetName val="FF-manpwr"/>
    </sheetNames>
    <sheetDataSet>
      <sheetData sheetId="0" refreshError="1">
        <row r="5">
          <cell r="A5" t="str">
            <v>Present Market Value</v>
          </cell>
        </row>
        <row r="6">
          <cell r="A6" t="str">
            <v>(Dollars in millions except per share data)</v>
          </cell>
        </row>
        <row r="8">
          <cell r="C8" t="str">
            <v>PUBLIC</v>
          </cell>
          <cell r="D8" t="str">
            <v>PUBLIC COMPARABLES(2)</v>
          </cell>
          <cell r="H8" t="str">
            <v>TRANSACTION COMPARABLES</v>
          </cell>
        </row>
        <row r="9">
          <cell r="B9" t="str">
            <v>Target</v>
          </cell>
          <cell r="C9" t="str">
            <v>COMP.</v>
          </cell>
          <cell r="J9" t="str">
            <v xml:space="preserve">J &amp; W </v>
          </cell>
          <cell r="K9" t="str">
            <v xml:space="preserve">Baxter </v>
          </cell>
          <cell r="L9" t="str">
            <v>E. Merck/</v>
          </cell>
        </row>
        <row r="10">
          <cell r="B10" t="str">
            <v>@ Offer</v>
          </cell>
          <cell r="C10" t="str">
            <v xml:space="preserve">AVG (1)  </v>
          </cell>
          <cell r="D10" t="str">
            <v>Fisher</v>
          </cell>
          <cell r="E10" t="str">
            <v>VWR</v>
          </cell>
          <cell r="H10" t="str">
            <v>Cosa Rocas</v>
          </cell>
          <cell r="I10" t="str">
            <v>CMS/ FSE</v>
          </cell>
          <cell r="J10" t="str">
            <v>Scientific</v>
          </cell>
          <cell r="K10" t="str">
            <v>Industrial</v>
          </cell>
          <cell r="L10" t="str">
            <v>VWR Equity Purch.</v>
          </cell>
        </row>
        <row r="12">
          <cell r="A12" t="str">
            <v>Market Value or Offer Price</v>
          </cell>
          <cell r="B12">
            <v>123.12350330737669</v>
          </cell>
          <cell r="D12">
            <v>562.5</v>
          </cell>
          <cell r="E12">
            <v>962.55</v>
          </cell>
          <cell r="H12">
            <v>5.5</v>
          </cell>
          <cell r="I12">
            <v>310</v>
          </cell>
          <cell r="J12">
            <v>35</v>
          </cell>
          <cell r="K12">
            <v>475</v>
          </cell>
          <cell r="L12">
            <v>250.88399999999999</v>
          </cell>
        </row>
        <row r="13">
          <cell r="A13" t="str">
            <v>Total Debt (net) (3)</v>
          </cell>
          <cell r="B13">
            <v>-43.806672424171659</v>
          </cell>
          <cell r="D13">
            <v>843.8</v>
          </cell>
          <cell r="E13">
            <v>232.4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408.1</v>
          </cell>
        </row>
        <row r="14">
          <cell r="A14" t="str">
            <v xml:space="preserve">Market Capitalization </v>
          </cell>
          <cell r="B14">
            <v>79.316830883205029</v>
          </cell>
          <cell r="D14">
            <v>1406.3</v>
          </cell>
          <cell r="E14">
            <v>1194.95</v>
          </cell>
          <cell r="H14">
            <v>6.5</v>
          </cell>
          <cell r="I14">
            <v>310</v>
          </cell>
          <cell r="J14">
            <v>35</v>
          </cell>
          <cell r="K14">
            <v>475</v>
          </cell>
          <cell r="L14">
            <v>658.98400000000004</v>
          </cell>
        </row>
        <row r="15">
          <cell r="A15" t="str">
            <v>Annual Sales 1997</v>
          </cell>
          <cell r="B15">
            <v>72.008708029808247</v>
          </cell>
          <cell r="D15">
            <v>2175.3000000000002</v>
          </cell>
          <cell r="E15">
            <v>1230.2</v>
          </cell>
          <cell r="H15">
            <v>10.6</v>
          </cell>
          <cell r="I15">
            <v>764.6</v>
          </cell>
          <cell r="J15">
            <v>21.2</v>
          </cell>
          <cell r="K15">
            <v>479</v>
          </cell>
          <cell r="L15">
            <v>1066</v>
          </cell>
        </row>
        <row r="16">
          <cell r="A16" t="str">
            <v xml:space="preserve">P/E - 1995  </v>
          </cell>
        </row>
        <row r="17">
          <cell r="A17" t="str">
            <v xml:space="preserve">P/E - 1997  </v>
          </cell>
          <cell r="B17">
            <v>20.52516680159685</v>
          </cell>
          <cell r="C17">
            <v>18.990875803081629</v>
          </cell>
          <cell r="D17">
            <v>11.917372881355933</v>
          </cell>
          <cell r="E17">
            <v>32.547169811320757</v>
          </cell>
          <cell r="H17">
            <v>5.6701030927835054</v>
          </cell>
          <cell r="I17">
            <v>19.62025316455696</v>
          </cell>
          <cell r="J17">
            <v>11.29032258064516</v>
          </cell>
          <cell r="K17">
            <v>21.59090909090909</v>
          </cell>
          <cell r="L17">
            <v>30.299999999999997</v>
          </cell>
        </row>
        <row r="18">
          <cell r="A18" t="str">
            <v>P/E - 1998E</v>
          </cell>
          <cell r="B18">
            <v>15.338354997244787</v>
          </cell>
          <cell r="C18">
            <v>16.877516373793622</v>
          </cell>
          <cell r="D18">
            <v>26.533018867924525</v>
          </cell>
          <cell r="E18">
            <v>25.555555555555554</v>
          </cell>
          <cell r="H18">
            <v>4.9107142857142856</v>
          </cell>
          <cell r="I18">
            <v>23.308270676691727</v>
          </cell>
          <cell r="J18">
            <v>10.416666666666668</v>
          </cell>
          <cell r="K18">
            <v>14.660493827160494</v>
          </cell>
          <cell r="L18">
            <v>12.757894736842106</v>
          </cell>
        </row>
        <row r="19">
          <cell r="A19" t="str">
            <v>P/E - 1999E</v>
          </cell>
          <cell r="B19">
            <v>13.649789138902332</v>
          </cell>
          <cell r="C19">
            <v>12.811435440561425</v>
          </cell>
          <cell r="D19">
            <v>13.14252336448598</v>
          </cell>
          <cell r="E19">
            <v>20.17543859649123</v>
          </cell>
          <cell r="H19" t="str">
            <v>na</v>
          </cell>
          <cell r="I19">
            <v>14.761904761904763</v>
          </cell>
          <cell r="J19">
            <v>9.6106150793650809</v>
          </cell>
          <cell r="K19">
            <v>11.098130841121495</v>
          </cell>
          <cell r="L19">
            <v>8.08</v>
          </cell>
        </row>
        <row r="21">
          <cell r="A21" t="str">
            <v xml:space="preserve">Market Value/ Book Value </v>
          </cell>
          <cell r="B21">
            <v>1.8858988512728747</v>
          </cell>
          <cell r="C21">
            <v>2.1165257419001238</v>
          </cell>
          <cell r="D21">
            <v>-1.5818335208098986</v>
          </cell>
          <cell r="E21">
            <v>2.814473684210526</v>
          </cell>
          <cell r="H21">
            <v>1.9642857142857144</v>
          </cell>
          <cell r="I21">
            <v>1.2291831879460746</v>
          </cell>
          <cell r="J21">
            <v>1.8041237113402062</v>
          </cell>
          <cell r="K21">
            <v>6.4189189189189193</v>
          </cell>
          <cell r="L21">
            <v>2.1665284974093262</v>
          </cell>
        </row>
        <row r="22">
          <cell r="A22" t="str">
            <v>Market Cap/ Annual Sales</v>
          </cell>
          <cell r="B22">
            <v>1.1014894316722299</v>
          </cell>
          <cell r="C22">
            <v>0.84246521368052796</v>
          </cell>
          <cell r="D22">
            <v>0.64648554222406096</v>
          </cell>
          <cell r="E22">
            <v>0.97134612258169406</v>
          </cell>
          <cell r="H22">
            <v>0.6132075471698113</v>
          </cell>
          <cell r="I22">
            <v>0.40544075333507718</v>
          </cell>
          <cell r="J22">
            <v>1.6509433962264151</v>
          </cell>
          <cell r="K22">
            <v>0.99164926931106467</v>
          </cell>
          <cell r="L22">
            <v>0.61818386491557231</v>
          </cell>
        </row>
        <row r="23">
          <cell r="A23" t="str">
            <v>Market Cap/1997 EBIT</v>
          </cell>
          <cell r="B23">
            <v>8.328183563424167</v>
          </cell>
          <cell r="C23">
            <v>11.347888984485635</v>
          </cell>
          <cell r="D23">
            <v>12.973247232472323</v>
          </cell>
          <cell r="E23">
            <v>15.458602846054335</v>
          </cell>
          <cell r="H23">
            <v>5</v>
          </cell>
          <cell r="I23">
            <v>14.485981308411215</v>
          </cell>
          <cell r="J23">
            <v>6.7307692307692308</v>
          </cell>
          <cell r="K23">
            <v>10.795454545454545</v>
          </cell>
          <cell r="L23">
            <v>13.991167728237793</v>
          </cell>
        </row>
        <row r="24">
          <cell r="A24" t="str">
            <v>Market Cap/1997  EBITDA</v>
          </cell>
          <cell r="B24">
            <v>7.7583655034326382</v>
          </cell>
          <cell r="C24">
            <v>8.8797536968242294</v>
          </cell>
          <cell r="D24">
            <v>9.0495495495495497</v>
          </cell>
          <cell r="E24">
            <v>12.033736153071501</v>
          </cell>
          <cell r="H24">
            <v>4.6428571428571432</v>
          </cell>
          <cell r="I24">
            <v>8.7570621468926557</v>
          </cell>
          <cell r="J24">
            <v>5.7377049180327875</v>
          </cell>
          <cell r="K24">
            <v>10.416666666666666</v>
          </cell>
          <cell r="L24">
            <v>11.520699300699301</v>
          </cell>
        </row>
        <row r="25">
          <cell r="A25" t="str">
            <v>Market Cap/1998 EBIT</v>
          </cell>
          <cell r="B25">
            <v>7.63972247777241</v>
          </cell>
          <cell r="C25">
            <v>7.949698111747316</v>
          </cell>
          <cell r="D25">
            <v>9.4956110735989192</v>
          </cell>
          <cell r="E25">
            <v>13.687857961053838</v>
          </cell>
          <cell r="H25">
            <v>3.8235294117647061</v>
          </cell>
          <cell r="I25">
            <v>9.1715976331360949</v>
          </cell>
          <cell r="J25">
            <v>6.25</v>
          </cell>
          <cell r="K25">
            <v>7.3302469135802468</v>
          </cell>
          <cell r="L25">
            <v>5.8890437890974088</v>
          </cell>
        </row>
        <row r="26">
          <cell r="A26" t="str">
            <v>Market Cap/1998 EBITDA</v>
          </cell>
          <cell r="B26">
            <v>7.1150894065699646</v>
          </cell>
          <cell r="C26">
            <v>6.4657417325103301</v>
          </cell>
          <cell r="D26">
            <v>7.0279860069965014</v>
          </cell>
          <cell r="E26">
            <v>10.833635539437898</v>
          </cell>
          <cell r="H26">
            <v>3.6111111111111112</v>
          </cell>
          <cell r="I26">
            <v>6.485355648535565</v>
          </cell>
          <cell r="J26">
            <v>5.384615384615385</v>
          </cell>
          <cell r="K26">
            <v>7.0684523809523805</v>
          </cell>
          <cell r="L26">
            <v>4.8490360559234729</v>
          </cell>
        </row>
        <row r="27">
          <cell r="A27" t="str">
            <v>Market Cap/1999 EBIT</v>
          </cell>
          <cell r="B27">
            <v>6.8077486250560355</v>
          </cell>
          <cell r="C27">
            <v>7.7663158778228114</v>
          </cell>
          <cell r="D27">
            <v>9.2763852242744065</v>
          </cell>
          <cell r="E27">
            <v>11.413085004775549</v>
          </cell>
          <cell r="H27" t="str">
            <v>na</v>
          </cell>
          <cell r="I27">
            <v>10.898976412995106</v>
          </cell>
          <cell r="J27">
            <v>5.7294051434676447</v>
          </cell>
          <cell r="K27">
            <v>5.5490654205607477</v>
          </cell>
          <cell r="L27">
            <v>3.7309780608634115</v>
          </cell>
        </row>
        <row r="28">
          <cell r="A28" t="str">
            <v>Market Cap/1999 EBITDA</v>
          </cell>
          <cell r="B28">
            <v>6.3403612624054064</v>
          </cell>
          <cell r="C28">
            <v>5.9545385789637573</v>
          </cell>
          <cell r="D28">
            <v>6.6147695202257761</v>
          </cell>
          <cell r="E28">
            <v>9.2131842713955301</v>
          </cell>
          <cell r="H28" t="str">
            <v>na</v>
          </cell>
          <cell r="I28">
            <v>6.5886467581382835</v>
          </cell>
          <cell r="J28">
            <v>4.8840830731199594</v>
          </cell>
          <cell r="K28">
            <v>5.3543613707165116</v>
          </cell>
          <cell r="L28">
            <v>3.0721864801864802</v>
          </cell>
        </row>
        <row r="30">
          <cell r="A30" t="str">
            <v>Acquisition of Stock</v>
          </cell>
          <cell r="F30" t="str">
            <v>Target Assumptions</v>
          </cell>
        </row>
        <row r="31">
          <cell r="A31" t="str">
            <v>Accretion/(Dilution) To FSH</v>
          </cell>
          <cell r="F31" t="str">
            <v xml:space="preserve">Sales 5 Yr. CAGR </v>
          </cell>
          <cell r="I31">
            <v>7.0000000000000062E-2</v>
          </cell>
        </row>
        <row r="32">
          <cell r="F32" t="str">
            <v>Tax Rate</v>
          </cell>
          <cell r="I32">
            <v>0.4</v>
          </cell>
        </row>
        <row r="33">
          <cell r="B33">
            <v>1998</v>
          </cell>
          <cell r="C33">
            <v>1999</v>
          </cell>
          <cell r="D33">
            <v>2000</v>
          </cell>
          <cell r="F33" t="str">
            <v>Purchase Multiple of 1997 EBIT:</v>
          </cell>
          <cell r="I33">
            <v>8.328183563424167</v>
          </cell>
        </row>
        <row r="34">
          <cell r="A34" t="str">
            <v>Cash for Stock (Debt Financing) (4)</v>
          </cell>
          <cell r="F34" t="str">
            <v>Terminal Multiple of 2002E EBIT:</v>
          </cell>
          <cell r="I34">
            <v>7.204202264628802</v>
          </cell>
        </row>
        <row r="35">
          <cell r="A35" t="str">
            <v xml:space="preserve">            Incremental Net income (chk with Bob)</v>
          </cell>
          <cell r="B35">
            <v>-0.93498943367478837</v>
          </cell>
          <cell r="C35">
            <v>5.8021980701662201E-2</v>
          </cell>
          <cell r="D35">
            <v>1.2004916335835834</v>
          </cell>
        </row>
        <row r="36">
          <cell r="A36" t="str">
            <v xml:space="preserve">            Per share</v>
          </cell>
          <cell r="B36">
            <v>-2.3374735841869665E-2</v>
          </cell>
          <cell r="C36">
            <v>1.4505495175416439E-3</v>
          </cell>
          <cell r="D36">
            <v>3.0012290839589451E-2</v>
          </cell>
          <cell r="F36" t="str">
            <v>Fisher Assumptions</v>
          </cell>
        </row>
        <row r="37">
          <cell r="A37" t="str">
            <v xml:space="preserve">            Dilution Threshold</v>
          </cell>
          <cell r="B37">
            <v>0</v>
          </cell>
          <cell r="C37">
            <v>0</v>
          </cell>
          <cell r="D37">
            <v>0</v>
          </cell>
          <cell r="F37" t="str">
            <v>Tax rate</v>
          </cell>
          <cell r="I37">
            <v>0.4</v>
          </cell>
        </row>
        <row r="38">
          <cell r="F38" t="str">
            <v>Debt financing cost</v>
          </cell>
          <cell r="I38">
            <v>0.09</v>
          </cell>
        </row>
        <row r="39">
          <cell r="A39" t="str">
            <v>Stock for Stock (Purchase)</v>
          </cell>
          <cell r="D39" t="str">
            <v xml:space="preserve"> </v>
          </cell>
          <cell r="F39" t="str">
            <v>Goodwill amortization (Years)</v>
          </cell>
          <cell r="I39">
            <v>25</v>
          </cell>
        </row>
        <row r="40">
          <cell r="A40" t="str">
            <v xml:space="preserve">            Incremental Net income</v>
          </cell>
          <cell r="B40">
            <v>5.713679744923553</v>
          </cell>
          <cell r="C40">
            <v>6.7066911593000036</v>
          </cell>
          <cell r="D40">
            <v>7.8491608121819247</v>
          </cell>
          <cell r="F40" t="str">
            <v>Goodwill Tax Deductible</v>
          </cell>
          <cell r="I40" t="str">
            <v>No</v>
          </cell>
        </row>
        <row r="41">
          <cell r="A41" t="str">
            <v xml:space="preserve">            Per share</v>
          </cell>
          <cell r="B41">
            <v>2.2013779555791091E-2</v>
          </cell>
          <cell r="C41">
            <v>-5.4591629269827857E-2</v>
          </cell>
          <cell r="D41">
            <v>-0.12543788746897855</v>
          </cell>
        </row>
        <row r="42">
          <cell r="A42" t="str">
            <v xml:space="preserve">            Dilution Threshold</v>
          </cell>
          <cell r="B42">
            <v>0</v>
          </cell>
          <cell r="C42">
            <v>0</v>
          </cell>
          <cell r="D42">
            <v>0</v>
          </cell>
          <cell r="I42">
            <v>1998</v>
          </cell>
          <cell r="J42">
            <v>1999</v>
          </cell>
          <cell r="K42">
            <v>2000</v>
          </cell>
        </row>
        <row r="43">
          <cell r="F43" t="str">
            <v>EBIT</v>
          </cell>
          <cell r="I43">
            <v>10.382161277975143</v>
          </cell>
          <cell r="J43">
            <v>11.65096351990408</v>
          </cell>
          <cell r="K43">
            <v>13.0464277509508</v>
          </cell>
        </row>
        <row r="44">
          <cell r="F44" t="str">
            <v>Depreciation &amp; Amortization</v>
          </cell>
          <cell r="I44">
            <v>0.76553151278094744</v>
          </cell>
          <cell r="J44">
            <v>0.85886480068499138</v>
          </cell>
          <cell r="K44">
            <v>0.95085718078720227</v>
          </cell>
        </row>
        <row r="45">
          <cell r="A45" t="str">
            <v>IRR @</v>
          </cell>
          <cell r="B45">
            <v>79.316830883205029</v>
          </cell>
          <cell r="C45" t="str">
            <v>*    equals:</v>
          </cell>
          <cell r="D45">
            <v>0.1455104494284723</v>
          </cell>
          <cell r="F45" t="str">
            <v xml:space="preserve">Working Capital </v>
          </cell>
          <cell r="I45">
            <v>-1.254072741210507</v>
          </cell>
          <cell r="J45">
            <v>-1.3438219478321969</v>
          </cell>
          <cell r="K45">
            <v>-1.4380477381261798</v>
          </cell>
        </row>
        <row r="46">
          <cell r="F46" t="str">
            <v>Capex</v>
          </cell>
          <cell r="I46">
            <v>-1.1557397638784226</v>
          </cell>
          <cell r="J46">
            <v>-1.2366415473499122</v>
          </cell>
          <cell r="K46">
            <v>-1.3232064556644063</v>
          </cell>
        </row>
        <row r="47">
          <cell r="A47" t="str">
            <v>PV @</v>
          </cell>
          <cell r="B47">
            <v>0.15</v>
          </cell>
          <cell r="C47" t="str">
            <v>equals:</v>
          </cell>
          <cell r="D47">
            <v>77.935092001174382</v>
          </cell>
          <cell r="F47" t="str">
            <v>Purchase Accounting Outflows</v>
          </cell>
          <cell r="I47">
            <v>0</v>
          </cell>
          <cell r="J47">
            <v>0</v>
          </cell>
          <cell r="K47">
            <v>0</v>
          </cell>
        </row>
        <row r="48">
          <cell r="A48" t="str">
            <v>NPV @</v>
          </cell>
          <cell r="B48">
            <v>0.15</v>
          </cell>
          <cell r="C48" t="str">
            <v>equals:</v>
          </cell>
          <cell r="D48">
            <v>-1.3817388820306462</v>
          </cell>
          <cell r="F48" t="str">
            <v>Free Cash Flow</v>
          </cell>
          <cell r="I48">
            <v>8.7378802856671616</v>
          </cell>
          <cell r="J48">
            <v>9.929364825406962</v>
          </cell>
          <cell r="K48">
            <v>11.236030737947416</v>
          </cell>
        </row>
        <row r="49">
          <cell r="F49" t="str">
            <v>Interest (after tax)</v>
          </cell>
          <cell r="I49">
            <v>-4.2831088676930715</v>
          </cell>
          <cell r="J49">
            <v>-4.2668058947267342</v>
          </cell>
          <cell r="K49">
            <v>-4.2126885244999297</v>
          </cell>
        </row>
        <row r="50">
          <cell r="B50" t="str">
            <v>* Unlevered</v>
          </cell>
          <cell r="F50" t="str">
            <v>Taxes</v>
          </cell>
          <cell r="I50">
            <v>-4.1528645111900575</v>
          </cell>
          <cell r="J50">
            <v>-4.6603854079616323</v>
          </cell>
          <cell r="K50">
            <v>-5.2185711003803199</v>
          </cell>
        </row>
        <row r="51">
          <cell r="F51" t="str">
            <v>Excess Cash Flow</v>
          </cell>
          <cell r="I51">
            <v>0.30190690678403254</v>
          </cell>
          <cell r="J51">
            <v>1.0021735227185955</v>
          </cell>
          <cell r="K51">
            <v>1.8047711130671669</v>
          </cell>
        </row>
        <row r="52">
          <cell r="A52" t="str">
            <v>Fisher 1997 = Target 1998</v>
          </cell>
        </row>
        <row r="54">
          <cell r="A54" t="str">
            <v>(1) Average multiples include all figures.</v>
          </cell>
        </row>
        <row r="55">
          <cell r="A55" t="str">
            <v>(2) Excludes extraordinary items.  Balance sheet data as of latest quarter.  All data sourced from SEC filings and company earnings releases.</v>
          </cell>
        </row>
        <row r="56">
          <cell r="A56" t="str">
            <v xml:space="preserve">(3) Includes debt less cash.  Target balance sheet estimated as of 06/30/98.  </v>
          </cell>
        </row>
        <row r="57">
          <cell r="A57" t="str">
            <v>(4) Consideration: 100% Debt.</v>
          </cell>
        </row>
        <row r="58">
          <cell r="A58" t="str">
            <v>Present Market Value</v>
          </cell>
        </row>
        <row r="59">
          <cell r="A59" t="str">
            <v>(U.S. $ in millions except per share amounts)</v>
          </cell>
        </row>
        <row r="61">
          <cell r="D61" t="str">
            <v>PUBLIC COMPARABLES(1)</v>
          </cell>
          <cell r="H61" t="str">
            <v>TRANSACTION COMPARABLES</v>
          </cell>
        </row>
        <row r="62">
          <cell r="B62" t="str">
            <v>Target</v>
          </cell>
          <cell r="J62" t="str">
            <v xml:space="preserve">J &amp; W </v>
          </cell>
          <cell r="K62" t="str">
            <v>Baxter</v>
          </cell>
          <cell r="L62" t="str">
            <v>E. Merck/</v>
          </cell>
        </row>
        <row r="63">
          <cell r="A63" t="str">
            <v xml:space="preserve"> </v>
          </cell>
          <cell r="B63" t="str">
            <v>@ Offer</v>
          </cell>
          <cell r="D63" t="str">
            <v>Fisher</v>
          </cell>
          <cell r="E63" t="str">
            <v>VWR</v>
          </cell>
          <cell r="H63" t="str">
            <v>Cosa Rocas</v>
          </cell>
          <cell r="I63" t="str">
            <v>CMS/ FSE</v>
          </cell>
          <cell r="J63" t="str">
            <v>Scientific</v>
          </cell>
          <cell r="K63" t="str">
            <v>Industrial</v>
          </cell>
          <cell r="L63" t="str">
            <v>VWR Equity Purch.</v>
          </cell>
        </row>
        <row r="64">
          <cell r="D64" t="str">
            <v xml:space="preserve"> </v>
          </cell>
        </row>
        <row r="65">
          <cell r="A65" t="str">
            <v>Offer price per share</v>
          </cell>
          <cell r="B65">
            <v>60.118898099305028</v>
          </cell>
          <cell r="D65">
            <v>14.0625</v>
          </cell>
          <cell r="E65">
            <v>34.5</v>
          </cell>
          <cell r="H65">
            <v>5.5</v>
          </cell>
          <cell r="I65">
            <v>310</v>
          </cell>
          <cell r="J65">
            <v>35</v>
          </cell>
          <cell r="K65">
            <v>475</v>
          </cell>
          <cell r="L65">
            <v>12.12</v>
          </cell>
        </row>
        <row r="66">
          <cell r="A66" t="str">
            <v>Shares Outstanding (mms)</v>
          </cell>
          <cell r="B66">
            <v>2.048</v>
          </cell>
          <cell r="D66">
            <v>40</v>
          </cell>
          <cell r="E66">
            <v>27.9</v>
          </cell>
          <cell r="H66">
            <v>1</v>
          </cell>
          <cell r="I66" t="str">
            <v>n/a</v>
          </cell>
          <cell r="J66">
            <v>1</v>
          </cell>
          <cell r="K66" t="str">
            <v>n/a</v>
          </cell>
          <cell r="L66">
            <v>20.7</v>
          </cell>
        </row>
        <row r="68">
          <cell r="A68" t="str">
            <v>EPS - 1997</v>
          </cell>
          <cell r="B68">
            <v>2.9290333511261792</v>
          </cell>
          <cell r="D68">
            <v>1.18</v>
          </cell>
          <cell r="E68">
            <v>1.06</v>
          </cell>
          <cell r="H68">
            <v>0.97</v>
          </cell>
          <cell r="I68">
            <v>15.8</v>
          </cell>
          <cell r="J68">
            <v>3.1</v>
          </cell>
          <cell r="K68">
            <v>22</v>
          </cell>
          <cell r="L68">
            <v>0.4</v>
          </cell>
        </row>
        <row r="69">
          <cell r="A69" t="str">
            <v xml:space="preserve">EPS - 1998E </v>
          </cell>
          <cell r="B69">
            <v>3.9195140619775799</v>
          </cell>
          <cell r="D69">
            <v>0.53</v>
          </cell>
          <cell r="E69">
            <v>1.35</v>
          </cell>
          <cell r="H69">
            <v>1.1200000000000001</v>
          </cell>
          <cell r="I69">
            <v>13.3</v>
          </cell>
          <cell r="J69">
            <v>3.36</v>
          </cell>
          <cell r="K69">
            <v>32.4</v>
          </cell>
          <cell r="L69">
            <v>0.95</v>
          </cell>
        </row>
        <row r="70">
          <cell r="A70" t="str">
            <v>EPS - 1999E</v>
          </cell>
          <cell r="B70">
            <v>4.4043829166535815</v>
          </cell>
          <cell r="D70">
            <v>1.07</v>
          </cell>
          <cell r="E70">
            <v>1.71</v>
          </cell>
          <cell r="H70" t="str">
            <v>na</v>
          </cell>
          <cell r="I70">
            <v>21</v>
          </cell>
          <cell r="J70">
            <v>3.6418064516129025</v>
          </cell>
          <cell r="K70">
            <v>42.8</v>
          </cell>
          <cell r="L70">
            <v>1.5</v>
          </cell>
        </row>
        <row r="72">
          <cell r="A72" t="str">
            <v>Annual Sales (1997)</v>
          </cell>
          <cell r="B72">
            <v>72.008708029808247</v>
          </cell>
          <cell r="D72">
            <v>2175.3000000000002</v>
          </cell>
          <cell r="E72">
            <v>1230.2</v>
          </cell>
          <cell r="H72">
            <v>10.6</v>
          </cell>
          <cell r="I72">
            <v>764.6</v>
          </cell>
          <cell r="J72">
            <v>21.2</v>
          </cell>
          <cell r="K72">
            <v>479</v>
          </cell>
          <cell r="L72">
            <v>1066</v>
          </cell>
        </row>
        <row r="73">
          <cell r="A73" t="str">
            <v>1997 EBIT</v>
          </cell>
          <cell r="B73">
            <v>9.5239052164447724</v>
          </cell>
          <cell r="D73">
            <v>108.4</v>
          </cell>
          <cell r="E73">
            <v>77.3</v>
          </cell>
          <cell r="H73">
            <v>1.3</v>
          </cell>
          <cell r="I73">
            <v>21.4</v>
          </cell>
          <cell r="J73">
            <v>5.2</v>
          </cell>
          <cell r="K73">
            <v>44</v>
          </cell>
          <cell r="L73">
            <v>47.1</v>
          </cell>
        </row>
        <row r="74">
          <cell r="A74" t="str">
            <v>1997 EBITDA</v>
          </cell>
          <cell r="B74">
            <v>10.223394457004096</v>
          </cell>
          <cell r="D74">
            <v>155.4</v>
          </cell>
          <cell r="E74">
            <v>99.3</v>
          </cell>
          <cell r="H74">
            <v>1.4</v>
          </cell>
          <cell r="I74">
            <v>35.4</v>
          </cell>
          <cell r="J74">
            <v>6.1</v>
          </cell>
          <cell r="K74">
            <v>45.6</v>
          </cell>
          <cell r="L74">
            <v>57.2</v>
          </cell>
        </row>
        <row r="75">
          <cell r="A75" t="str">
            <v>1998 EBIT</v>
          </cell>
          <cell r="B75">
            <v>10.382161277975143</v>
          </cell>
          <cell r="D75">
            <v>148.1</v>
          </cell>
          <cell r="E75">
            <v>87.3</v>
          </cell>
          <cell r="H75">
            <v>1.7</v>
          </cell>
          <cell r="I75">
            <v>33.799999999999997</v>
          </cell>
          <cell r="J75">
            <v>5.6</v>
          </cell>
          <cell r="K75">
            <v>64.8</v>
          </cell>
          <cell r="L75">
            <v>111.9</v>
          </cell>
        </row>
        <row r="76">
          <cell r="A76" t="str">
            <v>1998 EBITDA</v>
          </cell>
          <cell r="B76">
            <v>11.147692790756091</v>
          </cell>
          <cell r="D76">
            <v>200.1</v>
          </cell>
          <cell r="E76">
            <v>110.3</v>
          </cell>
          <cell r="H76">
            <v>1.8</v>
          </cell>
          <cell r="I76">
            <v>47.8</v>
          </cell>
          <cell r="J76">
            <v>6.5</v>
          </cell>
          <cell r="K76">
            <v>67.2</v>
          </cell>
          <cell r="L76">
            <v>135.9</v>
          </cell>
        </row>
        <row r="77">
          <cell r="A77" t="str">
            <v>1999 EBIT</v>
          </cell>
          <cell r="B77">
            <v>11.65096351990408</v>
          </cell>
          <cell r="D77">
            <v>151.6</v>
          </cell>
          <cell r="E77">
            <v>104.7</v>
          </cell>
          <cell r="H77" t="str">
            <v>na</v>
          </cell>
          <cell r="I77">
            <v>28.443037974683541</v>
          </cell>
          <cell r="J77">
            <v>6.1088366285119653</v>
          </cell>
          <cell r="K77">
            <v>85.6</v>
          </cell>
          <cell r="L77">
            <v>176.625</v>
          </cell>
        </row>
        <row r="78">
          <cell r="A78" t="str">
            <v>1999 EBITDA</v>
          </cell>
          <cell r="B78">
            <v>12.509828320589071</v>
          </cell>
          <cell r="D78">
            <v>212.6</v>
          </cell>
          <cell r="E78">
            <v>129.69999999999999</v>
          </cell>
          <cell r="H78" t="str">
            <v>na</v>
          </cell>
          <cell r="I78">
            <v>47.050632911392405</v>
          </cell>
          <cell r="J78">
            <v>7.1661352757544208</v>
          </cell>
          <cell r="K78">
            <v>88.712727272727264</v>
          </cell>
          <cell r="L78">
            <v>214.5</v>
          </cell>
        </row>
        <row r="79">
          <cell r="A79" t="str">
            <v>Depreciation &amp; Amortization (1997)</v>
          </cell>
          <cell r="B79">
            <v>0.69948924055932338</v>
          </cell>
          <cell r="D79">
            <v>47</v>
          </cell>
          <cell r="E79">
            <v>22</v>
          </cell>
          <cell r="H79">
            <v>0.8</v>
          </cell>
          <cell r="I79">
            <v>14</v>
          </cell>
          <cell r="J79">
            <v>0.9</v>
          </cell>
          <cell r="K79" t="str">
            <v>n/a</v>
          </cell>
          <cell r="L79">
            <v>9.8000000000000007</v>
          </cell>
        </row>
        <row r="80">
          <cell r="A80" t="str">
            <v>Book Value (1997)</v>
          </cell>
          <cell r="B80">
            <v>65.286376957213434</v>
          </cell>
          <cell r="D80">
            <v>-355.6</v>
          </cell>
          <cell r="E80">
            <v>342</v>
          </cell>
          <cell r="H80">
            <v>2.8</v>
          </cell>
          <cell r="I80">
            <v>252.2</v>
          </cell>
          <cell r="J80">
            <v>19.399999999999999</v>
          </cell>
          <cell r="K80">
            <v>74</v>
          </cell>
          <cell r="L80">
            <v>115.8</v>
          </cell>
        </row>
        <row r="82">
          <cell r="A82" t="str">
            <v>(1) Excludes extraordinary items.  Balance sheet data as of latest quarter.  All data sourced from SEC filings and company earnings releases.</v>
          </cell>
        </row>
        <row r="84">
          <cell r="A84" t="str">
            <v>EPS Analysis</v>
          </cell>
        </row>
        <row r="86">
          <cell r="B86" t="str">
            <v>Acquisition of 100% Of Stock</v>
          </cell>
        </row>
        <row r="87">
          <cell r="A87" t="str">
            <v xml:space="preserve"> </v>
          </cell>
          <cell r="B87" t="str">
            <v xml:space="preserve">        Debt (1)</v>
          </cell>
          <cell r="F87" t="str">
            <v xml:space="preserve">          Stock (Purchase)</v>
          </cell>
          <cell r="J87" t="str">
            <v>Debt Balance</v>
          </cell>
        </row>
        <row r="88">
          <cell r="B88">
            <v>1998</v>
          </cell>
          <cell r="C88">
            <v>1999</v>
          </cell>
          <cell r="D88">
            <v>2000</v>
          </cell>
          <cell r="E88" t="str">
            <v>CAGR</v>
          </cell>
          <cell r="F88">
            <v>1998</v>
          </cell>
          <cell r="G88">
            <v>1999</v>
          </cell>
          <cell r="H88">
            <v>2000</v>
          </cell>
          <cell r="J88">
            <v>1998</v>
          </cell>
          <cell r="K88">
            <v>1999</v>
          </cell>
          <cell r="L88">
            <v>2000</v>
          </cell>
        </row>
        <row r="89">
          <cell r="A89" t="str">
            <v>Net Income (mm)</v>
          </cell>
          <cell r="B89">
            <v>8.0271647989300838</v>
          </cell>
          <cell r="C89">
            <v>9.0201762133065344</v>
          </cell>
          <cell r="D89">
            <v>10.162645866188456</v>
          </cell>
          <cell r="E89">
            <v>0.12518078364180929</v>
          </cell>
          <cell r="F89">
            <v>8.0271647989300838</v>
          </cell>
          <cell r="G89">
            <v>9.0201762133065344</v>
          </cell>
          <cell r="H89">
            <v>10.162645866188456</v>
          </cell>
          <cell r="J89">
            <v>79.316830883205029</v>
          </cell>
          <cell r="K89">
            <v>79.014923976421002</v>
          </cell>
          <cell r="L89">
            <v>78.012750453702409</v>
          </cell>
        </row>
        <row r="90">
          <cell r="A90" t="str">
            <v>Incremental Goodwill Amortization</v>
          </cell>
          <cell r="B90">
            <v>-2.3134850540065304</v>
          </cell>
          <cell r="C90">
            <v>-2.3134850540065304</v>
          </cell>
          <cell r="D90">
            <v>-2.3134850540065304</v>
          </cell>
          <cell r="F90">
            <v>-2.3134850540065304</v>
          </cell>
          <cell r="G90">
            <v>-2.3134850540065304</v>
          </cell>
          <cell r="H90">
            <v>-2.3134850540065304</v>
          </cell>
        </row>
        <row r="91">
          <cell r="A91" t="str">
            <v>Interest on Debt (after tax)</v>
          </cell>
          <cell r="B91">
            <v>-6.6486691785983414</v>
          </cell>
          <cell r="C91">
            <v>-6.6486691785983414</v>
          </cell>
          <cell r="D91">
            <v>-6.6486691785983414</v>
          </cell>
          <cell r="F91">
            <v>0</v>
          </cell>
          <cell r="G91">
            <v>0</v>
          </cell>
          <cell r="H91">
            <v>0</v>
          </cell>
        </row>
        <row r="92">
          <cell r="A92" t="str">
            <v>Incremental Net Income</v>
          </cell>
          <cell r="B92">
            <v>-0.93498943367478837</v>
          </cell>
          <cell r="C92">
            <v>5.8021980701662201E-2</v>
          </cell>
          <cell r="D92">
            <v>1.2004916335835834</v>
          </cell>
          <cell r="F92">
            <v>5.713679744923553</v>
          </cell>
          <cell r="G92">
            <v>6.7066911593000036</v>
          </cell>
          <cell r="H92">
            <v>7.8491608121819247</v>
          </cell>
        </row>
        <row r="93">
          <cell r="A93" t="str">
            <v>Fisher Fully-Diluted Net Income</v>
          </cell>
          <cell r="B93">
            <v>21.200000000000003</v>
          </cell>
          <cell r="C93">
            <v>42.800000000000004</v>
          </cell>
          <cell r="D93">
            <v>63.8</v>
          </cell>
          <cell r="E93">
            <v>0.7347720202563075</v>
          </cell>
          <cell r="F93">
            <v>21.200000000000003</v>
          </cell>
          <cell r="G93">
            <v>42.800000000000004</v>
          </cell>
          <cell r="H93">
            <v>63.8</v>
          </cell>
        </row>
        <row r="94">
          <cell r="A94" t="str">
            <v>Total Net Income</v>
          </cell>
          <cell r="B94">
            <v>20.265010566325216</v>
          </cell>
          <cell r="C94">
            <v>42.858021980701665</v>
          </cell>
          <cell r="D94">
            <v>65.000491633583579</v>
          </cell>
          <cell r="F94">
            <v>26.913679744923556</v>
          </cell>
          <cell r="G94">
            <v>49.506691159300004</v>
          </cell>
          <cell r="H94">
            <v>71.649160812181918</v>
          </cell>
        </row>
        <row r="95">
          <cell r="A95" t="str">
            <v>Fisher Shares (fully diluted) - pre-Acq.</v>
          </cell>
          <cell r="B95">
            <v>40</v>
          </cell>
          <cell r="C95">
            <v>40</v>
          </cell>
          <cell r="D95">
            <v>40</v>
          </cell>
          <cell r="F95">
            <v>40</v>
          </cell>
          <cell r="G95">
            <v>40</v>
          </cell>
          <cell r="H95">
            <v>40</v>
          </cell>
        </row>
        <row r="96">
          <cell r="A96" t="str">
            <v>Fisher Shares  issued - Acq. Currency</v>
          </cell>
          <cell r="B96">
            <v>0</v>
          </cell>
          <cell r="C96">
            <v>0</v>
          </cell>
          <cell r="D96">
            <v>0</v>
          </cell>
          <cell r="F96">
            <v>8.7554491240801209</v>
          </cell>
          <cell r="G96">
            <v>8.7554491240801209</v>
          </cell>
          <cell r="H96">
            <v>8.7554491240801209</v>
          </cell>
        </row>
        <row r="97">
          <cell r="A97" t="str">
            <v>Total Shares (pro forma for acquisition)</v>
          </cell>
          <cell r="B97">
            <v>40</v>
          </cell>
          <cell r="C97">
            <v>40</v>
          </cell>
          <cell r="D97">
            <v>40</v>
          </cell>
          <cell r="F97">
            <v>48.755449124080123</v>
          </cell>
          <cell r="G97">
            <v>48.755449124080123</v>
          </cell>
          <cell r="H97">
            <v>48.755449124080123</v>
          </cell>
        </row>
        <row r="98">
          <cell r="A98" t="str">
            <v>Fisher EPS (pro forma for acquisition)</v>
          </cell>
          <cell r="B98">
            <v>0.50662526415813036</v>
          </cell>
          <cell r="C98">
            <v>1.0714505495175417</v>
          </cell>
          <cell r="D98">
            <v>1.6250122908395894</v>
          </cell>
          <cell r="F98">
            <v>0.55201377955579112</v>
          </cell>
          <cell r="G98">
            <v>1.0154083707301722</v>
          </cell>
          <cell r="H98">
            <v>1.4695621125310214</v>
          </cell>
        </row>
        <row r="99">
          <cell r="A99" t="str">
            <v>Accretion (Dilution) per share</v>
          </cell>
          <cell r="B99">
            <v>-2.3374735841869665E-2</v>
          </cell>
          <cell r="C99">
            <v>1.4505495175416439E-3</v>
          </cell>
          <cell r="D99">
            <v>3.0012290839589451E-2</v>
          </cell>
          <cell r="F99">
            <v>2.2013779555791091E-2</v>
          </cell>
          <cell r="G99">
            <v>-5.4591629269827857E-2</v>
          </cell>
          <cell r="H99">
            <v>-0.12543788746897855</v>
          </cell>
        </row>
        <row r="101">
          <cell r="A101" t="str">
            <v>Goodwill Calculation</v>
          </cell>
        </row>
        <row r="102">
          <cell r="A102" t="str">
            <v>Purchase Price of Equity</v>
          </cell>
          <cell r="B102">
            <v>123.12350330737669</v>
          </cell>
          <cell r="C102">
            <v>123.12350330737669</v>
          </cell>
          <cell r="D102">
            <v>123.12350330737669</v>
          </cell>
          <cell r="F102">
            <v>123.12350330737669</v>
          </cell>
          <cell r="G102">
            <v>123.12350330737669</v>
          </cell>
          <cell r="H102">
            <v>123.12350330737669</v>
          </cell>
        </row>
        <row r="103">
          <cell r="A103" t="str">
            <v>Add Purchase Accounting</v>
          </cell>
          <cell r="B103">
            <v>0</v>
          </cell>
          <cell r="F103">
            <v>0</v>
          </cell>
        </row>
        <row r="104">
          <cell r="A104" t="str">
            <v>Less Net BV of Assets</v>
          </cell>
          <cell r="B104">
            <v>65.286376957213434</v>
          </cell>
          <cell r="C104">
            <v>65.286376957213434</v>
          </cell>
          <cell r="D104">
            <v>65.286376957213434</v>
          </cell>
          <cell r="F104">
            <v>65.286376957213434</v>
          </cell>
          <cell r="G104">
            <v>65.286376957213434</v>
          </cell>
          <cell r="H104">
            <v>65.286376957213434</v>
          </cell>
        </row>
        <row r="105">
          <cell r="A105" t="str">
            <v>Less Asset Write-up</v>
          </cell>
          <cell r="B105">
            <v>0</v>
          </cell>
          <cell r="C105">
            <v>0</v>
          </cell>
          <cell r="D105">
            <v>0</v>
          </cell>
          <cell r="F105">
            <v>0</v>
          </cell>
          <cell r="G105">
            <v>0</v>
          </cell>
          <cell r="H105">
            <v>0</v>
          </cell>
        </row>
        <row r="106">
          <cell r="A106" t="str">
            <v>Total Goodwill</v>
          </cell>
          <cell r="B106">
            <v>57.83712635016326</v>
          </cell>
          <cell r="C106">
            <v>57.83712635016326</v>
          </cell>
          <cell r="D106">
            <v>57.83712635016326</v>
          </cell>
          <cell r="F106">
            <v>57.83712635016326</v>
          </cell>
          <cell r="G106">
            <v>57.83712635016326</v>
          </cell>
          <cell r="H106">
            <v>57.83712635016326</v>
          </cell>
        </row>
        <row r="108">
          <cell r="A108" t="str">
            <v xml:space="preserve">Total Annual Goodwill Expense </v>
          </cell>
          <cell r="B108">
            <v>2.3134850540065304</v>
          </cell>
          <cell r="C108">
            <v>2.3134850540065304</v>
          </cell>
          <cell r="D108">
            <v>2.3134850540065304</v>
          </cell>
          <cell r="F108">
            <v>2.3134850540065304</v>
          </cell>
          <cell r="G108">
            <v>2.3134850540065304</v>
          </cell>
          <cell r="H108">
            <v>2.3134850540065304</v>
          </cell>
        </row>
        <row r="110">
          <cell r="A110" t="str">
            <v>Dilution Purchase Price Threshold</v>
          </cell>
          <cell r="B110">
            <v>0</v>
          </cell>
          <cell r="C110">
            <v>0</v>
          </cell>
          <cell r="D110">
            <v>0</v>
          </cell>
          <cell r="F110">
            <v>0</v>
          </cell>
          <cell r="G110">
            <v>0</v>
          </cell>
          <cell r="H110">
            <v>0</v>
          </cell>
        </row>
        <row r="112">
          <cell r="A112" t="str">
            <v>(1) Capital structure of acquisition: 100% debt.</v>
          </cell>
        </row>
        <row r="113">
          <cell r="G113">
            <v>1</v>
          </cell>
          <cell r="H113">
            <v>2</v>
          </cell>
          <cell r="J113">
            <v>3</v>
          </cell>
          <cell r="K113">
            <v>4</v>
          </cell>
          <cell r="L113">
            <v>5</v>
          </cell>
        </row>
        <row r="115">
          <cell r="A115" t="str">
            <v>Income Statements ($000's)</v>
          </cell>
          <cell r="O115" t="str">
            <v>Income Statements (FFR in millions)</v>
          </cell>
        </row>
        <row r="116">
          <cell r="A116" t="str">
            <v>Fiscal Year Ended June 30,</v>
          </cell>
          <cell r="O116" t="str">
            <v>Year Ended Dec 31,</v>
          </cell>
        </row>
        <row r="117">
          <cell r="A117" t="str">
            <v xml:space="preserve">Exchange rate: per Fr. Franc </v>
          </cell>
          <cell r="B117">
            <v>0.16746211169722849</v>
          </cell>
          <cell r="C117" t="str">
            <v>1995A</v>
          </cell>
          <cell r="D117" t="str">
            <v>1996A</v>
          </cell>
          <cell r="E117" t="str">
            <v>1997A</v>
          </cell>
          <cell r="F117" t="str">
            <v>1998E</v>
          </cell>
          <cell r="G117" t="str">
            <v>1999E</v>
          </cell>
          <cell r="H117" t="str">
            <v>2000E</v>
          </cell>
          <cell r="I117" t="str">
            <v>2001E</v>
          </cell>
          <cell r="J117" t="str">
            <v>2002E</v>
          </cell>
          <cell r="K117" t="str">
            <v>2003E</v>
          </cell>
          <cell r="Q117" t="str">
            <v>1995A</v>
          </cell>
          <cell r="R117" t="str">
            <v>1996A</v>
          </cell>
          <cell r="S117" t="str">
            <v>1997A</v>
          </cell>
        </row>
        <row r="119">
          <cell r="A119" t="str">
            <v>Total Sales (2)</v>
          </cell>
          <cell r="C119">
            <v>59.551369002763117</v>
          </cell>
          <cell r="D119">
            <v>62.831784308800131</v>
          </cell>
          <cell r="E119">
            <v>65.779117474671352</v>
          </cell>
          <cell r="F119">
            <v>72.008708029808247</v>
          </cell>
          <cell r="G119">
            <v>77.049317591894834</v>
          </cell>
          <cell r="H119">
            <v>82.442769823327481</v>
          </cell>
          <cell r="I119">
            <v>88.213763710960421</v>
          </cell>
          <cell r="J119">
            <v>94.388727170727662</v>
          </cell>
          <cell r="K119">
            <v>100.9959380726786</v>
          </cell>
          <cell r="O119" t="str">
            <v>Total Sales</v>
          </cell>
          <cell r="Q119">
            <v>355.61099999999999</v>
          </cell>
          <cell r="R119">
            <v>375.2</v>
          </cell>
          <cell r="S119">
            <v>392.8</v>
          </cell>
        </row>
        <row r="120">
          <cell r="A120" t="str">
            <v>Annual Growth</v>
          </cell>
          <cell r="C120" t="str">
            <v>na</v>
          </cell>
          <cell r="D120">
            <v>5.5085472609115005E-2</v>
          </cell>
          <cell r="E120">
            <v>4.6908315565032055E-2</v>
          </cell>
          <cell r="F120">
            <v>9.4704684317718835E-2</v>
          </cell>
          <cell r="G120">
            <v>7.0000000000000062E-2</v>
          </cell>
          <cell r="H120">
            <v>7.0000000000000062E-2</v>
          </cell>
          <cell r="I120">
            <v>7.0000000000000284E-2</v>
          </cell>
          <cell r="J120">
            <v>7.0000000000000062E-2</v>
          </cell>
          <cell r="K120">
            <v>7.0000000000000062E-2</v>
          </cell>
          <cell r="O120" t="str">
            <v>Annual Growth</v>
          </cell>
          <cell r="Q120" t="str">
            <v>n/a</v>
          </cell>
          <cell r="R120">
            <v>5.5085472609115005E-2</v>
          </cell>
          <cell r="S120">
            <v>4.6908315565032055E-2</v>
          </cell>
        </row>
        <row r="122">
          <cell r="A122" t="str">
            <v xml:space="preserve">Cost of Sales </v>
          </cell>
          <cell r="C122">
            <v>33.289458260068656</v>
          </cell>
          <cell r="D122">
            <v>34.816545256635685</v>
          </cell>
          <cell r="E122">
            <v>36.6407100393536</v>
          </cell>
          <cell r="F122">
            <v>40.00669848446789</v>
          </cell>
          <cell r="G122">
            <v>42.753077116302435</v>
          </cell>
          <cell r="H122">
            <v>45.333578665326968</v>
          </cell>
          <cell r="I122">
            <v>48.065860353345059</v>
          </cell>
          <cell r="J122">
            <v>50.958526942225582</v>
          </cell>
          <cell r="K122">
            <v>54.020644137817989</v>
          </cell>
          <cell r="O122" t="str">
            <v xml:space="preserve">Cost of Sales </v>
          </cell>
          <cell r="Q122">
            <v>198.78800000000001</v>
          </cell>
          <cell r="R122">
            <v>207.90700000000001</v>
          </cell>
          <cell r="S122">
            <v>218.8</v>
          </cell>
        </row>
        <row r="123">
          <cell r="A123" t="str">
            <v>Adjustments to COGS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O123" t="str">
            <v>Adjustments to COGS</v>
          </cell>
          <cell r="Q123">
            <v>0</v>
          </cell>
          <cell r="R123">
            <v>0</v>
          </cell>
          <cell r="S123">
            <v>0</v>
          </cell>
        </row>
        <row r="124">
          <cell r="A124" t="str">
            <v xml:space="preserve">Total Gross Profit </v>
          </cell>
          <cell r="C124">
            <v>26.261910742694461</v>
          </cell>
          <cell r="D124">
            <v>28.015239052164446</v>
          </cell>
          <cell r="E124">
            <v>29.138407435317752</v>
          </cell>
          <cell r="F124">
            <v>32.002009545340357</v>
          </cell>
          <cell r="G124">
            <v>34.296240475592398</v>
          </cell>
          <cell r="H124">
            <v>37.109191158000513</v>
          </cell>
          <cell r="I124">
            <v>40.147903357615363</v>
          </cell>
          <cell r="J124">
            <v>43.430200228502081</v>
          </cell>
          <cell r="K124">
            <v>46.975293934860609</v>
          </cell>
          <cell r="O124" t="str">
            <v xml:space="preserve">Total Gross Profit </v>
          </cell>
          <cell r="Q124">
            <v>156.82299999999998</v>
          </cell>
          <cell r="R124">
            <v>167.29299999999998</v>
          </cell>
          <cell r="S124">
            <v>174</v>
          </cell>
        </row>
        <row r="125">
          <cell r="A125" t="str">
            <v>Gross Margin %</v>
          </cell>
          <cell r="C125">
            <v>0.44099591969877194</v>
          </cell>
          <cell r="D125">
            <v>0.44587686567164181</v>
          </cell>
          <cell r="E125">
            <v>0.44297352342158852</v>
          </cell>
          <cell r="F125">
            <v>0.44441860465116273</v>
          </cell>
          <cell r="G125">
            <v>0.44512062595088026</v>
          </cell>
          <cell r="H125">
            <v>0.45012062595088032</v>
          </cell>
          <cell r="I125">
            <v>0.45512062595088038</v>
          </cell>
          <cell r="J125">
            <v>0.46012062595088038</v>
          </cell>
          <cell r="K125">
            <v>0.46512062595088027</v>
          </cell>
          <cell r="O125" t="str">
            <v>Gross Margin %</v>
          </cell>
          <cell r="Q125">
            <v>0.44099591969877194</v>
          </cell>
          <cell r="R125">
            <v>0.44587686567164175</v>
          </cell>
          <cell r="S125">
            <v>0.44297352342158858</v>
          </cell>
        </row>
        <row r="127">
          <cell r="A127" t="str">
            <v>Operating Expenses:</v>
          </cell>
          <cell r="O127" t="str">
            <v>Operating Expenses:</v>
          </cell>
        </row>
        <row r="128">
          <cell r="A128" t="str">
            <v>Employee costs</v>
          </cell>
          <cell r="C128">
            <v>7.7074436908649409</v>
          </cell>
          <cell r="D128">
            <v>8.3349242233944558</v>
          </cell>
          <cell r="E128">
            <v>9.0429540316503392</v>
          </cell>
          <cell r="F128">
            <v>9.5453403667420247</v>
          </cell>
          <cell r="G128">
            <v>10.180105501130368</v>
          </cell>
          <cell r="H128">
            <v>10.857082516955538</v>
          </cell>
          <cell r="I128">
            <v>11.579078504333081</v>
          </cell>
          <cell r="J128">
            <v>12.34908722487123</v>
          </cell>
          <cell r="K128">
            <v>13.170301525325167</v>
          </cell>
          <cell r="O128" t="str">
            <v>Employee costs</v>
          </cell>
          <cell r="Q128">
            <v>46.024999999999999</v>
          </cell>
          <cell r="R128">
            <v>49.771999999999998</v>
          </cell>
          <cell r="S128">
            <v>54</v>
          </cell>
        </row>
        <row r="129">
          <cell r="A129" t="str">
            <v>As a % of Sales</v>
          </cell>
          <cell r="C129">
            <v>0.12942513026874872</v>
          </cell>
          <cell r="D129">
            <v>0.13265458422174839</v>
          </cell>
          <cell r="E129">
            <v>0.13747454175152751</v>
          </cell>
          <cell r="F129">
            <v>0.13255813953488374</v>
          </cell>
          <cell r="G129">
            <v>0.13212453814388175</v>
          </cell>
          <cell r="H129">
            <v>0.13169235507518681</v>
          </cell>
          <cell r="I129">
            <v>0.13126158568942681</v>
          </cell>
          <cell r="J129">
            <v>0.1308322253624053</v>
          </cell>
          <cell r="K129">
            <v>0.13040426948505163</v>
          </cell>
          <cell r="O129" t="str">
            <v>As a % of Sales</v>
          </cell>
          <cell r="Q129">
            <v>0.12942513026874872</v>
          </cell>
          <cell r="R129">
            <v>0.13265458422174839</v>
          </cell>
          <cell r="S129">
            <v>0.13747454175152748</v>
          </cell>
        </row>
        <row r="131">
          <cell r="A131" t="str">
            <v>Allocation to provisions</v>
          </cell>
          <cell r="C131">
            <v>1.3050322364565017</v>
          </cell>
          <cell r="D131">
            <v>1.4302938960060285</v>
          </cell>
          <cell r="E131">
            <v>1.4974462027966173</v>
          </cell>
          <cell r="F131">
            <v>1.6387842250690781</v>
          </cell>
          <cell r="G131">
            <v>1.7534991208239135</v>
          </cell>
          <cell r="H131">
            <v>1.8762440592815874</v>
          </cell>
          <cell r="I131">
            <v>2.0075811434312985</v>
          </cell>
          <cell r="J131">
            <v>2.1481118234714898</v>
          </cell>
          <cell r="K131">
            <v>2.2984796511144943</v>
          </cell>
          <cell r="O131" t="str">
            <v>Allocation to provisions</v>
          </cell>
          <cell r="Q131">
            <v>7.7930000000000001</v>
          </cell>
          <cell r="R131">
            <v>8.5410000000000004</v>
          </cell>
          <cell r="S131">
            <v>8.9420000000000002</v>
          </cell>
        </row>
        <row r="132">
          <cell r="A132" t="str">
            <v>As a % of Sales</v>
          </cell>
          <cell r="C132">
            <v>2.191439522399476E-2</v>
          </cell>
          <cell r="D132">
            <v>2.2763859275053304E-2</v>
          </cell>
          <cell r="E132">
            <v>2.2764765784114054E-2</v>
          </cell>
          <cell r="F132">
            <v>2.2758139534883724E-2</v>
          </cell>
          <cell r="G132">
            <v>2.2758139534883721E-2</v>
          </cell>
          <cell r="H132">
            <v>2.2758139534883717E-2</v>
          </cell>
          <cell r="I132">
            <v>2.275813953488371E-2</v>
          </cell>
          <cell r="J132">
            <v>2.2758139534883714E-2</v>
          </cell>
          <cell r="K132">
            <v>2.2758139534883717E-2</v>
          </cell>
          <cell r="O132" t="str">
            <v>As a % of Sales</v>
          </cell>
          <cell r="Q132">
            <v>2.191439522399476E-2</v>
          </cell>
          <cell r="R132">
            <v>2.2763859275053307E-2</v>
          </cell>
          <cell r="S132">
            <v>2.2764765784114054E-2</v>
          </cell>
        </row>
        <row r="134">
          <cell r="A134" t="str">
            <v>Other Expenses</v>
          </cell>
          <cell r="C134">
            <v>8.5841078455999327</v>
          </cell>
          <cell r="D134">
            <v>9.3658209830025942</v>
          </cell>
          <cell r="E134">
            <v>9.421418404086074</v>
          </cell>
          <cell r="F134">
            <v>10.003349242233943</v>
          </cell>
          <cell r="G134">
            <v>10.598548522146864</v>
          </cell>
          <cell r="H134">
            <v>11.229162159214603</v>
          </cell>
          <cell r="I134">
            <v>11.897297307687875</v>
          </cell>
          <cell r="J134">
            <v>12.605186497495305</v>
          </cell>
          <cell r="K134">
            <v>13.355195094096278</v>
          </cell>
          <cell r="O134" t="str">
            <v>Other Expenses</v>
          </cell>
          <cell r="Q134">
            <v>51.26</v>
          </cell>
          <cell r="R134">
            <v>55.927999999999997</v>
          </cell>
          <cell r="S134">
            <v>56.26</v>
          </cell>
        </row>
        <row r="135">
          <cell r="A135" t="str">
            <v>As a % of Sales</v>
          </cell>
          <cell r="C135">
            <v>0.14414627219068027</v>
          </cell>
          <cell r="D135">
            <v>0.14906183368869935</v>
          </cell>
          <cell r="E135">
            <v>0.14322810590631363</v>
          </cell>
          <cell r="F135">
            <v>0.13891860465116279</v>
          </cell>
          <cell r="G135">
            <v>0.13755538469897846</v>
          </cell>
          <cell r="H135">
            <v>0.13620554213884831</v>
          </cell>
          <cell r="I135">
            <v>0.13486894569729888</v>
          </cell>
          <cell r="J135">
            <v>0.13354546538905435</v>
          </cell>
          <cell r="K135">
            <v>0.13223497250439542</v>
          </cell>
          <cell r="O135" t="str">
            <v>As a % of Sales</v>
          </cell>
          <cell r="Q135">
            <v>0.14414627219068027</v>
          </cell>
          <cell r="R135">
            <v>0.14906183368869935</v>
          </cell>
          <cell r="S135">
            <v>0.14322810590631363</v>
          </cell>
        </row>
        <row r="137">
          <cell r="A137" t="str">
            <v xml:space="preserve">Depreciation &amp; Amortization </v>
          </cell>
          <cell r="C137">
            <v>0.51930000837310553</v>
          </cell>
          <cell r="D137">
            <v>0.55882106673365151</v>
          </cell>
          <cell r="E137">
            <v>0.65276731139579669</v>
          </cell>
          <cell r="F137">
            <v>0.69948924055932338</v>
          </cell>
          <cell r="G137">
            <v>0.76553151278094744</v>
          </cell>
          <cell r="H137">
            <v>0.83619674405808542</v>
          </cell>
          <cell r="I137">
            <v>0.91180854152462287</v>
          </cell>
          <cell r="J137">
            <v>0.99271316481381811</v>
          </cell>
          <cell r="K137">
            <v>1.079281111733257</v>
          </cell>
          <cell r="O137" t="str">
            <v xml:space="preserve">Depreciation &amp; Amortization </v>
          </cell>
          <cell r="Q137">
            <v>3.101</v>
          </cell>
          <cell r="R137">
            <v>3.3370000000000002</v>
          </cell>
          <cell r="S137">
            <v>3.8980000000000001</v>
          </cell>
        </row>
        <row r="138">
          <cell r="A138" t="str">
            <v>As a % of Sales</v>
          </cell>
          <cell r="C138">
            <v>8.7202026933924995E-3</v>
          </cell>
          <cell r="D138">
            <v>8.8939232409381667E-3</v>
          </cell>
          <cell r="E138">
            <v>9.9236252545824855E-3</v>
          </cell>
          <cell r="F138">
            <v>9.7139534883720936E-3</v>
          </cell>
          <cell r="G138">
            <v>9.9356040612289236E-3</v>
          </cell>
          <cell r="H138">
            <v>1.0142754129319422E-2</v>
          </cell>
          <cell r="I138">
            <v>1.0336352323796519E-2</v>
          </cell>
          <cell r="J138">
            <v>1.0517285215831193E-2</v>
          </cell>
          <cell r="K138">
            <v>1.0686381376611263E-2</v>
          </cell>
          <cell r="O138" t="str">
            <v>As a % of Sales</v>
          </cell>
          <cell r="Q138">
            <v>8.7202026933924995E-3</v>
          </cell>
          <cell r="R138">
            <v>8.8939232409381667E-3</v>
          </cell>
          <cell r="S138">
            <v>9.9236252545824855E-3</v>
          </cell>
        </row>
        <row r="140">
          <cell r="A140" t="str">
            <v>Operating Income</v>
          </cell>
          <cell r="C140">
            <v>8.1460269613999792</v>
          </cell>
          <cell r="D140">
            <v>8.3253788830277173</v>
          </cell>
          <cell r="E140">
            <v>8.5238214853889254</v>
          </cell>
          <cell r="F140">
            <v>10.115046470735988</v>
          </cell>
          <cell r="G140">
            <v>10.998555818710303</v>
          </cell>
          <cell r="H140">
            <v>12.310505678490699</v>
          </cell>
          <cell r="I140">
            <v>13.752137860638483</v>
          </cell>
          <cell r="J140">
            <v>15.335101517850237</v>
          </cell>
          <cell r="K140">
            <v>17.072036552591417</v>
          </cell>
          <cell r="O140" t="str">
            <v>Operating Income</v>
          </cell>
          <cell r="Q140">
            <v>48.64399999999997</v>
          </cell>
          <cell r="R140">
            <v>49.714999999999989</v>
          </cell>
          <cell r="S140">
            <v>50.899999999999991</v>
          </cell>
        </row>
        <row r="141">
          <cell r="A141" t="str">
            <v>Operating Margin</v>
          </cell>
          <cell r="C141">
            <v>0.13678991932195569</v>
          </cell>
          <cell r="D141">
            <v>0.1325026652452026</v>
          </cell>
          <cell r="E141">
            <v>0.12958248472505085</v>
          </cell>
          <cell r="F141">
            <v>0.14046976744186038</v>
          </cell>
          <cell r="G141">
            <v>0.14274695951190736</v>
          </cell>
          <cell r="H141">
            <v>0.14932183507264207</v>
          </cell>
          <cell r="I141">
            <v>0.15589560270547442</v>
          </cell>
          <cell r="J141">
            <v>0.1624675104487058</v>
          </cell>
          <cell r="K141">
            <v>0.16903686304993826</v>
          </cell>
          <cell r="O141" t="str">
            <v>Operating Margin</v>
          </cell>
          <cell r="Q141">
            <v>0.13678991932195564</v>
          </cell>
          <cell r="R141">
            <v>0.13250266524520254</v>
          </cell>
          <cell r="S141">
            <v>0.12958248472505088</v>
          </cell>
        </row>
        <row r="143">
          <cell r="A143" t="str">
            <v>Employee Profit Sharing</v>
          </cell>
          <cell r="C143">
            <v>0.54709871891484552</v>
          </cell>
          <cell r="D143">
            <v>0.51578330402746375</v>
          </cell>
          <cell r="E143">
            <v>0.46889391275223974</v>
          </cell>
          <cell r="F143">
            <v>0.59114125429121656</v>
          </cell>
          <cell r="G143">
            <v>0.61639454073515865</v>
          </cell>
          <cell r="H143">
            <v>0.65954215858661991</v>
          </cell>
          <cell r="I143">
            <v>0.70571010968768333</v>
          </cell>
          <cell r="J143">
            <v>0.75510981736582139</v>
          </cell>
          <cell r="K143">
            <v>0.80796750458142885</v>
          </cell>
          <cell r="O143" t="str">
            <v>Employee Profit Sharing</v>
          </cell>
          <cell r="Q143">
            <v>3.2669999999999999</v>
          </cell>
          <cell r="R143">
            <v>3.08</v>
          </cell>
          <cell r="S143">
            <v>2.8</v>
          </cell>
        </row>
        <row r="144">
          <cell r="A144" t="str">
            <v>As a % of Sales</v>
          </cell>
          <cell r="C144">
            <v>9.1870049014231847E-3</v>
          </cell>
          <cell r="D144">
            <v>8.2089552238805968E-3</v>
          </cell>
          <cell r="E144">
            <v>7.1283095723014252E-3</v>
          </cell>
          <cell r="F144">
            <v>8.2093023255813951E-3</v>
          </cell>
          <cell r="G144">
            <v>8.0000000000000002E-3</v>
          </cell>
          <cell r="H144">
            <v>8.0000000000000002E-3</v>
          </cell>
          <cell r="I144">
            <v>8.0000000000000002E-3</v>
          </cell>
          <cell r="J144">
            <v>8.0000000000000002E-3</v>
          </cell>
          <cell r="K144">
            <v>8.0000000000000002E-3</v>
          </cell>
          <cell r="O144" t="str">
            <v>As a % of Sales</v>
          </cell>
          <cell r="Q144">
            <v>9.1870049014231847E-3</v>
          </cell>
          <cell r="R144">
            <v>8.2089552238805968E-3</v>
          </cell>
          <cell r="S144">
            <v>7.1283095723014252E-3</v>
          </cell>
        </row>
        <row r="146">
          <cell r="A146" t="str">
            <v>Adjustments / (Cost Savings)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O146" t="str">
            <v>Adjustments / Cost Savings</v>
          </cell>
          <cell r="Q146">
            <v>0</v>
          </cell>
          <cell r="R146">
            <v>0</v>
          </cell>
          <cell r="S146">
            <v>0</v>
          </cell>
        </row>
        <row r="147">
          <cell r="A147" t="str">
            <v>As a % of EBIT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O147" t="str">
            <v>As a % of EBIT</v>
          </cell>
          <cell r="Q147">
            <v>0</v>
          </cell>
          <cell r="R147">
            <v>0</v>
          </cell>
          <cell r="S147">
            <v>0</v>
          </cell>
        </row>
        <row r="149">
          <cell r="A149" t="str">
            <v>Adj. EBIT</v>
          </cell>
          <cell r="C149">
            <v>7.5989282424851332</v>
          </cell>
          <cell r="D149">
            <v>7.8095955790002538</v>
          </cell>
          <cell r="E149">
            <v>8.0549275726366858</v>
          </cell>
          <cell r="F149">
            <v>9.5239052164447724</v>
          </cell>
          <cell r="G149">
            <v>10.382161277975143</v>
          </cell>
          <cell r="H149">
            <v>11.65096351990408</v>
          </cell>
          <cell r="I149">
            <v>13.0464277509508</v>
          </cell>
          <cell r="J149">
            <v>14.579991700484415</v>
          </cell>
          <cell r="K149">
            <v>16.264069048009986</v>
          </cell>
          <cell r="O149" t="str">
            <v>Adj. EBIT</v>
          </cell>
          <cell r="Q149">
            <v>45.376999999999967</v>
          </cell>
          <cell r="R149">
            <v>46.634999999999991</v>
          </cell>
          <cell r="S149">
            <v>48.099999999999994</v>
          </cell>
        </row>
        <row r="150">
          <cell r="A150" t="str">
            <v>As a % Of Sales</v>
          </cell>
          <cell r="C150">
            <v>0.12760291442053248</v>
          </cell>
          <cell r="D150">
            <v>0.12429371002132202</v>
          </cell>
          <cell r="E150">
            <v>0.12245417515274942</v>
          </cell>
          <cell r="F150">
            <v>0.13226046511627898</v>
          </cell>
          <cell r="G150">
            <v>0.13474695951190735</v>
          </cell>
          <cell r="H150">
            <v>0.14132183507264209</v>
          </cell>
          <cell r="I150">
            <v>0.14789560270547442</v>
          </cell>
          <cell r="J150">
            <v>0.1544675104487058</v>
          </cell>
          <cell r="K150">
            <v>0.16103686304993822</v>
          </cell>
          <cell r="O150" t="str">
            <v>As a % Of Sales</v>
          </cell>
          <cell r="Q150">
            <v>0.12760291442053245</v>
          </cell>
          <cell r="R150">
            <v>0.12429371002132195</v>
          </cell>
          <cell r="S150">
            <v>0.12245417515274948</v>
          </cell>
        </row>
        <row r="152">
          <cell r="A152" t="str">
            <v>Other Expenses /  (Income)</v>
          </cell>
          <cell r="C152">
            <v>-0.15523737754333083</v>
          </cell>
          <cell r="D152">
            <v>-0.2850205141086829</v>
          </cell>
          <cell r="E152">
            <v>-0.30143180105501127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O152" t="str">
            <v>Extra-ordinary (gains)/ losses</v>
          </cell>
          <cell r="Q152">
            <v>-0.92700000000000005</v>
          </cell>
          <cell r="R152">
            <v>-1.702</v>
          </cell>
          <cell r="S152">
            <v>-1.8</v>
          </cell>
        </row>
        <row r="153">
          <cell r="A153" t="str">
            <v>Financial (income)/ expense</v>
          </cell>
          <cell r="C153">
            <v>-2.1133718496190235</v>
          </cell>
          <cell r="D153">
            <v>-2.5852800803818137</v>
          </cell>
          <cell r="E153">
            <v>-2.5829356108180521</v>
          </cell>
          <cell r="F153">
            <v>-0.47375031399145945</v>
          </cell>
          <cell r="G153">
            <v>-2.9964467202416638</v>
          </cell>
          <cell r="H153">
            <v>-3.3826635022734748</v>
          </cell>
          <cell r="I153">
            <v>-3.8913153593632961</v>
          </cell>
          <cell r="J153">
            <v>-4.4721487484191682</v>
          </cell>
          <cell r="K153">
            <v>-5.1329555676969463</v>
          </cell>
          <cell r="O153" t="str">
            <v>Financial (income)/ expense</v>
          </cell>
          <cell r="Q153">
            <v>-12.62</v>
          </cell>
          <cell r="R153">
            <v>-15.438000000000001</v>
          </cell>
          <cell r="S153">
            <v>-15.423999999999999</v>
          </cell>
        </row>
        <row r="154">
          <cell r="A154" t="str">
            <v>Pre-tax Income</v>
          </cell>
          <cell r="C154">
            <v>9.8675374696474876</v>
          </cell>
          <cell r="D154">
            <v>10.67989617349075</v>
          </cell>
          <cell r="E154">
            <v>10.93929498450975</v>
          </cell>
          <cell r="F154">
            <v>9.9976555304362318</v>
          </cell>
          <cell r="G154">
            <v>13.378607998216808</v>
          </cell>
          <cell r="H154">
            <v>15.033627022177555</v>
          </cell>
          <cell r="I154">
            <v>16.937743110314095</v>
          </cell>
          <cell r="J154">
            <v>19.052140448903582</v>
          </cell>
          <cell r="K154">
            <v>21.397024615706933</v>
          </cell>
          <cell r="O154" t="str">
            <v>Pre-tax Income</v>
          </cell>
          <cell r="Q154">
            <v>58.923999999999964</v>
          </cell>
          <cell r="R154">
            <v>63.774999999999991</v>
          </cell>
          <cell r="S154">
            <v>65.323999999999984</v>
          </cell>
        </row>
        <row r="156">
          <cell r="A156" t="str">
            <v xml:space="preserve">Income Taxes @ </v>
          </cell>
          <cell r="C156">
            <v>3.6920371765887965</v>
          </cell>
          <cell r="D156">
            <v>3.0735995980909316</v>
          </cell>
          <cell r="E156">
            <v>4.3757849786485803</v>
          </cell>
          <cell r="F156">
            <v>3.9989952273298162</v>
          </cell>
          <cell r="G156">
            <v>5.3514431992867229</v>
          </cell>
          <cell r="H156">
            <v>6.0134508088710197</v>
          </cell>
          <cell r="I156">
            <v>6.7750972441256403</v>
          </cell>
          <cell r="J156">
            <v>7.6208561795614331</v>
          </cell>
          <cell r="K156">
            <v>8.5588098462827755</v>
          </cell>
          <cell r="O156" t="str">
            <v xml:space="preserve">Income Taxes @ </v>
          </cell>
          <cell r="Q156">
            <v>22.047000000000001</v>
          </cell>
          <cell r="R156">
            <v>18.353999999999999</v>
          </cell>
          <cell r="S156">
            <v>26.13</v>
          </cell>
        </row>
        <row r="157">
          <cell r="A157" t="str">
            <v>Net Income (check with RG)</v>
          </cell>
          <cell r="C157">
            <v>6.1755002930586915</v>
          </cell>
          <cell r="D157">
            <v>7.6062965753998188</v>
          </cell>
          <cell r="E157">
            <v>6.5635100058611702</v>
          </cell>
          <cell r="F157">
            <v>5.9986603031064156</v>
          </cell>
          <cell r="G157">
            <v>8.0271647989300838</v>
          </cell>
          <cell r="H157">
            <v>9.0201762133065344</v>
          </cell>
          <cell r="I157">
            <v>10.162645866188456</v>
          </cell>
          <cell r="J157">
            <v>11.43128426934215</v>
          </cell>
          <cell r="K157">
            <v>12.838214769424157</v>
          </cell>
          <cell r="O157" t="str">
            <v>Net Income (check with RG)</v>
          </cell>
          <cell r="Q157">
            <v>36.876999999999967</v>
          </cell>
          <cell r="R157">
            <v>45.420999999999992</v>
          </cell>
          <cell r="S157">
            <v>39.193999999999988</v>
          </cell>
        </row>
        <row r="159">
          <cell r="A159" t="str">
            <v>Return on Sales</v>
          </cell>
          <cell r="C159">
            <v>0.10370039172016608</v>
          </cell>
          <cell r="D159">
            <v>0.12105810234541584</v>
          </cell>
          <cell r="E159">
            <v>9.9781059063136404E-2</v>
          </cell>
          <cell r="F159">
            <v>8.3304651162790622E-2</v>
          </cell>
          <cell r="G159">
            <v>0.1041821660439274</v>
          </cell>
          <cell r="H159">
            <v>0.10941136782081093</v>
          </cell>
          <cell r="I159">
            <v>0.11520476441167607</v>
          </cell>
          <cell r="J159">
            <v>0.12110857527155298</v>
          </cell>
          <cell r="K159">
            <v>0.12711614956420855</v>
          </cell>
          <cell r="O159" t="str">
            <v>Return on Sales</v>
          </cell>
          <cell r="Q159">
            <v>0.10370039172016604</v>
          </cell>
          <cell r="R159">
            <v>0.12105810234541577</v>
          </cell>
          <cell r="S159">
            <v>9.9781059063136418E-2</v>
          </cell>
        </row>
        <row r="160">
          <cell r="A160" t="str">
            <v>Adj. EBIT Growth</v>
          </cell>
          <cell r="C160" t="str">
            <v>na</v>
          </cell>
          <cell r="D160">
            <v>2.7723295942879478E-2</v>
          </cell>
          <cell r="E160">
            <v>3.1414173903719478E-2</v>
          </cell>
          <cell r="F160">
            <v>0.18237006237006237</v>
          </cell>
          <cell r="G160">
            <v>9.0115980999940559E-2</v>
          </cell>
          <cell r="H160">
            <v>0.12220983742764524</v>
          </cell>
          <cell r="I160">
            <v>0.11977243158153916</v>
          </cell>
          <cell r="J160">
            <v>0.11754665559097988</v>
          </cell>
          <cell r="K160">
            <v>0.11550605666460134</v>
          </cell>
          <cell r="O160" t="str">
            <v>Adj. EBIT Growth</v>
          </cell>
          <cell r="Q160" t="str">
            <v>n/a</v>
          </cell>
          <cell r="R160">
            <v>2.7723295942879034E-2</v>
          </cell>
          <cell r="S160">
            <v>3.1414173903720366E-2</v>
          </cell>
        </row>
        <row r="161">
          <cell r="A161" t="str">
            <v>Book Value</v>
          </cell>
          <cell r="C161">
            <v>50.510926902788235</v>
          </cell>
          <cell r="D161">
            <v>55.225990119735414</v>
          </cell>
          <cell r="E161">
            <v>59.281085154483797</v>
          </cell>
          <cell r="F161">
            <v>65.286376957213434</v>
          </cell>
          <cell r="G161">
            <v>71.515673723998518</v>
          </cell>
          <cell r="H161">
            <v>80.535849937305045</v>
          </cell>
          <cell r="I161">
            <v>90.698495803493486</v>
          </cell>
          <cell r="J161">
            <v>102.12978007283563</v>
          </cell>
          <cell r="K161">
            <v>114.96799484225981</v>
          </cell>
          <cell r="O161" t="str">
            <v>Book Value</v>
          </cell>
          <cell r="Q161">
            <v>301.62599999999998</v>
          </cell>
          <cell r="R161">
            <v>329.78200000000004</v>
          </cell>
          <cell r="S161">
            <v>353.99700000000001</v>
          </cell>
        </row>
        <row r="162">
          <cell r="A162" t="str">
            <v>EPS</v>
          </cell>
          <cell r="O162" t="str">
            <v>EPS</v>
          </cell>
        </row>
        <row r="163">
          <cell r="A163" t="str">
            <v>Capital Expenditures  (4)</v>
          </cell>
          <cell r="C163">
            <v>7.1338859583019332E-2</v>
          </cell>
          <cell r="D163">
            <v>0.94247676463200203</v>
          </cell>
          <cell r="E163">
            <v>0.98668676212007034</v>
          </cell>
          <cell r="F163">
            <v>1.0801306204471237</v>
          </cell>
          <cell r="G163">
            <v>1.1557397638784226</v>
          </cell>
          <cell r="H163">
            <v>1.2366415473499122</v>
          </cell>
          <cell r="I163">
            <v>1.3232064556644063</v>
          </cell>
          <cell r="J163">
            <v>1.4158309075609148</v>
          </cell>
          <cell r="K163">
            <v>1.5149390710901789</v>
          </cell>
          <cell r="O163" t="str">
            <v>Capital Expenditures  (4)</v>
          </cell>
          <cell r="Q163">
            <v>0.42599999999999999</v>
          </cell>
          <cell r="R163">
            <v>5.6280000000000001</v>
          </cell>
          <cell r="S163">
            <v>5.8920000000000003</v>
          </cell>
        </row>
        <row r="164">
          <cell r="A164" t="str">
            <v>D&amp;A</v>
          </cell>
          <cell r="C164">
            <v>0.51930000837310553</v>
          </cell>
          <cell r="D164">
            <v>0.55882106673365151</v>
          </cell>
          <cell r="E164">
            <v>0.65276731139579669</v>
          </cell>
          <cell r="F164">
            <v>0.69948924055932338</v>
          </cell>
          <cell r="G164">
            <v>0.76553151278094744</v>
          </cell>
          <cell r="H164">
            <v>0.83619674405808542</v>
          </cell>
          <cell r="I164">
            <v>0.91180854152462287</v>
          </cell>
          <cell r="J164">
            <v>0.99271316481381811</v>
          </cell>
          <cell r="K164">
            <v>1.079281111733257</v>
          </cell>
          <cell r="O164" t="str">
            <v>D&amp;A</v>
          </cell>
          <cell r="Q164">
            <v>3.101</v>
          </cell>
          <cell r="R164">
            <v>3.3370000000000002</v>
          </cell>
          <cell r="S164">
            <v>3.8980000000000001</v>
          </cell>
        </row>
        <row r="165">
          <cell r="A165" t="str">
            <v>Tax Rate</v>
          </cell>
          <cell r="C165">
            <v>0.37415993483130827</v>
          </cell>
          <cell r="D165">
            <v>0.28779302234417864</v>
          </cell>
          <cell r="E165">
            <v>0.40000612332374025</v>
          </cell>
          <cell r="F165">
            <v>0.39999329994472477</v>
          </cell>
          <cell r="G165">
            <v>0.39999999999999997</v>
          </cell>
          <cell r="H165">
            <v>0.39999999999999986</v>
          </cell>
          <cell r="I165">
            <v>0.40000000000000013</v>
          </cell>
          <cell r="J165">
            <v>0.4</v>
          </cell>
          <cell r="K165">
            <v>0.40000000000000013</v>
          </cell>
          <cell r="O165" t="str">
            <v>Tax Rate</v>
          </cell>
          <cell r="Q165">
            <v>0.37415993483130838</v>
          </cell>
          <cell r="R165">
            <v>0.28779302234417881</v>
          </cell>
          <cell r="S165">
            <v>0.40000612332374019</v>
          </cell>
        </row>
        <row r="166">
          <cell r="A166" t="str">
            <v>EPS</v>
          </cell>
          <cell r="O166" t="str">
            <v>EPS</v>
          </cell>
        </row>
        <row r="169">
          <cell r="A169" t="str">
            <v>Cash Flow Statements ($000's)</v>
          </cell>
          <cell r="O169" t="str">
            <v>Cash Flow Statements (Lira in millions)</v>
          </cell>
        </row>
        <row r="171">
          <cell r="C171" t="str">
            <v>1995A</v>
          </cell>
          <cell r="D171" t="str">
            <v>1996A</v>
          </cell>
          <cell r="E171" t="str">
            <v>1997A</v>
          </cell>
          <cell r="F171" t="str">
            <v>1998E</v>
          </cell>
          <cell r="G171" t="str">
            <v>1999E</v>
          </cell>
          <cell r="H171" t="str">
            <v>2000E</v>
          </cell>
          <cell r="I171" t="str">
            <v>2001E</v>
          </cell>
          <cell r="J171" t="str">
            <v>2002E</v>
          </cell>
          <cell r="K171" t="str">
            <v>2003E</v>
          </cell>
          <cell r="Q171" t="str">
            <v>1995A</v>
          </cell>
          <cell r="R171" t="str">
            <v>1996A</v>
          </cell>
          <cell r="S171" t="str">
            <v>1997A</v>
          </cell>
        </row>
        <row r="172">
          <cell r="A172" t="str">
            <v>EBIT</v>
          </cell>
          <cell r="C172">
            <v>7.5989282424851332</v>
          </cell>
          <cell r="D172">
            <v>7.8095955790002538</v>
          </cell>
          <cell r="E172">
            <v>8.0549275726366858</v>
          </cell>
          <cell r="F172">
            <v>9.5239052164447724</v>
          </cell>
          <cell r="G172">
            <v>10.382161277975143</v>
          </cell>
          <cell r="H172">
            <v>11.65096351990408</v>
          </cell>
          <cell r="I172">
            <v>13.0464277509508</v>
          </cell>
          <cell r="J172">
            <v>14.579991700484415</v>
          </cell>
          <cell r="K172">
            <v>16.264069048009986</v>
          </cell>
          <cell r="O172" t="str">
            <v>EBIT</v>
          </cell>
          <cell r="Q172">
            <v>45.376999999999967</v>
          </cell>
          <cell r="R172">
            <v>46.634999999999991</v>
          </cell>
          <cell r="S172">
            <v>48.099999999999994</v>
          </cell>
        </row>
        <row r="173">
          <cell r="A173" t="str">
            <v xml:space="preserve">Taxes @ </v>
          </cell>
          <cell r="B173">
            <v>0.4</v>
          </cell>
          <cell r="C173">
            <v>3.0395712969940534</v>
          </cell>
          <cell r="D173">
            <v>3.1238382316001019</v>
          </cell>
          <cell r="E173">
            <v>3.2219710290546746</v>
          </cell>
          <cell r="F173">
            <v>3.809562086577909</v>
          </cell>
          <cell r="G173">
            <v>4.1528645111900575</v>
          </cell>
          <cell r="H173">
            <v>4.6603854079616323</v>
          </cell>
          <cell r="I173">
            <v>5.2185711003803199</v>
          </cell>
          <cell r="J173">
            <v>5.8319966801937664</v>
          </cell>
          <cell r="K173">
            <v>6.5056276192039952</v>
          </cell>
          <cell r="O173" t="str">
            <v xml:space="preserve">Taxes @ </v>
          </cell>
          <cell r="Q173">
            <v>18.150799999999986</v>
          </cell>
          <cell r="R173">
            <v>18.653999999999996</v>
          </cell>
          <cell r="S173">
            <v>19.239999999999998</v>
          </cell>
        </row>
        <row r="174">
          <cell r="A174" t="str">
            <v>EBIAT</v>
          </cell>
          <cell r="C174">
            <v>4.5593569454910803</v>
          </cell>
          <cell r="D174">
            <v>4.6857573474001519</v>
          </cell>
          <cell r="E174">
            <v>4.8329565435820108</v>
          </cell>
          <cell r="F174">
            <v>5.7143431298668634</v>
          </cell>
          <cell r="G174">
            <v>6.2292967667850858</v>
          </cell>
          <cell r="H174">
            <v>6.9905781119424475</v>
          </cell>
          <cell r="I174">
            <v>7.8278566505704799</v>
          </cell>
          <cell r="J174">
            <v>8.7479950202906487</v>
          </cell>
          <cell r="K174">
            <v>9.7584414288059911</v>
          </cell>
          <cell r="O174" t="str">
            <v>EBIAT</v>
          </cell>
          <cell r="Q174">
            <v>27.226199999999981</v>
          </cell>
          <cell r="R174">
            <v>27.980999999999995</v>
          </cell>
          <cell r="S174">
            <v>28.859999999999996</v>
          </cell>
        </row>
        <row r="176">
          <cell r="A176" t="str">
            <v>Pre-Deal Amortization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O176" t="str">
            <v>Pre-Deal Amortization</v>
          </cell>
          <cell r="Q176">
            <v>0</v>
          </cell>
          <cell r="R176">
            <v>0</v>
          </cell>
          <cell r="S176">
            <v>0</v>
          </cell>
        </row>
        <row r="177">
          <cell r="A177" t="str">
            <v>Depreciation</v>
          </cell>
          <cell r="C177">
            <v>0.51930000837310553</v>
          </cell>
          <cell r="D177">
            <v>0.55882106673365151</v>
          </cell>
          <cell r="E177">
            <v>0.65276731139579669</v>
          </cell>
          <cell r="F177">
            <v>0.69948924055932338</v>
          </cell>
          <cell r="G177">
            <v>0.76553151278094744</v>
          </cell>
          <cell r="H177">
            <v>0.85886480068499149</v>
          </cell>
          <cell r="I177">
            <v>0.9508571807872026</v>
          </cell>
          <cell r="J177">
            <v>1.0429747828851776</v>
          </cell>
          <cell r="K177">
            <v>1.1364773100214707</v>
          </cell>
          <cell r="O177" t="str">
            <v>Depreciation</v>
          </cell>
          <cell r="Q177">
            <v>3.101</v>
          </cell>
          <cell r="R177">
            <v>3.3370000000000002</v>
          </cell>
          <cell r="S177">
            <v>3.8980000000000001</v>
          </cell>
        </row>
        <row r="178">
          <cell r="A178" t="str">
            <v>Total D &amp; A</v>
          </cell>
          <cell r="C178">
            <v>0.51930000837310553</v>
          </cell>
          <cell r="D178">
            <v>0.55882106673365151</v>
          </cell>
          <cell r="E178">
            <v>0.65276731139579669</v>
          </cell>
          <cell r="F178">
            <v>0.69948924055932338</v>
          </cell>
          <cell r="G178">
            <v>0.76553151278094744</v>
          </cell>
          <cell r="H178">
            <v>0.85886480068499149</v>
          </cell>
          <cell r="I178">
            <v>0.9508571807872026</v>
          </cell>
          <cell r="J178">
            <v>1.0429747828851776</v>
          </cell>
          <cell r="K178">
            <v>1.1364773100214707</v>
          </cell>
          <cell r="O178" t="str">
            <v>Total D &amp; A</v>
          </cell>
          <cell r="Q178">
            <v>3.101</v>
          </cell>
          <cell r="R178">
            <v>3.3370000000000002</v>
          </cell>
          <cell r="S178">
            <v>3.8980000000000001</v>
          </cell>
        </row>
        <row r="180">
          <cell r="A180" t="str">
            <v>Capex / Sales</v>
          </cell>
          <cell r="C180">
            <v>1.1979381965124814E-3</v>
          </cell>
          <cell r="D180">
            <v>1.5000000000000001E-2</v>
          </cell>
          <cell r="E180">
            <v>1.5000000000000001E-2</v>
          </cell>
          <cell r="F180">
            <v>1.4999999999999999E-2</v>
          </cell>
          <cell r="G180">
            <v>1.5000000000000001E-2</v>
          </cell>
          <cell r="H180">
            <v>1.4999999999999999E-2</v>
          </cell>
          <cell r="I180">
            <v>1.4999999999999999E-2</v>
          </cell>
          <cell r="J180">
            <v>1.4999999999999998E-2</v>
          </cell>
          <cell r="K180">
            <v>1.4999999999999999E-2</v>
          </cell>
          <cell r="O180" t="str">
            <v>Capex / Sales</v>
          </cell>
          <cell r="Q180">
            <v>1.1979381965124814E-3</v>
          </cell>
          <cell r="R180">
            <v>1.5000000000000001E-2</v>
          </cell>
          <cell r="S180">
            <v>1.5000000000000001E-2</v>
          </cell>
        </row>
        <row r="181">
          <cell r="A181" t="str">
            <v>Capex (1)</v>
          </cell>
          <cell r="C181">
            <v>7.1338859583019332E-2</v>
          </cell>
          <cell r="D181">
            <v>0.94247676463200203</v>
          </cell>
          <cell r="E181">
            <v>0.98668676212007034</v>
          </cell>
          <cell r="F181">
            <v>1.0801306204471237</v>
          </cell>
          <cell r="G181">
            <v>1.1557397638784226</v>
          </cell>
          <cell r="H181">
            <v>1.2366415473499122</v>
          </cell>
          <cell r="I181">
            <v>1.3232064556644063</v>
          </cell>
          <cell r="J181">
            <v>1.4158309075609148</v>
          </cell>
          <cell r="K181">
            <v>1.5149390710901789</v>
          </cell>
          <cell r="O181" t="str">
            <v>Capex (1)</v>
          </cell>
          <cell r="Q181">
            <v>0.42599999999999999</v>
          </cell>
          <cell r="R181">
            <v>5.6280000000000001</v>
          </cell>
          <cell r="S181">
            <v>5.8920000000000003</v>
          </cell>
        </row>
        <row r="182">
          <cell r="H182" t="str">
            <v xml:space="preserve"> </v>
          </cell>
          <cell r="I182" t="str">
            <v xml:space="preserve"> </v>
          </cell>
          <cell r="J182" t="str">
            <v xml:space="preserve"> </v>
          </cell>
          <cell r="K182" t="str">
            <v xml:space="preserve"> </v>
          </cell>
        </row>
        <row r="183">
          <cell r="A183" t="str">
            <v>Purchase Accounting Outflows / Sales</v>
          </cell>
          <cell r="C183">
            <v>3.3686758747971279E-6</v>
          </cell>
          <cell r="D183">
            <v>3.9978678038379534E-5</v>
          </cell>
          <cell r="E183">
            <v>3.8187372708757641E-5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O183" t="str">
            <v>Purchase Accounting Outflows / Sales</v>
          </cell>
          <cell r="Q183">
            <v>3.3686758747971279E-6</v>
          </cell>
          <cell r="R183">
            <v>3.9978678038379534E-5</v>
          </cell>
          <cell r="S183">
            <v>3.8187372708757641E-5</v>
          </cell>
        </row>
        <row r="184">
          <cell r="A184" t="str">
            <v>Purchase Accounting Outflows</v>
          </cell>
          <cell r="C184">
            <v>2.0060926007074961E-4</v>
          </cell>
          <cell r="D184">
            <v>2.5119316754584277E-3</v>
          </cell>
          <cell r="E184">
            <v>2.5119316754584277E-3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O184" t="str">
            <v>Purchase Accounting Outflows</v>
          </cell>
          <cell r="Q184">
            <v>1.1979381965124814E-3</v>
          </cell>
          <cell r="R184">
            <v>1.5000000000000001E-2</v>
          </cell>
          <cell r="S184">
            <v>1.5000000000000001E-2</v>
          </cell>
        </row>
        <row r="185">
          <cell r="H185" t="str">
            <v xml:space="preserve"> </v>
          </cell>
          <cell r="I185" t="str">
            <v xml:space="preserve"> </v>
          </cell>
          <cell r="J185" t="str">
            <v xml:space="preserve"> </v>
          </cell>
          <cell r="K185" t="str">
            <v xml:space="preserve"> </v>
          </cell>
        </row>
        <row r="186">
          <cell r="A186" t="str">
            <v>Working Capital / Sales</v>
          </cell>
          <cell r="C186">
            <v>0.25159514188256266</v>
          </cell>
          <cell r="D186">
            <v>0.22048773987206821</v>
          </cell>
          <cell r="E186">
            <v>0.24872708757637482</v>
          </cell>
          <cell r="F186">
            <v>0.24873501306757897</v>
          </cell>
          <cell r="G186">
            <v>0.24873886327580416</v>
          </cell>
          <cell r="H186">
            <v>0.24876628557927766</v>
          </cell>
          <cell r="I186">
            <v>0.24879370788275113</v>
          </cell>
          <cell r="J186">
            <v>0.24882113018622462</v>
          </cell>
          <cell r="K186">
            <v>0.24884855248969814</v>
          </cell>
          <cell r="O186" t="str">
            <v>Working Capital / Sales</v>
          </cell>
          <cell r="Q186">
            <v>0.25159514188256271</v>
          </cell>
          <cell r="R186">
            <v>0.22048773987206824</v>
          </cell>
          <cell r="S186">
            <v>0.24872708757637479</v>
          </cell>
        </row>
        <row r="187">
          <cell r="A187" t="str">
            <v>Working Capital (2)</v>
          </cell>
          <cell r="C187">
            <v>14.982835133551031</v>
          </cell>
          <cell r="D187">
            <v>13.85363811437662</v>
          </cell>
          <cell r="E187">
            <v>16.361048312819229</v>
          </cell>
          <cell r="F187">
            <v>17.911086932773834</v>
          </cell>
          <cell r="G187">
            <v>19.165159673984341</v>
          </cell>
          <cell r="H187">
            <v>20.508981621816538</v>
          </cell>
          <cell r="I187">
            <v>21.947029359942718</v>
          </cell>
          <cell r="J187">
            <v>23.485909771459664</v>
          </cell>
          <cell r="K187">
            <v>25.132692996725265</v>
          </cell>
          <cell r="O187" t="str">
            <v>Working Capital (2)</v>
          </cell>
          <cell r="Q187">
            <v>89.47</v>
          </cell>
          <cell r="R187">
            <v>82.727000000000004</v>
          </cell>
          <cell r="S187">
            <v>97.700000000000017</v>
          </cell>
        </row>
        <row r="188">
          <cell r="A188" t="str">
            <v>Change In WC</v>
          </cell>
          <cell r="C188">
            <v>14.982835133551031</v>
          </cell>
          <cell r="D188">
            <v>-1.129197019174411</v>
          </cell>
          <cell r="E188">
            <v>2.5074101984426083</v>
          </cell>
          <cell r="F188">
            <v>1.5500386199546057</v>
          </cell>
          <cell r="G188">
            <v>1.254072741210507</v>
          </cell>
          <cell r="H188">
            <v>1.3438219478321969</v>
          </cell>
          <cell r="I188">
            <v>1.4380477381261798</v>
          </cell>
          <cell r="J188">
            <v>1.5388804115169457</v>
          </cell>
          <cell r="K188">
            <v>1.6467832252656009</v>
          </cell>
          <cell r="O188" t="str">
            <v>Change In WC</v>
          </cell>
          <cell r="Q188">
            <v>89.47</v>
          </cell>
          <cell r="R188">
            <v>-6.742999999999995</v>
          </cell>
          <cell r="S188">
            <v>14.973000000000013</v>
          </cell>
        </row>
        <row r="191">
          <cell r="A191" t="str">
            <v>Free Cash Flow</v>
          </cell>
          <cell r="C191">
            <v>-9.9757176485299368</v>
          </cell>
          <cell r="D191">
            <v>5.4287867370007534</v>
          </cell>
          <cell r="E191">
            <v>1.98911496273967</v>
          </cell>
          <cell r="F191">
            <v>3.7836631300244576</v>
          </cell>
          <cell r="G191">
            <v>4.5850157744771041</v>
          </cell>
          <cell r="H191">
            <v>5.2689794174453297</v>
          </cell>
          <cell r="I191">
            <v>6.0174596375670966</v>
          </cell>
          <cell r="J191">
            <v>6.8362584840979661</v>
          </cell>
          <cell r="K191">
            <v>7.7331964424716819</v>
          </cell>
          <cell r="O191" t="str">
            <v>Free Cash Flow</v>
          </cell>
          <cell r="Q191">
            <v>-59.569997938196529</v>
          </cell>
          <cell r="R191">
            <v>32.417999999999992</v>
          </cell>
          <cell r="S191">
            <v>11.877999999999982</v>
          </cell>
        </row>
        <row r="192">
          <cell r="A192" t="str">
            <v>Tax Savings For Goodwill Amort.</v>
          </cell>
          <cell r="B192" t="str">
            <v>No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O192" t="str">
            <v>Tax Savings For Goodwill Amort.</v>
          </cell>
          <cell r="P192" t="str">
            <v>No</v>
          </cell>
        </row>
        <row r="194">
          <cell r="A194" t="str">
            <v>Purchase Price Payments (3)</v>
          </cell>
          <cell r="F194">
            <v>-79.316830883205029</v>
          </cell>
          <cell r="O194" t="str">
            <v>Purchase Price Payments (3)</v>
          </cell>
        </row>
        <row r="195">
          <cell r="A195" t="str">
            <v>Terminal Value  (4)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117.16964306775274</v>
          </cell>
          <cell r="O195" t="str">
            <v>Terminal Value  (4)</v>
          </cell>
        </row>
        <row r="196">
          <cell r="A196" t="str">
            <v>Unlevered IRR Calculation:</v>
          </cell>
          <cell r="B196">
            <v>0.1455104494284723</v>
          </cell>
          <cell r="F196">
            <v>-79.316830883205029</v>
          </cell>
          <cell r="G196">
            <v>4.5850157744771041</v>
          </cell>
          <cell r="H196">
            <v>5.2689794174453297</v>
          </cell>
          <cell r="I196">
            <v>6.0174596375670966</v>
          </cell>
          <cell r="J196">
            <v>6.8362584840979661</v>
          </cell>
          <cell r="K196">
            <v>124.90283951022442</v>
          </cell>
          <cell r="O196" t="str">
            <v>Unlevered IRR Calculation:</v>
          </cell>
          <cell r="P196">
            <v>0.14551044942847244</v>
          </cell>
        </row>
        <row r="199">
          <cell r="B199" t="str">
            <v>Company Valuation:</v>
          </cell>
          <cell r="E199" t="str">
            <v>As of June 30, 1998</v>
          </cell>
          <cell r="G199" t="str">
            <v>As of June 30, 1998</v>
          </cell>
          <cell r="I199" t="str">
            <v>As of June 30, 1998</v>
          </cell>
          <cell r="O199" t="str">
            <v>Company Valuation:</v>
          </cell>
          <cell r="Q199" t="str">
            <v>As of June 30, 1998</v>
          </cell>
          <cell r="S199" t="str">
            <v>As of June 30, 1998</v>
          </cell>
        </row>
        <row r="201">
          <cell r="B201" t="str">
            <v>PV of Cash Flows @:</v>
          </cell>
          <cell r="D201">
            <v>0.15</v>
          </cell>
          <cell r="E201">
            <v>19.681071384683161</v>
          </cell>
          <cell r="F201">
            <v>0.2</v>
          </cell>
          <cell r="G201">
            <v>17.366791105961902</v>
          </cell>
          <cell r="H201">
            <v>0.25</v>
          </cell>
          <cell r="I201">
            <v>15.455244066536697</v>
          </cell>
          <cell r="O201" t="str">
            <v>PV of Cash Flows @:</v>
          </cell>
          <cell r="P201">
            <v>0.15</v>
          </cell>
          <cell r="Q201">
            <v>117.5255177736355</v>
          </cell>
          <cell r="R201">
            <v>0.2</v>
          </cell>
          <cell r="S201">
            <v>103.7057930892515</v>
          </cell>
        </row>
        <row r="202">
          <cell r="B202" t="str">
            <v>PV of TV @ :</v>
          </cell>
          <cell r="D202">
            <v>0.15</v>
          </cell>
          <cell r="E202">
            <v>58.254020616491218</v>
          </cell>
          <cell r="F202">
            <v>0.2</v>
          </cell>
          <cell r="G202">
            <v>47.087851670103824</v>
          </cell>
          <cell r="H202">
            <v>0.25</v>
          </cell>
          <cell r="I202">
            <v>38.394148640441223</v>
          </cell>
          <cell r="O202" t="str">
            <v>PV of TV @ :</v>
          </cell>
          <cell r="P202">
            <v>0.15</v>
          </cell>
          <cell r="Q202">
            <v>347.86388411137739</v>
          </cell>
          <cell r="R202">
            <v>0.2</v>
          </cell>
          <cell r="S202">
            <v>281.18510624802508</v>
          </cell>
        </row>
        <row r="203">
          <cell r="B203" t="str">
            <v>PV of Tax Benefit @:</v>
          </cell>
          <cell r="D203">
            <v>0.09</v>
          </cell>
          <cell r="E203">
            <v>0</v>
          </cell>
          <cell r="F203">
            <v>0.09</v>
          </cell>
          <cell r="G203">
            <v>0</v>
          </cell>
          <cell r="H203">
            <v>0.09</v>
          </cell>
          <cell r="I203">
            <v>0</v>
          </cell>
          <cell r="O203" t="str">
            <v>PV of Tax Benefit @:</v>
          </cell>
          <cell r="P203">
            <v>0.09</v>
          </cell>
          <cell r="Q203">
            <v>0</v>
          </cell>
          <cell r="R203">
            <v>0.09</v>
          </cell>
          <cell r="S203">
            <v>0</v>
          </cell>
        </row>
        <row r="204">
          <cell r="B204" t="str">
            <v>PV of Firm</v>
          </cell>
          <cell r="E204">
            <v>77.935092001174382</v>
          </cell>
          <cell r="G204">
            <v>64.454642776065725</v>
          </cell>
          <cell r="I204">
            <v>53.849392706977923</v>
          </cell>
          <cell r="O204" t="str">
            <v>PV of Firm</v>
          </cell>
          <cell r="Q204">
            <v>465.38940188501289</v>
          </cell>
          <cell r="S204">
            <v>384.89089933727655</v>
          </cell>
        </row>
        <row r="205">
          <cell r="B205" t="str">
            <v xml:space="preserve">Less Net LT Debt </v>
          </cell>
          <cell r="E205">
            <v>-43.806672424171659</v>
          </cell>
          <cell r="G205">
            <v>-43.806672424171659</v>
          </cell>
          <cell r="I205">
            <v>-43.806672424171659</v>
          </cell>
          <cell r="O205" t="str">
            <v xml:space="preserve">Less Net LT Debt </v>
          </cell>
          <cell r="Q205">
            <v>-261.59154438094106</v>
          </cell>
          <cell r="S205">
            <v>-261.59154438094106</v>
          </cell>
        </row>
        <row r="206">
          <cell r="B206" t="str">
            <v>PV of Equity</v>
          </cell>
          <cell r="E206">
            <v>121.74176442534605</v>
          </cell>
          <cell r="G206">
            <v>108.26131520023739</v>
          </cell>
          <cell r="I206">
            <v>97.656065131149575</v>
          </cell>
          <cell r="O206" t="str">
            <v>PV of Equity</v>
          </cell>
          <cell r="Q206">
            <v>726.98094626595389</v>
          </cell>
          <cell r="S206">
            <v>646.48244371821761</v>
          </cell>
        </row>
        <row r="208">
          <cell r="B208" t="str">
            <v>PV of Purchase Price</v>
          </cell>
          <cell r="E208">
            <v>79.316830883205029</v>
          </cell>
          <cell r="G208">
            <v>79.316830883205029</v>
          </cell>
          <cell r="I208">
            <v>79.316830883205029</v>
          </cell>
          <cell r="O208" t="str">
            <v>PV of Purchase Price</v>
          </cell>
          <cell r="Q208">
            <v>473.64045561905886</v>
          </cell>
          <cell r="S208">
            <v>473.64045561905886</v>
          </cell>
        </row>
        <row r="210">
          <cell r="B210" t="str">
            <v>NPV</v>
          </cell>
          <cell r="E210">
            <v>-1.3817388820306462</v>
          </cell>
          <cell r="G210">
            <v>-14.862188107139303</v>
          </cell>
          <cell r="I210">
            <v>-25.467438176227105</v>
          </cell>
          <cell r="O210" t="str">
            <v>NPV</v>
          </cell>
          <cell r="Q210">
            <v>-8.2510537340459678</v>
          </cell>
          <cell r="S210">
            <v>-88.749556281782304</v>
          </cell>
        </row>
        <row r="213">
          <cell r="A213" t="str">
            <v xml:space="preserve">(1) Capex assumed to be 1.5% of Sales. </v>
          </cell>
          <cell r="O213" t="str">
            <v xml:space="preserve">(1) Capex assumed to be 1.0% of Sales. </v>
          </cell>
        </row>
        <row r="214">
          <cell r="A214" t="str">
            <v>(2) Defined as Receivables + Inventory - Payables.</v>
          </cell>
          <cell r="O214" t="str">
            <v>(2) Defined as Receivables + Inventory - Payables.</v>
          </cell>
        </row>
        <row r="215">
          <cell r="A215" t="str">
            <v xml:space="preserve">(3) Fisher acquires 100% of  company </v>
          </cell>
          <cell r="O215" t="str">
            <v>(3) Fisher acquires 100% of  company</v>
          </cell>
        </row>
        <row r="216">
          <cell r="A216" t="str">
            <v>(4) Terminal value calculated as a perpetuity</v>
          </cell>
          <cell r="E216">
            <v>6.6000000000000003E-2</v>
          </cell>
          <cell r="O216" t="str">
            <v>(4) Terminal value calculated as 10% perpetuity</v>
          </cell>
          <cell r="S216">
            <v>6.6000000000000003E-2</v>
          </cell>
        </row>
        <row r="218">
          <cell r="A218" t="str">
            <v>Balance Sheet ($000's)</v>
          </cell>
          <cell r="O218" t="str">
            <v>Balance Sheet (Lira in millions)</v>
          </cell>
        </row>
        <row r="219">
          <cell r="A219" t="str">
            <v>Fiscal Year Ended June 30,</v>
          </cell>
          <cell r="O219" t="str">
            <v>At Dec 31,</v>
          </cell>
        </row>
        <row r="220">
          <cell r="F220" t="str">
            <v>(1)</v>
          </cell>
        </row>
        <row r="221">
          <cell r="C221" t="str">
            <v>1995A</v>
          </cell>
          <cell r="D221" t="str">
            <v>1996A</v>
          </cell>
          <cell r="E221" t="str">
            <v>1997A</v>
          </cell>
          <cell r="F221" t="str">
            <v>1998E</v>
          </cell>
          <cell r="G221" t="str">
            <v>1999E</v>
          </cell>
          <cell r="H221" t="str">
            <v>2000E</v>
          </cell>
          <cell r="I221" t="str">
            <v>2001E</v>
          </cell>
          <cell r="J221" t="str">
            <v>2002E</v>
          </cell>
          <cell r="K221" t="str">
            <v>2003E</v>
          </cell>
          <cell r="Q221" t="str">
            <v>1995A</v>
          </cell>
          <cell r="R221" t="str">
            <v>1996A</v>
          </cell>
          <cell r="S221" t="str">
            <v>1997A</v>
          </cell>
        </row>
        <row r="222">
          <cell r="A222" t="str">
            <v>Assets</v>
          </cell>
          <cell r="G222" t="str">
            <v xml:space="preserve"> </v>
          </cell>
          <cell r="H222" t="str">
            <v xml:space="preserve"> </v>
          </cell>
          <cell r="I222" t="str">
            <v xml:space="preserve"> </v>
          </cell>
          <cell r="J222" t="str">
            <v xml:space="preserve"> </v>
          </cell>
          <cell r="K222" t="str">
            <v xml:space="preserve"> </v>
          </cell>
          <cell r="O222" t="str">
            <v>Assets</v>
          </cell>
        </row>
        <row r="223">
          <cell r="A223" t="str">
            <v xml:space="preserve">Cash/Equivalents </v>
          </cell>
          <cell r="C223">
            <v>36.739680147366656</v>
          </cell>
          <cell r="D223">
            <v>39.774428535543834</v>
          </cell>
          <cell r="E223">
            <v>39.738759105752322</v>
          </cell>
          <cell r="F223">
            <v>43.806672424171659</v>
          </cell>
          <cell r="G223">
            <v>48.391688198648758</v>
          </cell>
          <cell r="H223">
            <v>55.690265717458168</v>
          </cell>
          <cell r="I223">
            <v>64.042514570643249</v>
          </cell>
          <cell r="J223">
            <v>73.5620623037927</v>
          </cell>
          <cell r="K223">
            <v>84.37503208688257</v>
          </cell>
          <cell r="O223" t="str">
            <v xml:space="preserve">Cash/Equivalents </v>
          </cell>
          <cell r="Q223">
            <v>219.39099999999999</v>
          </cell>
          <cell r="R223">
            <v>237.51300000000001</v>
          </cell>
          <cell r="S223">
            <v>237.3</v>
          </cell>
        </row>
        <row r="224">
          <cell r="A224" t="str">
            <v>Accounts Receivable (Net)</v>
          </cell>
          <cell r="C224">
            <v>15.335845265008791</v>
          </cell>
          <cell r="D224">
            <v>15.042619107426944</v>
          </cell>
          <cell r="E224">
            <v>16.562002846855901</v>
          </cell>
          <cell r="F224">
            <v>18.130502098136549</v>
          </cell>
          <cell r="G224">
            <v>19.399637245006112</v>
          </cell>
          <cell r="H224">
            <v>20.75761185215654</v>
          </cell>
          <cell r="I224">
            <v>22.210644681807498</v>
          </cell>
          <cell r="J224">
            <v>23.765389809534028</v>
          </cell>
          <cell r="K224">
            <v>25.428967096201415</v>
          </cell>
          <cell r="O224" t="str">
            <v>Accounts Receivable (Net)</v>
          </cell>
          <cell r="Q224">
            <v>91.578000000000003</v>
          </cell>
          <cell r="R224">
            <v>89.826999999999998</v>
          </cell>
          <cell r="S224">
            <v>98.9</v>
          </cell>
        </row>
        <row r="225">
          <cell r="A225" t="str">
            <v>Inventories (Net)</v>
          </cell>
          <cell r="C225">
            <v>4.2079879427279572</v>
          </cell>
          <cell r="D225">
            <v>3.6972285020514106</v>
          </cell>
          <cell r="E225">
            <v>4.5549694381646146</v>
          </cell>
          <cell r="F225">
            <v>4.9734104148881455</v>
          </cell>
          <cell r="G225">
            <v>5.3148249431600822</v>
          </cell>
          <cell r="H225">
            <v>5.6356185543733703</v>
          </cell>
          <cell r="I225">
            <v>5.9752806289350335</v>
          </cell>
          <cell r="J225">
            <v>6.3348808630189009</v>
          </cell>
          <cell r="K225">
            <v>6.7155462547927289</v>
          </cell>
          <cell r="O225" t="str">
            <v>Inventories (Net)</v>
          </cell>
          <cell r="Q225">
            <v>25.128</v>
          </cell>
          <cell r="R225">
            <v>22.077999999999999</v>
          </cell>
          <cell r="S225">
            <v>27.2</v>
          </cell>
        </row>
        <row r="226">
          <cell r="A226" t="str">
            <v xml:space="preserve">Prepaid Expenses &amp; Other </v>
          </cell>
          <cell r="C226">
            <v>0.96357699070585279</v>
          </cell>
          <cell r="D226">
            <v>1.7452901281085154</v>
          </cell>
          <cell r="E226">
            <v>3.7946914510591978</v>
          </cell>
          <cell r="F226">
            <v>3.7946914510591978</v>
          </cell>
          <cell r="G226">
            <v>3.7946914510591978</v>
          </cell>
          <cell r="H226">
            <v>3.7946914510591978</v>
          </cell>
          <cell r="I226">
            <v>3.7946914510591978</v>
          </cell>
          <cell r="J226">
            <v>3.7946914510591978</v>
          </cell>
          <cell r="K226">
            <v>3.7946914510591978</v>
          </cell>
          <cell r="O226" t="str">
            <v xml:space="preserve">Prepaid Expenses &amp; Other </v>
          </cell>
          <cell r="Q226">
            <v>5.7540000000000004</v>
          </cell>
          <cell r="R226">
            <v>10.422000000000001</v>
          </cell>
          <cell r="S226">
            <v>22.66</v>
          </cell>
        </row>
        <row r="227">
          <cell r="A227" t="str">
            <v>Total Current Assets</v>
          </cell>
          <cell r="C227">
            <v>57.247090345809262</v>
          </cell>
          <cell r="D227">
            <v>60.259566273130702</v>
          </cell>
          <cell r="E227">
            <v>64.650422841832039</v>
          </cell>
          <cell r="F227">
            <v>70.705276388255555</v>
          </cell>
          <cell r="G227">
            <v>76.90084183787414</v>
          </cell>
          <cell r="H227">
            <v>85.878187575047264</v>
          </cell>
          <cell r="I227">
            <v>96.023131332444976</v>
          </cell>
          <cell r="J227">
            <v>107.45702442740482</v>
          </cell>
          <cell r="K227">
            <v>120.31423688893591</v>
          </cell>
          <cell r="O227" t="str">
            <v>Total Current Assets</v>
          </cell>
          <cell r="Q227">
            <v>341.851</v>
          </cell>
          <cell r="R227">
            <v>359.84000000000003</v>
          </cell>
          <cell r="S227">
            <v>386.06000000000006</v>
          </cell>
        </row>
        <row r="229">
          <cell r="A229" t="str">
            <v>Net PP&amp;E</v>
          </cell>
          <cell r="C229">
            <v>2.9866867621200703</v>
          </cell>
          <cell r="D229">
            <v>2.7137235200535876</v>
          </cell>
          <cell r="E229">
            <v>2.3277233525914762</v>
          </cell>
          <cell r="F229">
            <v>2.7083647324792768</v>
          </cell>
          <cell r="G229">
            <v>3.0985729835767515</v>
          </cell>
          <cell r="H229">
            <v>3.4763497302416719</v>
          </cell>
          <cell r="I229">
            <v>3.8486990051188754</v>
          </cell>
          <cell r="J229">
            <v>4.2215551297946119</v>
          </cell>
          <cell r="K229">
            <v>4.600016890863321</v>
          </cell>
          <cell r="O229" t="str">
            <v>Net PP&amp;E</v>
          </cell>
          <cell r="Q229">
            <v>17.835000000000001</v>
          </cell>
          <cell r="R229">
            <v>16.204999999999998</v>
          </cell>
          <cell r="S229">
            <v>13.9</v>
          </cell>
        </row>
        <row r="230">
          <cell r="A230" t="str">
            <v>Goodwill &amp; Other Intangibles</v>
          </cell>
          <cell r="C230">
            <v>0.66566189399648323</v>
          </cell>
          <cell r="D230">
            <v>1.5696223729381225</v>
          </cell>
          <cell r="E230">
            <v>1.4904127941053336</v>
          </cell>
          <cell r="F230">
            <v>1.4904127941053336</v>
          </cell>
          <cell r="G230">
            <v>1.4904127941053336</v>
          </cell>
          <cell r="H230">
            <v>1.4904127941053336</v>
          </cell>
          <cell r="I230">
            <v>1.4904127941053336</v>
          </cell>
          <cell r="J230">
            <v>1.4904127941053336</v>
          </cell>
          <cell r="K230">
            <v>1.4904127941053336</v>
          </cell>
          <cell r="O230" t="str">
            <v>Goodwill &amp; Other Intangibles</v>
          </cell>
          <cell r="Q230">
            <v>3.9750000000000001</v>
          </cell>
          <cell r="R230">
            <v>9.3729999999999993</v>
          </cell>
          <cell r="S230">
            <v>8.9</v>
          </cell>
        </row>
        <row r="231">
          <cell r="A231" t="str">
            <v>Other Assets</v>
          </cell>
          <cell r="C231">
            <v>0.2662647575985933</v>
          </cell>
          <cell r="D231">
            <v>0.3582014569203717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O231" t="str">
            <v>Other Assets</v>
          </cell>
          <cell r="Q231">
            <v>1.59</v>
          </cell>
          <cell r="R231">
            <v>2.1389999999999998</v>
          </cell>
          <cell r="S231">
            <v>0</v>
          </cell>
        </row>
        <row r="232">
          <cell r="A232" t="str">
            <v>TOTAL ASSETS</v>
          </cell>
          <cell r="C232">
            <v>61.165703759524412</v>
          </cell>
          <cell r="D232">
            <v>64.901113623042789</v>
          </cell>
          <cell r="E232">
            <v>68.468558988528855</v>
          </cell>
          <cell r="F232">
            <v>74.904053914840176</v>
          </cell>
          <cell r="G232">
            <v>81.489827615556237</v>
          </cell>
          <cell r="H232">
            <v>90.844950099394268</v>
          </cell>
          <cell r="I232">
            <v>101.36224313166919</v>
          </cell>
          <cell r="J232">
            <v>113.16899235130477</v>
          </cell>
          <cell r="K232">
            <v>126.40466657390456</v>
          </cell>
          <cell r="O232" t="str">
            <v>TOTAL ASSETS</v>
          </cell>
          <cell r="Q232">
            <v>365.25099999999998</v>
          </cell>
          <cell r="R232">
            <v>387.55700000000002</v>
          </cell>
          <cell r="S232">
            <v>408.86</v>
          </cell>
        </row>
        <row r="234">
          <cell r="A234" t="str">
            <v>Liabilities &amp; Equity</v>
          </cell>
          <cell r="O234" t="str">
            <v>Liabilities &amp; Equity</v>
          </cell>
        </row>
        <row r="235">
          <cell r="A235" t="str">
            <v>Accounts Payable</v>
          </cell>
          <cell r="C235">
            <v>4.560998074185715</v>
          </cell>
          <cell r="D235">
            <v>4.886209495101733</v>
          </cell>
          <cell r="E235">
            <v>4.7559239722012894</v>
          </cell>
          <cell r="F235">
            <v>5.1928255802508598</v>
          </cell>
          <cell r="G235">
            <v>5.5493025141818517</v>
          </cell>
          <cell r="H235">
            <v>5.8842487847133729</v>
          </cell>
          <cell r="I235">
            <v>6.2388959507998152</v>
          </cell>
          <cell r="J235">
            <v>6.6143609010932662</v>
          </cell>
          <cell r="K235">
            <v>7.0118203542688802</v>
          </cell>
          <cell r="O235" t="str">
            <v>Accounts Payable</v>
          </cell>
          <cell r="Q235">
            <v>27.236000000000001</v>
          </cell>
          <cell r="R235">
            <v>29.178000000000001</v>
          </cell>
          <cell r="S235">
            <v>28.4</v>
          </cell>
        </row>
        <row r="236">
          <cell r="A236" t="str">
            <v>Short term debt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O236" t="str">
            <v>Short term debt</v>
          </cell>
          <cell r="Q236">
            <v>0</v>
          </cell>
          <cell r="R236">
            <v>0</v>
          </cell>
          <cell r="S236">
            <v>0</v>
          </cell>
        </row>
        <row r="237">
          <cell r="A237" t="str">
            <v>Other Accrued Expenses</v>
          </cell>
          <cell r="C237">
            <v>4.842166959725362</v>
          </cell>
          <cell r="D237">
            <v>3.5227329816628981</v>
          </cell>
          <cell r="E237">
            <v>3.0851544837980409</v>
          </cell>
          <cell r="F237">
            <v>3.0851544837980409</v>
          </cell>
          <cell r="G237">
            <v>3.0851544837980409</v>
          </cell>
          <cell r="H237">
            <v>3.0851544837980409</v>
          </cell>
          <cell r="I237">
            <v>3.0851544837980409</v>
          </cell>
          <cell r="J237">
            <v>3.0851544837980409</v>
          </cell>
          <cell r="K237">
            <v>3.0851544837980409</v>
          </cell>
          <cell r="O237" t="str">
            <v>Other Accrued Expenses</v>
          </cell>
          <cell r="Q237">
            <v>28.914999999999999</v>
          </cell>
          <cell r="R237">
            <v>21.035999999999998</v>
          </cell>
          <cell r="S237">
            <v>18.423000000000002</v>
          </cell>
        </row>
        <row r="238">
          <cell r="A238" t="str">
            <v>Total Current Liabilities</v>
          </cell>
          <cell r="C238">
            <v>9.4031650339110762</v>
          </cell>
          <cell r="D238">
            <v>8.408942476764631</v>
          </cell>
          <cell r="E238">
            <v>7.8410784559993303</v>
          </cell>
          <cell r="F238">
            <v>8.2779800640489007</v>
          </cell>
          <cell r="G238">
            <v>8.6344569979798926</v>
          </cell>
          <cell r="H238">
            <v>8.9694032685114138</v>
          </cell>
          <cell r="I238">
            <v>9.3240504345978561</v>
          </cell>
          <cell r="J238">
            <v>9.6995153848913063</v>
          </cell>
          <cell r="K238">
            <v>10.09697483806692</v>
          </cell>
          <cell r="O238" t="str">
            <v>Total Current Liabilities</v>
          </cell>
          <cell r="Q238">
            <v>56.150999999999996</v>
          </cell>
          <cell r="R238">
            <v>50.213999999999999</v>
          </cell>
          <cell r="S238">
            <v>46.823</v>
          </cell>
        </row>
        <row r="240">
          <cell r="A240" t="str">
            <v>Total Debt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O240" t="str">
            <v>Total Debt</v>
          </cell>
          <cell r="Q240">
            <v>0</v>
          </cell>
          <cell r="R240">
            <v>0</v>
          </cell>
          <cell r="S240">
            <v>0</v>
          </cell>
        </row>
        <row r="241">
          <cell r="A241" t="str">
            <v>Other Non-Current</v>
          </cell>
          <cell r="C241">
            <v>1.2516118228250859</v>
          </cell>
          <cell r="D241">
            <v>1.3415389768064974</v>
          </cell>
          <cell r="E241">
            <v>1.339696893577828</v>
          </cell>
          <cell r="F241">
            <v>1.339696893577828</v>
          </cell>
          <cell r="G241">
            <v>1.339696893577828</v>
          </cell>
          <cell r="H241">
            <v>1.339696893577828</v>
          </cell>
          <cell r="I241">
            <v>1.339696893577828</v>
          </cell>
          <cell r="J241">
            <v>1.339696893577828</v>
          </cell>
          <cell r="K241">
            <v>1.339696893577828</v>
          </cell>
          <cell r="O241" t="str">
            <v>Other Non-Current</v>
          </cell>
          <cell r="Q241">
            <v>7.4740000000000002</v>
          </cell>
          <cell r="R241">
            <v>8.0109999999999992</v>
          </cell>
          <cell r="S241">
            <v>8</v>
          </cell>
        </row>
        <row r="242">
          <cell r="A242" t="str">
            <v>Total Liabilities</v>
          </cell>
          <cell r="C242">
            <v>10.654776856736163</v>
          </cell>
          <cell r="D242">
            <v>9.7504814535711279</v>
          </cell>
          <cell r="E242">
            <v>9.1807753495771589</v>
          </cell>
          <cell r="F242">
            <v>9.6176769576267294</v>
          </cell>
          <cell r="G242">
            <v>9.9741538915577213</v>
          </cell>
          <cell r="H242">
            <v>10.309100162089242</v>
          </cell>
          <cell r="I242">
            <v>10.663747328175685</v>
          </cell>
          <cell r="J242">
            <v>11.039212278469135</v>
          </cell>
          <cell r="K242">
            <v>11.436671731644749</v>
          </cell>
          <cell r="O242" t="str">
            <v>Total Liabilities</v>
          </cell>
          <cell r="Q242">
            <v>63.625</v>
          </cell>
          <cell r="R242">
            <v>58.224999999999994</v>
          </cell>
          <cell r="S242">
            <v>54.823</v>
          </cell>
        </row>
        <row r="244">
          <cell r="A244" t="str">
            <v>Shareholders' Equity</v>
          </cell>
          <cell r="C244">
            <v>50.510926902788235</v>
          </cell>
          <cell r="D244">
            <v>55.225990119735414</v>
          </cell>
          <cell r="E244">
            <v>59.281085154483797</v>
          </cell>
          <cell r="F244">
            <v>65.286376957213434</v>
          </cell>
          <cell r="G244">
            <v>71.515673723998518</v>
          </cell>
          <cell r="H244">
            <v>80.535849937305045</v>
          </cell>
          <cell r="I244">
            <v>90.698495803493486</v>
          </cell>
          <cell r="J244">
            <v>102.12978007283563</v>
          </cell>
          <cell r="K244">
            <v>114.96799484225981</v>
          </cell>
          <cell r="O244" t="str">
            <v>Shareholders' Equity</v>
          </cell>
          <cell r="Q244">
            <v>301.62599999999998</v>
          </cell>
          <cell r="R244">
            <v>329.78200000000004</v>
          </cell>
          <cell r="S244">
            <v>353.99700000000001</v>
          </cell>
        </row>
        <row r="245">
          <cell r="A245" t="str">
            <v>TOTAL LIABILITIES &amp; EQUITY</v>
          </cell>
          <cell r="C245">
            <v>61.165703759524398</v>
          </cell>
          <cell r="D245">
            <v>64.97647157330654</v>
          </cell>
          <cell r="E245">
            <v>68.461860504060951</v>
          </cell>
          <cell r="F245">
            <v>74.904053914840162</v>
          </cell>
          <cell r="G245">
            <v>81.489827615556237</v>
          </cell>
          <cell r="H245">
            <v>90.844950099394282</v>
          </cell>
          <cell r="I245">
            <v>101.36224313166917</v>
          </cell>
          <cell r="J245">
            <v>113.16899235130477</v>
          </cell>
          <cell r="K245">
            <v>126.40466657390456</v>
          </cell>
          <cell r="O245" t="str">
            <v>TOTAL LIABILITIES &amp; EQUITY</v>
          </cell>
          <cell r="Q245">
            <v>365.25099999999998</v>
          </cell>
          <cell r="R245">
            <v>388.00700000000006</v>
          </cell>
          <cell r="S245">
            <v>408.82</v>
          </cell>
        </row>
        <row r="246">
          <cell r="H246" t="str">
            <v xml:space="preserve"> </v>
          </cell>
          <cell r="I246" t="str">
            <v xml:space="preserve"> </v>
          </cell>
        </row>
        <row r="248">
          <cell r="A248" t="str">
            <v>(1) Estimated Balance Sheet as of June 30, 1998 .</v>
          </cell>
        </row>
        <row r="253">
          <cell r="A253" t="str">
            <v>Balance Sheet Turnover Analysis</v>
          </cell>
        </row>
        <row r="255">
          <cell r="C255">
            <v>1994</v>
          </cell>
          <cell r="D255" t="str">
            <v>1996A</v>
          </cell>
          <cell r="E255" t="str">
            <v>1997A</v>
          </cell>
          <cell r="F255" t="str">
            <v>1998E</v>
          </cell>
          <cell r="G255" t="str">
            <v>1999E</v>
          </cell>
          <cell r="H255" t="str">
            <v>2000E</v>
          </cell>
          <cell r="I255" t="str">
            <v>2001E</v>
          </cell>
          <cell r="J255" t="str">
            <v>2002E</v>
          </cell>
          <cell r="K255" t="str">
            <v>2003E</v>
          </cell>
        </row>
        <row r="256">
          <cell r="A256" t="str">
            <v>(days)</v>
          </cell>
        </row>
        <row r="257">
          <cell r="A257" t="str">
            <v>Accounts Receivable</v>
          </cell>
          <cell r="C257">
            <v>93.995883141972556</v>
          </cell>
          <cell r="D257">
            <v>87.385007995735606</v>
          </cell>
          <cell r="E257">
            <v>91.900458248472518</v>
          </cell>
          <cell r="F257">
            <v>91.900458248472518</v>
          </cell>
          <cell r="G257">
            <v>91.900458248472518</v>
          </cell>
          <cell r="H257">
            <v>91.900458248472518</v>
          </cell>
          <cell r="I257">
            <v>91.900458248472518</v>
          </cell>
          <cell r="J257">
            <v>91.900458248472518</v>
          </cell>
          <cell r="K257">
            <v>91.900458248472518</v>
          </cell>
        </row>
        <row r="258">
          <cell r="A258" t="str">
            <v>Inventory</v>
          </cell>
          <cell r="C258">
            <v>46.138197476708854</v>
          </cell>
          <cell r="D258">
            <v>38.759974411635973</v>
          </cell>
          <cell r="E258">
            <v>45.374771480804377</v>
          </cell>
          <cell r="F258">
            <v>45.374771480804377</v>
          </cell>
          <cell r="G258">
            <v>45.374771480804377</v>
          </cell>
          <cell r="H258">
            <v>45.374771480804377</v>
          </cell>
          <cell r="I258">
            <v>45.374771480804377</v>
          </cell>
          <cell r="J258">
            <v>45.374771480804377</v>
          </cell>
          <cell r="K258">
            <v>45.374771480804377</v>
          </cell>
        </row>
        <row r="259">
          <cell r="A259" t="str">
            <v>Accounts Payable</v>
          </cell>
          <cell r="C259">
            <v>50.008753043443264</v>
          </cell>
          <cell r="D259">
            <v>51.224682189632865</v>
          </cell>
          <cell r="E259">
            <v>47.376599634369285</v>
          </cell>
          <cell r="F259">
            <v>47.376599634369285</v>
          </cell>
          <cell r="G259">
            <v>47.376599634369285</v>
          </cell>
          <cell r="H259">
            <v>47.376599634369285</v>
          </cell>
          <cell r="I259">
            <v>47.376599634369285</v>
          </cell>
          <cell r="J259">
            <v>47.376599634369285</v>
          </cell>
          <cell r="K259">
            <v>47.376599634369285</v>
          </cell>
        </row>
        <row r="262">
          <cell r="A262" t="str">
            <v>Percentage of Sales</v>
          </cell>
        </row>
        <row r="264">
          <cell r="C264" t="str">
            <v>1995A</v>
          </cell>
          <cell r="D264" t="str">
            <v>1996A</v>
          </cell>
          <cell r="E264" t="str">
            <v>1997A</v>
          </cell>
          <cell r="F264" t="str">
            <v>1998E</v>
          </cell>
          <cell r="G264" t="str">
            <v>1999E</v>
          </cell>
          <cell r="H264" t="str">
            <v>2000E</v>
          </cell>
          <cell r="I264" t="str">
            <v>2001E</v>
          </cell>
          <cell r="J264" t="str">
            <v>2002E</v>
          </cell>
          <cell r="K264" t="str">
            <v>2003E</v>
          </cell>
        </row>
        <row r="266">
          <cell r="A266" t="str">
            <v>Sales Growth</v>
          </cell>
          <cell r="C266" t="str">
            <v>na</v>
          </cell>
          <cell r="D266">
            <v>5.5085472609115109E-2</v>
          </cell>
          <cell r="E266">
            <v>4.6908315565031979E-2</v>
          </cell>
          <cell r="F266">
            <v>9.4704684317718862E-2</v>
          </cell>
          <cell r="G266">
            <v>7.0000000000000007E-2</v>
          </cell>
          <cell r="H266">
            <v>7.0000000000000007E-2</v>
          </cell>
          <cell r="I266">
            <v>7.0000000000000007E-2</v>
          </cell>
          <cell r="J266">
            <v>7.0000000000000007E-2</v>
          </cell>
          <cell r="K266">
            <v>7.0000000000000007E-2</v>
          </cell>
        </row>
        <row r="267">
          <cell r="A267" t="str">
            <v>Cost of Sales</v>
          </cell>
          <cell r="C267">
            <v>0.55900408030122806</v>
          </cell>
          <cell r="D267">
            <v>0.55412313432835825</v>
          </cell>
          <cell r="E267">
            <v>0.55702647657841153</v>
          </cell>
          <cell r="F267">
            <v>0.55558139534883733</v>
          </cell>
          <cell r="G267">
            <v>0.55487937404911969</v>
          </cell>
          <cell r="H267">
            <v>0.54987937404911968</v>
          </cell>
          <cell r="I267">
            <v>0.54487937404911968</v>
          </cell>
          <cell r="J267">
            <v>0.53987937404911968</v>
          </cell>
          <cell r="K267">
            <v>0.53487937404911967</v>
          </cell>
        </row>
        <row r="268">
          <cell r="A268" t="str">
            <v>Total Gross Profit</v>
          </cell>
          <cell r="C268">
            <v>0.44099591969877194</v>
          </cell>
          <cell r="D268">
            <v>0.44587686567164181</v>
          </cell>
          <cell r="E268">
            <v>0.44297352342158852</v>
          </cell>
          <cell r="F268">
            <v>0.44441860465116273</v>
          </cell>
          <cell r="G268">
            <v>0.44512062595088026</v>
          </cell>
          <cell r="H268">
            <v>0.45012062595088032</v>
          </cell>
          <cell r="I268">
            <v>0.45512062595088038</v>
          </cell>
          <cell r="J268">
            <v>0.46012062595088038</v>
          </cell>
          <cell r="K268">
            <v>0.46512062595088027</v>
          </cell>
        </row>
        <row r="269">
          <cell r="F269" t="str">
            <v xml:space="preserve"> </v>
          </cell>
          <cell r="G269" t="str">
            <v xml:space="preserve"> </v>
          </cell>
          <cell r="H269" t="str">
            <v xml:space="preserve"> </v>
          </cell>
          <cell r="I269" t="str">
            <v xml:space="preserve"> </v>
          </cell>
          <cell r="J269" t="str">
            <v xml:space="preserve"> </v>
          </cell>
          <cell r="K269" t="str">
            <v xml:space="preserve"> </v>
          </cell>
        </row>
        <row r="270">
          <cell r="A270" t="str">
            <v>SG&amp;A</v>
          </cell>
          <cell r="C270">
            <v>0.12942513026874872</v>
          </cell>
          <cell r="D270">
            <v>0.13265458422174839</v>
          </cell>
          <cell r="E270">
            <v>0.13747454175152751</v>
          </cell>
          <cell r="F270">
            <v>0.13255813953488374</v>
          </cell>
          <cell r="G270">
            <v>0.13212453814388175</v>
          </cell>
          <cell r="H270">
            <v>0.13169235507518681</v>
          </cell>
          <cell r="I270">
            <v>0.13126158568942681</v>
          </cell>
          <cell r="J270">
            <v>0.1308322253624053</v>
          </cell>
          <cell r="K270">
            <v>0.13040426948505163</v>
          </cell>
        </row>
        <row r="271">
          <cell r="A271" t="str">
            <v>Other Expenses</v>
          </cell>
          <cell r="C271">
            <v>2.191439522399476E-2</v>
          </cell>
          <cell r="D271">
            <v>2.2763859275053304E-2</v>
          </cell>
          <cell r="E271">
            <v>2.2764765784114054E-2</v>
          </cell>
          <cell r="F271">
            <v>2.2758139534883724E-2</v>
          </cell>
          <cell r="G271">
            <v>2.2758139534883721E-2</v>
          </cell>
          <cell r="H271">
            <v>2.2758139534883717E-2</v>
          </cell>
          <cell r="I271">
            <v>2.275813953488371E-2</v>
          </cell>
          <cell r="J271">
            <v>2.2758139534883714E-2</v>
          </cell>
          <cell r="K271">
            <v>2.2758139534883717E-2</v>
          </cell>
        </row>
        <row r="272">
          <cell r="A272" t="str">
            <v>Depreciation &amp; Amortization</v>
          </cell>
          <cell r="C272">
            <v>8.7202026933924995E-3</v>
          </cell>
          <cell r="D272">
            <v>8.8939232409381667E-3</v>
          </cell>
          <cell r="E272">
            <v>9.9236252545824855E-3</v>
          </cell>
          <cell r="F272">
            <v>9.7139534883720936E-3</v>
          </cell>
          <cell r="G272">
            <v>9.9356040612289236E-3</v>
          </cell>
          <cell r="H272">
            <v>1.0142754129319422E-2</v>
          </cell>
          <cell r="I272">
            <v>1.0336352323796519E-2</v>
          </cell>
          <cell r="J272">
            <v>1.0517285215831193E-2</v>
          </cell>
          <cell r="K272">
            <v>1.0686381376611263E-2</v>
          </cell>
        </row>
        <row r="273">
          <cell r="A273" t="str">
            <v>Operating Income</v>
          </cell>
          <cell r="C273">
            <v>0.12760291442053248</v>
          </cell>
          <cell r="D273">
            <v>0.12429371002132202</v>
          </cell>
          <cell r="E273">
            <v>0.12245417515274942</v>
          </cell>
          <cell r="F273">
            <v>0.13226046511627898</v>
          </cell>
          <cell r="G273">
            <v>0.13474695951190735</v>
          </cell>
          <cell r="H273">
            <v>0.14132183507264209</v>
          </cell>
          <cell r="I273">
            <v>0.14789560270547442</v>
          </cell>
          <cell r="J273">
            <v>0.1544675104487058</v>
          </cell>
          <cell r="K273">
            <v>0.16103686304993822</v>
          </cell>
        </row>
        <row r="275">
          <cell r="A275" t="str">
            <v>Adjustments / Cost Savings</v>
          </cell>
          <cell r="C275">
            <v>9.1870049014231847E-3</v>
          </cell>
          <cell r="D275">
            <v>8.2089552238805968E-3</v>
          </cell>
          <cell r="E275">
            <v>7.1283095723014252E-3</v>
          </cell>
          <cell r="F275">
            <v>8.2093023255813951E-3</v>
          </cell>
          <cell r="G275">
            <v>8.0000000000000002E-3</v>
          </cell>
          <cell r="H275">
            <v>8.0000000000000002E-3</v>
          </cell>
          <cell r="I275">
            <v>8.0000000000000002E-3</v>
          </cell>
          <cell r="J275">
            <v>8.0000000000000002E-3</v>
          </cell>
          <cell r="K275">
            <v>8.0000000000000002E-3</v>
          </cell>
        </row>
        <row r="277">
          <cell r="A277" t="str">
            <v>Adjusted Operating Income</v>
          </cell>
          <cell r="C277">
            <v>0.12760291442053248</v>
          </cell>
          <cell r="D277">
            <v>0.12429371002132202</v>
          </cell>
          <cell r="E277">
            <v>0.12245417515274942</v>
          </cell>
          <cell r="F277">
            <v>0.13226046511627898</v>
          </cell>
          <cell r="G277">
            <v>0.13474695951190735</v>
          </cell>
          <cell r="H277">
            <v>0.14132183507264209</v>
          </cell>
          <cell r="I277">
            <v>0.14789560270547442</v>
          </cell>
          <cell r="J277">
            <v>0.1544675104487058</v>
          </cell>
          <cell r="K277">
            <v>0.16103686304993822</v>
          </cell>
        </row>
        <row r="278">
          <cell r="C278" t="str">
            <v xml:space="preserve"> </v>
          </cell>
          <cell r="D278" t="str">
            <v xml:space="preserve"> </v>
          </cell>
          <cell r="E278" t="str">
            <v xml:space="preserve"> </v>
          </cell>
          <cell r="F278" t="str">
            <v xml:space="preserve"> </v>
          </cell>
          <cell r="G278" t="str">
            <v xml:space="preserve"> </v>
          </cell>
          <cell r="H278" t="str">
            <v xml:space="preserve"> </v>
          </cell>
          <cell r="I278" t="str">
            <v xml:space="preserve"> </v>
          </cell>
          <cell r="J278" t="str">
            <v xml:space="preserve"> </v>
          </cell>
          <cell r="K278" t="str">
            <v xml:space="preserve"> </v>
          </cell>
        </row>
        <row r="279">
          <cell r="A279" t="str">
            <v>Net Interest Expense</v>
          </cell>
          <cell r="C279">
            <v>-3.5488216056308718E-2</v>
          </cell>
          <cell r="D279">
            <v>-4.1146055437100218E-2</v>
          </cell>
          <cell r="E279">
            <v>-3.9266802443991854E-2</v>
          </cell>
          <cell r="F279">
            <v>-6.5790697674418617E-3</v>
          </cell>
          <cell r="G279">
            <v>-3.8889983894638332E-2</v>
          </cell>
          <cell r="H279">
            <v>-4.1030444628709431E-2</v>
          </cell>
          <cell r="I279">
            <v>-4.4112337980652401E-2</v>
          </cell>
          <cell r="J279">
            <v>-4.7380115003882527E-2</v>
          </cell>
          <cell r="K279">
            <v>-5.0823386223742717E-2</v>
          </cell>
        </row>
        <row r="280">
          <cell r="A280" t="str">
            <v>Income Taxes</v>
          </cell>
          <cell r="C280">
            <v>6.1997519761762154E-2</v>
          </cell>
          <cell r="D280">
            <v>4.8917910447761191E-2</v>
          </cell>
          <cell r="E280">
            <v>6.6522403258655799E-2</v>
          </cell>
          <cell r="F280">
            <v>5.5534883720930232E-2</v>
          </cell>
          <cell r="G280">
            <v>6.9454777362618264E-2</v>
          </cell>
          <cell r="H280">
            <v>7.2940911880540582E-2</v>
          </cell>
          <cell r="I280">
            <v>7.6803176274450755E-2</v>
          </cell>
          <cell r="J280">
            <v>8.0739050181035318E-2</v>
          </cell>
          <cell r="K280">
            <v>8.4744099709472401E-2</v>
          </cell>
        </row>
        <row r="281">
          <cell r="A281" t="str">
            <v>Net Income</v>
          </cell>
          <cell r="C281">
            <v>0.10370039172016608</v>
          </cell>
          <cell r="D281">
            <v>0.12105810234541584</v>
          </cell>
          <cell r="E281">
            <v>9.9781059063136404E-2</v>
          </cell>
          <cell r="F281">
            <v>8.3304651162790622E-2</v>
          </cell>
          <cell r="G281">
            <v>0.1041821660439274</v>
          </cell>
          <cell r="H281">
            <v>0.10941136782081093</v>
          </cell>
          <cell r="I281">
            <v>0.11520476441167607</v>
          </cell>
          <cell r="J281">
            <v>0.12110857527155298</v>
          </cell>
          <cell r="K281">
            <v>0.12711614956420855</v>
          </cell>
        </row>
        <row r="284">
          <cell r="A284" t="str">
            <v>Capex</v>
          </cell>
          <cell r="D284">
            <v>1.5000000000000001E-2</v>
          </cell>
          <cell r="E284">
            <v>1.5000000000000001E-2</v>
          </cell>
          <cell r="F284">
            <v>1.4999999999999999E-2</v>
          </cell>
          <cell r="G284">
            <v>1.5000000000000001E-2</v>
          </cell>
          <cell r="H284">
            <v>1.4999999999999999E-2</v>
          </cell>
          <cell r="I284">
            <v>1.4999999999999999E-2</v>
          </cell>
          <cell r="J284">
            <v>1.4999999999999998E-2</v>
          </cell>
          <cell r="K284">
            <v>1.4999999999999999E-2</v>
          </cell>
        </row>
        <row r="285">
          <cell r="A285" t="str">
            <v>Depreciation</v>
          </cell>
          <cell r="D285">
            <v>8.8939232409381667E-3</v>
          </cell>
          <cell r="E285">
            <v>9.9236252545824855E-3</v>
          </cell>
          <cell r="F285">
            <v>9.7139534883720936E-3</v>
          </cell>
          <cell r="G285">
            <v>9.9356040612289236E-3</v>
          </cell>
          <cell r="H285">
            <v>1.0417709188149724E-2</v>
          </cell>
          <cell r="I285">
            <v>1.0779011582622906E-2</v>
          </cell>
          <cell r="J285">
            <v>1.1049781198963243E-2</v>
          </cell>
          <cell r="K285">
            <v>1.1252703145384322E-2</v>
          </cell>
        </row>
        <row r="286">
          <cell r="A286" t="str">
            <v>Depreciation/Net PPE</v>
          </cell>
          <cell r="D286">
            <v>0.2059240975007714</v>
          </cell>
          <cell r="E286">
            <v>0.28043165467625897</v>
          </cell>
          <cell r="F286">
            <v>0.25826995609967224</v>
          </cell>
          <cell r="G286">
            <v>0.24705937760332417</v>
          </cell>
          <cell r="H286">
            <v>0.24705937760332417</v>
          </cell>
          <cell r="I286">
            <v>0.24705937760332417</v>
          </cell>
          <cell r="J286">
            <v>0.24705937760332417</v>
          </cell>
          <cell r="K286">
            <v>0.24705937760332417</v>
          </cell>
        </row>
        <row r="287">
          <cell r="A287" t="str">
            <v>Capex/Depreciation</v>
          </cell>
          <cell r="D287">
            <v>1.686544800719209</v>
          </cell>
          <cell r="E287">
            <v>1.5115443817342227</v>
          </cell>
          <cell r="F287">
            <v>1.5441704572659805</v>
          </cell>
          <cell r="G287">
            <v>1.5097219965249569</v>
          </cell>
          <cell r="H287">
            <v>1.4398558962523824</v>
          </cell>
          <cell r="I287">
            <v>1.3915932722608673</v>
          </cell>
          <cell r="J287">
            <v>1.3574929430645548</v>
          </cell>
          <cell r="K287">
            <v>1.3330130375075928</v>
          </cell>
        </row>
        <row r="288">
          <cell r="A288" t="str">
            <v>Working Capital</v>
          </cell>
          <cell r="D288">
            <v>0.22048773987206821</v>
          </cell>
          <cell r="E288">
            <v>0.24872708757637482</v>
          </cell>
          <cell r="F288">
            <v>0.24873501306757897</v>
          </cell>
          <cell r="G288">
            <v>0.24873886327580416</v>
          </cell>
          <cell r="H288">
            <v>0.24876628557927766</v>
          </cell>
          <cell r="I288">
            <v>0.24879370788275113</v>
          </cell>
          <cell r="J288">
            <v>0.24882113018622462</v>
          </cell>
          <cell r="K288">
            <v>0.24884855248969814</v>
          </cell>
        </row>
        <row r="289">
          <cell r="A289" t="str">
            <v>Prepaid Expenses &amp; Other Current</v>
          </cell>
          <cell r="D289">
            <v>2.7777185501066098E-2</v>
          </cell>
          <cell r="E289">
            <v>5.7688391038696538E-2</v>
          </cell>
          <cell r="F289">
            <v>5.2697674418604658E-2</v>
          </cell>
          <cell r="G289">
            <v>4.9250163008041727E-2</v>
          </cell>
          <cell r="H289">
            <v>4.6028189727141795E-2</v>
          </cell>
          <cell r="I289">
            <v>4.3016999744992325E-2</v>
          </cell>
          <cell r="J289">
            <v>4.0202803499992827E-2</v>
          </cell>
          <cell r="K289">
            <v>3.7572713551395159E-2</v>
          </cell>
        </row>
        <row r="290">
          <cell r="A290" t="str">
            <v>Other Assets</v>
          </cell>
          <cell r="D290">
            <v>5.7009594882729206E-3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</row>
        <row r="291">
          <cell r="A291" t="str">
            <v>Accrued Expenses &amp; Other</v>
          </cell>
          <cell r="D291">
            <v>5.6066098081023447E-2</v>
          </cell>
          <cell r="E291">
            <v>4.6901731160896139E-2</v>
          </cell>
          <cell r="F291">
            <v>4.2844186046511634E-2</v>
          </cell>
          <cell r="G291">
            <v>4.004129537057162E-2</v>
          </cell>
          <cell r="H291">
            <v>3.7421771374365996E-2</v>
          </cell>
          <cell r="I291">
            <v>3.4973618106884097E-2</v>
          </cell>
          <cell r="J291">
            <v>3.26856243989571E-2</v>
          </cell>
          <cell r="K291">
            <v>3.0547312522389812E-2</v>
          </cell>
        </row>
        <row r="292">
          <cell r="A292" t="str">
            <v>Other Liabilities</v>
          </cell>
          <cell r="D292">
            <v>2.1351279317697227E-2</v>
          </cell>
          <cell r="E292">
            <v>2.0366598778004074E-2</v>
          </cell>
          <cell r="F292">
            <v>1.8604651162790697E-2</v>
          </cell>
          <cell r="G292">
            <v>1.7387524451206258E-2</v>
          </cell>
          <cell r="H292">
            <v>1.6250022851594631E-2</v>
          </cell>
          <cell r="I292">
            <v>1.5186937244480963E-2</v>
          </cell>
          <cell r="J292">
            <v>1.4193399293907439E-2</v>
          </cell>
          <cell r="K292">
            <v>1.3264859153184523E-2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"/>
      <sheetName val="Cashflow Forecast Port"/>
      <sheetName val="FX Adjustment"/>
      <sheetName val="LBO Control"/>
      <sheetName val="Standalone"/>
      <sheetName val="Balance Sheet"/>
      <sheetName val="Data Validation Names"/>
      <sheetName val="c1"/>
      <sheetName val="DCF Inpu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rce"/>
      <sheetName val="Data1"/>
      <sheetName val="Data2"/>
      <sheetName val="Custom Indices"/>
      <sheetName val="MW-Cache"/>
      <sheetName val="Multiples"/>
      <sheetName val="Multiples (2)"/>
      <sheetName val="LST Perf"/>
      <sheetName val="3yr"/>
      <sheetName val="Charts01"/>
      <sheetName val="LST Charts"/>
      <sheetName val="Mth &amp; Yr Perf"/>
    </sheetNames>
    <sheetDataSet>
      <sheetData sheetId="0"/>
      <sheetData sheetId="1"/>
      <sheetData sheetId="2"/>
      <sheetData sheetId="3"/>
      <sheetData sheetId="4"/>
      <sheetData sheetId="5">
        <row r="11">
          <cell r="BF11" t="str">
            <v>Abs NTM P/E</v>
          </cell>
          <cell r="DF11" t="str">
            <v>Abs NTM P/E</v>
          </cell>
          <cell r="DG11" t="str">
            <v>3 Yr Avg</v>
          </cell>
          <cell r="DH11" t="str">
            <v>Avg since May-2009</v>
          </cell>
          <cell r="DI11" t="str">
            <v>StdDev1</v>
          </cell>
          <cell r="DJ11" t="str">
            <v>StdDev2</v>
          </cell>
          <cell r="DU11" t="str">
            <v>Abs NTM EV/EBITDA</v>
          </cell>
          <cell r="DV11" t="str">
            <v>3 Yr Avg</v>
          </cell>
          <cell r="DW11" t="str">
            <v>Avg since May-2009</v>
          </cell>
          <cell r="DX11" t="str">
            <v>StdDev1</v>
          </cell>
          <cell r="DY11" t="str">
            <v>StdDev2</v>
          </cell>
        </row>
        <row r="12">
          <cell r="A12">
            <v>39479</v>
          </cell>
          <cell r="DF12">
            <v>-221.08937036550827</v>
          </cell>
          <cell r="DG12">
            <v>21.679348620667902</v>
          </cell>
          <cell r="DH12">
            <v>18.362277992096409</v>
          </cell>
          <cell r="DI12">
            <v>14.300000632844487</v>
          </cell>
          <cell r="DJ12">
            <v>22.424555351348332</v>
          </cell>
          <cell r="DU12">
            <v>-132.32892240330821</v>
          </cell>
          <cell r="DV12">
            <v>11.644336226312735</v>
          </cell>
          <cell r="DW12">
            <v>9.8476005987137558</v>
          </cell>
          <cell r="DX12">
            <v>7.1073990168282446</v>
          </cell>
          <cell r="DY12">
            <v>12.587802180599267</v>
          </cell>
        </row>
        <row r="13">
          <cell r="A13">
            <v>39482</v>
          </cell>
          <cell r="DF13">
            <v>-226.69441562727545</v>
          </cell>
          <cell r="DG13">
            <v>21.679348620667902</v>
          </cell>
          <cell r="DH13">
            <v>18.362277992096409</v>
          </cell>
          <cell r="DI13">
            <v>14.300000632844487</v>
          </cell>
          <cell r="DJ13">
            <v>22.424555351348332</v>
          </cell>
          <cell r="DU13">
            <v>-136.13057061756265</v>
          </cell>
          <cell r="DV13">
            <v>11.644336226312735</v>
          </cell>
          <cell r="DW13">
            <v>9.8476005987137558</v>
          </cell>
          <cell r="DX13">
            <v>7.1073990168282446</v>
          </cell>
          <cell r="DY13">
            <v>12.587802180599267</v>
          </cell>
        </row>
        <row r="14">
          <cell r="A14">
            <v>39483</v>
          </cell>
          <cell r="DF14">
            <v>-222.39717315598133</v>
          </cell>
          <cell r="DG14">
            <v>21.679348620667902</v>
          </cell>
          <cell r="DH14">
            <v>18.362277992096409</v>
          </cell>
          <cell r="DI14">
            <v>14.300000632844487</v>
          </cell>
          <cell r="DJ14">
            <v>22.424555351348332</v>
          </cell>
          <cell r="DU14">
            <v>-133.2159457743615</v>
          </cell>
          <cell r="DV14">
            <v>11.644336226312735</v>
          </cell>
          <cell r="DW14">
            <v>9.8476005987137558</v>
          </cell>
          <cell r="DX14">
            <v>7.1073990168282446</v>
          </cell>
          <cell r="DY14">
            <v>12.587802180599267</v>
          </cell>
        </row>
        <row r="15">
          <cell r="A15">
            <v>39484</v>
          </cell>
          <cell r="DF15">
            <v>-217.6640234086311</v>
          </cell>
          <cell r="DG15">
            <v>21.679348620667902</v>
          </cell>
          <cell r="DH15">
            <v>18.362277992096409</v>
          </cell>
          <cell r="DI15">
            <v>14.300000632844487</v>
          </cell>
          <cell r="DJ15">
            <v>22.424555351348332</v>
          </cell>
          <cell r="DU15">
            <v>-130.00566477849674</v>
          </cell>
          <cell r="DV15">
            <v>11.644336226312735</v>
          </cell>
          <cell r="DW15">
            <v>9.8476005987137558</v>
          </cell>
          <cell r="DX15">
            <v>7.1073990168282446</v>
          </cell>
          <cell r="DY15">
            <v>12.587802180599267</v>
          </cell>
        </row>
        <row r="16">
          <cell r="A16">
            <v>39485</v>
          </cell>
          <cell r="DF16">
            <v>-221.40068911046126</v>
          </cell>
          <cell r="DG16">
            <v>21.679348620667902</v>
          </cell>
          <cell r="DH16">
            <v>18.362277992096409</v>
          </cell>
          <cell r="DI16">
            <v>14.300000632844487</v>
          </cell>
          <cell r="DJ16">
            <v>22.424555351348332</v>
          </cell>
          <cell r="DU16">
            <v>-132.54007580092434</v>
          </cell>
          <cell r="DV16">
            <v>11.644336226312735</v>
          </cell>
          <cell r="DW16">
            <v>9.8476005987137558</v>
          </cell>
          <cell r="DX16">
            <v>7.1073990168282446</v>
          </cell>
          <cell r="DY16">
            <v>12.587802180599267</v>
          </cell>
        </row>
        <row r="17">
          <cell r="A17">
            <v>39486</v>
          </cell>
          <cell r="DF17">
            <v>-221.5252776415644</v>
          </cell>
          <cell r="DG17">
            <v>21.679348620667902</v>
          </cell>
          <cell r="DH17">
            <v>18.362277992096409</v>
          </cell>
          <cell r="DI17">
            <v>14.300000632844487</v>
          </cell>
          <cell r="DJ17">
            <v>22.424555351348332</v>
          </cell>
          <cell r="DU17">
            <v>-132.62457855597177</v>
          </cell>
          <cell r="DV17">
            <v>11.644336226312735</v>
          </cell>
          <cell r="DW17">
            <v>9.8476005987137558</v>
          </cell>
          <cell r="DX17">
            <v>7.1073990168282446</v>
          </cell>
          <cell r="DY17">
            <v>12.587802180599267</v>
          </cell>
        </row>
        <row r="18">
          <cell r="A18">
            <v>39489</v>
          </cell>
          <cell r="DF18">
            <v>-227.62855869822204</v>
          </cell>
          <cell r="DG18">
            <v>21.679348620667902</v>
          </cell>
          <cell r="DH18">
            <v>18.362277992096409</v>
          </cell>
          <cell r="DI18">
            <v>14.300000632844487</v>
          </cell>
          <cell r="DJ18">
            <v>22.424555351348332</v>
          </cell>
          <cell r="DU18">
            <v>-136.76415753286304</v>
          </cell>
          <cell r="DV18">
            <v>11.644336226312735</v>
          </cell>
          <cell r="DW18">
            <v>9.8476005987137558</v>
          </cell>
          <cell r="DX18">
            <v>7.1073990168282446</v>
          </cell>
          <cell r="DY18">
            <v>12.587802180599267</v>
          </cell>
        </row>
        <row r="19">
          <cell r="A19">
            <v>39490</v>
          </cell>
          <cell r="DF19">
            <v>-227.62855869822204</v>
          </cell>
          <cell r="DG19">
            <v>21.679348620667902</v>
          </cell>
          <cell r="DH19">
            <v>18.362277992096409</v>
          </cell>
          <cell r="DI19">
            <v>14.300000632844487</v>
          </cell>
          <cell r="DJ19">
            <v>22.424555351348332</v>
          </cell>
          <cell r="DU19">
            <v>-136.76415753286304</v>
          </cell>
          <cell r="DV19">
            <v>11.644336226312735</v>
          </cell>
          <cell r="DW19">
            <v>9.8476005987137558</v>
          </cell>
          <cell r="DX19">
            <v>7.1073990168282446</v>
          </cell>
          <cell r="DY19">
            <v>12.587802180599267</v>
          </cell>
        </row>
        <row r="20">
          <cell r="A20">
            <v>39491</v>
          </cell>
          <cell r="DF20">
            <v>-235.53798421402618</v>
          </cell>
          <cell r="DG20">
            <v>21.679348620667902</v>
          </cell>
          <cell r="DH20">
            <v>18.362277992096409</v>
          </cell>
          <cell r="DI20">
            <v>14.300000632844487</v>
          </cell>
          <cell r="DJ20">
            <v>22.424555351348332</v>
          </cell>
          <cell r="DU20">
            <v>-142.12876245283385</v>
          </cell>
          <cell r="DV20">
            <v>11.644336226312735</v>
          </cell>
          <cell r="DW20">
            <v>9.8476005987137558</v>
          </cell>
          <cell r="DX20">
            <v>7.1073990168282446</v>
          </cell>
          <cell r="DY20">
            <v>12.587802180599267</v>
          </cell>
        </row>
        <row r="21">
          <cell r="A21">
            <v>39492</v>
          </cell>
          <cell r="DF21">
            <v>-241.01853436273407</v>
          </cell>
          <cell r="DG21">
            <v>21.679348620667902</v>
          </cell>
          <cell r="DH21">
            <v>18.362277992096409</v>
          </cell>
          <cell r="DI21">
            <v>14.300000632844487</v>
          </cell>
          <cell r="DJ21">
            <v>22.424555351348332</v>
          </cell>
          <cell r="DU21">
            <v>-145.84597127326685</v>
          </cell>
          <cell r="DV21">
            <v>11.644336226312735</v>
          </cell>
          <cell r="DW21">
            <v>9.8476005987137558</v>
          </cell>
          <cell r="DX21">
            <v>7.1073990168282446</v>
          </cell>
          <cell r="DY21">
            <v>12.587802180599267</v>
          </cell>
        </row>
        <row r="22">
          <cell r="A22">
            <v>39493</v>
          </cell>
          <cell r="DF22">
            <v>-245.06661222756105</v>
          </cell>
          <cell r="DG22">
            <v>21.679348620667902</v>
          </cell>
          <cell r="DH22">
            <v>18.362277992096409</v>
          </cell>
          <cell r="DI22">
            <v>14.300000632844487</v>
          </cell>
          <cell r="DJ22">
            <v>22.424555351348332</v>
          </cell>
          <cell r="DU22">
            <v>-148.59159905453663</v>
          </cell>
          <cell r="DV22">
            <v>11.644336226312735</v>
          </cell>
          <cell r="DW22">
            <v>9.8476005987137558</v>
          </cell>
          <cell r="DX22">
            <v>7.1073990168282446</v>
          </cell>
          <cell r="DY22">
            <v>12.587802180599267</v>
          </cell>
        </row>
        <row r="23">
          <cell r="A23">
            <v>39496</v>
          </cell>
          <cell r="DF23">
            <v>-286.12769575191794</v>
          </cell>
          <cell r="DG23">
            <v>21.679348620667902</v>
          </cell>
          <cell r="DH23">
            <v>18.362277992096409</v>
          </cell>
          <cell r="DI23">
            <v>14.300000632844487</v>
          </cell>
          <cell r="DJ23">
            <v>22.424555351348332</v>
          </cell>
          <cell r="DU23">
            <v>-155.05443988032107</v>
          </cell>
          <cell r="DV23">
            <v>11.644336226312735</v>
          </cell>
          <cell r="DW23">
            <v>9.8476005987137558</v>
          </cell>
          <cell r="DX23">
            <v>7.1073990168282446</v>
          </cell>
          <cell r="DY23">
            <v>12.587802180599267</v>
          </cell>
        </row>
        <row r="24">
          <cell r="A24">
            <v>39497</v>
          </cell>
          <cell r="DF24">
            <v>-302.26363123432697</v>
          </cell>
          <cell r="DG24">
            <v>21.679348620667902</v>
          </cell>
          <cell r="DH24">
            <v>18.362277992096409</v>
          </cell>
          <cell r="DI24">
            <v>14.300000632844487</v>
          </cell>
          <cell r="DJ24">
            <v>22.424555351348332</v>
          </cell>
          <cell r="DU24">
            <v>-152.52002885789344</v>
          </cell>
          <cell r="DV24">
            <v>11.644336226312735</v>
          </cell>
          <cell r="DW24">
            <v>9.8476005987137558</v>
          </cell>
          <cell r="DX24">
            <v>7.1073990168282446</v>
          </cell>
          <cell r="DY24">
            <v>12.587802180599267</v>
          </cell>
        </row>
        <row r="25">
          <cell r="A25">
            <v>39498</v>
          </cell>
          <cell r="DF25">
            <v>-302.33863433932174</v>
          </cell>
          <cell r="DG25">
            <v>21.679348620667902</v>
          </cell>
          <cell r="DH25">
            <v>18.362277992096409</v>
          </cell>
          <cell r="DI25">
            <v>14.300000632844487</v>
          </cell>
          <cell r="DJ25">
            <v>22.424555351348332</v>
          </cell>
          <cell r="DU25">
            <v>-152.56224855480417</v>
          </cell>
          <cell r="DV25">
            <v>11.644336226312735</v>
          </cell>
          <cell r="DW25">
            <v>9.8476005987137558</v>
          </cell>
          <cell r="DX25">
            <v>7.1073990168282446</v>
          </cell>
          <cell r="DY25">
            <v>12.587802180599267</v>
          </cell>
        </row>
        <row r="26">
          <cell r="A26">
            <v>39499</v>
          </cell>
          <cell r="DF26">
            <v>-438.01358700694016</v>
          </cell>
          <cell r="DG26">
            <v>21.679348620667902</v>
          </cell>
          <cell r="DH26">
            <v>18.362277992096409</v>
          </cell>
          <cell r="DI26">
            <v>14.300000632844487</v>
          </cell>
          <cell r="DJ26">
            <v>22.424555351348332</v>
          </cell>
          <cell r="DU26">
            <v>-219.1592525256539</v>
          </cell>
          <cell r="DV26">
            <v>11.644336226312735</v>
          </cell>
          <cell r="DW26">
            <v>9.8476005987137558</v>
          </cell>
          <cell r="DX26">
            <v>7.1073990168282446</v>
          </cell>
          <cell r="DY26">
            <v>12.587802180599267</v>
          </cell>
        </row>
        <row r="27">
          <cell r="A27">
            <v>39500</v>
          </cell>
          <cell r="DF27">
            <v>-435.03752803686433</v>
          </cell>
          <cell r="DG27">
            <v>21.679348620667902</v>
          </cell>
          <cell r="DH27">
            <v>18.362277992096409</v>
          </cell>
          <cell r="DI27">
            <v>14.300000632844487</v>
          </cell>
          <cell r="DJ27">
            <v>22.424555351348332</v>
          </cell>
          <cell r="DU27">
            <v>-217.50242427663019</v>
          </cell>
          <cell r="DV27">
            <v>11.644336226312735</v>
          </cell>
          <cell r="DW27">
            <v>9.8476005987137558</v>
          </cell>
          <cell r="DX27">
            <v>7.1073990168282446</v>
          </cell>
          <cell r="DY27">
            <v>12.587802180599267</v>
          </cell>
        </row>
        <row r="28">
          <cell r="A28">
            <v>39503</v>
          </cell>
          <cell r="DF28">
            <v>-434.29343623540029</v>
          </cell>
          <cell r="DG28">
            <v>21.679348620667902</v>
          </cell>
          <cell r="DH28">
            <v>18.362277992096409</v>
          </cell>
          <cell r="DI28">
            <v>14.300000632844487</v>
          </cell>
          <cell r="DJ28">
            <v>22.424555351348332</v>
          </cell>
          <cell r="DU28">
            <v>-217.08817431420385</v>
          </cell>
          <cell r="DV28">
            <v>11.644336226312735</v>
          </cell>
          <cell r="DW28">
            <v>9.8476005987137558</v>
          </cell>
          <cell r="DX28">
            <v>7.1073990168282446</v>
          </cell>
          <cell r="DY28">
            <v>12.587802180599267</v>
          </cell>
        </row>
        <row r="29">
          <cell r="A29">
            <v>39504</v>
          </cell>
          <cell r="DF29">
            <v>-432.38032303785013</v>
          </cell>
          <cell r="DG29">
            <v>21.679348620667902</v>
          </cell>
          <cell r="DH29">
            <v>18.362277992096409</v>
          </cell>
          <cell r="DI29">
            <v>14.300000632844487</v>
          </cell>
          <cell r="DJ29">
            <v>22.424555351348332</v>
          </cell>
          <cell r="DU29">
            <v>-216.02310805672963</v>
          </cell>
          <cell r="DV29">
            <v>11.644336226312735</v>
          </cell>
          <cell r="DW29">
            <v>9.8476005987137558</v>
          </cell>
          <cell r="DX29">
            <v>7.1073990168282446</v>
          </cell>
          <cell r="DY29">
            <v>12.587802180599267</v>
          </cell>
        </row>
        <row r="30">
          <cell r="A30">
            <v>39505</v>
          </cell>
          <cell r="DF30">
            <v>-434.18720117953973</v>
          </cell>
          <cell r="DG30">
            <v>21.679348620667902</v>
          </cell>
          <cell r="DH30">
            <v>18.362277992096409</v>
          </cell>
          <cell r="DI30">
            <v>14.300000632844487</v>
          </cell>
          <cell r="DJ30">
            <v>22.424555351348332</v>
          </cell>
          <cell r="DU30">
            <v>-217.02903125173228</v>
          </cell>
          <cell r="DV30">
            <v>11.644336226312735</v>
          </cell>
          <cell r="DW30">
            <v>9.8476005987137558</v>
          </cell>
          <cell r="DX30">
            <v>7.1073990168282446</v>
          </cell>
          <cell r="DY30">
            <v>12.587802180599267</v>
          </cell>
        </row>
        <row r="31">
          <cell r="A31">
            <v>39506</v>
          </cell>
          <cell r="DF31">
            <v>-435.78161983832825</v>
          </cell>
          <cell r="DG31">
            <v>21.679348620667902</v>
          </cell>
          <cell r="DH31">
            <v>18.362277992096409</v>
          </cell>
          <cell r="DI31">
            <v>14.300000632844487</v>
          </cell>
          <cell r="DJ31">
            <v>22.424555351348332</v>
          </cell>
          <cell r="DU31">
            <v>-217.91667423905648</v>
          </cell>
          <cell r="DV31">
            <v>11.644336226312735</v>
          </cell>
          <cell r="DW31">
            <v>9.8476005987137558</v>
          </cell>
          <cell r="DX31">
            <v>7.1073990168282446</v>
          </cell>
          <cell r="DY31">
            <v>12.587802180599267</v>
          </cell>
        </row>
        <row r="32">
          <cell r="A32">
            <v>39507</v>
          </cell>
          <cell r="DF32">
            <v>-428.87279118151133</v>
          </cell>
          <cell r="DG32">
            <v>21.679348620667902</v>
          </cell>
          <cell r="DH32">
            <v>18.362277992096409</v>
          </cell>
          <cell r="DI32">
            <v>14.300000632844487</v>
          </cell>
          <cell r="DJ32">
            <v>22.424555351348332</v>
          </cell>
          <cell r="DU32">
            <v>-214.07039881193117</v>
          </cell>
          <cell r="DV32">
            <v>11.644336226312735</v>
          </cell>
          <cell r="DW32">
            <v>9.8476005987137558</v>
          </cell>
          <cell r="DX32">
            <v>7.1073990168282446</v>
          </cell>
          <cell r="DY32">
            <v>12.587802180599267</v>
          </cell>
        </row>
        <row r="33">
          <cell r="A33">
            <v>39510</v>
          </cell>
          <cell r="DF33">
            <v>-443.32799700496855</v>
          </cell>
          <cell r="DG33">
            <v>21.679348620667902</v>
          </cell>
          <cell r="DH33">
            <v>18.362277992096409</v>
          </cell>
          <cell r="DI33">
            <v>14.300000632844487</v>
          </cell>
          <cell r="DJ33">
            <v>22.424555351348332</v>
          </cell>
          <cell r="DU33">
            <v>-222.117884965455</v>
          </cell>
          <cell r="DV33">
            <v>11.644336226312735</v>
          </cell>
          <cell r="DW33">
            <v>9.8476005987137558</v>
          </cell>
          <cell r="DX33">
            <v>7.1073990168282446</v>
          </cell>
          <cell r="DY33">
            <v>12.587802180599267</v>
          </cell>
        </row>
        <row r="34">
          <cell r="A34">
            <v>39511</v>
          </cell>
          <cell r="DF34">
            <v>-435.78161983832825</v>
          </cell>
          <cell r="DG34">
            <v>21.679348620667902</v>
          </cell>
          <cell r="DH34">
            <v>18.362277992096409</v>
          </cell>
          <cell r="DI34">
            <v>14.300000632844487</v>
          </cell>
          <cell r="DJ34">
            <v>22.424555351348332</v>
          </cell>
          <cell r="DU34">
            <v>-217.91667423905648</v>
          </cell>
          <cell r="DV34">
            <v>11.644336226312735</v>
          </cell>
          <cell r="DW34">
            <v>9.8476005987137558</v>
          </cell>
          <cell r="DX34">
            <v>7.1073990168282446</v>
          </cell>
          <cell r="DY34">
            <v>12.587802180599267</v>
          </cell>
        </row>
        <row r="35">
          <cell r="A35">
            <v>39512</v>
          </cell>
          <cell r="DF35">
            <v>-435.46260643496657</v>
          </cell>
          <cell r="DG35">
            <v>21.679348620667902</v>
          </cell>
          <cell r="DH35">
            <v>18.362277992096409</v>
          </cell>
          <cell r="DI35">
            <v>14.300000632844487</v>
          </cell>
          <cell r="DJ35">
            <v>22.424555351348332</v>
          </cell>
          <cell r="DU35">
            <v>-217.73907345096009</v>
          </cell>
          <cell r="DV35">
            <v>11.644336226312735</v>
          </cell>
          <cell r="DW35">
            <v>9.8476005987137558</v>
          </cell>
          <cell r="DX35">
            <v>7.1073990168282446</v>
          </cell>
          <cell r="DY35">
            <v>12.587802180599267</v>
          </cell>
        </row>
        <row r="36">
          <cell r="A36">
            <v>39513</v>
          </cell>
          <cell r="DF36">
            <v>-443.22176194910799</v>
          </cell>
          <cell r="DG36">
            <v>21.679348620667902</v>
          </cell>
          <cell r="DH36">
            <v>18.362277992096409</v>
          </cell>
          <cell r="DI36">
            <v>14.300000632844487</v>
          </cell>
          <cell r="DJ36">
            <v>22.424555351348332</v>
          </cell>
          <cell r="DU36">
            <v>-222.0587419029834</v>
          </cell>
          <cell r="DV36">
            <v>11.644336226312735</v>
          </cell>
          <cell r="DW36">
            <v>9.8476005987137558</v>
          </cell>
          <cell r="DX36">
            <v>7.1073990168282446</v>
          </cell>
          <cell r="DY36">
            <v>12.587802180599267</v>
          </cell>
        </row>
        <row r="37">
          <cell r="A37">
            <v>39514</v>
          </cell>
          <cell r="DF37">
            <v>-449.59895828736205</v>
          </cell>
          <cell r="DG37">
            <v>21.679348620667902</v>
          </cell>
          <cell r="DH37">
            <v>18.362277992096409</v>
          </cell>
          <cell r="DI37">
            <v>14.300000632844487</v>
          </cell>
          <cell r="DJ37">
            <v>22.424555351348332</v>
          </cell>
          <cell r="DU37">
            <v>-225.60904757536076</v>
          </cell>
          <cell r="DV37">
            <v>11.644336226312735</v>
          </cell>
          <cell r="DW37">
            <v>9.8476005987137558</v>
          </cell>
          <cell r="DX37">
            <v>7.1073990168282446</v>
          </cell>
          <cell r="DY37">
            <v>12.587802180599267</v>
          </cell>
        </row>
        <row r="38">
          <cell r="A38">
            <v>39517</v>
          </cell>
          <cell r="DF38">
            <v>-441.09602983635665</v>
          </cell>
          <cell r="DG38">
            <v>21.679348620667902</v>
          </cell>
          <cell r="DH38">
            <v>18.362277992096409</v>
          </cell>
          <cell r="DI38">
            <v>14.300000632844487</v>
          </cell>
          <cell r="DJ38">
            <v>22.424555351348332</v>
          </cell>
          <cell r="DU38">
            <v>-220.87530667885758</v>
          </cell>
          <cell r="DV38">
            <v>11.644336226312735</v>
          </cell>
          <cell r="DW38">
            <v>9.8476005987137558</v>
          </cell>
          <cell r="DX38">
            <v>7.1073990168282446</v>
          </cell>
          <cell r="DY38">
            <v>12.587802180599267</v>
          </cell>
        </row>
        <row r="39">
          <cell r="A39">
            <v>39518</v>
          </cell>
          <cell r="DF39">
            <v>-442.47767014764406</v>
          </cell>
          <cell r="DG39">
            <v>21.679348620667902</v>
          </cell>
          <cell r="DH39">
            <v>18.362277992096409</v>
          </cell>
          <cell r="DI39">
            <v>14.300000632844487</v>
          </cell>
          <cell r="DJ39">
            <v>22.424555351348332</v>
          </cell>
          <cell r="DU39">
            <v>-221.64449194055703</v>
          </cell>
          <cell r="DV39">
            <v>11.644336226312735</v>
          </cell>
          <cell r="DW39">
            <v>9.8476005987137558</v>
          </cell>
          <cell r="DX39">
            <v>7.1073990168282446</v>
          </cell>
          <cell r="DY39">
            <v>12.587802180599267</v>
          </cell>
        </row>
        <row r="40">
          <cell r="A40">
            <v>39519</v>
          </cell>
          <cell r="DF40">
            <v>-439.60784623342869</v>
          </cell>
          <cell r="DG40">
            <v>21.679348620667902</v>
          </cell>
          <cell r="DH40">
            <v>18.362277992096409</v>
          </cell>
          <cell r="DI40">
            <v>14.300000632844487</v>
          </cell>
          <cell r="DJ40">
            <v>22.424555351348332</v>
          </cell>
          <cell r="DU40">
            <v>-220.04680675400493</v>
          </cell>
          <cell r="DV40">
            <v>11.644336226312735</v>
          </cell>
          <cell r="DW40">
            <v>9.8476005987137558</v>
          </cell>
          <cell r="DX40">
            <v>7.1073990168282446</v>
          </cell>
          <cell r="DY40">
            <v>12.587802180599267</v>
          </cell>
        </row>
        <row r="41">
          <cell r="A41">
            <v>39520</v>
          </cell>
          <cell r="DF41">
            <v>-436.84440617855404</v>
          </cell>
          <cell r="DG41">
            <v>21.679348620667902</v>
          </cell>
          <cell r="DH41">
            <v>18.362277992096409</v>
          </cell>
          <cell r="DI41">
            <v>14.300000632844487</v>
          </cell>
          <cell r="DJ41">
            <v>22.424555351348332</v>
          </cell>
          <cell r="DU41">
            <v>-218.50834747163282</v>
          </cell>
          <cell r="DV41">
            <v>11.644336226312735</v>
          </cell>
          <cell r="DW41">
            <v>9.8476005987137558</v>
          </cell>
          <cell r="DX41">
            <v>7.1073990168282446</v>
          </cell>
          <cell r="DY41">
            <v>12.587802180599267</v>
          </cell>
        </row>
        <row r="42">
          <cell r="A42">
            <v>39521</v>
          </cell>
          <cell r="DF42">
            <v>-440.77701643299497</v>
          </cell>
          <cell r="DG42">
            <v>21.679348620667902</v>
          </cell>
          <cell r="DH42">
            <v>18.362277992096409</v>
          </cell>
          <cell r="DI42">
            <v>14.300000632844487</v>
          </cell>
          <cell r="DJ42">
            <v>22.424555351348332</v>
          </cell>
          <cell r="DU42">
            <v>-220.6977058907612</v>
          </cell>
          <cell r="DV42">
            <v>11.644336226312735</v>
          </cell>
          <cell r="DW42">
            <v>9.8476005987137558</v>
          </cell>
          <cell r="DX42">
            <v>7.1073990168282446</v>
          </cell>
          <cell r="DY42">
            <v>12.587802180599267</v>
          </cell>
        </row>
        <row r="43">
          <cell r="A43">
            <v>39524</v>
          </cell>
          <cell r="DF43">
            <v>-440.24571360785211</v>
          </cell>
          <cell r="DG43">
            <v>21.679348620667902</v>
          </cell>
          <cell r="DH43">
            <v>18.362277992096409</v>
          </cell>
          <cell r="DI43">
            <v>14.300000632844487</v>
          </cell>
          <cell r="DJ43">
            <v>22.424555351348332</v>
          </cell>
          <cell r="DU43">
            <v>-220.40191957122451</v>
          </cell>
          <cell r="DV43">
            <v>11.644336226312735</v>
          </cell>
          <cell r="DW43">
            <v>9.8476005987137558</v>
          </cell>
          <cell r="DX43">
            <v>7.1073990168282446</v>
          </cell>
          <cell r="DY43">
            <v>12.587802180599267</v>
          </cell>
        </row>
        <row r="44">
          <cell r="A44">
            <v>39525</v>
          </cell>
          <cell r="DF44">
            <v>-438.86391386426476</v>
          </cell>
          <cell r="DG44">
            <v>21.679348620667902</v>
          </cell>
          <cell r="DH44">
            <v>18.362277992096409</v>
          </cell>
          <cell r="DI44">
            <v>14.300000632844487</v>
          </cell>
          <cell r="DJ44">
            <v>22.424555351348332</v>
          </cell>
          <cell r="DU44">
            <v>-219.63264555055184</v>
          </cell>
          <cell r="DV44">
            <v>11.644336226312735</v>
          </cell>
          <cell r="DW44">
            <v>9.8476005987137558</v>
          </cell>
          <cell r="DX44">
            <v>7.1073990168282446</v>
          </cell>
          <cell r="DY44">
            <v>12.587802180599267</v>
          </cell>
        </row>
        <row r="45">
          <cell r="A45">
            <v>39526</v>
          </cell>
          <cell r="DF45">
            <v>-440.03308406383098</v>
          </cell>
          <cell r="DG45">
            <v>21.679348620667902</v>
          </cell>
          <cell r="DH45">
            <v>18.362277992096409</v>
          </cell>
          <cell r="DI45">
            <v>14.300000632844487</v>
          </cell>
          <cell r="DJ45">
            <v>22.424555351348332</v>
          </cell>
          <cell r="DU45">
            <v>-220.28354468730811</v>
          </cell>
          <cell r="DV45">
            <v>11.644336226312735</v>
          </cell>
          <cell r="DW45">
            <v>9.8476005987137558</v>
          </cell>
          <cell r="DX45">
            <v>7.1073990168282446</v>
          </cell>
          <cell r="DY45">
            <v>12.587802180599267</v>
          </cell>
        </row>
        <row r="46">
          <cell r="A46">
            <v>39527</v>
          </cell>
          <cell r="DF46">
            <v>-443.22176194910799</v>
          </cell>
          <cell r="DG46">
            <v>21.679348620667902</v>
          </cell>
          <cell r="DH46">
            <v>18.362277992096409</v>
          </cell>
          <cell r="DI46">
            <v>14.300000632844487</v>
          </cell>
          <cell r="DJ46">
            <v>22.424555351348332</v>
          </cell>
          <cell r="DU46">
            <v>-222.0587419029834</v>
          </cell>
          <cell r="DV46">
            <v>11.644336226312735</v>
          </cell>
          <cell r="DW46">
            <v>9.8476005987137558</v>
          </cell>
          <cell r="DX46">
            <v>7.1073990168282446</v>
          </cell>
          <cell r="DY46">
            <v>12.587802180599267</v>
          </cell>
        </row>
        <row r="47">
          <cell r="A47">
            <v>39528</v>
          </cell>
          <cell r="DF47">
            <v>-441.52111886327896</v>
          </cell>
          <cell r="DG47">
            <v>21.679348620667902</v>
          </cell>
          <cell r="DH47">
            <v>18.362277992096409</v>
          </cell>
          <cell r="DI47">
            <v>14.300000632844487</v>
          </cell>
          <cell r="DJ47">
            <v>22.424555351348332</v>
          </cell>
          <cell r="DU47">
            <v>-221.11196177045241</v>
          </cell>
          <cell r="DV47">
            <v>11.644336226312735</v>
          </cell>
          <cell r="DW47">
            <v>9.8476005987137558</v>
          </cell>
          <cell r="DX47">
            <v>7.1073990168282446</v>
          </cell>
          <cell r="DY47">
            <v>12.587802180599267</v>
          </cell>
        </row>
        <row r="48">
          <cell r="A48">
            <v>39531</v>
          </cell>
          <cell r="DF48">
            <v>-786.24579462813006</v>
          </cell>
          <cell r="DG48">
            <v>21.679348620667902</v>
          </cell>
          <cell r="DH48">
            <v>18.362277992096409</v>
          </cell>
          <cell r="DI48">
            <v>14.300000632844487</v>
          </cell>
          <cell r="DJ48">
            <v>22.424555351348332</v>
          </cell>
          <cell r="DU48">
            <v>-397.15524065141801</v>
          </cell>
          <cell r="DV48">
            <v>11.644336226312735</v>
          </cell>
          <cell r="DW48">
            <v>9.8476005987137558</v>
          </cell>
          <cell r="DX48">
            <v>7.1073990168282446</v>
          </cell>
          <cell r="DY48">
            <v>12.587802180599267</v>
          </cell>
        </row>
        <row r="49">
          <cell r="A49">
            <v>39532</v>
          </cell>
          <cell r="DF49">
            <v>-774.22528544447835</v>
          </cell>
          <cell r="DG49">
            <v>21.679348620667902</v>
          </cell>
          <cell r="DH49">
            <v>18.362277992096409</v>
          </cell>
          <cell r="DI49">
            <v>14.300000632844487</v>
          </cell>
          <cell r="DJ49">
            <v>22.424555351348332</v>
          </cell>
          <cell r="DU49">
            <v>-390.45330354097047</v>
          </cell>
          <cell r="DV49">
            <v>11.644336226312735</v>
          </cell>
          <cell r="DW49">
            <v>9.8476005987137558</v>
          </cell>
          <cell r="DX49">
            <v>7.1073990168282446</v>
          </cell>
          <cell r="DY49">
            <v>12.587802180599267</v>
          </cell>
        </row>
        <row r="50">
          <cell r="A50">
            <v>39533</v>
          </cell>
          <cell r="DF50">
            <v>-786.42781317465631</v>
          </cell>
          <cell r="DG50">
            <v>21.679348620667902</v>
          </cell>
          <cell r="DH50">
            <v>18.362277992096409</v>
          </cell>
          <cell r="DI50">
            <v>14.300000632844487</v>
          </cell>
          <cell r="DJ50">
            <v>22.424555351348332</v>
          </cell>
          <cell r="DU50">
            <v>-397.25672361134224</v>
          </cell>
          <cell r="DV50">
            <v>11.644336226312735</v>
          </cell>
          <cell r="DW50">
            <v>9.8476005987137558</v>
          </cell>
          <cell r="DX50">
            <v>7.1073990168282446</v>
          </cell>
          <cell r="DY50">
            <v>12.587802180599267</v>
          </cell>
        </row>
        <row r="51">
          <cell r="A51">
            <v>39534</v>
          </cell>
          <cell r="DF51">
            <v>-744.00582060601141</v>
          </cell>
          <cell r="DG51">
            <v>21.679348620667902</v>
          </cell>
          <cell r="DH51">
            <v>18.362277992096409</v>
          </cell>
          <cell r="DI51">
            <v>14.300000632844487</v>
          </cell>
          <cell r="DJ51">
            <v>22.424555351348332</v>
          </cell>
          <cell r="DU51">
            <v>-395.45361485256365</v>
          </cell>
          <cell r="DV51">
            <v>11.644336226312735</v>
          </cell>
          <cell r="DW51">
            <v>9.8476005987137558</v>
          </cell>
          <cell r="DX51">
            <v>7.1073990168282446</v>
          </cell>
          <cell r="DY51">
            <v>12.587802180599267</v>
          </cell>
        </row>
        <row r="52">
          <cell r="A52">
            <v>39535</v>
          </cell>
          <cell r="DF52">
            <v>-1974.6481620355435</v>
          </cell>
          <cell r="DG52">
            <v>21.679348620667902</v>
          </cell>
          <cell r="DH52">
            <v>18.362277992096409</v>
          </cell>
          <cell r="DI52">
            <v>14.300000632844487</v>
          </cell>
          <cell r="DJ52">
            <v>22.424555351348332</v>
          </cell>
          <cell r="DU52">
            <v>-421.98685584753269</v>
          </cell>
          <cell r="DV52">
            <v>11.644336226312735</v>
          </cell>
          <cell r="DW52">
            <v>9.8476005987137558</v>
          </cell>
          <cell r="DX52">
            <v>7.1073990168282446</v>
          </cell>
          <cell r="DY52">
            <v>12.587802180599267</v>
          </cell>
        </row>
        <row r="53">
          <cell r="A53">
            <v>39538</v>
          </cell>
          <cell r="DF53">
            <v>-831.65397103017938</v>
          </cell>
          <cell r="DG53">
            <v>21.679348620667902</v>
          </cell>
          <cell r="DH53">
            <v>18.362277992096409</v>
          </cell>
          <cell r="DI53">
            <v>14.300000632844487</v>
          </cell>
          <cell r="DJ53">
            <v>22.424555351348332</v>
          </cell>
          <cell r="DU53">
            <v>-296.90445103864232</v>
          </cell>
          <cell r="DV53">
            <v>11.644336226312735</v>
          </cell>
          <cell r="DW53">
            <v>9.8476005987137558</v>
          </cell>
          <cell r="DX53">
            <v>7.1073990168282446</v>
          </cell>
          <cell r="DY53">
            <v>12.587802180599267</v>
          </cell>
        </row>
        <row r="54">
          <cell r="A54">
            <v>39539</v>
          </cell>
          <cell r="DF54">
            <v>-832.05945305166449</v>
          </cell>
          <cell r="DG54">
            <v>21.679348620667902</v>
          </cell>
          <cell r="DH54">
            <v>18.362277992096409</v>
          </cell>
          <cell r="DI54">
            <v>14.300000632844487</v>
          </cell>
          <cell r="DJ54">
            <v>22.424555351348332</v>
          </cell>
          <cell r="DU54">
            <v>-297.06738984348146</v>
          </cell>
          <cell r="DV54">
            <v>11.644336226312735</v>
          </cell>
          <cell r="DW54">
            <v>9.8476005987137558</v>
          </cell>
          <cell r="DX54">
            <v>7.1073990168282446</v>
          </cell>
          <cell r="DY54">
            <v>12.587802180599267</v>
          </cell>
        </row>
        <row r="55">
          <cell r="A55">
            <v>39540</v>
          </cell>
          <cell r="DF55">
            <v>-715.46136747938158</v>
          </cell>
          <cell r="DG55">
            <v>21.679348620667902</v>
          </cell>
          <cell r="DH55">
            <v>18.362277992096409</v>
          </cell>
          <cell r="DI55">
            <v>14.300000632844487</v>
          </cell>
          <cell r="DJ55">
            <v>22.424555351348332</v>
          </cell>
          <cell r="DU55">
            <v>-302.44708469141693</v>
          </cell>
          <cell r="DV55">
            <v>11.644336226312735</v>
          </cell>
          <cell r="DW55">
            <v>9.8476005987137558</v>
          </cell>
          <cell r="DX55">
            <v>7.1073990168282446</v>
          </cell>
          <cell r="DY55">
            <v>12.587802180599267</v>
          </cell>
        </row>
        <row r="56">
          <cell r="A56">
            <v>39541</v>
          </cell>
          <cell r="DF56">
            <v>-875.5245187196</v>
          </cell>
          <cell r="DG56">
            <v>21.679348620667902</v>
          </cell>
          <cell r="DH56">
            <v>18.362277992096409</v>
          </cell>
          <cell r="DI56">
            <v>14.300000632844487</v>
          </cell>
          <cell r="DJ56">
            <v>22.424555351348332</v>
          </cell>
          <cell r="DU56">
            <v>-192.95720943913864</v>
          </cell>
          <cell r="DV56">
            <v>11.644336226312735</v>
          </cell>
          <cell r="DW56">
            <v>9.8476005987137558</v>
          </cell>
          <cell r="DX56">
            <v>7.1073990168282446</v>
          </cell>
          <cell r="DY56">
            <v>12.587802180599267</v>
          </cell>
        </row>
        <row r="57">
          <cell r="A57">
            <v>39542</v>
          </cell>
          <cell r="DF57">
            <v>-918.6109162341761</v>
          </cell>
          <cell r="DG57">
            <v>21.679348620667902</v>
          </cell>
          <cell r="DH57">
            <v>18.362277992096409</v>
          </cell>
          <cell r="DI57">
            <v>14.300000632844487</v>
          </cell>
          <cell r="DJ57">
            <v>22.424555351348332</v>
          </cell>
          <cell r="DU57">
            <v>-203.63745731988547</v>
          </cell>
          <cell r="DV57">
            <v>11.644336226312735</v>
          </cell>
          <cell r="DW57">
            <v>9.8476005987137558</v>
          </cell>
          <cell r="DX57">
            <v>7.1073990168282446</v>
          </cell>
          <cell r="DY57">
            <v>12.587802180599267</v>
          </cell>
        </row>
        <row r="58">
          <cell r="A58">
            <v>39545</v>
          </cell>
          <cell r="DF58">
            <v>-956.39110454439128</v>
          </cell>
          <cell r="DG58">
            <v>21.679348620667902</v>
          </cell>
          <cell r="DH58">
            <v>18.362277992096409</v>
          </cell>
          <cell r="DI58">
            <v>14.300000632844487</v>
          </cell>
          <cell r="DJ58">
            <v>22.424555351348332</v>
          </cell>
          <cell r="DU58">
            <v>-213.00240308955406</v>
          </cell>
          <cell r="DV58">
            <v>11.644336226312735</v>
          </cell>
          <cell r="DW58">
            <v>9.8476005987137558</v>
          </cell>
          <cell r="DX58">
            <v>7.1073990168282446</v>
          </cell>
          <cell r="DY58">
            <v>12.587802180599267</v>
          </cell>
        </row>
        <row r="59">
          <cell r="A59">
            <v>39546</v>
          </cell>
          <cell r="DF59">
            <v>-965.30549355804442</v>
          </cell>
          <cell r="DG59">
            <v>21.679348620667902</v>
          </cell>
          <cell r="DH59">
            <v>18.362277992096409</v>
          </cell>
          <cell r="DI59">
            <v>14.300000632844487</v>
          </cell>
          <cell r="DJ59">
            <v>22.424555351348332</v>
          </cell>
          <cell r="DU59">
            <v>-215.21210011374859</v>
          </cell>
          <cell r="DV59">
            <v>11.644336226312735</v>
          </cell>
          <cell r="DW59">
            <v>9.8476005987137558</v>
          </cell>
          <cell r="DX59">
            <v>7.1073990168282446</v>
          </cell>
          <cell r="DY59">
            <v>12.587802180599267</v>
          </cell>
        </row>
        <row r="60">
          <cell r="A60">
            <v>39547</v>
          </cell>
          <cell r="DF60">
            <v>-978.25266524152255</v>
          </cell>
          <cell r="DG60">
            <v>21.679348620667902</v>
          </cell>
          <cell r="DH60">
            <v>18.362277992096409</v>
          </cell>
          <cell r="DI60">
            <v>14.300000632844487</v>
          </cell>
          <cell r="DJ60">
            <v>22.424555351348332</v>
          </cell>
          <cell r="DU60">
            <v>-218.42144252598791</v>
          </cell>
          <cell r="DV60">
            <v>11.644336226312735</v>
          </cell>
          <cell r="DW60">
            <v>9.8476005987137558</v>
          </cell>
          <cell r="DX60">
            <v>7.1073990168282446</v>
          </cell>
          <cell r="DY60">
            <v>12.587802180599267</v>
          </cell>
        </row>
        <row r="61">
          <cell r="A61">
            <v>39548</v>
          </cell>
          <cell r="DF61">
            <v>-987.80377813486245</v>
          </cell>
          <cell r="DG61">
            <v>21.679348620667902</v>
          </cell>
          <cell r="DH61">
            <v>18.362277992096409</v>
          </cell>
          <cell r="DI61">
            <v>14.300000632844487</v>
          </cell>
          <cell r="DJ61">
            <v>22.424555351348332</v>
          </cell>
          <cell r="DU61">
            <v>-220.78897054230345</v>
          </cell>
          <cell r="DV61">
            <v>11.644336226312735</v>
          </cell>
          <cell r="DW61">
            <v>9.8476005987137558</v>
          </cell>
          <cell r="DX61">
            <v>7.1073990168282446</v>
          </cell>
          <cell r="DY61">
            <v>12.587802180599267</v>
          </cell>
        </row>
        <row r="62">
          <cell r="A62">
            <v>39549</v>
          </cell>
          <cell r="DF62">
            <v>-977.82808360582646</v>
          </cell>
          <cell r="DG62">
            <v>21.679348620667902</v>
          </cell>
          <cell r="DH62">
            <v>18.362277992096409</v>
          </cell>
          <cell r="DI62">
            <v>14.300000632844487</v>
          </cell>
          <cell r="DJ62">
            <v>22.424555351348332</v>
          </cell>
          <cell r="DU62">
            <v>-218.31619731226789</v>
          </cell>
          <cell r="DV62">
            <v>11.644336226312735</v>
          </cell>
          <cell r="DW62">
            <v>9.8476005987137558</v>
          </cell>
          <cell r="DX62">
            <v>7.1073990168282446</v>
          </cell>
          <cell r="DY62">
            <v>12.587802180599267</v>
          </cell>
        </row>
        <row r="63">
          <cell r="A63">
            <v>39552</v>
          </cell>
          <cell r="DF63">
            <v>1581.8633844008168</v>
          </cell>
          <cell r="DG63">
            <v>21.679348620667902</v>
          </cell>
          <cell r="DH63">
            <v>18.362277992096409</v>
          </cell>
          <cell r="DI63">
            <v>14.300000632844487</v>
          </cell>
          <cell r="DJ63">
            <v>22.424555351348332</v>
          </cell>
          <cell r="DU63">
            <v>-229.25951613764727</v>
          </cell>
          <cell r="DV63">
            <v>11.644336226312735</v>
          </cell>
          <cell r="DW63">
            <v>9.8476005987137558</v>
          </cell>
          <cell r="DX63">
            <v>7.1073990168282446</v>
          </cell>
          <cell r="DY63">
            <v>12.587802180599267</v>
          </cell>
        </row>
        <row r="64">
          <cell r="A64">
            <v>39553</v>
          </cell>
          <cell r="DF64">
            <v>1596.9754216300905</v>
          </cell>
          <cell r="DG64">
            <v>21.679348620667902</v>
          </cell>
          <cell r="DH64">
            <v>18.362277992096409</v>
          </cell>
          <cell r="DI64">
            <v>14.300000632844487</v>
          </cell>
          <cell r="DJ64">
            <v>22.424555351348332</v>
          </cell>
          <cell r="DU64">
            <v>-231.67962993236364</v>
          </cell>
          <cell r="DV64">
            <v>11.644336226312735</v>
          </cell>
          <cell r="DW64">
            <v>9.8476005987137558</v>
          </cell>
          <cell r="DX64">
            <v>7.1073990168282446</v>
          </cell>
          <cell r="DY64">
            <v>12.587802180599267</v>
          </cell>
        </row>
        <row r="65">
          <cell r="A65">
            <v>39554</v>
          </cell>
          <cell r="DF65">
            <v>1596.9754216300905</v>
          </cell>
          <cell r="DG65">
            <v>21.679348620667902</v>
          </cell>
          <cell r="DH65">
            <v>18.362277992096409</v>
          </cell>
          <cell r="DI65">
            <v>14.300000632844487</v>
          </cell>
          <cell r="DJ65">
            <v>22.424555351348332</v>
          </cell>
          <cell r="DU65">
            <v>-231.67962993236364</v>
          </cell>
          <cell r="DV65">
            <v>11.644336226312735</v>
          </cell>
          <cell r="DW65">
            <v>9.8476005987137558</v>
          </cell>
          <cell r="DX65">
            <v>7.1073990168282446</v>
          </cell>
          <cell r="DY65">
            <v>12.587802180599267</v>
          </cell>
        </row>
        <row r="66">
          <cell r="A66">
            <v>39555</v>
          </cell>
          <cell r="DF66">
            <v>1636.0703505134406</v>
          </cell>
          <cell r="DG66">
            <v>21.679348620667902</v>
          </cell>
          <cell r="DH66">
            <v>18.362277992096409</v>
          </cell>
          <cell r="DI66">
            <v>14.300000632844487</v>
          </cell>
          <cell r="DJ66">
            <v>22.424555351348332</v>
          </cell>
          <cell r="DU66">
            <v>-237.94047850351296</v>
          </cell>
          <cell r="DV66">
            <v>11.644336226312735</v>
          </cell>
          <cell r="DW66">
            <v>9.8476005987137558</v>
          </cell>
          <cell r="DX66">
            <v>7.1073990168282446</v>
          </cell>
          <cell r="DY66">
            <v>12.587802180599267</v>
          </cell>
        </row>
        <row r="67">
          <cell r="A67">
            <v>39556</v>
          </cell>
          <cell r="DF67">
            <v>309.3158375800283</v>
          </cell>
          <cell r="DG67">
            <v>21.679348620667902</v>
          </cell>
          <cell r="DH67">
            <v>18.362277992096409</v>
          </cell>
          <cell r="DI67">
            <v>14.300000632844487</v>
          </cell>
          <cell r="DJ67">
            <v>22.424555351348332</v>
          </cell>
          <cell r="DU67">
            <v>-228.73336372596532</v>
          </cell>
          <cell r="DV67">
            <v>11.644336226312735</v>
          </cell>
          <cell r="DW67">
            <v>9.8476005987137558</v>
          </cell>
          <cell r="DX67">
            <v>7.1073990168282446</v>
          </cell>
          <cell r="DY67">
            <v>12.587802180599267</v>
          </cell>
        </row>
        <row r="68">
          <cell r="A68">
            <v>39559</v>
          </cell>
          <cell r="DF68">
            <v>313.62886659778673</v>
          </cell>
          <cell r="DG68">
            <v>21.679348620667902</v>
          </cell>
          <cell r="DH68">
            <v>18.362277992096409</v>
          </cell>
          <cell r="DI68">
            <v>14.300000632844487</v>
          </cell>
          <cell r="DJ68">
            <v>22.424555351348332</v>
          </cell>
          <cell r="DU68">
            <v>-232.25836286123808</v>
          </cell>
          <cell r="DV68">
            <v>11.644336226312735</v>
          </cell>
          <cell r="DW68">
            <v>9.8476005987137558</v>
          </cell>
          <cell r="DX68">
            <v>7.1073990168282446</v>
          </cell>
          <cell r="DY68">
            <v>12.587802180599267</v>
          </cell>
        </row>
        <row r="69">
          <cell r="A69">
            <v>39560</v>
          </cell>
          <cell r="DF69">
            <v>213.32221156925931</v>
          </cell>
          <cell r="DG69">
            <v>21.679348620667902</v>
          </cell>
          <cell r="DH69">
            <v>18.362277992096409</v>
          </cell>
          <cell r="DI69">
            <v>14.300000632844487</v>
          </cell>
          <cell r="DJ69">
            <v>22.424555351348332</v>
          </cell>
          <cell r="DU69">
            <v>-230.68006872365399</v>
          </cell>
          <cell r="DV69">
            <v>11.644336226312735</v>
          </cell>
          <cell r="DW69">
            <v>9.8476005987137558</v>
          </cell>
          <cell r="DX69">
            <v>7.1073990168282446</v>
          </cell>
          <cell r="DY69">
            <v>12.587802180599267</v>
          </cell>
        </row>
        <row r="70">
          <cell r="A70">
            <v>39561</v>
          </cell>
          <cell r="DF70">
            <v>165.78184540899522</v>
          </cell>
          <cell r="DG70">
            <v>21.679348620667902</v>
          </cell>
          <cell r="DH70">
            <v>18.362277992096409</v>
          </cell>
          <cell r="DI70">
            <v>14.300000632844487</v>
          </cell>
          <cell r="DJ70">
            <v>22.424555351348332</v>
          </cell>
          <cell r="DU70">
            <v>-307.41145675935218</v>
          </cell>
          <cell r="DV70">
            <v>11.644336226312735</v>
          </cell>
          <cell r="DW70">
            <v>9.8476005987137558</v>
          </cell>
          <cell r="DX70">
            <v>7.1073990168282446</v>
          </cell>
          <cell r="DY70">
            <v>12.587802180599267</v>
          </cell>
        </row>
        <row r="71">
          <cell r="A71">
            <v>39562</v>
          </cell>
          <cell r="DF71">
            <v>162.54117567355948</v>
          </cell>
          <cell r="DG71">
            <v>21.679348620667902</v>
          </cell>
          <cell r="DH71">
            <v>18.362277992096409</v>
          </cell>
          <cell r="DI71">
            <v>14.300000632844487</v>
          </cell>
          <cell r="DJ71">
            <v>22.424555351348332</v>
          </cell>
          <cell r="DU71">
            <v>-300.78499168474656</v>
          </cell>
          <cell r="DV71">
            <v>11.644336226312735</v>
          </cell>
          <cell r="DW71">
            <v>9.8476005987137558</v>
          </cell>
          <cell r="DX71">
            <v>7.1073990168282446</v>
          </cell>
          <cell r="DY71">
            <v>12.587802180599267</v>
          </cell>
        </row>
        <row r="72">
          <cell r="A72">
            <v>39563</v>
          </cell>
          <cell r="DF72">
            <v>163.01377728165727</v>
          </cell>
          <cell r="DG72">
            <v>21.679348620667902</v>
          </cell>
          <cell r="DH72">
            <v>18.362277992096409</v>
          </cell>
          <cell r="DI72">
            <v>14.300000632844487</v>
          </cell>
          <cell r="DJ72">
            <v>22.424555351348332</v>
          </cell>
          <cell r="DU72">
            <v>-301.75135922785608</v>
          </cell>
          <cell r="DV72">
            <v>11.644336226312735</v>
          </cell>
          <cell r="DW72">
            <v>9.8476005987137558</v>
          </cell>
          <cell r="DX72">
            <v>7.1073990168282446</v>
          </cell>
          <cell r="DY72">
            <v>12.587802180599267</v>
          </cell>
        </row>
        <row r="73">
          <cell r="A73">
            <v>39566</v>
          </cell>
          <cell r="DF73">
            <v>168.68154656923929</v>
          </cell>
          <cell r="DG73">
            <v>21.679348620667902</v>
          </cell>
          <cell r="DH73">
            <v>18.362277992096409</v>
          </cell>
          <cell r="DI73">
            <v>14.300000632844487</v>
          </cell>
          <cell r="DJ73">
            <v>22.424555351348332</v>
          </cell>
          <cell r="DU73">
            <v>-336.02790218501514</v>
          </cell>
          <cell r="DV73">
            <v>11.644336226312735</v>
          </cell>
          <cell r="DW73">
            <v>9.8476005987137558</v>
          </cell>
          <cell r="DX73">
            <v>7.1073990168282446</v>
          </cell>
          <cell r="DY73">
            <v>12.587802180599267</v>
          </cell>
        </row>
        <row r="74">
          <cell r="A74">
            <v>39567</v>
          </cell>
          <cell r="DF74">
            <v>166.39871238879459</v>
          </cell>
          <cell r="DG74">
            <v>21.679348620667902</v>
          </cell>
          <cell r="DH74">
            <v>18.362277992096409</v>
          </cell>
          <cell r="DI74">
            <v>14.300000632844487</v>
          </cell>
          <cell r="DJ74">
            <v>22.424555351348332</v>
          </cell>
          <cell r="DU74">
            <v>-331.00157880121259</v>
          </cell>
          <cell r="DV74">
            <v>11.644336226312735</v>
          </cell>
          <cell r="DW74">
            <v>9.8476005987137558</v>
          </cell>
          <cell r="DX74">
            <v>7.1073990168282446</v>
          </cell>
          <cell r="DY74">
            <v>12.587802180599267</v>
          </cell>
        </row>
        <row r="75">
          <cell r="A75">
            <v>39568</v>
          </cell>
          <cell r="DF75">
            <v>164.18618501557614</v>
          </cell>
          <cell r="DG75">
            <v>21.679348620667902</v>
          </cell>
          <cell r="DH75">
            <v>18.362277992096409</v>
          </cell>
          <cell r="DI75">
            <v>14.300000632844487</v>
          </cell>
          <cell r="DJ75">
            <v>22.424555351348332</v>
          </cell>
          <cell r="DU75">
            <v>-326.13005630142919</v>
          </cell>
          <cell r="DV75">
            <v>11.644336226312735</v>
          </cell>
          <cell r="DW75">
            <v>9.8476005987137558</v>
          </cell>
          <cell r="DX75">
            <v>7.1073990168282446</v>
          </cell>
          <cell r="DY75">
            <v>12.587802180599267</v>
          </cell>
        </row>
        <row r="76">
          <cell r="A76">
            <v>39569</v>
          </cell>
          <cell r="DF76">
            <v>161.30631718635547</v>
          </cell>
          <cell r="DG76">
            <v>21.679348620667902</v>
          </cell>
          <cell r="DH76">
            <v>18.362277992096409</v>
          </cell>
          <cell r="DI76">
            <v>14.300000632844487</v>
          </cell>
          <cell r="DJ76">
            <v>22.424555351348332</v>
          </cell>
          <cell r="DU76">
            <v>-319.78918969961029</v>
          </cell>
          <cell r="DV76">
            <v>11.644336226312735</v>
          </cell>
          <cell r="DW76">
            <v>9.8476005987137558</v>
          </cell>
          <cell r="DX76">
            <v>7.1073990168282446</v>
          </cell>
          <cell r="DY76">
            <v>12.587802180599267</v>
          </cell>
        </row>
        <row r="77">
          <cell r="A77">
            <v>39570</v>
          </cell>
          <cell r="DF77">
            <v>177.8301397015444</v>
          </cell>
          <cell r="DG77">
            <v>21.679348620667902</v>
          </cell>
          <cell r="DH77">
            <v>18.362277992096409</v>
          </cell>
          <cell r="DI77">
            <v>14.300000632844487</v>
          </cell>
          <cell r="DJ77">
            <v>22.424555351348332</v>
          </cell>
          <cell r="DU77">
            <v>-315.84556004556083</v>
          </cell>
          <cell r="DV77">
            <v>11.644336226312735</v>
          </cell>
          <cell r="DW77">
            <v>9.8476005987137558</v>
          </cell>
          <cell r="DX77">
            <v>7.1073990168282446</v>
          </cell>
          <cell r="DY77">
            <v>12.587802180599267</v>
          </cell>
        </row>
        <row r="78">
          <cell r="A78">
            <v>39573</v>
          </cell>
          <cell r="DF78">
            <v>177.51691277178594</v>
          </cell>
          <cell r="DG78">
            <v>21.679348620667902</v>
          </cell>
          <cell r="DH78">
            <v>18.362277992096409</v>
          </cell>
          <cell r="DI78">
            <v>14.300000632844487</v>
          </cell>
          <cell r="DJ78">
            <v>22.424555351348332</v>
          </cell>
          <cell r="DU78">
            <v>-315.22692872914678</v>
          </cell>
          <cell r="DV78">
            <v>11.644336226312735</v>
          </cell>
          <cell r="DW78">
            <v>9.8476005987137558</v>
          </cell>
          <cell r="DX78">
            <v>7.1073990168282446</v>
          </cell>
          <cell r="DY78">
            <v>12.587802180599267</v>
          </cell>
        </row>
        <row r="79">
          <cell r="A79">
            <v>39574</v>
          </cell>
          <cell r="DF79">
            <v>177.4777212319884</v>
          </cell>
          <cell r="DG79">
            <v>21.679348620667902</v>
          </cell>
          <cell r="DH79">
            <v>18.362277992096409</v>
          </cell>
          <cell r="DI79">
            <v>14.300000632844487</v>
          </cell>
          <cell r="DJ79">
            <v>22.424555351348332</v>
          </cell>
          <cell r="DU79">
            <v>-315.14952442078823</v>
          </cell>
          <cell r="DV79">
            <v>11.644336226312735</v>
          </cell>
          <cell r="DW79">
            <v>9.8476005987137558</v>
          </cell>
          <cell r="DX79">
            <v>7.1073990168282446</v>
          </cell>
          <cell r="DY79">
            <v>12.587802180599267</v>
          </cell>
        </row>
        <row r="80">
          <cell r="A80">
            <v>39575</v>
          </cell>
          <cell r="DF80">
            <v>178.26081596305576</v>
          </cell>
          <cell r="DG80">
            <v>21.679348620667902</v>
          </cell>
          <cell r="DH80">
            <v>18.362277992096409</v>
          </cell>
          <cell r="DI80">
            <v>14.300000632844487</v>
          </cell>
          <cell r="DJ80">
            <v>22.424555351348332</v>
          </cell>
          <cell r="DU80">
            <v>-316.69615684071027</v>
          </cell>
          <cell r="DV80">
            <v>11.644336226312735</v>
          </cell>
          <cell r="DW80">
            <v>9.8476005987137558</v>
          </cell>
          <cell r="DX80">
            <v>7.1073990168282446</v>
          </cell>
          <cell r="DY80">
            <v>12.587802180599267</v>
          </cell>
        </row>
        <row r="81">
          <cell r="A81">
            <v>39576</v>
          </cell>
          <cell r="DF81">
            <v>182.52841444504307</v>
          </cell>
          <cell r="DG81">
            <v>21.679348620667902</v>
          </cell>
          <cell r="DH81">
            <v>18.362277992096409</v>
          </cell>
          <cell r="DI81">
            <v>14.300000632844487</v>
          </cell>
          <cell r="DJ81">
            <v>22.424555351348332</v>
          </cell>
          <cell r="DU81">
            <v>-325.12477461273278</v>
          </cell>
          <cell r="DV81">
            <v>11.644336226312735</v>
          </cell>
          <cell r="DW81">
            <v>9.8476005987137558</v>
          </cell>
          <cell r="DX81">
            <v>7.1073990168282446</v>
          </cell>
          <cell r="DY81">
            <v>12.587802180599267</v>
          </cell>
        </row>
        <row r="82">
          <cell r="A82">
            <v>39577</v>
          </cell>
          <cell r="DF82">
            <v>190.94615424678727</v>
          </cell>
          <cell r="DG82">
            <v>21.679348620667902</v>
          </cell>
          <cell r="DH82">
            <v>18.362277992096409</v>
          </cell>
          <cell r="DI82">
            <v>14.300000632844487</v>
          </cell>
          <cell r="DJ82">
            <v>22.424555351348332</v>
          </cell>
          <cell r="DU82">
            <v>-341.75002921264621</v>
          </cell>
          <cell r="DV82">
            <v>11.644336226312735</v>
          </cell>
          <cell r="DW82">
            <v>9.8476005987137558</v>
          </cell>
          <cell r="DX82">
            <v>7.1073990168282446</v>
          </cell>
          <cell r="DY82">
            <v>12.587802180599267</v>
          </cell>
        </row>
        <row r="83">
          <cell r="A83">
            <v>39580</v>
          </cell>
          <cell r="DF83">
            <v>197.21055972383957</v>
          </cell>
          <cell r="DG83">
            <v>21.679348620667902</v>
          </cell>
          <cell r="DH83">
            <v>18.362277992096409</v>
          </cell>
          <cell r="DI83">
            <v>14.300000632844487</v>
          </cell>
          <cell r="DJ83">
            <v>22.424555351348332</v>
          </cell>
          <cell r="DU83">
            <v>-354.12239262919019</v>
          </cell>
          <cell r="DV83">
            <v>11.644336226312735</v>
          </cell>
          <cell r="DW83">
            <v>9.8476005987137558</v>
          </cell>
          <cell r="DX83">
            <v>7.1073990168282446</v>
          </cell>
          <cell r="DY83">
            <v>12.587802180599267</v>
          </cell>
        </row>
        <row r="84">
          <cell r="A84">
            <v>39581</v>
          </cell>
          <cell r="DF84">
            <v>152.12196830546353</v>
          </cell>
          <cell r="DG84">
            <v>21.679348620667902</v>
          </cell>
          <cell r="DH84">
            <v>18.362277992096409</v>
          </cell>
          <cell r="DI84">
            <v>14.300000632844487</v>
          </cell>
          <cell r="DJ84">
            <v>22.424555351348332</v>
          </cell>
          <cell r="DU84">
            <v>370.34199792423556</v>
          </cell>
          <cell r="DV84">
            <v>11.644336226312735</v>
          </cell>
          <cell r="DW84">
            <v>9.8476005987137558</v>
          </cell>
          <cell r="DX84">
            <v>7.1073990168282446</v>
          </cell>
          <cell r="DY84">
            <v>12.587802180599267</v>
          </cell>
        </row>
        <row r="85">
          <cell r="A85">
            <v>39582</v>
          </cell>
          <cell r="DF85">
            <v>145.73542635805893</v>
          </cell>
          <cell r="DG85">
            <v>21.679348620667902</v>
          </cell>
          <cell r="DH85">
            <v>18.362277992096409</v>
          </cell>
          <cell r="DI85">
            <v>14.300000632844487</v>
          </cell>
          <cell r="DJ85">
            <v>22.424555351348332</v>
          </cell>
          <cell r="DU85">
            <v>353.22884442957553</v>
          </cell>
          <cell r="DV85">
            <v>11.644336226312735</v>
          </cell>
          <cell r="DW85">
            <v>9.8476005987137558</v>
          </cell>
          <cell r="DX85">
            <v>7.1073990168282446</v>
          </cell>
          <cell r="DY85">
            <v>12.587802180599267</v>
          </cell>
        </row>
        <row r="86">
          <cell r="A86">
            <v>39583</v>
          </cell>
          <cell r="DF86">
            <v>143.05913448517671</v>
          </cell>
          <cell r="DG86">
            <v>21.679348620667902</v>
          </cell>
          <cell r="DH86">
            <v>18.362277992096409</v>
          </cell>
          <cell r="DI86">
            <v>14.300000632844487</v>
          </cell>
          <cell r="DJ86">
            <v>22.424555351348332</v>
          </cell>
          <cell r="DU86">
            <v>346.05754672350525</v>
          </cell>
          <cell r="DV86">
            <v>11.644336226312735</v>
          </cell>
          <cell r="DW86">
            <v>9.8476005987137558</v>
          </cell>
          <cell r="DX86">
            <v>7.1073990168282446</v>
          </cell>
          <cell r="DY86">
            <v>12.587802180599267</v>
          </cell>
        </row>
        <row r="87">
          <cell r="A87">
            <v>39584</v>
          </cell>
          <cell r="DF87">
            <v>145.46167974973073</v>
          </cell>
          <cell r="DG87">
            <v>21.679348620667902</v>
          </cell>
          <cell r="DH87">
            <v>18.362277992096409</v>
          </cell>
          <cell r="DI87">
            <v>14.300000632844487</v>
          </cell>
          <cell r="DJ87">
            <v>22.424555351348332</v>
          </cell>
          <cell r="DU87">
            <v>352.4953226324053</v>
          </cell>
          <cell r="DV87">
            <v>11.644336226312735</v>
          </cell>
          <cell r="DW87">
            <v>9.8476005987137558</v>
          </cell>
          <cell r="DX87">
            <v>7.1073990168282446</v>
          </cell>
          <cell r="DY87">
            <v>12.587802180599267</v>
          </cell>
        </row>
        <row r="88">
          <cell r="A88">
            <v>39587</v>
          </cell>
          <cell r="DF88">
            <v>130.23352166971054</v>
          </cell>
          <cell r="DG88">
            <v>21.679348620667902</v>
          </cell>
          <cell r="DH88">
            <v>18.362277992096409</v>
          </cell>
          <cell r="DI88">
            <v>14.300000632844487</v>
          </cell>
          <cell r="DJ88">
            <v>22.424555351348332</v>
          </cell>
          <cell r="DU88">
            <v>351.43601389119129</v>
          </cell>
          <cell r="DV88">
            <v>11.644336226312735</v>
          </cell>
          <cell r="DW88">
            <v>9.8476005987137558</v>
          </cell>
          <cell r="DX88">
            <v>7.1073990168282446</v>
          </cell>
          <cell r="DY88">
            <v>12.587802180599267</v>
          </cell>
        </row>
        <row r="89">
          <cell r="A89">
            <v>39588</v>
          </cell>
          <cell r="DF89">
            <v>130.8614711651779</v>
          </cell>
          <cell r="DG89">
            <v>21.679348620667902</v>
          </cell>
          <cell r="DH89">
            <v>18.362277992096409</v>
          </cell>
          <cell r="DI89">
            <v>14.300000632844487</v>
          </cell>
          <cell r="DJ89">
            <v>22.424555351348332</v>
          </cell>
          <cell r="DU89">
            <v>353.31028709100872</v>
          </cell>
          <cell r="DV89">
            <v>11.644336226312735</v>
          </cell>
          <cell r="DW89">
            <v>9.8476005987137558</v>
          </cell>
          <cell r="DX89">
            <v>7.1073990168282446</v>
          </cell>
          <cell r="DY89">
            <v>12.587802180599267</v>
          </cell>
        </row>
        <row r="90">
          <cell r="A90">
            <v>39589</v>
          </cell>
          <cell r="DF90">
            <v>124.28152991435211</v>
          </cell>
          <cell r="DG90">
            <v>21.679348620667902</v>
          </cell>
          <cell r="DH90">
            <v>18.362277992096409</v>
          </cell>
          <cell r="DI90">
            <v>14.300000632844487</v>
          </cell>
          <cell r="DJ90">
            <v>22.424555351348332</v>
          </cell>
          <cell r="DU90">
            <v>333.67079755910544</v>
          </cell>
          <cell r="DV90">
            <v>11.644336226312735</v>
          </cell>
          <cell r="DW90">
            <v>9.8476005987137558</v>
          </cell>
          <cell r="DX90">
            <v>7.1073990168282446</v>
          </cell>
          <cell r="DY90">
            <v>12.587802180599267</v>
          </cell>
        </row>
        <row r="91">
          <cell r="A91">
            <v>39590</v>
          </cell>
          <cell r="DF91">
            <v>65.157019931423505</v>
          </cell>
          <cell r="DG91">
            <v>21.679348620667902</v>
          </cell>
          <cell r="DH91">
            <v>18.362277992096409</v>
          </cell>
          <cell r="DI91">
            <v>14.300000632844487</v>
          </cell>
          <cell r="DJ91">
            <v>22.424555351348332</v>
          </cell>
          <cell r="DU91">
            <v>100.92474100132229</v>
          </cell>
          <cell r="DV91">
            <v>11.644336226312735</v>
          </cell>
          <cell r="DW91">
            <v>9.8476005987137558</v>
          </cell>
          <cell r="DX91">
            <v>7.1073990168282446</v>
          </cell>
          <cell r="DY91">
            <v>12.587802180599267</v>
          </cell>
        </row>
        <row r="92">
          <cell r="A92">
            <v>39591</v>
          </cell>
          <cell r="DF92">
            <v>45.961322929795976</v>
          </cell>
          <cell r="DG92">
            <v>21.679348620667902</v>
          </cell>
          <cell r="DH92">
            <v>18.362277992096409</v>
          </cell>
          <cell r="DI92">
            <v>14.300000632844487</v>
          </cell>
          <cell r="DJ92">
            <v>22.424555351348332</v>
          </cell>
          <cell r="DU92">
            <v>104.28778202724801</v>
          </cell>
          <cell r="DV92">
            <v>11.644336226312735</v>
          </cell>
          <cell r="DW92">
            <v>9.8476005987137558</v>
          </cell>
          <cell r="DX92">
            <v>7.1073990168282446</v>
          </cell>
          <cell r="DY92">
            <v>12.587802180599267</v>
          </cell>
        </row>
        <row r="93">
          <cell r="A93">
            <v>39594</v>
          </cell>
          <cell r="DF93">
            <v>45.900555894542954</v>
          </cell>
          <cell r="DG93">
            <v>21.679348620667902</v>
          </cell>
          <cell r="DH93">
            <v>18.362277992096409</v>
          </cell>
          <cell r="DI93">
            <v>14.300000632844487</v>
          </cell>
          <cell r="DJ93">
            <v>22.424555351348332</v>
          </cell>
          <cell r="DU93">
            <v>104.1368609593857</v>
          </cell>
          <cell r="DV93">
            <v>11.644336226312735</v>
          </cell>
          <cell r="DW93">
            <v>9.8476005987137558</v>
          </cell>
          <cell r="DX93">
            <v>7.1073990168282446</v>
          </cell>
          <cell r="DY93">
            <v>12.587802180599267</v>
          </cell>
        </row>
        <row r="94">
          <cell r="A94">
            <v>39595</v>
          </cell>
          <cell r="DF94">
            <v>45.900555894542954</v>
          </cell>
          <cell r="DG94">
            <v>21.679348620667902</v>
          </cell>
          <cell r="DH94">
            <v>18.362277992096409</v>
          </cell>
          <cell r="DI94">
            <v>14.300000632844487</v>
          </cell>
          <cell r="DJ94">
            <v>22.424555351348332</v>
          </cell>
          <cell r="DU94">
            <v>104.1368609593857</v>
          </cell>
          <cell r="DV94">
            <v>11.644336226312735</v>
          </cell>
          <cell r="DW94">
            <v>9.8476005987137558</v>
          </cell>
          <cell r="DX94">
            <v>7.1073990168282446</v>
          </cell>
          <cell r="DY94">
            <v>12.587802180599267</v>
          </cell>
        </row>
        <row r="95">
          <cell r="A95">
            <v>39596</v>
          </cell>
          <cell r="DF95">
            <v>44.902345345044189</v>
          </cell>
          <cell r="DG95">
            <v>21.679348620667902</v>
          </cell>
          <cell r="DH95">
            <v>18.362277992096409</v>
          </cell>
          <cell r="DI95">
            <v>14.300000632844487</v>
          </cell>
          <cell r="DJ95">
            <v>22.424555351348332</v>
          </cell>
          <cell r="DU95">
            <v>101.65770426769436</v>
          </cell>
          <cell r="DV95">
            <v>11.644336226312735</v>
          </cell>
          <cell r="DW95">
            <v>9.8476005987137558</v>
          </cell>
          <cell r="DX95">
            <v>7.1073990168282446</v>
          </cell>
          <cell r="DY95">
            <v>12.587802180599267</v>
          </cell>
        </row>
        <row r="96">
          <cell r="A96">
            <v>39597</v>
          </cell>
          <cell r="DF96">
            <v>46.412680506812293</v>
          </cell>
          <cell r="DG96">
            <v>21.679348620667902</v>
          </cell>
          <cell r="DH96">
            <v>18.362277992096409</v>
          </cell>
          <cell r="DI96">
            <v>14.300000632844487</v>
          </cell>
          <cell r="DJ96">
            <v>22.424555351348332</v>
          </cell>
          <cell r="DU96">
            <v>105.4087741445598</v>
          </cell>
          <cell r="DV96">
            <v>11.644336226312735</v>
          </cell>
          <cell r="DW96">
            <v>9.8476005987137558</v>
          </cell>
          <cell r="DX96">
            <v>7.1073990168282446</v>
          </cell>
          <cell r="DY96">
            <v>12.587802180599267</v>
          </cell>
        </row>
        <row r="97">
          <cell r="A97">
            <v>39598</v>
          </cell>
          <cell r="DF97">
            <v>46.230405441464313</v>
          </cell>
          <cell r="DG97">
            <v>21.679348620667902</v>
          </cell>
          <cell r="DH97">
            <v>18.362277992096409</v>
          </cell>
          <cell r="DI97">
            <v>14.300000632844487</v>
          </cell>
          <cell r="DJ97">
            <v>22.424555351348332</v>
          </cell>
          <cell r="DU97">
            <v>104.95607561496317</v>
          </cell>
          <cell r="DV97">
            <v>11.644336226312735</v>
          </cell>
          <cell r="DW97">
            <v>9.8476005987137558</v>
          </cell>
          <cell r="DX97">
            <v>7.1073990168282446</v>
          </cell>
          <cell r="DY97">
            <v>12.587802180599267</v>
          </cell>
        </row>
        <row r="98">
          <cell r="A98">
            <v>39601</v>
          </cell>
          <cell r="DF98">
            <v>50.3013914410176</v>
          </cell>
          <cell r="DG98">
            <v>21.679348620667902</v>
          </cell>
          <cell r="DH98">
            <v>18.362277992096409</v>
          </cell>
          <cell r="DI98">
            <v>14.300000632844487</v>
          </cell>
          <cell r="DJ98">
            <v>22.424555351348332</v>
          </cell>
          <cell r="DU98">
            <v>115.0667804032888</v>
          </cell>
          <cell r="DV98">
            <v>11.644336226312735</v>
          </cell>
          <cell r="DW98">
            <v>9.8476005987137558</v>
          </cell>
          <cell r="DX98">
            <v>7.1073990168282446</v>
          </cell>
          <cell r="DY98">
            <v>12.587802180599267</v>
          </cell>
        </row>
        <row r="99">
          <cell r="A99">
            <v>39602</v>
          </cell>
          <cell r="DF99">
            <v>50.093063812410449</v>
          </cell>
          <cell r="DG99">
            <v>21.679348620667902</v>
          </cell>
          <cell r="DH99">
            <v>18.362277992096409</v>
          </cell>
          <cell r="DI99">
            <v>14.300000632844487</v>
          </cell>
          <cell r="DJ99">
            <v>22.424555351348332</v>
          </cell>
          <cell r="DU99">
            <v>114.54937770224045</v>
          </cell>
          <cell r="DV99">
            <v>11.644336226312735</v>
          </cell>
          <cell r="DW99">
            <v>9.8476005987137558</v>
          </cell>
          <cell r="DX99">
            <v>7.1073990168282446</v>
          </cell>
          <cell r="DY99">
            <v>12.587802180599267</v>
          </cell>
        </row>
        <row r="100">
          <cell r="A100">
            <v>39603</v>
          </cell>
          <cell r="DF100">
            <v>50.188546187671029</v>
          </cell>
          <cell r="DG100">
            <v>21.679348620667902</v>
          </cell>
          <cell r="DH100">
            <v>18.362277992096409</v>
          </cell>
          <cell r="DI100">
            <v>14.300000632844487</v>
          </cell>
          <cell r="DJ100">
            <v>22.424555351348332</v>
          </cell>
          <cell r="DU100">
            <v>114.78651782231302</v>
          </cell>
          <cell r="DV100">
            <v>11.644336226312735</v>
          </cell>
          <cell r="DW100">
            <v>9.8476005987137558</v>
          </cell>
          <cell r="DX100">
            <v>7.1073990168282446</v>
          </cell>
          <cell r="DY100">
            <v>12.587802180599267</v>
          </cell>
        </row>
        <row r="101">
          <cell r="A101">
            <v>39604</v>
          </cell>
          <cell r="DF101">
            <v>51.256198701363047</v>
          </cell>
          <cell r="DG101">
            <v>21.679348620667902</v>
          </cell>
          <cell r="DH101">
            <v>18.362277992096409</v>
          </cell>
          <cell r="DI101">
            <v>14.300000632844487</v>
          </cell>
          <cell r="DJ101">
            <v>22.424555351348332</v>
          </cell>
          <cell r="DU101">
            <v>117.43814064382069</v>
          </cell>
          <cell r="DV101">
            <v>11.644336226312735</v>
          </cell>
          <cell r="DW101">
            <v>9.8476005987137558</v>
          </cell>
          <cell r="DX101">
            <v>7.1073990168282446</v>
          </cell>
          <cell r="DY101">
            <v>12.587802180599267</v>
          </cell>
        </row>
        <row r="102">
          <cell r="A102">
            <v>39605</v>
          </cell>
          <cell r="DF102">
            <v>44.232332023222874</v>
          </cell>
          <cell r="DG102">
            <v>21.679348620667902</v>
          </cell>
          <cell r="DH102">
            <v>18.362277992096409</v>
          </cell>
          <cell r="DI102">
            <v>14.300000632844487</v>
          </cell>
          <cell r="DJ102">
            <v>22.424555351348332</v>
          </cell>
          <cell r="DU102">
            <v>117.43814064382069</v>
          </cell>
          <cell r="DV102">
            <v>11.644336226312735</v>
          </cell>
          <cell r="DW102">
            <v>9.8476005987137558</v>
          </cell>
          <cell r="DX102">
            <v>7.1073990168282446</v>
          </cell>
          <cell r="DY102">
            <v>12.587802180599267</v>
          </cell>
        </row>
        <row r="103">
          <cell r="A103">
            <v>39608</v>
          </cell>
          <cell r="DF103">
            <v>45.168664390115623</v>
          </cell>
          <cell r="DG103">
            <v>21.679348620667902</v>
          </cell>
          <cell r="DH103">
            <v>18.362277992096409</v>
          </cell>
          <cell r="DI103">
            <v>14.300000632844487</v>
          </cell>
          <cell r="DJ103">
            <v>22.424555351348332</v>
          </cell>
          <cell r="DU103">
            <v>120.13289023783088</v>
          </cell>
          <cell r="DV103">
            <v>11.644336226312735</v>
          </cell>
          <cell r="DW103">
            <v>9.8476005987137558</v>
          </cell>
          <cell r="DX103">
            <v>7.1073990168282446</v>
          </cell>
          <cell r="DY103">
            <v>12.587802180599267</v>
          </cell>
        </row>
        <row r="104">
          <cell r="A104">
            <v>39609</v>
          </cell>
          <cell r="DF104">
            <v>45.078780228223394</v>
          </cell>
          <cell r="DG104">
            <v>21.679348620667902</v>
          </cell>
          <cell r="DH104">
            <v>18.362277992096409</v>
          </cell>
          <cell r="DI104">
            <v>14.300000632844487</v>
          </cell>
          <cell r="DJ104">
            <v>22.424555351348332</v>
          </cell>
          <cell r="DU104">
            <v>119.87420505580428</v>
          </cell>
          <cell r="DV104">
            <v>11.644336226312735</v>
          </cell>
          <cell r="DW104">
            <v>9.8476005987137558</v>
          </cell>
          <cell r="DX104">
            <v>7.1073990168282446</v>
          </cell>
          <cell r="DY104">
            <v>12.587802180599267</v>
          </cell>
        </row>
        <row r="105">
          <cell r="A105">
            <v>39610</v>
          </cell>
          <cell r="DF105">
            <v>46.007626430576352</v>
          </cell>
          <cell r="DG105">
            <v>21.679348620667902</v>
          </cell>
          <cell r="DH105">
            <v>18.362277992096409</v>
          </cell>
          <cell r="DI105">
            <v>14.300000632844487</v>
          </cell>
          <cell r="DJ105">
            <v>22.424555351348332</v>
          </cell>
          <cell r="DU105">
            <v>122.54740958786043</v>
          </cell>
          <cell r="DV105">
            <v>11.644336226312735</v>
          </cell>
          <cell r="DW105">
            <v>9.8476005987137558</v>
          </cell>
          <cell r="DX105">
            <v>7.1073990168282446</v>
          </cell>
          <cell r="DY105">
            <v>12.587802180599267</v>
          </cell>
        </row>
        <row r="106">
          <cell r="A106">
            <v>39611</v>
          </cell>
          <cell r="DF106">
            <v>46.726722946756951</v>
          </cell>
          <cell r="DG106">
            <v>21.679348620667902</v>
          </cell>
          <cell r="DH106">
            <v>18.362277992096409</v>
          </cell>
          <cell r="DI106">
            <v>14.300000632844487</v>
          </cell>
          <cell r="DJ106">
            <v>22.424555351348332</v>
          </cell>
          <cell r="DU106">
            <v>124.6169578738632</v>
          </cell>
          <cell r="DV106">
            <v>11.644336226312735</v>
          </cell>
          <cell r="DW106">
            <v>9.8476005987137558</v>
          </cell>
          <cell r="DX106">
            <v>7.1073990168282446</v>
          </cell>
          <cell r="DY106">
            <v>12.587802180599267</v>
          </cell>
        </row>
        <row r="107">
          <cell r="A107">
            <v>39612</v>
          </cell>
          <cell r="DF107">
            <v>45.595637941945867</v>
          </cell>
          <cell r="DG107">
            <v>21.679348620667902</v>
          </cell>
          <cell r="DH107">
            <v>18.362277992096409</v>
          </cell>
          <cell r="DI107">
            <v>14.300000632844487</v>
          </cell>
          <cell r="DJ107">
            <v>22.424555351348332</v>
          </cell>
          <cell r="DU107">
            <v>121.36171329909692</v>
          </cell>
          <cell r="DV107">
            <v>11.644336226312735</v>
          </cell>
          <cell r="DW107">
            <v>9.8476005987137558</v>
          </cell>
          <cell r="DX107">
            <v>7.1073990168282446</v>
          </cell>
          <cell r="DY107">
            <v>12.587802180599267</v>
          </cell>
        </row>
        <row r="108">
          <cell r="A108">
            <v>39615</v>
          </cell>
          <cell r="DF108">
            <v>45.011367294070681</v>
          </cell>
          <cell r="DG108">
            <v>21.679348620667902</v>
          </cell>
          <cell r="DH108">
            <v>18.362277992096409</v>
          </cell>
          <cell r="DI108">
            <v>14.300000632844487</v>
          </cell>
          <cell r="DJ108">
            <v>22.424555351348332</v>
          </cell>
          <cell r="DU108">
            <v>119.68019170823422</v>
          </cell>
          <cell r="DV108">
            <v>11.644336226312735</v>
          </cell>
          <cell r="DW108">
            <v>9.8476005987137558</v>
          </cell>
          <cell r="DX108">
            <v>7.1073990168282446</v>
          </cell>
          <cell r="DY108">
            <v>12.587802180599267</v>
          </cell>
        </row>
        <row r="109">
          <cell r="A109">
            <v>39616</v>
          </cell>
          <cell r="DF109">
            <v>47.940217184908889</v>
          </cell>
          <cell r="DG109">
            <v>21.679348620667902</v>
          </cell>
          <cell r="DH109">
            <v>18.362277992096409</v>
          </cell>
          <cell r="DI109">
            <v>14.300000632844487</v>
          </cell>
          <cell r="DJ109">
            <v>22.424555351348332</v>
          </cell>
          <cell r="DU109">
            <v>128.10937490569717</v>
          </cell>
          <cell r="DV109">
            <v>11.644336226312735</v>
          </cell>
          <cell r="DW109">
            <v>9.8476005987137558</v>
          </cell>
          <cell r="DX109">
            <v>7.1073990168282446</v>
          </cell>
          <cell r="DY109">
            <v>12.587802180599267</v>
          </cell>
        </row>
        <row r="110">
          <cell r="A110">
            <v>39617</v>
          </cell>
          <cell r="DF110">
            <v>47.348449136505522</v>
          </cell>
          <cell r="DG110">
            <v>21.679348620667902</v>
          </cell>
          <cell r="DH110">
            <v>18.362277992096409</v>
          </cell>
          <cell r="DI110">
            <v>14.300000632844487</v>
          </cell>
          <cell r="DJ110">
            <v>22.424555351348332</v>
          </cell>
          <cell r="DU110">
            <v>126.4062759158853</v>
          </cell>
          <cell r="DV110">
            <v>11.644336226312735</v>
          </cell>
          <cell r="DW110">
            <v>9.8476005987137558</v>
          </cell>
          <cell r="DX110">
            <v>7.1073990168282446</v>
          </cell>
          <cell r="DY110">
            <v>12.587802180599267</v>
          </cell>
        </row>
        <row r="111">
          <cell r="A111">
            <v>39618</v>
          </cell>
          <cell r="DF111">
            <v>46.824105258243264</v>
          </cell>
          <cell r="DG111">
            <v>21.679348620667902</v>
          </cell>
          <cell r="DH111">
            <v>18.362277992096409</v>
          </cell>
          <cell r="DI111">
            <v>14.300000632844487</v>
          </cell>
          <cell r="DJ111">
            <v>22.424555351348332</v>
          </cell>
          <cell r="DU111">
            <v>124.89722261063862</v>
          </cell>
          <cell r="DV111">
            <v>11.644336226312735</v>
          </cell>
          <cell r="DW111">
            <v>9.8476005987137558</v>
          </cell>
          <cell r="DX111">
            <v>7.1073990168282446</v>
          </cell>
          <cell r="DY111">
            <v>12.587802180599267</v>
          </cell>
        </row>
        <row r="112">
          <cell r="A112">
            <v>39619</v>
          </cell>
          <cell r="DF112">
            <v>48.175766648708169</v>
          </cell>
          <cell r="DG112">
            <v>21.679348620667902</v>
          </cell>
          <cell r="DH112">
            <v>18.362277992096409</v>
          </cell>
          <cell r="DI112">
            <v>14.300000632844487</v>
          </cell>
          <cell r="DJ112">
            <v>22.424555351348332</v>
          </cell>
          <cell r="DU112">
            <v>127.87223694142428</v>
          </cell>
          <cell r="DV112">
            <v>11.644336226312735</v>
          </cell>
          <cell r="DW112">
            <v>9.8476005987137558</v>
          </cell>
          <cell r="DX112">
            <v>7.1073990168282446</v>
          </cell>
          <cell r="DY112">
            <v>12.587802180599267</v>
          </cell>
        </row>
        <row r="113">
          <cell r="A113">
            <v>39622</v>
          </cell>
          <cell r="DF113">
            <v>50.143817219268946</v>
          </cell>
          <cell r="DG113">
            <v>21.679348620667902</v>
          </cell>
          <cell r="DH113">
            <v>18.362277992096409</v>
          </cell>
          <cell r="DI113">
            <v>14.300000632844487</v>
          </cell>
          <cell r="DJ113">
            <v>22.424555351348332</v>
          </cell>
          <cell r="DU113">
            <v>133.49887409371755</v>
          </cell>
          <cell r="DV113">
            <v>11.644336226312735</v>
          </cell>
          <cell r="DW113">
            <v>9.8476005987137558</v>
          </cell>
          <cell r="DX113">
            <v>7.1073990168282446</v>
          </cell>
          <cell r="DY113">
            <v>12.587802180599267</v>
          </cell>
        </row>
        <row r="114">
          <cell r="A114">
            <v>39623</v>
          </cell>
          <cell r="DF114">
            <v>49.183649683745386</v>
          </cell>
          <cell r="DG114">
            <v>21.679348620667902</v>
          </cell>
          <cell r="DH114">
            <v>18.362277992096409</v>
          </cell>
          <cell r="DI114">
            <v>14.300000632844487</v>
          </cell>
          <cell r="DJ114">
            <v>22.424555351348332</v>
          </cell>
          <cell r="DU114">
            <v>99.364855805264511</v>
          </cell>
          <cell r="DV114">
            <v>11.644336226312735</v>
          </cell>
          <cell r="DW114">
            <v>9.8476005987137558</v>
          </cell>
          <cell r="DX114">
            <v>7.1073990168282446</v>
          </cell>
          <cell r="DY114">
            <v>12.587802180599267</v>
          </cell>
        </row>
        <row r="115">
          <cell r="A115">
            <v>39624</v>
          </cell>
          <cell r="DF115">
            <v>49.257938543841973</v>
          </cell>
          <cell r="DG115">
            <v>21.679348620667902</v>
          </cell>
          <cell r="DH115">
            <v>18.362277992096409</v>
          </cell>
          <cell r="DI115">
            <v>14.300000632844487</v>
          </cell>
          <cell r="DJ115">
            <v>22.424555351348332</v>
          </cell>
          <cell r="DU115">
            <v>99.526081258388118</v>
          </cell>
          <cell r="DV115">
            <v>11.644336226312735</v>
          </cell>
          <cell r="DW115">
            <v>9.8476005987137558</v>
          </cell>
          <cell r="DX115">
            <v>7.1073990168282446</v>
          </cell>
          <cell r="DY115">
            <v>12.587802180599267</v>
          </cell>
        </row>
        <row r="116">
          <cell r="A116">
            <v>39625</v>
          </cell>
          <cell r="DF116">
            <v>49.443677410581444</v>
          </cell>
          <cell r="DG116">
            <v>21.679348620667902</v>
          </cell>
          <cell r="DH116">
            <v>18.362277992096409</v>
          </cell>
          <cell r="DI116">
            <v>14.300000632844487</v>
          </cell>
          <cell r="DJ116">
            <v>22.424555351348332</v>
          </cell>
          <cell r="DU116">
            <v>99.929181170189125</v>
          </cell>
          <cell r="DV116">
            <v>11.644336226312735</v>
          </cell>
          <cell r="DW116">
            <v>9.8476005987137558</v>
          </cell>
          <cell r="DX116">
            <v>7.1073990168282446</v>
          </cell>
          <cell r="DY116">
            <v>12.587802180599267</v>
          </cell>
        </row>
        <row r="117">
          <cell r="A117">
            <v>39626</v>
          </cell>
          <cell r="DF117">
            <v>48.856747792372985</v>
          </cell>
          <cell r="DG117">
            <v>21.679348620667902</v>
          </cell>
          <cell r="DH117">
            <v>18.362277992096409</v>
          </cell>
          <cell r="DI117">
            <v>14.300000632844487</v>
          </cell>
          <cell r="DJ117">
            <v>22.424555351348332</v>
          </cell>
          <cell r="DU117">
            <v>98.655396735695447</v>
          </cell>
          <cell r="DV117">
            <v>11.644336226312735</v>
          </cell>
          <cell r="DW117">
            <v>9.8476005987137558</v>
          </cell>
          <cell r="DX117">
            <v>7.1073990168282446</v>
          </cell>
          <cell r="DY117">
            <v>12.587802180599267</v>
          </cell>
        </row>
        <row r="118">
          <cell r="A118">
            <v>39629</v>
          </cell>
          <cell r="DF118">
            <v>48.165793264458422</v>
          </cell>
          <cell r="DG118">
            <v>21.679348620667902</v>
          </cell>
          <cell r="DH118">
            <v>18.362277992096409</v>
          </cell>
          <cell r="DI118">
            <v>14.300000632844487</v>
          </cell>
          <cell r="DJ118">
            <v>22.424555351348332</v>
          </cell>
          <cell r="DU118">
            <v>97.1558521645985</v>
          </cell>
          <cell r="DV118">
            <v>11.644336226312735</v>
          </cell>
          <cell r="DW118">
            <v>9.8476005987137558</v>
          </cell>
          <cell r="DX118">
            <v>7.1073990168282446</v>
          </cell>
          <cell r="DY118">
            <v>12.587802180599267</v>
          </cell>
        </row>
        <row r="119">
          <cell r="A119">
            <v>39630</v>
          </cell>
          <cell r="DF119">
            <v>49.198500620574407</v>
          </cell>
          <cell r="DG119">
            <v>21.679348620667902</v>
          </cell>
          <cell r="DH119">
            <v>18.362277992096409</v>
          </cell>
          <cell r="DI119">
            <v>14.300000632844487</v>
          </cell>
          <cell r="DJ119">
            <v>22.424555351348332</v>
          </cell>
          <cell r="DU119">
            <v>99.397086061812502</v>
          </cell>
          <cell r="DV119">
            <v>11.644336226312735</v>
          </cell>
          <cell r="DW119">
            <v>9.8476005987137558</v>
          </cell>
          <cell r="DX119">
            <v>7.1073990168282446</v>
          </cell>
          <cell r="DY119">
            <v>12.587802180599267</v>
          </cell>
        </row>
        <row r="120">
          <cell r="A120">
            <v>39631</v>
          </cell>
          <cell r="DF120">
            <v>50.751286461981984</v>
          </cell>
          <cell r="DG120">
            <v>21.679348620667902</v>
          </cell>
          <cell r="DH120">
            <v>18.362277992096409</v>
          </cell>
          <cell r="DI120">
            <v>14.300000632844487</v>
          </cell>
          <cell r="DJ120">
            <v>22.424555351348332</v>
          </cell>
          <cell r="DU120">
            <v>102.76702067326477</v>
          </cell>
          <cell r="DV120">
            <v>11.644336226312735</v>
          </cell>
          <cell r="DW120">
            <v>9.8476005987137558</v>
          </cell>
          <cell r="DX120">
            <v>7.1073990168282446</v>
          </cell>
          <cell r="DY120">
            <v>12.587802180599267</v>
          </cell>
        </row>
        <row r="121">
          <cell r="A121">
            <v>39632</v>
          </cell>
          <cell r="DF121">
            <v>51.862073698477275</v>
          </cell>
          <cell r="DG121">
            <v>21.679348620667902</v>
          </cell>
          <cell r="DH121">
            <v>18.362277992096409</v>
          </cell>
          <cell r="DI121">
            <v>14.300000632844487</v>
          </cell>
          <cell r="DJ121">
            <v>22.424555351348332</v>
          </cell>
          <cell r="DU121">
            <v>102.21878544441964</v>
          </cell>
          <cell r="DV121">
            <v>11.644336226312735</v>
          </cell>
          <cell r="DW121">
            <v>9.8476005987137558</v>
          </cell>
          <cell r="DX121">
            <v>7.1073990168282446</v>
          </cell>
          <cell r="DY121">
            <v>12.587802180599267</v>
          </cell>
        </row>
        <row r="122">
          <cell r="A122">
            <v>39633</v>
          </cell>
          <cell r="DF122">
            <v>51.411898292617899</v>
          </cell>
          <cell r="DG122">
            <v>21.679348620667902</v>
          </cell>
          <cell r="DH122">
            <v>18.362277992096409</v>
          </cell>
          <cell r="DI122">
            <v>14.300000632844487</v>
          </cell>
          <cell r="DJ122">
            <v>22.424555351348332</v>
          </cell>
          <cell r="DU122">
            <v>101.26747610216782</v>
          </cell>
          <cell r="DV122">
            <v>11.644336226312735</v>
          </cell>
          <cell r="DW122">
            <v>9.8476005987137558</v>
          </cell>
          <cell r="DX122">
            <v>7.1073990168282446</v>
          </cell>
          <cell r="DY122">
            <v>12.587802180599267</v>
          </cell>
        </row>
        <row r="123">
          <cell r="A123">
            <v>39636</v>
          </cell>
          <cell r="DF123">
            <v>50.290266456488986</v>
          </cell>
          <cell r="DG123">
            <v>21.679348620667902</v>
          </cell>
          <cell r="DH123">
            <v>18.362277992096409</v>
          </cell>
          <cell r="DI123">
            <v>14.300000632844487</v>
          </cell>
          <cell r="DJ123">
            <v>22.424555351348332</v>
          </cell>
          <cell r="DU123">
            <v>98.897247008378173</v>
          </cell>
          <cell r="DV123">
            <v>11.644336226312735</v>
          </cell>
          <cell r="DW123">
            <v>9.8476005987137558</v>
          </cell>
          <cell r="DX123">
            <v>7.1073990168282446</v>
          </cell>
          <cell r="DY123">
            <v>12.587802180599267</v>
          </cell>
        </row>
        <row r="124">
          <cell r="A124">
            <v>39637</v>
          </cell>
          <cell r="DF124">
            <v>49.977438972111329</v>
          </cell>
          <cell r="DG124">
            <v>21.679348620667902</v>
          </cell>
          <cell r="DH124">
            <v>18.362277992096409</v>
          </cell>
          <cell r="DI124">
            <v>14.300000632844487</v>
          </cell>
          <cell r="DJ124">
            <v>22.424555351348332</v>
          </cell>
          <cell r="DU124">
            <v>60.635996588644495</v>
          </cell>
          <cell r="DV124">
            <v>11.644336226312735</v>
          </cell>
          <cell r="DW124">
            <v>9.8476005987137558</v>
          </cell>
          <cell r="DX124">
            <v>7.1073990168282446</v>
          </cell>
          <cell r="DY124">
            <v>12.587802180599267</v>
          </cell>
        </row>
        <row r="125">
          <cell r="A125">
            <v>39638</v>
          </cell>
          <cell r="DF125">
            <v>49.939285966295721</v>
          </cell>
          <cell r="DG125">
            <v>21.679348620667902</v>
          </cell>
          <cell r="DH125">
            <v>18.362277992096409</v>
          </cell>
          <cell r="DI125">
            <v>14.300000632844487</v>
          </cell>
          <cell r="DJ125">
            <v>22.424555351348332</v>
          </cell>
          <cell r="DU125">
            <v>60.586231153552383</v>
          </cell>
          <cell r="DV125">
            <v>11.644336226312735</v>
          </cell>
          <cell r="DW125">
            <v>9.8476005987137558</v>
          </cell>
          <cell r="DX125">
            <v>7.1073990168282446</v>
          </cell>
          <cell r="DY125">
            <v>12.587802180599267</v>
          </cell>
        </row>
        <row r="126">
          <cell r="A126">
            <v>39639</v>
          </cell>
          <cell r="DF126">
            <v>47.727797346557118</v>
          </cell>
          <cell r="DG126">
            <v>21.679348620667902</v>
          </cell>
          <cell r="DH126">
            <v>18.362277992096409</v>
          </cell>
          <cell r="DI126">
            <v>14.300000632844487</v>
          </cell>
          <cell r="DJ126">
            <v>22.424555351348332</v>
          </cell>
          <cell r="DU126">
            <v>54.774046101996397</v>
          </cell>
          <cell r="DV126">
            <v>11.644336226312735</v>
          </cell>
          <cell r="DW126">
            <v>9.8476005987137558</v>
          </cell>
          <cell r="DX126">
            <v>7.1073990168282446</v>
          </cell>
          <cell r="DY126">
            <v>12.587802180599267</v>
          </cell>
        </row>
        <row r="127">
          <cell r="A127">
            <v>39640</v>
          </cell>
          <cell r="DF127">
            <v>50.098894660141973</v>
          </cell>
          <cell r="DG127">
            <v>21.679348620667902</v>
          </cell>
          <cell r="DH127">
            <v>18.362277992096409</v>
          </cell>
          <cell r="DI127">
            <v>14.300000632844487</v>
          </cell>
          <cell r="DJ127">
            <v>22.424555351348332</v>
          </cell>
          <cell r="DU127">
            <v>57.859323932889055</v>
          </cell>
          <cell r="DV127">
            <v>11.644336226312735</v>
          </cell>
          <cell r="DW127">
            <v>9.8476005987137558</v>
          </cell>
          <cell r="DX127">
            <v>7.1073990168282446</v>
          </cell>
          <cell r="DY127">
            <v>12.587802180599267</v>
          </cell>
        </row>
        <row r="128">
          <cell r="A128">
            <v>39643</v>
          </cell>
          <cell r="DF128">
            <v>55.590929589655254</v>
          </cell>
          <cell r="DG128">
            <v>21.679348620667902</v>
          </cell>
          <cell r="DH128">
            <v>18.362277992096409</v>
          </cell>
          <cell r="DI128">
            <v>14.300000632844487</v>
          </cell>
          <cell r="DJ128">
            <v>22.424555351348332</v>
          </cell>
          <cell r="DU128">
            <v>55.981610268467186</v>
          </cell>
          <cell r="DV128">
            <v>11.644336226312735</v>
          </cell>
          <cell r="DW128">
            <v>9.8476005987137558</v>
          </cell>
          <cell r="DX128">
            <v>7.1073990168282446</v>
          </cell>
          <cell r="DY128">
            <v>12.587802180599267</v>
          </cell>
        </row>
        <row r="129">
          <cell r="A129">
            <v>39644</v>
          </cell>
          <cell r="DF129">
            <v>46.487814717010217</v>
          </cell>
          <cell r="DG129">
            <v>21.679348620667902</v>
          </cell>
          <cell r="DH129">
            <v>18.362277992096409</v>
          </cell>
          <cell r="DI129">
            <v>14.300000632844487</v>
          </cell>
          <cell r="DJ129">
            <v>22.424555351348332</v>
          </cell>
          <cell r="DU129">
            <v>44.864095488075662</v>
          </cell>
          <cell r="DV129">
            <v>11.644336226312735</v>
          </cell>
          <cell r="DW129">
            <v>9.8476005987137558</v>
          </cell>
          <cell r="DX129">
            <v>7.1073990168282446</v>
          </cell>
          <cell r="DY129">
            <v>12.587802180599267</v>
          </cell>
        </row>
        <row r="130">
          <cell r="A130">
            <v>39645</v>
          </cell>
          <cell r="DF130">
            <v>45.245917896447736</v>
          </cell>
          <cell r="DG130">
            <v>21.679348620667902</v>
          </cell>
          <cell r="DH130">
            <v>18.362277992096409</v>
          </cell>
          <cell r="DI130">
            <v>14.300000632844487</v>
          </cell>
          <cell r="DJ130">
            <v>22.424555351348332</v>
          </cell>
          <cell r="DU130">
            <v>47.065779727920372</v>
          </cell>
          <cell r="DV130">
            <v>11.644336226312735</v>
          </cell>
          <cell r="DW130">
            <v>9.8476005987137558</v>
          </cell>
          <cell r="DX130">
            <v>7.1073990168282446</v>
          </cell>
          <cell r="DY130">
            <v>12.587802180599267</v>
          </cell>
        </row>
        <row r="131">
          <cell r="A131">
            <v>39646</v>
          </cell>
          <cell r="DF131">
            <v>45.148629770698442</v>
          </cell>
          <cell r="DG131">
            <v>21.679348620667902</v>
          </cell>
          <cell r="DH131">
            <v>18.362277992096409</v>
          </cell>
          <cell r="DI131">
            <v>14.300000632844487</v>
          </cell>
          <cell r="DJ131">
            <v>22.424555351348332</v>
          </cell>
          <cell r="DU131">
            <v>46.951994638971229</v>
          </cell>
          <cell r="DV131">
            <v>11.644336226312735</v>
          </cell>
          <cell r="DW131">
            <v>9.8476005987137558</v>
          </cell>
          <cell r="DX131">
            <v>7.1073990168282446</v>
          </cell>
          <cell r="DY131">
            <v>12.587802180599267</v>
          </cell>
        </row>
        <row r="132">
          <cell r="A132">
            <v>39647</v>
          </cell>
          <cell r="DF132">
            <v>46.559317322875756</v>
          </cell>
          <cell r="DG132">
            <v>21.679348620667902</v>
          </cell>
          <cell r="DH132">
            <v>18.362277992096409</v>
          </cell>
          <cell r="DI132">
            <v>14.300000632844487</v>
          </cell>
          <cell r="DJ132">
            <v>22.424555351348332</v>
          </cell>
          <cell r="DU132">
            <v>48.601889807242628</v>
          </cell>
          <cell r="DV132">
            <v>11.644336226312735</v>
          </cell>
          <cell r="DW132">
            <v>9.8476005987137558</v>
          </cell>
          <cell r="DX132">
            <v>7.1073990168282446</v>
          </cell>
          <cell r="DY132">
            <v>12.587802180599267</v>
          </cell>
        </row>
        <row r="133">
          <cell r="A133">
            <v>39650</v>
          </cell>
          <cell r="DF133">
            <v>46.870218261812255</v>
          </cell>
          <cell r="DG133">
            <v>21.679348620667902</v>
          </cell>
          <cell r="DH133">
            <v>18.362277992096409</v>
          </cell>
          <cell r="DI133">
            <v>14.300000632844487</v>
          </cell>
          <cell r="DJ133">
            <v>22.424555351348332</v>
          </cell>
          <cell r="DU133">
            <v>48.992006861208559</v>
          </cell>
          <cell r="DV133">
            <v>11.644336226312735</v>
          </cell>
          <cell r="DW133">
            <v>9.8476005987137558</v>
          </cell>
          <cell r="DX133">
            <v>7.1073990168282446</v>
          </cell>
          <cell r="DY133">
            <v>12.587802180599267</v>
          </cell>
        </row>
        <row r="134">
          <cell r="A134">
            <v>39651</v>
          </cell>
          <cell r="DF134">
            <v>47.370316157768308</v>
          </cell>
          <cell r="DG134">
            <v>21.679348620667902</v>
          </cell>
          <cell r="DH134">
            <v>18.362277992096409</v>
          </cell>
          <cell r="DI134">
            <v>14.300000632844487</v>
          </cell>
          <cell r="DJ134">
            <v>22.424555351348332</v>
          </cell>
          <cell r="DU134">
            <v>49.577188131411901</v>
          </cell>
          <cell r="DV134">
            <v>11.644336226312735</v>
          </cell>
          <cell r="DW134">
            <v>9.8476005987137558</v>
          </cell>
          <cell r="DX134">
            <v>7.1073990168282446</v>
          </cell>
          <cell r="DY134">
            <v>12.587802180599267</v>
          </cell>
        </row>
        <row r="135">
          <cell r="A135">
            <v>39652</v>
          </cell>
          <cell r="DF135">
            <v>44.596574419606014</v>
          </cell>
          <cell r="DG135">
            <v>21.679348620667902</v>
          </cell>
          <cell r="DH135">
            <v>18.362277992096409</v>
          </cell>
          <cell r="DI135">
            <v>14.300000632844487</v>
          </cell>
          <cell r="DJ135">
            <v>22.424555351348332</v>
          </cell>
          <cell r="DU135">
            <v>46.904192560127427</v>
          </cell>
          <cell r="DV135">
            <v>11.644336226312735</v>
          </cell>
          <cell r="DW135">
            <v>9.8476005987137558</v>
          </cell>
          <cell r="DX135">
            <v>7.1073990168282446</v>
          </cell>
          <cell r="DY135">
            <v>12.587802180599267</v>
          </cell>
        </row>
        <row r="136">
          <cell r="A136">
            <v>39653</v>
          </cell>
          <cell r="DF136">
            <v>44.688121643849222</v>
          </cell>
          <cell r="DG136">
            <v>21.679348620667902</v>
          </cell>
          <cell r="DH136">
            <v>18.362277992096409</v>
          </cell>
          <cell r="DI136">
            <v>14.300000632844487</v>
          </cell>
          <cell r="DJ136">
            <v>22.424555351348332</v>
          </cell>
          <cell r="DU136">
            <v>47.01184283082037</v>
          </cell>
          <cell r="DV136">
            <v>11.644336226312735</v>
          </cell>
          <cell r="DW136">
            <v>9.8476005987137558</v>
          </cell>
          <cell r="DX136">
            <v>7.1073990168282446</v>
          </cell>
          <cell r="DY136">
            <v>12.587802180599267</v>
          </cell>
        </row>
        <row r="137">
          <cell r="A137">
            <v>39654</v>
          </cell>
          <cell r="DF137">
            <v>43.347606755704639</v>
          </cell>
          <cell r="DG137">
            <v>21.679348620667902</v>
          </cell>
          <cell r="DH137">
            <v>18.362277992096409</v>
          </cell>
          <cell r="DI137">
            <v>14.300000632844487</v>
          </cell>
          <cell r="DJ137">
            <v>22.424555351348332</v>
          </cell>
          <cell r="DU137">
            <v>45.435532988882152</v>
          </cell>
          <cell r="DV137">
            <v>11.644336226312735</v>
          </cell>
          <cell r="DW137">
            <v>9.8476005987137558</v>
          </cell>
          <cell r="DX137">
            <v>7.1073990168282446</v>
          </cell>
          <cell r="DY137">
            <v>12.587802180599267</v>
          </cell>
        </row>
        <row r="138">
          <cell r="A138">
            <v>39657</v>
          </cell>
          <cell r="DF138">
            <v>42.046324430509493</v>
          </cell>
          <cell r="DG138">
            <v>21.679348620667902</v>
          </cell>
          <cell r="DH138">
            <v>18.362277992096409</v>
          </cell>
          <cell r="DI138">
            <v>14.300000632844487</v>
          </cell>
          <cell r="DJ138">
            <v>22.424555351348332</v>
          </cell>
          <cell r="DU138">
            <v>43.905356670449393</v>
          </cell>
          <cell r="DV138">
            <v>11.644336226312735</v>
          </cell>
          <cell r="DW138">
            <v>9.8476005987137558</v>
          </cell>
          <cell r="DX138">
            <v>7.1073990168282446</v>
          </cell>
          <cell r="DY138">
            <v>12.587802180599267</v>
          </cell>
        </row>
        <row r="139">
          <cell r="A139">
            <v>39658</v>
          </cell>
          <cell r="DF139">
            <v>41.634369114411264</v>
          </cell>
          <cell r="DG139">
            <v>21.679348620667902</v>
          </cell>
          <cell r="DH139">
            <v>18.362277992096409</v>
          </cell>
          <cell r="DI139">
            <v>14.300000632844487</v>
          </cell>
          <cell r="DJ139">
            <v>22.424555351348332</v>
          </cell>
          <cell r="DU139">
            <v>43.42093891056669</v>
          </cell>
          <cell r="DV139">
            <v>11.644336226312735</v>
          </cell>
          <cell r="DW139">
            <v>9.8476005987137558</v>
          </cell>
          <cell r="DX139">
            <v>7.1073990168282446</v>
          </cell>
          <cell r="DY139">
            <v>12.587802180599267</v>
          </cell>
        </row>
        <row r="140">
          <cell r="A140">
            <v>39659</v>
          </cell>
          <cell r="DF140">
            <v>42.111719228421393</v>
          </cell>
          <cell r="DG140">
            <v>21.679348620667902</v>
          </cell>
          <cell r="DH140">
            <v>18.362277992096409</v>
          </cell>
          <cell r="DI140">
            <v>14.300000632844487</v>
          </cell>
          <cell r="DJ140">
            <v>22.424555351348332</v>
          </cell>
          <cell r="DU140">
            <v>43.98225433452739</v>
          </cell>
          <cell r="DV140">
            <v>11.644336226312735</v>
          </cell>
          <cell r="DW140">
            <v>9.8476005987137558</v>
          </cell>
          <cell r="DX140">
            <v>7.1073990168282446</v>
          </cell>
          <cell r="DY140">
            <v>12.587802180599267</v>
          </cell>
        </row>
        <row r="141">
          <cell r="A141">
            <v>39660</v>
          </cell>
          <cell r="DF141">
            <v>41.340101678530139</v>
          </cell>
          <cell r="DG141">
            <v>21.679348620667902</v>
          </cell>
          <cell r="DH141">
            <v>18.362277992096409</v>
          </cell>
          <cell r="DI141">
            <v>14.300000632844487</v>
          </cell>
          <cell r="DJ141">
            <v>22.424555351348332</v>
          </cell>
          <cell r="DU141">
            <v>43.074910187242786</v>
          </cell>
          <cell r="DV141">
            <v>11.644336226312735</v>
          </cell>
          <cell r="DW141">
            <v>9.8476005987137558</v>
          </cell>
          <cell r="DX141">
            <v>7.1073990168282446</v>
          </cell>
          <cell r="DY141">
            <v>12.587802180599267</v>
          </cell>
        </row>
        <row r="142">
          <cell r="A142">
            <v>39661</v>
          </cell>
          <cell r="DF142">
            <v>42.425592810191688</v>
          </cell>
          <cell r="DG142">
            <v>21.679348620667902</v>
          </cell>
          <cell r="DH142">
            <v>18.362277992096409</v>
          </cell>
          <cell r="DI142">
            <v>14.300000632844487</v>
          </cell>
          <cell r="DJ142">
            <v>22.424555351348332</v>
          </cell>
          <cell r="DU142">
            <v>44.351337901181182</v>
          </cell>
          <cell r="DV142">
            <v>11.644336226312735</v>
          </cell>
          <cell r="DW142">
            <v>9.8476005987137558</v>
          </cell>
          <cell r="DX142">
            <v>7.1073990168282446</v>
          </cell>
          <cell r="DY142">
            <v>12.587802180599267</v>
          </cell>
        </row>
        <row r="143">
          <cell r="A143">
            <v>39664</v>
          </cell>
          <cell r="DF143">
            <v>43.223362132505493</v>
          </cell>
          <cell r="DG143">
            <v>21.679348620667902</v>
          </cell>
          <cell r="DH143">
            <v>18.362277992096409</v>
          </cell>
          <cell r="DI143">
            <v>14.300000632844487</v>
          </cell>
          <cell r="DJ143">
            <v>22.424555351348332</v>
          </cell>
          <cell r="DU143">
            <v>45.289433886150213</v>
          </cell>
          <cell r="DV143">
            <v>11.644336226312735</v>
          </cell>
          <cell r="DW143">
            <v>9.8476005987137558</v>
          </cell>
          <cell r="DX143">
            <v>7.1073990168282446</v>
          </cell>
          <cell r="DY143">
            <v>12.587802180599267</v>
          </cell>
        </row>
        <row r="144">
          <cell r="A144">
            <v>39665</v>
          </cell>
          <cell r="DF144">
            <v>42.693698011110321</v>
          </cell>
          <cell r="DG144">
            <v>21.679348620667902</v>
          </cell>
          <cell r="DH144">
            <v>18.362277992096409</v>
          </cell>
          <cell r="DI144">
            <v>14.300000632844487</v>
          </cell>
          <cell r="DJ144">
            <v>22.424555351348332</v>
          </cell>
          <cell r="DU144">
            <v>44.666602483932536</v>
          </cell>
          <cell r="DV144">
            <v>11.644336226312735</v>
          </cell>
          <cell r="DW144">
            <v>9.8476005987137558</v>
          </cell>
          <cell r="DX144">
            <v>7.1073990168282446</v>
          </cell>
          <cell r="DY144">
            <v>12.587802180599267</v>
          </cell>
        </row>
        <row r="145">
          <cell r="A145">
            <v>39666</v>
          </cell>
          <cell r="DF145">
            <v>42.046324430509493</v>
          </cell>
          <cell r="DG145">
            <v>21.679348620667902</v>
          </cell>
          <cell r="DH145">
            <v>18.362277992096409</v>
          </cell>
          <cell r="DI145">
            <v>14.300000632844487</v>
          </cell>
          <cell r="DJ145">
            <v>22.424555351348332</v>
          </cell>
          <cell r="DU145">
            <v>43.905356670449393</v>
          </cell>
          <cell r="DV145">
            <v>11.644336226312735</v>
          </cell>
          <cell r="DW145">
            <v>9.8476005987137558</v>
          </cell>
          <cell r="DX145">
            <v>7.1073990168282446</v>
          </cell>
          <cell r="DY145">
            <v>12.587802180599267</v>
          </cell>
        </row>
        <row r="146">
          <cell r="A146">
            <v>39667</v>
          </cell>
          <cell r="DF146">
            <v>43.236443576941099</v>
          </cell>
          <cell r="DG146">
            <v>21.679348620667902</v>
          </cell>
          <cell r="DH146">
            <v>18.362277992096409</v>
          </cell>
          <cell r="DI146">
            <v>14.300000632844487</v>
          </cell>
          <cell r="DJ146">
            <v>22.424555351348332</v>
          </cell>
          <cell r="DU146">
            <v>45.304816340901738</v>
          </cell>
          <cell r="DV146">
            <v>11.644336226312735</v>
          </cell>
          <cell r="DW146">
            <v>9.8476005987137558</v>
          </cell>
          <cell r="DX146">
            <v>7.1073990168282446</v>
          </cell>
          <cell r="DY146">
            <v>12.587802180599267</v>
          </cell>
        </row>
        <row r="147">
          <cell r="A147">
            <v>39668</v>
          </cell>
          <cell r="DF147">
            <v>41.804381464553316</v>
          </cell>
          <cell r="DG147">
            <v>21.679348620667902</v>
          </cell>
          <cell r="DH147">
            <v>18.362277992096409</v>
          </cell>
          <cell r="DI147">
            <v>14.300000632844487</v>
          </cell>
          <cell r="DJ147">
            <v>22.424555351348332</v>
          </cell>
          <cell r="DU147">
            <v>43.620856228270561</v>
          </cell>
          <cell r="DV147">
            <v>11.644336226312735</v>
          </cell>
          <cell r="DW147">
            <v>9.8476005987137558</v>
          </cell>
          <cell r="DX147">
            <v>7.1073990168282446</v>
          </cell>
          <cell r="DY147">
            <v>12.587802180599267</v>
          </cell>
        </row>
        <row r="148">
          <cell r="A148">
            <v>39671</v>
          </cell>
          <cell r="DF148">
            <v>40.91042962972282</v>
          </cell>
          <cell r="DG148">
            <v>21.679348620667902</v>
          </cell>
          <cell r="DH148">
            <v>18.362277992096409</v>
          </cell>
          <cell r="DI148">
            <v>14.300000632844487</v>
          </cell>
          <cell r="DJ148">
            <v>22.424555351348332</v>
          </cell>
          <cell r="DU148">
            <v>42.705827389519499</v>
          </cell>
          <cell r="DV148">
            <v>11.644336226312735</v>
          </cell>
          <cell r="DW148">
            <v>9.8476005987137558</v>
          </cell>
          <cell r="DX148">
            <v>7.1073990168282446</v>
          </cell>
          <cell r="DY148">
            <v>12.587802180599267</v>
          </cell>
        </row>
        <row r="149">
          <cell r="A149">
            <v>39672</v>
          </cell>
          <cell r="DF149">
            <v>42.475386808393779</v>
          </cell>
          <cell r="DG149">
            <v>21.679348620667902</v>
          </cell>
          <cell r="DH149">
            <v>18.362277992096409</v>
          </cell>
          <cell r="DI149">
            <v>14.300000632844487</v>
          </cell>
          <cell r="DJ149">
            <v>22.424555351348332</v>
          </cell>
          <cell r="DU149">
            <v>44.551267521773127</v>
          </cell>
          <cell r="DV149">
            <v>11.644336226312735</v>
          </cell>
          <cell r="DW149">
            <v>9.8476005987137558</v>
          </cell>
          <cell r="DX149">
            <v>7.1073990168282446</v>
          </cell>
          <cell r="DY149">
            <v>12.587802180599267</v>
          </cell>
        </row>
        <row r="150">
          <cell r="A150">
            <v>39673</v>
          </cell>
          <cell r="DF150">
            <v>41.099533129531359</v>
          </cell>
          <cell r="DG150">
            <v>21.679348620667902</v>
          </cell>
          <cell r="DH150">
            <v>18.362277992096409</v>
          </cell>
          <cell r="DI150">
            <v>14.300000632844487</v>
          </cell>
          <cell r="DJ150">
            <v>22.424555351348332</v>
          </cell>
          <cell r="DU150">
            <v>42.928823387398928</v>
          </cell>
          <cell r="DV150">
            <v>11.644336226312735</v>
          </cell>
          <cell r="DW150">
            <v>9.8476005987137558</v>
          </cell>
          <cell r="DX150">
            <v>7.1073990168282446</v>
          </cell>
          <cell r="DY150">
            <v>12.587802180599267</v>
          </cell>
        </row>
        <row r="151">
          <cell r="A151">
            <v>39674</v>
          </cell>
          <cell r="DF151">
            <v>40.871307151096325</v>
          </cell>
          <cell r="DG151">
            <v>21.679348620667902</v>
          </cell>
          <cell r="DH151">
            <v>18.362277992096409</v>
          </cell>
          <cell r="DI151">
            <v>14.300000632844487</v>
          </cell>
          <cell r="DJ151">
            <v>22.424555351348332</v>
          </cell>
          <cell r="DU151">
            <v>42.659693097083547</v>
          </cell>
          <cell r="DV151">
            <v>11.644336226312735</v>
          </cell>
          <cell r="DW151">
            <v>9.8476005987137558</v>
          </cell>
          <cell r="DX151">
            <v>7.1073990168282446</v>
          </cell>
          <cell r="DY151">
            <v>12.587802180599267</v>
          </cell>
        </row>
        <row r="152">
          <cell r="A152">
            <v>39675</v>
          </cell>
          <cell r="DF152">
            <v>42.918785115148459</v>
          </cell>
          <cell r="DG152">
            <v>21.679348620667902</v>
          </cell>
          <cell r="DH152">
            <v>18.362277992096409</v>
          </cell>
          <cell r="DI152">
            <v>14.300000632844487</v>
          </cell>
          <cell r="DJ152">
            <v>22.424555351348332</v>
          </cell>
          <cell r="DU152">
            <v>45.07413488262533</v>
          </cell>
          <cell r="DV152">
            <v>11.644336226312735</v>
          </cell>
          <cell r="DW152">
            <v>9.8476005987137558</v>
          </cell>
          <cell r="DX152">
            <v>7.1073990168282446</v>
          </cell>
          <cell r="DY152">
            <v>12.587802180599267</v>
          </cell>
        </row>
        <row r="153">
          <cell r="A153">
            <v>39678</v>
          </cell>
          <cell r="DF153">
            <v>44.49677638204345</v>
          </cell>
          <cell r="DG153">
            <v>21.679348620667902</v>
          </cell>
          <cell r="DH153">
            <v>18.362277992096409</v>
          </cell>
          <cell r="DI153">
            <v>14.300000632844487</v>
          </cell>
          <cell r="DJ153">
            <v>22.424555351348332</v>
          </cell>
          <cell r="DU153">
            <v>46.934945166742388</v>
          </cell>
          <cell r="DV153">
            <v>11.644336226312735</v>
          </cell>
          <cell r="DW153">
            <v>9.8476005987137558</v>
          </cell>
          <cell r="DX153">
            <v>7.1073990168282446</v>
          </cell>
          <cell r="DY153">
            <v>12.587802180599267</v>
          </cell>
        </row>
        <row r="154">
          <cell r="A154">
            <v>39679</v>
          </cell>
          <cell r="DF154">
            <v>44.555459447920143</v>
          </cell>
          <cell r="DG154">
            <v>21.679348620667902</v>
          </cell>
          <cell r="DH154">
            <v>18.362277992096409</v>
          </cell>
          <cell r="DI154">
            <v>14.300000632844487</v>
          </cell>
          <cell r="DJ154">
            <v>22.424555351348332</v>
          </cell>
          <cell r="DU154">
            <v>47.004145836465838</v>
          </cell>
          <cell r="DV154">
            <v>11.644336226312735</v>
          </cell>
          <cell r="DW154">
            <v>9.8476005987137558</v>
          </cell>
          <cell r="DX154">
            <v>7.1073990168282446</v>
          </cell>
          <cell r="DY154">
            <v>12.587802180599267</v>
          </cell>
        </row>
        <row r="155">
          <cell r="A155">
            <v>39680</v>
          </cell>
          <cell r="DF155">
            <v>42.234116960789031</v>
          </cell>
          <cell r="DG155">
            <v>21.679348620667902</v>
          </cell>
          <cell r="DH155">
            <v>18.362277992096409</v>
          </cell>
          <cell r="DI155">
            <v>14.300000632844487</v>
          </cell>
          <cell r="DJ155">
            <v>22.424555351348332</v>
          </cell>
          <cell r="DU155">
            <v>44.266755545636734</v>
          </cell>
          <cell r="DV155">
            <v>11.644336226312735</v>
          </cell>
          <cell r="DW155">
            <v>9.8476005987137558</v>
          </cell>
          <cell r="DX155">
            <v>7.1073990168282446</v>
          </cell>
          <cell r="DY155">
            <v>12.587802180599267</v>
          </cell>
        </row>
        <row r="156">
          <cell r="A156">
            <v>39681</v>
          </cell>
          <cell r="DF156">
            <v>42.305843895835437</v>
          </cell>
          <cell r="DG156">
            <v>21.679348620667902</v>
          </cell>
          <cell r="DH156">
            <v>18.362277992096409</v>
          </cell>
          <cell r="DI156">
            <v>14.300000632844487</v>
          </cell>
          <cell r="DJ156">
            <v>22.424555351348332</v>
          </cell>
          <cell r="DU156">
            <v>44.351337901181182</v>
          </cell>
          <cell r="DV156">
            <v>11.644336226312735</v>
          </cell>
          <cell r="DW156">
            <v>9.8476005987137558</v>
          </cell>
          <cell r="DX156">
            <v>7.1073990168282446</v>
          </cell>
          <cell r="DY156">
            <v>12.587802180599267</v>
          </cell>
        </row>
        <row r="157">
          <cell r="A157">
            <v>39682</v>
          </cell>
          <cell r="DF157">
            <v>40.549611888871119</v>
          </cell>
          <cell r="DG157">
            <v>21.679348620667902</v>
          </cell>
          <cell r="DH157">
            <v>18.362277992096409</v>
          </cell>
          <cell r="DI157">
            <v>14.300000632844487</v>
          </cell>
          <cell r="DJ157">
            <v>22.424555351348332</v>
          </cell>
          <cell r="DU157">
            <v>42.768248962572073</v>
          </cell>
          <cell r="DV157">
            <v>11.644336226312735</v>
          </cell>
          <cell r="DW157">
            <v>9.8476005987137558</v>
          </cell>
          <cell r="DX157">
            <v>7.1073990168282446</v>
          </cell>
          <cell r="DY157">
            <v>12.587802180599267</v>
          </cell>
        </row>
        <row r="158">
          <cell r="A158">
            <v>39685</v>
          </cell>
          <cell r="DF158">
            <v>39.890423109045379</v>
          </cell>
          <cell r="DG158">
            <v>21.679348620667902</v>
          </cell>
          <cell r="DH158">
            <v>18.362277992096409</v>
          </cell>
          <cell r="DI158">
            <v>14.300000632844487</v>
          </cell>
          <cell r="DJ158">
            <v>22.424555351348332</v>
          </cell>
          <cell r="DU158">
            <v>41.987588658153719</v>
          </cell>
          <cell r="DV158">
            <v>11.644336226312735</v>
          </cell>
          <cell r="DW158">
            <v>9.8476005987137558</v>
          </cell>
          <cell r="DX158">
            <v>7.1073990168282446</v>
          </cell>
          <cell r="DY158">
            <v>12.587802180599267</v>
          </cell>
        </row>
        <row r="159">
          <cell r="A159">
            <v>39686</v>
          </cell>
          <cell r="DF159">
            <v>38.011412913619012</v>
          </cell>
          <cell r="DG159">
            <v>21.679348620667902</v>
          </cell>
          <cell r="DH159">
            <v>18.362277992096409</v>
          </cell>
          <cell r="DI159">
            <v>14.300000632844487</v>
          </cell>
          <cell r="DJ159">
            <v>22.424555351348332</v>
          </cell>
          <cell r="DU159">
            <v>39.762325249461405</v>
          </cell>
          <cell r="DV159">
            <v>11.644336226312735</v>
          </cell>
          <cell r="DW159">
            <v>9.8476005987137558</v>
          </cell>
          <cell r="DX159">
            <v>7.1073990168282446</v>
          </cell>
          <cell r="DY159">
            <v>12.587802180599267</v>
          </cell>
        </row>
        <row r="160">
          <cell r="A160">
            <v>39687</v>
          </cell>
          <cell r="DF160">
            <v>36.625259214849095</v>
          </cell>
          <cell r="DG160">
            <v>21.679348620667902</v>
          </cell>
          <cell r="DH160">
            <v>18.362277992096409</v>
          </cell>
          <cell r="DI160">
            <v>14.300000632844487</v>
          </cell>
          <cell r="DJ160">
            <v>22.424555351348332</v>
          </cell>
          <cell r="DU160">
            <v>35.085623707772768</v>
          </cell>
          <cell r="DV160">
            <v>11.644336226312735</v>
          </cell>
          <cell r="DW160">
            <v>9.8476005987137558</v>
          </cell>
          <cell r="DX160">
            <v>7.1073990168282446</v>
          </cell>
          <cell r="DY160">
            <v>12.587802180599267</v>
          </cell>
        </row>
        <row r="161">
          <cell r="A161">
            <v>39688</v>
          </cell>
          <cell r="DF161">
            <v>36.532843423649638</v>
          </cell>
          <cell r="DG161">
            <v>21.679348620667902</v>
          </cell>
          <cell r="DH161">
            <v>18.362277992096409</v>
          </cell>
          <cell r="DI161">
            <v>14.300000632844487</v>
          </cell>
          <cell r="DJ161">
            <v>22.424555351348332</v>
          </cell>
          <cell r="DU161">
            <v>34.984891961020189</v>
          </cell>
          <cell r="DV161">
            <v>11.644336226312735</v>
          </cell>
          <cell r="DW161">
            <v>9.8476005987137558</v>
          </cell>
          <cell r="DX161">
            <v>7.1073990168282446</v>
          </cell>
          <cell r="DY161">
            <v>12.587802180599267</v>
          </cell>
        </row>
        <row r="162">
          <cell r="A162">
            <v>39689</v>
          </cell>
          <cell r="DF162">
            <v>37.506232586478021</v>
          </cell>
          <cell r="DG162">
            <v>21.679348620667902</v>
          </cell>
          <cell r="DH162">
            <v>18.362277992096409</v>
          </cell>
          <cell r="DI162">
            <v>14.300000632844487</v>
          </cell>
          <cell r="DJ162">
            <v>22.424555351348332</v>
          </cell>
          <cell r="DU162">
            <v>36.045870711179028</v>
          </cell>
          <cell r="DV162">
            <v>11.644336226312735</v>
          </cell>
          <cell r="DW162">
            <v>9.8476005987137558</v>
          </cell>
          <cell r="DX162">
            <v>7.1073990168282446</v>
          </cell>
          <cell r="DY162">
            <v>12.587802180599267</v>
          </cell>
        </row>
        <row r="163">
          <cell r="A163">
            <v>39692</v>
          </cell>
          <cell r="DF163">
            <v>35.577944935094528</v>
          </cell>
          <cell r="DG163">
            <v>21.679348620667902</v>
          </cell>
          <cell r="DH163">
            <v>18.362277992096409</v>
          </cell>
          <cell r="DI163">
            <v>14.300000632844487</v>
          </cell>
          <cell r="DJ163">
            <v>22.424555351348332</v>
          </cell>
          <cell r="DU163">
            <v>33.944067752569055</v>
          </cell>
          <cell r="DV163">
            <v>11.644336226312735</v>
          </cell>
          <cell r="DW163">
            <v>9.8476005987137558</v>
          </cell>
          <cell r="DX163">
            <v>7.1073990168282446</v>
          </cell>
          <cell r="DY163">
            <v>12.587802180599267</v>
          </cell>
        </row>
        <row r="164">
          <cell r="A164">
            <v>39693</v>
          </cell>
          <cell r="DF164">
            <v>34.728334938699867</v>
          </cell>
          <cell r="DG164">
            <v>21.679348620667902</v>
          </cell>
          <cell r="DH164">
            <v>18.362277992096409</v>
          </cell>
          <cell r="DI164">
            <v>14.300000632844487</v>
          </cell>
          <cell r="DJ164">
            <v>22.424555351348332</v>
          </cell>
          <cell r="DU164">
            <v>32.742068988887532</v>
          </cell>
          <cell r="DV164">
            <v>11.644336226312735</v>
          </cell>
          <cell r="DW164">
            <v>9.8476005987137558</v>
          </cell>
          <cell r="DX164">
            <v>7.1073990168282446</v>
          </cell>
          <cell r="DY164">
            <v>12.587802180599267</v>
          </cell>
        </row>
        <row r="165">
          <cell r="A165">
            <v>39694</v>
          </cell>
          <cell r="DF165">
            <v>36.919024808799847</v>
          </cell>
          <cell r="DG165">
            <v>21.679348620667902</v>
          </cell>
          <cell r="DH165">
            <v>18.362277992096409</v>
          </cell>
          <cell r="DI165">
            <v>14.300000632844487</v>
          </cell>
          <cell r="DJ165">
            <v>22.424555351348332</v>
          </cell>
          <cell r="DU165">
            <v>35.112479866267414</v>
          </cell>
          <cell r="DV165">
            <v>11.644336226312735</v>
          </cell>
          <cell r="DW165">
            <v>9.8476005987137558</v>
          </cell>
          <cell r="DX165">
            <v>7.1073990168282446</v>
          </cell>
          <cell r="DY165">
            <v>12.587802180599267</v>
          </cell>
        </row>
        <row r="166">
          <cell r="A166">
            <v>39695</v>
          </cell>
          <cell r="DF166">
            <v>35.739903339062671</v>
          </cell>
          <cell r="DG166">
            <v>21.679348620667902</v>
          </cell>
          <cell r="DH166">
            <v>18.362277992096409</v>
          </cell>
          <cell r="DI166">
            <v>14.300000632844487</v>
          </cell>
          <cell r="DJ166">
            <v>22.424555351348332</v>
          </cell>
          <cell r="DU166">
            <v>33.836624987963894</v>
          </cell>
          <cell r="DV166">
            <v>11.644336226312735</v>
          </cell>
          <cell r="DW166">
            <v>9.8476005987137558</v>
          </cell>
          <cell r="DX166">
            <v>7.1073990168282446</v>
          </cell>
          <cell r="DY166">
            <v>12.587802180599267</v>
          </cell>
        </row>
        <row r="167">
          <cell r="A167">
            <v>39696</v>
          </cell>
          <cell r="DF167">
            <v>33.580235632205969</v>
          </cell>
          <cell r="DG167">
            <v>21.679348620667902</v>
          </cell>
          <cell r="DH167">
            <v>18.362277992096409</v>
          </cell>
          <cell r="DI167">
            <v>14.300000632844487</v>
          </cell>
          <cell r="DJ167">
            <v>22.424555351348332</v>
          </cell>
          <cell r="DU167">
            <v>31.499781286931228</v>
          </cell>
          <cell r="DV167">
            <v>11.644336226312735</v>
          </cell>
          <cell r="DW167">
            <v>9.8476005987137558</v>
          </cell>
          <cell r="DX167">
            <v>7.1073990168282446</v>
          </cell>
          <cell r="DY167">
            <v>12.587802180599267</v>
          </cell>
        </row>
        <row r="168">
          <cell r="A168">
            <v>39699</v>
          </cell>
          <cell r="DF168">
            <v>36.422549181427257</v>
          </cell>
          <cell r="DG168">
            <v>21.679348620667902</v>
          </cell>
          <cell r="DH168">
            <v>18.362277992096409</v>
          </cell>
          <cell r="DI168">
            <v>14.300000632844487</v>
          </cell>
          <cell r="DJ168">
            <v>22.424555351348332</v>
          </cell>
          <cell r="DU168">
            <v>34.575274101297921</v>
          </cell>
          <cell r="DV168">
            <v>11.644336226312735</v>
          </cell>
          <cell r="DW168">
            <v>9.8476005987137558</v>
          </cell>
          <cell r="DX168">
            <v>7.1073990168282446</v>
          </cell>
          <cell r="DY168">
            <v>12.587802180599267</v>
          </cell>
        </row>
        <row r="169">
          <cell r="A169">
            <v>39700</v>
          </cell>
          <cell r="DF169">
            <v>35.615786759440304</v>
          </cell>
          <cell r="DG169">
            <v>21.679348620667902</v>
          </cell>
          <cell r="DH169">
            <v>18.362277992096409</v>
          </cell>
          <cell r="DI169">
            <v>14.300000632844487</v>
          </cell>
          <cell r="DJ169">
            <v>22.424555351348332</v>
          </cell>
          <cell r="DU169">
            <v>33.70232606486411</v>
          </cell>
          <cell r="DV169">
            <v>11.644336226312735</v>
          </cell>
          <cell r="DW169">
            <v>9.8476005987137558</v>
          </cell>
          <cell r="DX169">
            <v>7.1073990168282446</v>
          </cell>
          <cell r="DY169">
            <v>12.587802180599267</v>
          </cell>
        </row>
        <row r="170">
          <cell r="A170">
            <v>39701</v>
          </cell>
          <cell r="DF170">
            <v>36.596313758201433</v>
          </cell>
          <cell r="DG170">
            <v>21.679348620667902</v>
          </cell>
          <cell r="DH170">
            <v>18.362277992096409</v>
          </cell>
          <cell r="DI170">
            <v>14.300000632844487</v>
          </cell>
          <cell r="DJ170">
            <v>22.424555351348332</v>
          </cell>
          <cell r="DU170">
            <v>34.763294070947943</v>
          </cell>
          <cell r="DV170">
            <v>11.644336226312735</v>
          </cell>
          <cell r="DW170">
            <v>9.8476005987137558</v>
          </cell>
          <cell r="DX170">
            <v>7.1073990168282446</v>
          </cell>
          <cell r="DY170">
            <v>12.587802180599267</v>
          </cell>
        </row>
        <row r="171">
          <cell r="A171">
            <v>39702</v>
          </cell>
          <cell r="DF171">
            <v>38.352590945181561</v>
          </cell>
          <cell r="DG171">
            <v>21.679348620667902</v>
          </cell>
          <cell r="DH171">
            <v>18.362277992096409</v>
          </cell>
          <cell r="DI171">
            <v>14.300000632844487</v>
          </cell>
          <cell r="DJ171">
            <v>22.424555351348332</v>
          </cell>
          <cell r="DU171">
            <v>36.663653681193395</v>
          </cell>
          <cell r="DV171">
            <v>11.644336226312735</v>
          </cell>
          <cell r="DW171">
            <v>9.8476005987137558</v>
          </cell>
          <cell r="DX171">
            <v>7.1073990168282446</v>
          </cell>
          <cell r="DY171">
            <v>12.587802180599267</v>
          </cell>
        </row>
        <row r="172">
          <cell r="A172">
            <v>39703</v>
          </cell>
          <cell r="DF172">
            <v>37.241735238806051</v>
          </cell>
          <cell r="DG172">
            <v>21.679348620667902</v>
          </cell>
          <cell r="DH172">
            <v>18.362277992096409</v>
          </cell>
          <cell r="DI172">
            <v>14.300000632844487</v>
          </cell>
          <cell r="DJ172">
            <v>22.424555351348332</v>
          </cell>
          <cell r="DU172">
            <v>35.461664990082191</v>
          </cell>
          <cell r="DV172">
            <v>11.644336226312735</v>
          </cell>
          <cell r="DW172">
            <v>9.8476005987137558</v>
          </cell>
          <cell r="DX172">
            <v>7.1073990168282446</v>
          </cell>
          <cell r="DY172">
            <v>12.587802180599267</v>
          </cell>
        </row>
        <row r="173">
          <cell r="A173">
            <v>39706</v>
          </cell>
          <cell r="DF173">
            <v>36.925236316199658</v>
          </cell>
          <cell r="DG173">
            <v>21.679348620667902</v>
          </cell>
          <cell r="DH173">
            <v>18.362277992096409</v>
          </cell>
          <cell r="DI173">
            <v>14.300000632844487</v>
          </cell>
          <cell r="DJ173">
            <v>22.424555351348332</v>
          </cell>
          <cell r="DU173">
            <v>35.119200956690293</v>
          </cell>
          <cell r="DV173">
            <v>11.644336226312735</v>
          </cell>
          <cell r="DW173">
            <v>9.8476005987137558</v>
          </cell>
          <cell r="DX173">
            <v>7.1073990168282446</v>
          </cell>
          <cell r="DY173">
            <v>12.587802180599267</v>
          </cell>
        </row>
        <row r="174">
          <cell r="A174">
            <v>39707</v>
          </cell>
          <cell r="DF174">
            <v>35.262044857307735</v>
          </cell>
          <cell r="DG174">
            <v>21.679348620667902</v>
          </cell>
          <cell r="DH174">
            <v>18.362277992096409</v>
          </cell>
          <cell r="DI174">
            <v>14.300000632844487</v>
          </cell>
          <cell r="DJ174">
            <v>22.424555351348332</v>
          </cell>
          <cell r="DU174">
            <v>33.319563692131801</v>
          </cell>
          <cell r="DV174">
            <v>11.644336226312735</v>
          </cell>
          <cell r="DW174">
            <v>9.8476005987137558</v>
          </cell>
          <cell r="DX174">
            <v>7.1073990168282446</v>
          </cell>
          <cell r="DY174">
            <v>12.587802180599267</v>
          </cell>
        </row>
        <row r="175">
          <cell r="A175">
            <v>39708</v>
          </cell>
          <cell r="DF175">
            <v>33.077557185724466</v>
          </cell>
          <cell r="DG175">
            <v>21.679348620667902</v>
          </cell>
          <cell r="DH175">
            <v>18.362277992096409</v>
          </cell>
          <cell r="DI175">
            <v>14.300000632844487</v>
          </cell>
          <cell r="DJ175">
            <v>22.424555351348332</v>
          </cell>
          <cell r="DU175">
            <v>30.955863832604486</v>
          </cell>
          <cell r="DV175">
            <v>11.644336226312735</v>
          </cell>
          <cell r="DW175">
            <v>9.8476005987137558</v>
          </cell>
          <cell r="DX175">
            <v>7.1073990168282446</v>
          </cell>
          <cell r="DY175">
            <v>12.587802180599267</v>
          </cell>
        </row>
        <row r="176">
          <cell r="A176">
            <v>39709</v>
          </cell>
          <cell r="DF176">
            <v>35.275897882871803</v>
          </cell>
          <cell r="DG176">
            <v>21.679348620667902</v>
          </cell>
          <cell r="DH176">
            <v>18.362277992096409</v>
          </cell>
          <cell r="DI176">
            <v>14.300000632844487</v>
          </cell>
          <cell r="DJ176">
            <v>22.424555351348332</v>
          </cell>
          <cell r="DU176">
            <v>32.923377940684986</v>
          </cell>
          <cell r="DV176">
            <v>11.644336226312735</v>
          </cell>
          <cell r="DW176">
            <v>9.8476005987137558</v>
          </cell>
          <cell r="DX176">
            <v>7.1073990168282446</v>
          </cell>
          <cell r="DY176">
            <v>12.587802180599267</v>
          </cell>
        </row>
        <row r="177">
          <cell r="A177">
            <v>39710</v>
          </cell>
          <cell r="DF177">
            <v>35.871878667950192</v>
          </cell>
          <cell r="DG177">
            <v>21.679348620667902</v>
          </cell>
          <cell r="DH177">
            <v>18.362277992096409</v>
          </cell>
          <cell r="DI177">
            <v>14.300000632844487</v>
          </cell>
          <cell r="DJ177">
            <v>22.424555351348332</v>
          </cell>
          <cell r="DU177">
            <v>33.561305379836753</v>
          </cell>
          <cell r="DV177">
            <v>11.644336226312735</v>
          </cell>
          <cell r="DW177">
            <v>9.8476005987137558</v>
          </cell>
          <cell r="DX177">
            <v>7.1073990168282446</v>
          </cell>
          <cell r="DY177">
            <v>12.587802180599267</v>
          </cell>
        </row>
        <row r="178">
          <cell r="A178">
            <v>39713</v>
          </cell>
          <cell r="DF178">
            <v>37.59082191408622</v>
          </cell>
          <cell r="DG178">
            <v>21.679348620667902</v>
          </cell>
          <cell r="DH178">
            <v>18.362277992096409</v>
          </cell>
          <cell r="DI178">
            <v>14.300000632844487</v>
          </cell>
          <cell r="DJ178">
            <v>22.424555351348332</v>
          </cell>
          <cell r="DU178">
            <v>35.401232254174708</v>
          </cell>
          <cell r="DV178">
            <v>11.644336226312735</v>
          </cell>
          <cell r="DW178">
            <v>9.8476005987137558</v>
          </cell>
          <cell r="DX178">
            <v>7.1073990168282446</v>
          </cell>
          <cell r="DY178">
            <v>12.587802180599267</v>
          </cell>
        </row>
        <row r="179">
          <cell r="A179">
            <v>39714</v>
          </cell>
          <cell r="DF179">
            <v>39.579520717068668</v>
          </cell>
          <cell r="DG179">
            <v>21.679348620667902</v>
          </cell>
          <cell r="DH179">
            <v>18.362277992096409</v>
          </cell>
          <cell r="DI179">
            <v>14.300000632844487</v>
          </cell>
          <cell r="DJ179">
            <v>22.424555351348332</v>
          </cell>
          <cell r="DU179">
            <v>38.316847981336871</v>
          </cell>
          <cell r="DV179">
            <v>11.644336226312735</v>
          </cell>
          <cell r="DW179">
            <v>9.8476005987137558</v>
          </cell>
          <cell r="DX179">
            <v>7.1073990168282446</v>
          </cell>
          <cell r="DY179">
            <v>12.587802180599267</v>
          </cell>
        </row>
        <row r="180">
          <cell r="A180">
            <v>39715</v>
          </cell>
          <cell r="DF180">
            <v>37.160595393994186</v>
          </cell>
          <cell r="DG180">
            <v>21.679348620667902</v>
          </cell>
          <cell r="DH180">
            <v>18.362277992096409</v>
          </cell>
          <cell r="DI180">
            <v>14.300000632844487</v>
          </cell>
          <cell r="DJ180">
            <v>22.424555351348332</v>
          </cell>
          <cell r="DU180">
            <v>34.386265840129219</v>
          </cell>
          <cell r="DV180">
            <v>11.644336226312735</v>
          </cell>
          <cell r="DW180">
            <v>9.8476005987137558</v>
          </cell>
          <cell r="DX180">
            <v>7.1073990168282446</v>
          </cell>
          <cell r="DY180">
            <v>12.587802180599267</v>
          </cell>
        </row>
        <row r="181">
          <cell r="A181">
            <v>39716</v>
          </cell>
          <cell r="DF181">
            <v>41.690019520929063</v>
          </cell>
          <cell r="DG181">
            <v>21.679348620667902</v>
          </cell>
          <cell r="DH181">
            <v>18.362277992096409</v>
          </cell>
          <cell r="DI181">
            <v>14.300000632844487</v>
          </cell>
          <cell r="DJ181">
            <v>22.424555351348332</v>
          </cell>
          <cell r="DU181">
            <v>39.7061854676938</v>
          </cell>
          <cell r="DV181">
            <v>11.644336226312735</v>
          </cell>
          <cell r="DW181">
            <v>9.8476005987137558</v>
          </cell>
          <cell r="DX181">
            <v>7.1073990168282446</v>
          </cell>
          <cell r="DY181">
            <v>12.587802180599267</v>
          </cell>
        </row>
        <row r="182">
          <cell r="A182">
            <v>39717</v>
          </cell>
          <cell r="DF182">
            <v>41.041940396814255</v>
          </cell>
          <cell r="DG182">
            <v>21.679348620667902</v>
          </cell>
          <cell r="DH182">
            <v>18.362277992096409</v>
          </cell>
          <cell r="DI182">
            <v>14.300000632844487</v>
          </cell>
          <cell r="DJ182">
            <v>22.424555351348332</v>
          </cell>
          <cell r="DU182">
            <v>40.386841088258961</v>
          </cell>
          <cell r="DV182">
            <v>11.644336226312735</v>
          </cell>
          <cell r="DW182">
            <v>9.8476005987137558</v>
          </cell>
          <cell r="DX182">
            <v>7.1073990168282446</v>
          </cell>
          <cell r="DY182">
            <v>12.587802180599267</v>
          </cell>
        </row>
        <row r="183">
          <cell r="A183">
            <v>39720</v>
          </cell>
          <cell r="DF183">
            <v>41.030376974621326</v>
          </cell>
          <cell r="DG183">
            <v>21.679348620667902</v>
          </cell>
          <cell r="DH183">
            <v>18.362277992096409</v>
          </cell>
          <cell r="DI183">
            <v>14.300000632844487</v>
          </cell>
          <cell r="DJ183">
            <v>22.424555351348332</v>
          </cell>
          <cell r="DU183">
            <v>40.374290047163761</v>
          </cell>
          <cell r="DV183">
            <v>11.644336226312735</v>
          </cell>
          <cell r="DW183">
            <v>9.8476005987137558</v>
          </cell>
          <cell r="DX183">
            <v>7.1073990168282446</v>
          </cell>
          <cell r="DY183">
            <v>12.587802180599267</v>
          </cell>
        </row>
        <row r="184">
          <cell r="A184">
            <v>39721</v>
          </cell>
          <cell r="DF184">
            <v>41.001472465527492</v>
          </cell>
          <cell r="DG184">
            <v>21.679348620667902</v>
          </cell>
          <cell r="DH184">
            <v>18.362277992096409</v>
          </cell>
          <cell r="DI184">
            <v>14.300000632844487</v>
          </cell>
          <cell r="DJ184">
            <v>22.424555351348332</v>
          </cell>
          <cell r="DU184">
            <v>40.342916836411739</v>
          </cell>
          <cell r="DV184">
            <v>11.644336226312735</v>
          </cell>
          <cell r="DW184">
            <v>9.8476005987137558</v>
          </cell>
          <cell r="DX184">
            <v>7.1073990168282446</v>
          </cell>
          <cell r="DY184">
            <v>12.587802180599267</v>
          </cell>
        </row>
        <row r="185">
          <cell r="A185">
            <v>39722</v>
          </cell>
          <cell r="DF185">
            <v>40.116371057102597</v>
          </cell>
          <cell r="DG185">
            <v>21.679348620667902</v>
          </cell>
          <cell r="DH185">
            <v>18.362277992096409</v>
          </cell>
          <cell r="DI185">
            <v>14.300000632844487</v>
          </cell>
          <cell r="DJ185">
            <v>22.424555351348332</v>
          </cell>
          <cell r="DU185">
            <v>39.779459569864031</v>
          </cell>
          <cell r="DV185">
            <v>11.644336226312735</v>
          </cell>
          <cell r="DW185">
            <v>9.8476005987137558</v>
          </cell>
          <cell r="DX185">
            <v>7.1073990168282446</v>
          </cell>
          <cell r="DY185">
            <v>12.587802180599267</v>
          </cell>
        </row>
        <row r="186">
          <cell r="A186">
            <v>39723</v>
          </cell>
          <cell r="DF186">
            <v>38.365547563845276</v>
          </cell>
          <cell r="DG186">
            <v>21.679348620667902</v>
          </cell>
          <cell r="DH186">
            <v>18.362277992096409</v>
          </cell>
          <cell r="DI186">
            <v>14.300000632844487</v>
          </cell>
          <cell r="DJ186">
            <v>22.424555351348332</v>
          </cell>
          <cell r="DU186">
            <v>37.864577297036469</v>
          </cell>
          <cell r="DV186">
            <v>11.644336226312735</v>
          </cell>
          <cell r="DW186">
            <v>9.8476005987137558</v>
          </cell>
          <cell r="DX186">
            <v>7.1073990168282446</v>
          </cell>
          <cell r="DY186">
            <v>12.587802180599267</v>
          </cell>
        </row>
        <row r="187">
          <cell r="A187">
            <v>39724</v>
          </cell>
          <cell r="DF187">
            <v>36.157253415025366</v>
          </cell>
          <cell r="DG187">
            <v>21.679348620667902</v>
          </cell>
          <cell r="DH187">
            <v>18.362277992096409</v>
          </cell>
          <cell r="DI187">
            <v>14.300000632844487</v>
          </cell>
          <cell r="DJ187">
            <v>22.424555351348332</v>
          </cell>
          <cell r="DU187">
            <v>35.449357638944655</v>
          </cell>
          <cell r="DV187">
            <v>11.644336226312735</v>
          </cell>
          <cell r="DW187">
            <v>9.8476005987137558</v>
          </cell>
          <cell r="DX187">
            <v>7.1073990168282446</v>
          </cell>
          <cell r="DY187">
            <v>12.587802180599267</v>
          </cell>
        </row>
        <row r="188">
          <cell r="A188">
            <v>39727</v>
          </cell>
          <cell r="DF188">
            <v>38.969866843727239</v>
          </cell>
          <cell r="DG188">
            <v>21.679348620667902</v>
          </cell>
          <cell r="DH188">
            <v>18.362277992096409</v>
          </cell>
          <cell r="DI188">
            <v>14.300000632844487</v>
          </cell>
          <cell r="DJ188">
            <v>22.424555351348332</v>
          </cell>
          <cell r="DU188">
            <v>38.525523577818312</v>
          </cell>
          <cell r="DV188">
            <v>11.644336226312735</v>
          </cell>
          <cell r="DW188">
            <v>9.8476005987137558</v>
          </cell>
          <cell r="DX188">
            <v>7.1073990168282446</v>
          </cell>
          <cell r="DY188">
            <v>12.587802180599267</v>
          </cell>
        </row>
        <row r="189">
          <cell r="A189">
            <v>39728</v>
          </cell>
          <cell r="DF189">
            <v>37.348940647492959</v>
          </cell>
          <cell r="DG189">
            <v>21.679348620667902</v>
          </cell>
          <cell r="DH189">
            <v>18.362277992096409</v>
          </cell>
          <cell r="DI189">
            <v>14.300000632844487</v>
          </cell>
          <cell r="DJ189">
            <v>22.424555351348332</v>
          </cell>
          <cell r="DU189">
            <v>36.752710469766967</v>
          </cell>
          <cell r="DV189">
            <v>11.644336226312735</v>
          </cell>
          <cell r="DW189">
            <v>9.8476005987137558</v>
          </cell>
          <cell r="DX189">
            <v>7.1073990168282446</v>
          </cell>
          <cell r="DY189">
            <v>12.587802180599267</v>
          </cell>
        </row>
        <row r="190">
          <cell r="A190">
            <v>39729</v>
          </cell>
          <cell r="DF190">
            <v>37.919374780983297</v>
          </cell>
          <cell r="DG190">
            <v>21.679348620667902</v>
          </cell>
          <cell r="DH190">
            <v>18.362277992096409</v>
          </cell>
          <cell r="DI190">
            <v>14.300000632844487</v>
          </cell>
          <cell r="DJ190">
            <v>22.424555351348332</v>
          </cell>
          <cell r="DU190">
            <v>37.376596437851724</v>
          </cell>
          <cell r="DV190">
            <v>11.644336226312735</v>
          </cell>
          <cell r="DW190">
            <v>9.8476005987137558</v>
          </cell>
          <cell r="DX190">
            <v>7.1073990168282446</v>
          </cell>
          <cell r="DY190">
            <v>12.587802180599267</v>
          </cell>
        </row>
        <row r="191">
          <cell r="A191">
            <v>39730</v>
          </cell>
          <cell r="DF191">
            <v>37.331997791906801</v>
          </cell>
          <cell r="DG191">
            <v>21.679348620667902</v>
          </cell>
          <cell r="DH191">
            <v>18.362277992096409</v>
          </cell>
          <cell r="DI191">
            <v>14.300000632844487</v>
          </cell>
          <cell r="DJ191">
            <v>22.424555351348332</v>
          </cell>
          <cell r="DU191">
            <v>36.734180004567037</v>
          </cell>
          <cell r="DV191">
            <v>11.644336226312735</v>
          </cell>
          <cell r="DW191">
            <v>9.8476005987137558</v>
          </cell>
          <cell r="DX191">
            <v>7.1073990168282446</v>
          </cell>
          <cell r="DY191">
            <v>12.587802180599267</v>
          </cell>
        </row>
        <row r="192">
          <cell r="A192">
            <v>39731</v>
          </cell>
          <cell r="DF192">
            <v>35.157597261188712</v>
          </cell>
          <cell r="DG192">
            <v>21.679348620667902</v>
          </cell>
          <cell r="DH192">
            <v>18.362277992096409</v>
          </cell>
          <cell r="DI192">
            <v>14.300000632844487</v>
          </cell>
          <cell r="DJ192">
            <v>22.424555351348332</v>
          </cell>
          <cell r="DU192">
            <v>34.356029924713752</v>
          </cell>
          <cell r="DV192">
            <v>11.644336226312735</v>
          </cell>
          <cell r="DW192">
            <v>9.8476005987137558</v>
          </cell>
          <cell r="DX192">
            <v>7.1073990168282446</v>
          </cell>
          <cell r="DY192">
            <v>12.587802180599267</v>
          </cell>
        </row>
        <row r="193">
          <cell r="A193">
            <v>39734</v>
          </cell>
          <cell r="DF193">
            <v>33.954612156020502</v>
          </cell>
          <cell r="DG193">
            <v>21.679348620667902</v>
          </cell>
          <cell r="DH193">
            <v>18.362277992096409</v>
          </cell>
          <cell r="DI193">
            <v>14.300000632844487</v>
          </cell>
          <cell r="DJ193">
            <v>22.424555351348332</v>
          </cell>
          <cell r="DU193">
            <v>33.040320567811925</v>
          </cell>
          <cell r="DV193">
            <v>11.644336226312735</v>
          </cell>
          <cell r="DW193">
            <v>9.8476005987137558</v>
          </cell>
          <cell r="DX193">
            <v>7.1073990168282446</v>
          </cell>
          <cell r="DY193">
            <v>12.587802180599267</v>
          </cell>
        </row>
        <row r="194">
          <cell r="A194">
            <v>39735</v>
          </cell>
          <cell r="DF194">
            <v>33.960256574125374</v>
          </cell>
          <cell r="DG194">
            <v>21.679348620667902</v>
          </cell>
          <cell r="DH194">
            <v>18.362277992096409</v>
          </cell>
          <cell r="DI194">
            <v>14.300000632844487</v>
          </cell>
          <cell r="DJ194">
            <v>22.424555351348332</v>
          </cell>
          <cell r="DU194">
            <v>33.046493889229573</v>
          </cell>
          <cell r="DV194">
            <v>11.644336226312735</v>
          </cell>
          <cell r="DW194">
            <v>9.8476005987137558</v>
          </cell>
          <cell r="DX194">
            <v>7.1073990168282446</v>
          </cell>
          <cell r="DY194">
            <v>12.587802180599267</v>
          </cell>
        </row>
        <row r="195">
          <cell r="A195">
            <v>39736</v>
          </cell>
          <cell r="DF195">
            <v>34.4233806842837</v>
          </cell>
          <cell r="DG195">
            <v>21.679348620667902</v>
          </cell>
          <cell r="DH195">
            <v>18.362277992096409</v>
          </cell>
          <cell r="DI195">
            <v>14.300000632844487</v>
          </cell>
          <cell r="DJ195">
            <v>22.424555351348332</v>
          </cell>
          <cell r="DU195">
            <v>33.553014479155692</v>
          </cell>
          <cell r="DV195">
            <v>11.644336226312735</v>
          </cell>
          <cell r="DW195">
            <v>9.8476005987137558</v>
          </cell>
          <cell r="DX195">
            <v>7.1073990168282446</v>
          </cell>
          <cell r="DY195">
            <v>12.587802180599267</v>
          </cell>
        </row>
        <row r="196">
          <cell r="A196">
            <v>39737</v>
          </cell>
          <cell r="DF196">
            <v>34.06192161457183</v>
          </cell>
          <cell r="DG196">
            <v>21.679348620667902</v>
          </cell>
          <cell r="DH196">
            <v>18.362277992096409</v>
          </cell>
          <cell r="DI196">
            <v>14.300000632844487</v>
          </cell>
          <cell r="DJ196">
            <v>22.424555351348332</v>
          </cell>
          <cell r="DU196">
            <v>33.157685328267803</v>
          </cell>
          <cell r="DV196">
            <v>11.644336226312735</v>
          </cell>
          <cell r="DW196">
            <v>9.8476005987137558</v>
          </cell>
          <cell r="DX196">
            <v>7.1073990168282446</v>
          </cell>
          <cell r="DY196">
            <v>12.587802180599267</v>
          </cell>
        </row>
        <row r="197">
          <cell r="A197">
            <v>39738</v>
          </cell>
          <cell r="DF197">
            <v>34.338658499423396</v>
          </cell>
          <cell r="DG197">
            <v>21.679348620667902</v>
          </cell>
          <cell r="DH197">
            <v>18.362277992096409</v>
          </cell>
          <cell r="DI197">
            <v>14.300000632844487</v>
          </cell>
          <cell r="DJ197">
            <v>22.424555351348332</v>
          </cell>
          <cell r="DU197">
            <v>33.460353505317386</v>
          </cell>
          <cell r="DV197">
            <v>11.644336226312735</v>
          </cell>
          <cell r="DW197">
            <v>9.8476005987137558</v>
          </cell>
          <cell r="DX197">
            <v>7.1073990168282446</v>
          </cell>
          <cell r="DY197">
            <v>12.587802180599267</v>
          </cell>
        </row>
        <row r="198">
          <cell r="A198">
            <v>39741</v>
          </cell>
          <cell r="DF198">
            <v>34.338658499423396</v>
          </cell>
          <cell r="DG198">
            <v>21.679348620667902</v>
          </cell>
          <cell r="DH198">
            <v>18.362277992096409</v>
          </cell>
          <cell r="DI198">
            <v>14.300000632844487</v>
          </cell>
          <cell r="DJ198">
            <v>22.424555351348332</v>
          </cell>
          <cell r="DU198">
            <v>33.460353505317386</v>
          </cell>
          <cell r="DV198">
            <v>11.644336226312735</v>
          </cell>
          <cell r="DW198">
            <v>9.8476005987137558</v>
          </cell>
          <cell r="DX198">
            <v>7.1073990168282446</v>
          </cell>
          <cell r="DY198">
            <v>12.587802180599267</v>
          </cell>
        </row>
        <row r="199">
          <cell r="A199">
            <v>39742</v>
          </cell>
          <cell r="DF199">
            <v>33.480198080091071</v>
          </cell>
          <cell r="DG199">
            <v>21.679348620667902</v>
          </cell>
          <cell r="DH199">
            <v>18.362277992096409</v>
          </cell>
          <cell r="DI199">
            <v>14.300000632844487</v>
          </cell>
          <cell r="DJ199">
            <v>22.424555351348332</v>
          </cell>
          <cell r="DU199">
            <v>32.521452099644982</v>
          </cell>
          <cell r="DV199">
            <v>11.644336226312735</v>
          </cell>
          <cell r="DW199">
            <v>9.8476005987137558</v>
          </cell>
          <cell r="DX199">
            <v>7.1073990168282446</v>
          </cell>
          <cell r="DY199">
            <v>12.587802180599267</v>
          </cell>
        </row>
        <row r="200">
          <cell r="A200">
            <v>39743</v>
          </cell>
          <cell r="DF200">
            <v>31.270174547973156</v>
          </cell>
          <cell r="DG200">
            <v>21.679348620667902</v>
          </cell>
          <cell r="DH200">
            <v>18.362277992096409</v>
          </cell>
          <cell r="DI200">
            <v>14.300000632844487</v>
          </cell>
          <cell r="DJ200">
            <v>22.424555351348332</v>
          </cell>
          <cell r="DU200">
            <v>30.079037232303971</v>
          </cell>
          <cell r="DV200">
            <v>11.644336226312735</v>
          </cell>
          <cell r="DW200">
            <v>9.8476005987137558</v>
          </cell>
          <cell r="DX200">
            <v>7.1073990168282446</v>
          </cell>
          <cell r="DY200">
            <v>12.587802180599267</v>
          </cell>
        </row>
        <row r="201">
          <cell r="A201">
            <v>39744</v>
          </cell>
          <cell r="DF201">
            <v>32.536398323775046</v>
          </cell>
          <cell r="DG201">
            <v>21.679348620667902</v>
          </cell>
          <cell r="DH201">
            <v>18.362277992096409</v>
          </cell>
          <cell r="DI201">
            <v>14.300000632844487</v>
          </cell>
          <cell r="DJ201">
            <v>22.424555351348332</v>
          </cell>
          <cell r="DU201">
            <v>31.458013252077652</v>
          </cell>
          <cell r="DV201">
            <v>11.644336226312735</v>
          </cell>
          <cell r="DW201">
            <v>9.8476005987137558</v>
          </cell>
          <cell r="DX201">
            <v>7.1073990168282446</v>
          </cell>
          <cell r="DY201">
            <v>12.587802180599267</v>
          </cell>
        </row>
        <row r="202">
          <cell r="A202">
            <v>39745</v>
          </cell>
          <cell r="DF202">
            <v>32.91626661263146</v>
          </cell>
          <cell r="DG202">
            <v>21.679348620667902</v>
          </cell>
          <cell r="DH202">
            <v>18.362277992096409</v>
          </cell>
          <cell r="DI202">
            <v>14.300000632844487</v>
          </cell>
          <cell r="DJ202">
            <v>22.424555351348332</v>
          </cell>
          <cell r="DU202">
            <v>31.871707317073174</v>
          </cell>
          <cell r="DV202">
            <v>11.644336226312735</v>
          </cell>
          <cell r="DW202">
            <v>9.8476005987137558</v>
          </cell>
          <cell r="DX202">
            <v>7.1073990168282446</v>
          </cell>
          <cell r="DY202">
            <v>12.587802180599267</v>
          </cell>
        </row>
        <row r="203">
          <cell r="A203">
            <v>39748</v>
          </cell>
          <cell r="DF203">
            <v>33.312649741175704</v>
          </cell>
          <cell r="DG203">
            <v>21.679348620667902</v>
          </cell>
          <cell r="DH203">
            <v>18.362277992096409</v>
          </cell>
          <cell r="DI203">
            <v>14.300000632844487</v>
          </cell>
          <cell r="DJ203">
            <v>22.424555351348332</v>
          </cell>
          <cell r="DU203">
            <v>32.303386803236044</v>
          </cell>
          <cell r="DV203">
            <v>11.644336226312735</v>
          </cell>
          <cell r="DW203">
            <v>9.8476005987137558</v>
          </cell>
          <cell r="DX203">
            <v>7.1073990168282446</v>
          </cell>
          <cell r="DY203">
            <v>12.587802180599267</v>
          </cell>
        </row>
        <row r="204">
          <cell r="A204">
            <v>39749</v>
          </cell>
          <cell r="DF204">
            <v>34.369668848147334</v>
          </cell>
          <cell r="DG204">
            <v>21.679348620667902</v>
          </cell>
          <cell r="DH204">
            <v>18.362277992096409</v>
          </cell>
          <cell r="DI204">
            <v>14.300000632844487</v>
          </cell>
          <cell r="DJ204">
            <v>22.424555351348332</v>
          </cell>
          <cell r="DU204">
            <v>33.45452930175167</v>
          </cell>
          <cell r="DV204">
            <v>11.644336226312735</v>
          </cell>
          <cell r="DW204">
            <v>9.8476005987137558</v>
          </cell>
          <cell r="DX204">
            <v>7.1073990168282446</v>
          </cell>
          <cell r="DY204">
            <v>12.587802180599267</v>
          </cell>
        </row>
        <row r="205">
          <cell r="A205">
            <v>39750</v>
          </cell>
          <cell r="DF205">
            <v>35.151422275943354</v>
          </cell>
          <cell r="DG205">
            <v>21.679348620667902</v>
          </cell>
          <cell r="DH205">
            <v>18.362277992096409</v>
          </cell>
          <cell r="DI205">
            <v>14.300000632844487</v>
          </cell>
          <cell r="DJ205">
            <v>22.424555351348332</v>
          </cell>
          <cell r="DU205">
            <v>34.305894795677801</v>
          </cell>
          <cell r="DV205">
            <v>11.644336226312735</v>
          </cell>
          <cell r="DW205">
            <v>9.8476005987137558</v>
          </cell>
          <cell r="DX205">
            <v>7.1073990168282446</v>
          </cell>
          <cell r="DY205">
            <v>12.587802180599267</v>
          </cell>
        </row>
        <row r="206">
          <cell r="A206">
            <v>39751</v>
          </cell>
          <cell r="DF206">
            <v>34.34765144753279</v>
          </cell>
          <cell r="DG206">
            <v>21.679348620667902</v>
          </cell>
          <cell r="DH206">
            <v>18.362277992096409</v>
          </cell>
          <cell r="DI206">
            <v>14.300000632844487</v>
          </cell>
          <cell r="DJ206">
            <v>22.424555351348332</v>
          </cell>
          <cell r="DU206">
            <v>33.430551338262575</v>
          </cell>
          <cell r="DV206">
            <v>11.644336226312735</v>
          </cell>
          <cell r="DW206">
            <v>9.8476005987137558</v>
          </cell>
          <cell r="DX206">
            <v>7.1073990168282446</v>
          </cell>
          <cell r="DY206">
            <v>12.587802180599267</v>
          </cell>
        </row>
        <row r="207">
          <cell r="A207">
            <v>39752</v>
          </cell>
          <cell r="DF207">
            <v>33.047506807601536</v>
          </cell>
          <cell r="DG207">
            <v>21.679348620667902</v>
          </cell>
          <cell r="DH207">
            <v>18.362277992096409</v>
          </cell>
          <cell r="DI207">
            <v>14.300000632844487</v>
          </cell>
          <cell r="DJ207">
            <v>22.424555351348332</v>
          </cell>
          <cell r="DU207">
            <v>32.051575318488894</v>
          </cell>
          <cell r="DV207">
            <v>11.644336226312735</v>
          </cell>
          <cell r="DW207">
            <v>9.8476005987137558</v>
          </cell>
          <cell r="DX207">
            <v>7.1073990168282446</v>
          </cell>
          <cell r="DY207">
            <v>12.587802180599267</v>
          </cell>
        </row>
        <row r="208">
          <cell r="A208">
            <v>39755</v>
          </cell>
          <cell r="DF208">
            <v>33.234493339229374</v>
          </cell>
          <cell r="DG208">
            <v>21.679348620667902</v>
          </cell>
          <cell r="DH208">
            <v>18.362277992096409</v>
          </cell>
          <cell r="DI208">
            <v>14.300000632844487</v>
          </cell>
          <cell r="DJ208">
            <v>22.424555351348332</v>
          </cell>
          <cell r="DU208">
            <v>32.255421283393709</v>
          </cell>
          <cell r="DV208">
            <v>11.644336226312735</v>
          </cell>
          <cell r="DW208">
            <v>9.8476005987137558</v>
          </cell>
          <cell r="DX208">
            <v>7.1073990168282446</v>
          </cell>
          <cell r="DY208">
            <v>12.587802180599267</v>
          </cell>
        </row>
        <row r="209">
          <cell r="A209">
            <v>39756</v>
          </cell>
          <cell r="DF209">
            <v>34.468182499096201</v>
          </cell>
          <cell r="DG209">
            <v>21.679348620667902</v>
          </cell>
          <cell r="DH209">
            <v>18.362277992096409</v>
          </cell>
          <cell r="DI209">
            <v>14.300000632844487</v>
          </cell>
          <cell r="DJ209">
            <v>22.424555351348332</v>
          </cell>
          <cell r="DU209">
            <v>33.160744839483925</v>
          </cell>
          <cell r="DV209">
            <v>11.644336226312735</v>
          </cell>
          <cell r="DW209">
            <v>9.8476005987137558</v>
          </cell>
          <cell r="DX209">
            <v>7.1073990168282446</v>
          </cell>
          <cell r="DY209">
            <v>12.587802180599267</v>
          </cell>
        </row>
        <row r="210">
          <cell r="A210">
            <v>39757</v>
          </cell>
          <cell r="DF210">
            <v>34.173250213085133</v>
          </cell>
          <cell r="DG210">
            <v>21.679348620667902</v>
          </cell>
          <cell r="DH210">
            <v>18.362277992096409</v>
          </cell>
          <cell r="DI210">
            <v>14.300000632844487</v>
          </cell>
          <cell r="DJ210">
            <v>22.424555351348332</v>
          </cell>
          <cell r="DU210">
            <v>32.842981814173072</v>
          </cell>
          <cell r="DV210">
            <v>11.644336226312735</v>
          </cell>
          <cell r="DW210">
            <v>9.8476005987137558</v>
          </cell>
          <cell r="DX210">
            <v>7.1073990168282446</v>
          </cell>
          <cell r="DY210">
            <v>12.587802180599267</v>
          </cell>
        </row>
        <row r="211">
          <cell r="A211">
            <v>39758</v>
          </cell>
          <cell r="DF211">
            <v>35.698000143427969</v>
          </cell>
          <cell r="DG211">
            <v>21.679348620667902</v>
          </cell>
          <cell r="DH211">
            <v>18.362277992096409</v>
          </cell>
          <cell r="DI211">
            <v>14.300000632844487</v>
          </cell>
          <cell r="DJ211">
            <v>22.424555351348332</v>
          </cell>
          <cell r="DU211">
            <v>34.485762797093521</v>
          </cell>
          <cell r="DV211">
            <v>11.644336226312735</v>
          </cell>
          <cell r="DW211">
            <v>9.8476005987137558</v>
          </cell>
          <cell r="DX211">
            <v>7.1073990168282446</v>
          </cell>
          <cell r="DY211">
            <v>12.587802180599267</v>
          </cell>
        </row>
        <row r="212">
          <cell r="A212">
            <v>39759</v>
          </cell>
          <cell r="DF212">
            <v>36.282302727222429</v>
          </cell>
          <cell r="DG212">
            <v>21.679348620667902</v>
          </cell>
          <cell r="DH212">
            <v>18.362277992096409</v>
          </cell>
          <cell r="DI212">
            <v>14.300000632844487</v>
          </cell>
          <cell r="DJ212">
            <v>22.424555351348332</v>
          </cell>
          <cell r="DU212">
            <v>35.115296305393478</v>
          </cell>
          <cell r="DV212">
            <v>11.644336226312735</v>
          </cell>
          <cell r="DW212">
            <v>9.8476005987137558</v>
          </cell>
          <cell r="DX212">
            <v>7.1073990168282446</v>
          </cell>
          <cell r="DY212">
            <v>12.587802180599267</v>
          </cell>
        </row>
        <row r="213">
          <cell r="A213">
            <v>39762</v>
          </cell>
          <cell r="DF213">
            <v>36.682967324311385</v>
          </cell>
          <cell r="DG213">
            <v>21.679348620667902</v>
          </cell>
          <cell r="DH213">
            <v>18.362277992096409</v>
          </cell>
          <cell r="DI213">
            <v>14.300000632844487</v>
          </cell>
          <cell r="DJ213">
            <v>22.424555351348332</v>
          </cell>
          <cell r="DU213">
            <v>35.546976391110356</v>
          </cell>
          <cell r="DV213">
            <v>11.644336226312735</v>
          </cell>
          <cell r="DW213">
            <v>9.8476005987137558</v>
          </cell>
          <cell r="DX213">
            <v>7.1073990168282446</v>
          </cell>
          <cell r="DY213">
            <v>12.587802180599267</v>
          </cell>
        </row>
        <row r="214">
          <cell r="A214">
            <v>39763</v>
          </cell>
          <cell r="DF214">
            <v>36.232213670457909</v>
          </cell>
          <cell r="DG214">
            <v>21.679348620667902</v>
          </cell>
          <cell r="DH214">
            <v>18.362277992096409</v>
          </cell>
          <cell r="DI214">
            <v>14.300000632844487</v>
          </cell>
          <cell r="DJ214">
            <v>22.424555351348332</v>
          </cell>
          <cell r="DU214">
            <v>35.061329849473267</v>
          </cell>
          <cell r="DV214">
            <v>11.644336226312735</v>
          </cell>
          <cell r="DW214">
            <v>9.8476005987137558</v>
          </cell>
          <cell r="DX214">
            <v>7.1073990168282446</v>
          </cell>
          <cell r="DY214">
            <v>12.587802180599267</v>
          </cell>
        </row>
        <row r="215">
          <cell r="A215">
            <v>39764</v>
          </cell>
          <cell r="DF215">
            <v>36.104226172267531</v>
          </cell>
          <cell r="DG215">
            <v>21.679348620667902</v>
          </cell>
          <cell r="DH215">
            <v>18.362277992096409</v>
          </cell>
          <cell r="DI215">
            <v>14.300000632844487</v>
          </cell>
          <cell r="DJ215">
            <v>22.424555351348332</v>
          </cell>
          <cell r="DU215">
            <v>34.923434825578141</v>
          </cell>
          <cell r="DV215">
            <v>11.644336226312735</v>
          </cell>
          <cell r="DW215">
            <v>9.8476005987137558</v>
          </cell>
          <cell r="DX215">
            <v>7.1073990168282446</v>
          </cell>
          <cell r="DY215">
            <v>12.587802180599267</v>
          </cell>
        </row>
        <row r="216">
          <cell r="A216">
            <v>39765</v>
          </cell>
          <cell r="DF216">
            <v>36.399158458278599</v>
          </cell>
          <cell r="DG216">
            <v>21.679348620667902</v>
          </cell>
          <cell r="DH216">
            <v>18.362277992096409</v>
          </cell>
          <cell r="DI216">
            <v>14.300000632844487</v>
          </cell>
          <cell r="DJ216">
            <v>22.424555351348332</v>
          </cell>
          <cell r="DU216">
            <v>35.241197850888987</v>
          </cell>
          <cell r="DV216">
            <v>11.644336226312735</v>
          </cell>
          <cell r="DW216">
            <v>9.8476005987137558</v>
          </cell>
          <cell r="DX216">
            <v>7.1073990168282446</v>
          </cell>
          <cell r="DY216">
            <v>12.587802180599267</v>
          </cell>
        </row>
        <row r="217">
          <cell r="A217">
            <v>39766</v>
          </cell>
          <cell r="DF217">
            <v>35.965106906942935</v>
          </cell>
          <cell r="DG217">
            <v>21.679348620667902</v>
          </cell>
          <cell r="DH217">
            <v>18.362277992096409</v>
          </cell>
          <cell r="DI217">
            <v>14.300000632844487</v>
          </cell>
          <cell r="DJ217">
            <v>22.424555351348332</v>
          </cell>
          <cell r="DU217">
            <v>34.773546323283398</v>
          </cell>
          <cell r="DV217">
            <v>11.644336226312735</v>
          </cell>
          <cell r="DW217">
            <v>9.8476005987137558</v>
          </cell>
          <cell r="DX217">
            <v>7.1073990168282446</v>
          </cell>
          <cell r="DY217">
            <v>12.587802180599267</v>
          </cell>
        </row>
        <row r="218">
          <cell r="A218">
            <v>39769</v>
          </cell>
          <cell r="DF218">
            <v>35.965106906942935</v>
          </cell>
          <cell r="DG218">
            <v>21.679348620667902</v>
          </cell>
          <cell r="DH218">
            <v>18.362277992096409</v>
          </cell>
          <cell r="DI218">
            <v>14.300000632844487</v>
          </cell>
          <cell r="DJ218">
            <v>22.424555351348332</v>
          </cell>
          <cell r="DU218">
            <v>34.773546323283398</v>
          </cell>
          <cell r="DV218">
            <v>11.644336226312735</v>
          </cell>
          <cell r="DW218">
            <v>9.8476005987137558</v>
          </cell>
          <cell r="DX218">
            <v>7.1073990168282446</v>
          </cell>
          <cell r="DY218">
            <v>12.587802180599267</v>
          </cell>
        </row>
        <row r="219">
          <cell r="A219">
            <v>39770</v>
          </cell>
          <cell r="DF219">
            <v>36.671835000700113</v>
          </cell>
          <cell r="DG219">
            <v>21.679348620667902</v>
          </cell>
          <cell r="DH219">
            <v>18.362277992096409</v>
          </cell>
          <cell r="DI219">
            <v>14.300000632844487</v>
          </cell>
          <cell r="DJ219">
            <v>22.424555351348332</v>
          </cell>
          <cell r="DU219">
            <v>35.534982313156739</v>
          </cell>
          <cell r="DV219">
            <v>11.644336226312735</v>
          </cell>
          <cell r="DW219">
            <v>9.8476005987137558</v>
          </cell>
          <cell r="DX219">
            <v>7.1073990168282446</v>
          </cell>
          <cell r="DY219">
            <v>12.587802180599267</v>
          </cell>
        </row>
        <row r="220">
          <cell r="A220">
            <v>39771</v>
          </cell>
          <cell r="DF220">
            <v>36.104226172267531</v>
          </cell>
          <cell r="DG220">
            <v>21.679348620667902</v>
          </cell>
          <cell r="DH220">
            <v>18.362277992096409</v>
          </cell>
          <cell r="DI220">
            <v>14.300000632844487</v>
          </cell>
          <cell r="DJ220">
            <v>22.424555351348332</v>
          </cell>
          <cell r="DU220">
            <v>34.923434825578141</v>
          </cell>
          <cell r="DV220">
            <v>11.644336226312735</v>
          </cell>
          <cell r="DW220">
            <v>9.8476005987137558</v>
          </cell>
          <cell r="DX220">
            <v>7.1073990168282446</v>
          </cell>
          <cell r="DY220">
            <v>12.587802180599267</v>
          </cell>
        </row>
        <row r="221">
          <cell r="A221">
            <v>39772</v>
          </cell>
          <cell r="DF221">
            <v>36.677396988927782</v>
          </cell>
          <cell r="DG221">
            <v>21.679348620667902</v>
          </cell>
          <cell r="DH221">
            <v>18.362277992096409</v>
          </cell>
          <cell r="DI221">
            <v>14.300000632844487</v>
          </cell>
          <cell r="DJ221">
            <v>22.424555351348332</v>
          </cell>
          <cell r="DU221">
            <v>35.540974855478474</v>
          </cell>
          <cell r="DV221">
            <v>11.644336226312735</v>
          </cell>
          <cell r="DW221">
            <v>9.8476005987137558</v>
          </cell>
          <cell r="DX221">
            <v>7.1073990168282446</v>
          </cell>
          <cell r="DY221">
            <v>12.587802180599267</v>
          </cell>
        </row>
        <row r="222">
          <cell r="A222">
            <v>39773</v>
          </cell>
          <cell r="DF222">
            <v>36.87216729924458</v>
          </cell>
          <cell r="DG222">
            <v>21.679348620667902</v>
          </cell>
          <cell r="DH222">
            <v>18.362277992096409</v>
          </cell>
          <cell r="DI222">
            <v>14.300000632844487</v>
          </cell>
          <cell r="DJ222">
            <v>22.424555351348332</v>
          </cell>
          <cell r="DU222">
            <v>35.750822356015171</v>
          </cell>
          <cell r="DV222">
            <v>11.644336226312735</v>
          </cell>
          <cell r="DW222">
            <v>9.8476005987137558</v>
          </cell>
          <cell r="DX222">
            <v>7.1073990168282446</v>
          </cell>
          <cell r="DY222">
            <v>12.587802180599267</v>
          </cell>
        </row>
        <row r="223">
          <cell r="A223">
            <v>39776</v>
          </cell>
          <cell r="DF223">
            <v>35.886940582189403</v>
          </cell>
          <cell r="DG223">
            <v>21.679348620667902</v>
          </cell>
          <cell r="DH223">
            <v>18.362277992096409</v>
          </cell>
          <cell r="DI223">
            <v>14.300000632844487</v>
          </cell>
          <cell r="DJ223">
            <v>22.424555351348332</v>
          </cell>
          <cell r="DU223">
            <v>34.730406628560644</v>
          </cell>
          <cell r="DV223">
            <v>11.644336226312735</v>
          </cell>
          <cell r="DW223">
            <v>9.8476005987137558</v>
          </cell>
          <cell r="DX223">
            <v>7.1073990168282446</v>
          </cell>
          <cell r="DY223">
            <v>12.587802180599267</v>
          </cell>
        </row>
        <row r="224">
          <cell r="A224">
            <v>39777</v>
          </cell>
          <cell r="DF224">
            <v>37.035146744890426</v>
          </cell>
          <cell r="DG224">
            <v>21.679348620667902</v>
          </cell>
          <cell r="DH224">
            <v>18.362277992096409</v>
          </cell>
          <cell r="DI224">
            <v>14.300000632844487</v>
          </cell>
          <cell r="DJ224">
            <v>22.424555351348332</v>
          </cell>
          <cell r="DU224">
            <v>35.965179218122856</v>
          </cell>
          <cell r="DV224">
            <v>11.644336226312735</v>
          </cell>
          <cell r="DW224">
            <v>9.8476005987137558</v>
          </cell>
          <cell r="DX224">
            <v>7.1073990168282446</v>
          </cell>
          <cell r="DY224">
            <v>12.587802180599267</v>
          </cell>
        </row>
        <row r="225">
          <cell r="A225">
            <v>39778</v>
          </cell>
          <cell r="DF225">
            <v>39.017434037223829</v>
          </cell>
          <cell r="DG225">
            <v>21.679348620667902</v>
          </cell>
          <cell r="DH225">
            <v>18.362277992096409</v>
          </cell>
          <cell r="DI225">
            <v>14.300000632844487</v>
          </cell>
          <cell r="DJ225">
            <v>22.424555351348332</v>
          </cell>
          <cell r="DU225">
            <v>38.096916612261992</v>
          </cell>
          <cell r="DV225">
            <v>11.644336226312735</v>
          </cell>
          <cell r="DW225">
            <v>9.8476005987137558</v>
          </cell>
          <cell r="DX225">
            <v>7.1073990168282446</v>
          </cell>
          <cell r="DY225">
            <v>12.587802180599267</v>
          </cell>
        </row>
        <row r="226">
          <cell r="A226">
            <v>39779</v>
          </cell>
          <cell r="DF226">
            <v>36.832315102522976</v>
          </cell>
          <cell r="DG226">
            <v>21.679348620667902</v>
          </cell>
          <cell r="DH226">
            <v>18.362277992096409</v>
          </cell>
          <cell r="DI226">
            <v>14.300000632844487</v>
          </cell>
          <cell r="DJ226">
            <v>22.424555351348332</v>
          </cell>
          <cell r="DU226">
            <v>35.767151514585436</v>
          </cell>
          <cell r="DV226">
            <v>11.644336226312735</v>
          </cell>
          <cell r="DW226">
            <v>9.8476005987137558</v>
          </cell>
          <cell r="DX226">
            <v>7.1073990168282446</v>
          </cell>
          <cell r="DY226">
            <v>12.587802180599267</v>
          </cell>
        </row>
        <row r="227">
          <cell r="A227">
            <v>39780</v>
          </cell>
          <cell r="DF227">
            <v>36.908101224462357</v>
          </cell>
          <cell r="DG227">
            <v>21.679348620667902</v>
          </cell>
          <cell r="DH227">
            <v>18.362277992096409</v>
          </cell>
          <cell r="DI227">
            <v>14.300000632844487</v>
          </cell>
          <cell r="DJ227">
            <v>22.424555351348332</v>
          </cell>
          <cell r="DU227">
            <v>35.848692710562844</v>
          </cell>
          <cell r="DV227">
            <v>11.644336226312735</v>
          </cell>
          <cell r="DW227">
            <v>9.8476005987137558</v>
          </cell>
          <cell r="DX227">
            <v>7.1073990168282446</v>
          </cell>
          <cell r="DY227">
            <v>12.587802180599267</v>
          </cell>
        </row>
        <row r="228">
          <cell r="A228">
            <v>39783</v>
          </cell>
          <cell r="DF228">
            <v>36.350528457432375</v>
          </cell>
          <cell r="DG228">
            <v>21.679348620667902</v>
          </cell>
          <cell r="DH228">
            <v>18.362277992096409</v>
          </cell>
          <cell r="DI228">
            <v>14.300000632844487</v>
          </cell>
          <cell r="DJ228">
            <v>22.424555351348332</v>
          </cell>
          <cell r="DU228">
            <v>35.24877878035241</v>
          </cell>
          <cell r="DV228">
            <v>11.644336226312735</v>
          </cell>
          <cell r="DW228">
            <v>9.8476005987137558</v>
          </cell>
          <cell r="DX228">
            <v>7.1073990168282446</v>
          </cell>
          <cell r="DY228">
            <v>12.587802180599267</v>
          </cell>
        </row>
        <row r="229">
          <cell r="A229">
            <v>39784</v>
          </cell>
          <cell r="DF229">
            <v>35.836263437796248</v>
          </cell>
          <cell r="DG229">
            <v>21.679348620667902</v>
          </cell>
          <cell r="DH229">
            <v>18.362277992096409</v>
          </cell>
          <cell r="DI229">
            <v>14.300000632844487</v>
          </cell>
          <cell r="DJ229">
            <v>22.424555351348332</v>
          </cell>
          <cell r="DU229">
            <v>34.695461316978047</v>
          </cell>
          <cell r="DV229">
            <v>11.644336226312735</v>
          </cell>
          <cell r="DW229">
            <v>9.8476005987137558</v>
          </cell>
          <cell r="DX229">
            <v>7.1073990168282446</v>
          </cell>
          <cell r="DY229">
            <v>12.587802180599267</v>
          </cell>
        </row>
        <row r="230">
          <cell r="A230">
            <v>39785</v>
          </cell>
          <cell r="DF230">
            <v>36.458793495250561</v>
          </cell>
          <cell r="DG230">
            <v>21.679348620667902</v>
          </cell>
          <cell r="DH230">
            <v>18.362277992096409</v>
          </cell>
          <cell r="DI230">
            <v>14.300000632844487</v>
          </cell>
          <cell r="DJ230">
            <v>22.424555351348332</v>
          </cell>
          <cell r="DU230">
            <v>35.365265287912415</v>
          </cell>
          <cell r="DV230">
            <v>11.644336226312735</v>
          </cell>
          <cell r="DW230">
            <v>9.8476005987137558</v>
          </cell>
          <cell r="DX230">
            <v>7.1073990168282446</v>
          </cell>
          <cell r="DY230">
            <v>12.587802180599267</v>
          </cell>
        </row>
        <row r="231">
          <cell r="A231">
            <v>39786</v>
          </cell>
          <cell r="DF231">
            <v>37.617246776704398</v>
          </cell>
          <cell r="DG231">
            <v>21.679348620667902</v>
          </cell>
          <cell r="DH231">
            <v>18.362277992096409</v>
          </cell>
          <cell r="DI231">
            <v>14.300000632844487</v>
          </cell>
          <cell r="DJ231">
            <v>22.424555351348332</v>
          </cell>
          <cell r="DU231">
            <v>36.611689615169368</v>
          </cell>
          <cell r="DV231">
            <v>11.644336226312735</v>
          </cell>
          <cell r="DW231">
            <v>9.8476005987137558</v>
          </cell>
          <cell r="DX231">
            <v>7.1073990168282446</v>
          </cell>
          <cell r="DY231">
            <v>12.587802180599267</v>
          </cell>
        </row>
        <row r="232">
          <cell r="A232">
            <v>39787</v>
          </cell>
          <cell r="DF232">
            <v>36.853964645553447</v>
          </cell>
          <cell r="DG232">
            <v>21.679348620667902</v>
          </cell>
          <cell r="DH232">
            <v>18.362277992096409</v>
          </cell>
          <cell r="DI232">
            <v>14.300000632844487</v>
          </cell>
          <cell r="DJ232">
            <v>22.424555351348332</v>
          </cell>
          <cell r="DU232">
            <v>35.790445088473284</v>
          </cell>
          <cell r="DV232">
            <v>11.644336226312735</v>
          </cell>
          <cell r="DW232">
            <v>9.8476005987137558</v>
          </cell>
          <cell r="DX232">
            <v>7.1073990168282446</v>
          </cell>
          <cell r="DY232">
            <v>12.587802180599267</v>
          </cell>
        </row>
        <row r="233">
          <cell r="A233">
            <v>39790</v>
          </cell>
          <cell r="DF233">
            <v>37.95287072167401</v>
          </cell>
          <cell r="DG233">
            <v>21.679348620667902</v>
          </cell>
          <cell r="DH233">
            <v>18.362277992096409</v>
          </cell>
          <cell r="DI233">
            <v>14.300000632844487</v>
          </cell>
          <cell r="DJ233">
            <v>22.424555351348332</v>
          </cell>
          <cell r="DU233">
            <v>36.972800293102864</v>
          </cell>
          <cell r="DV233">
            <v>11.644336226312735</v>
          </cell>
          <cell r="DW233">
            <v>9.8476005987137558</v>
          </cell>
          <cell r="DX233">
            <v>7.1073990168282446</v>
          </cell>
          <cell r="DY233">
            <v>12.587802180599267</v>
          </cell>
        </row>
        <row r="234">
          <cell r="A234">
            <v>39791</v>
          </cell>
          <cell r="DF234">
            <v>39.793408844581748</v>
          </cell>
          <cell r="DG234">
            <v>21.679348620667902</v>
          </cell>
          <cell r="DH234">
            <v>18.362277992096409</v>
          </cell>
          <cell r="DI234">
            <v>14.300000632844487</v>
          </cell>
          <cell r="DJ234">
            <v>22.424555351348332</v>
          </cell>
          <cell r="DU234">
            <v>38.953105868099399</v>
          </cell>
          <cell r="DV234">
            <v>11.644336226312735</v>
          </cell>
          <cell r="DW234">
            <v>9.8476005987137558</v>
          </cell>
          <cell r="DX234">
            <v>7.1073990168282446</v>
          </cell>
          <cell r="DY234">
            <v>12.587802180599267</v>
          </cell>
        </row>
        <row r="235">
          <cell r="A235">
            <v>39792</v>
          </cell>
          <cell r="DF235">
            <v>39.793408844581748</v>
          </cell>
          <cell r="DG235">
            <v>21.679348620667902</v>
          </cell>
          <cell r="DH235">
            <v>18.362277992096409</v>
          </cell>
          <cell r="DI235">
            <v>14.300000632844487</v>
          </cell>
          <cell r="DJ235">
            <v>22.424555351348332</v>
          </cell>
          <cell r="DU235">
            <v>38.953105868099399</v>
          </cell>
          <cell r="DV235">
            <v>11.644336226312735</v>
          </cell>
          <cell r="DW235">
            <v>9.8476005987137558</v>
          </cell>
          <cell r="DX235">
            <v>7.1073990168282446</v>
          </cell>
          <cell r="DY235">
            <v>12.587802180599267</v>
          </cell>
        </row>
        <row r="236">
          <cell r="A236">
            <v>39793</v>
          </cell>
          <cell r="DF236">
            <v>38.017836132097962</v>
          </cell>
          <cell r="DG236">
            <v>21.679348620667902</v>
          </cell>
          <cell r="DH236">
            <v>18.362277992096409</v>
          </cell>
          <cell r="DI236">
            <v>14.300000632844487</v>
          </cell>
          <cell r="DJ236">
            <v>22.424555351348332</v>
          </cell>
          <cell r="DU236">
            <v>37.042699070445899</v>
          </cell>
          <cell r="DV236">
            <v>11.644336226312735</v>
          </cell>
          <cell r="DW236">
            <v>9.8476005987137558</v>
          </cell>
          <cell r="DX236">
            <v>7.1073990168282446</v>
          </cell>
          <cell r="DY236">
            <v>12.587802180599267</v>
          </cell>
        </row>
        <row r="237">
          <cell r="A237">
            <v>39794</v>
          </cell>
          <cell r="DF237">
            <v>39.186569186259206</v>
          </cell>
          <cell r="DG237">
            <v>21.679348620667902</v>
          </cell>
          <cell r="DH237">
            <v>18.362277992096409</v>
          </cell>
          <cell r="DI237">
            <v>14.300000632844487</v>
          </cell>
          <cell r="DJ237">
            <v>22.424555351348332</v>
          </cell>
          <cell r="DU237">
            <v>36.826335300398839</v>
          </cell>
          <cell r="DV237">
            <v>11.644336226312735</v>
          </cell>
          <cell r="DW237">
            <v>9.8476005987137558</v>
          </cell>
          <cell r="DX237">
            <v>7.1073990168282446</v>
          </cell>
          <cell r="DY237">
            <v>12.587802180599267</v>
          </cell>
        </row>
        <row r="238">
          <cell r="A238">
            <v>39797</v>
          </cell>
          <cell r="DF238">
            <v>39.034662765198576</v>
          </cell>
          <cell r="DG238">
            <v>21.679348620667902</v>
          </cell>
          <cell r="DH238">
            <v>18.362277992096409</v>
          </cell>
          <cell r="DI238">
            <v>14.300000632844487</v>
          </cell>
          <cell r="DJ238">
            <v>22.424555351348332</v>
          </cell>
          <cell r="DU238">
            <v>36.669147955836181</v>
          </cell>
          <cell r="DV238">
            <v>11.644336226312735</v>
          </cell>
          <cell r="DW238">
            <v>9.8476005987137558</v>
          </cell>
          <cell r="DX238">
            <v>7.1073990168282446</v>
          </cell>
          <cell r="DY238">
            <v>12.587802180599267</v>
          </cell>
        </row>
        <row r="239">
          <cell r="A239">
            <v>39798</v>
          </cell>
          <cell r="DF239">
            <v>39.010250231100649</v>
          </cell>
          <cell r="DG239">
            <v>21.679348620667902</v>
          </cell>
          <cell r="DH239">
            <v>18.362277992096409</v>
          </cell>
          <cell r="DI239">
            <v>14.300000632844487</v>
          </cell>
          <cell r="DJ239">
            <v>22.424555351348332</v>
          </cell>
          <cell r="DU239">
            <v>36.643886736579567</v>
          </cell>
          <cell r="DV239">
            <v>11.644336226312735</v>
          </cell>
          <cell r="DW239">
            <v>9.8476005987137558</v>
          </cell>
          <cell r="DX239">
            <v>7.1073990168282446</v>
          </cell>
          <cell r="DY239">
            <v>12.587802180599267</v>
          </cell>
        </row>
        <row r="240">
          <cell r="A240">
            <v>39799</v>
          </cell>
          <cell r="DF240">
            <v>38.953279151982514</v>
          </cell>
          <cell r="DG240">
            <v>21.679348620667902</v>
          </cell>
          <cell r="DH240">
            <v>18.362277992096409</v>
          </cell>
          <cell r="DI240">
            <v>14.300000632844487</v>
          </cell>
          <cell r="DJ240">
            <v>22.424555351348332</v>
          </cell>
          <cell r="DU240">
            <v>36.58493509660989</v>
          </cell>
          <cell r="DV240">
            <v>11.644336226312735</v>
          </cell>
          <cell r="DW240">
            <v>9.8476005987137558</v>
          </cell>
          <cell r="DX240">
            <v>7.1073990168282446</v>
          </cell>
          <cell r="DY240">
            <v>12.587802180599267</v>
          </cell>
        </row>
        <row r="241">
          <cell r="A241">
            <v>39800</v>
          </cell>
          <cell r="DF241">
            <v>39.767066456904821</v>
          </cell>
          <cell r="DG241">
            <v>21.679348620667902</v>
          </cell>
          <cell r="DH241">
            <v>18.362277992096409</v>
          </cell>
          <cell r="DI241">
            <v>14.300000632844487</v>
          </cell>
          <cell r="DJ241">
            <v>22.424555351348332</v>
          </cell>
          <cell r="DU241">
            <v>37.427013164188693</v>
          </cell>
          <cell r="DV241">
            <v>11.644336226312735</v>
          </cell>
          <cell r="DW241">
            <v>9.8476005987137558</v>
          </cell>
          <cell r="DX241">
            <v>7.1073990168282446</v>
          </cell>
          <cell r="DY241">
            <v>12.587802180599267</v>
          </cell>
        </row>
        <row r="242">
          <cell r="A242">
            <v>39801</v>
          </cell>
          <cell r="DF242">
            <v>40.331297204374785</v>
          </cell>
          <cell r="DG242">
            <v>21.679348620667902</v>
          </cell>
          <cell r="DH242">
            <v>18.362277992096409</v>
          </cell>
          <cell r="DI242">
            <v>14.300000632844487</v>
          </cell>
          <cell r="DJ242">
            <v>22.424555351348332</v>
          </cell>
          <cell r="DU242">
            <v>38.0108590101784</v>
          </cell>
          <cell r="DV242">
            <v>11.644336226312735</v>
          </cell>
          <cell r="DW242">
            <v>9.8476005987137558</v>
          </cell>
          <cell r="DX242">
            <v>7.1073990168282446</v>
          </cell>
          <cell r="DY242">
            <v>12.587802180599267</v>
          </cell>
        </row>
        <row r="243">
          <cell r="A243">
            <v>39804</v>
          </cell>
          <cell r="DF243">
            <v>39.94610074903747</v>
          </cell>
          <cell r="DG243">
            <v>21.679348620667902</v>
          </cell>
          <cell r="DH243">
            <v>18.362277992096409</v>
          </cell>
          <cell r="DI243">
            <v>14.300000632844487</v>
          </cell>
          <cell r="DJ243">
            <v>22.424555351348332</v>
          </cell>
          <cell r="DU243">
            <v>37.612271461826793</v>
          </cell>
          <cell r="DV243">
            <v>11.644336226312735</v>
          </cell>
          <cell r="DW243">
            <v>9.8476005987137558</v>
          </cell>
          <cell r="DX243">
            <v>7.1073990168282446</v>
          </cell>
          <cell r="DY243">
            <v>12.587802180599267</v>
          </cell>
        </row>
        <row r="244">
          <cell r="A244">
            <v>39805</v>
          </cell>
          <cell r="DF244">
            <v>40.456075754363383</v>
          </cell>
          <cell r="DG244">
            <v>21.679348620667902</v>
          </cell>
          <cell r="DH244">
            <v>18.362277992096409</v>
          </cell>
          <cell r="DI244">
            <v>14.300000632844487</v>
          </cell>
          <cell r="DJ244">
            <v>22.424555351348332</v>
          </cell>
          <cell r="DU244">
            <v>38.41455741542142</v>
          </cell>
          <cell r="DV244">
            <v>11.644336226312735</v>
          </cell>
          <cell r="DW244">
            <v>9.8476005987137558</v>
          </cell>
          <cell r="DX244">
            <v>7.1073990168282446</v>
          </cell>
          <cell r="DY244">
            <v>12.587802180599267</v>
          </cell>
        </row>
        <row r="245">
          <cell r="A245">
            <v>39806</v>
          </cell>
          <cell r="DF245">
            <v>38.025715700932679</v>
          </cell>
          <cell r="DG245">
            <v>21.679348620667902</v>
          </cell>
          <cell r="DH245">
            <v>18.362277992096409</v>
          </cell>
          <cell r="DI245">
            <v>14.300000632844487</v>
          </cell>
          <cell r="DJ245">
            <v>22.424555351348332</v>
          </cell>
          <cell r="DU245">
            <v>35.829216615638671</v>
          </cell>
          <cell r="DV245">
            <v>11.644336226312735</v>
          </cell>
          <cell r="DW245">
            <v>9.8476005987137558</v>
          </cell>
          <cell r="DX245">
            <v>7.1073990168282446</v>
          </cell>
          <cell r="DY245">
            <v>12.587802180599267</v>
          </cell>
        </row>
        <row r="246">
          <cell r="A246">
            <v>39807</v>
          </cell>
          <cell r="DF246">
            <v>44.485701407748898</v>
          </cell>
          <cell r="DG246">
            <v>21.679348620667902</v>
          </cell>
          <cell r="DH246">
            <v>18.362277992096409</v>
          </cell>
          <cell r="DI246">
            <v>14.300000632844487</v>
          </cell>
          <cell r="DJ246">
            <v>22.424555351348332</v>
          </cell>
          <cell r="DU246">
            <v>42.252300163164811</v>
          </cell>
          <cell r="DV246">
            <v>11.644336226312735</v>
          </cell>
          <cell r="DW246">
            <v>9.8476005987137558</v>
          </cell>
          <cell r="DX246">
            <v>7.1073990168282446</v>
          </cell>
          <cell r="DY246">
            <v>12.587802180599267</v>
          </cell>
        </row>
        <row r="247">
          <cell r="A247">
            <v>39808</v>
          </cell>
          <cell r="DF247">
            <v>42.00341156909505</v>
          </cell>
          <cell r="DG247">
            <v>21.679348620667902</v>
          </cell>
          <cell r="DH247">
            <v>18.362277992096409</v>
          </cell>
          <cell r="DI247">
            <v>14.300000632844487</v>
          </cell>
          <cell r="DJ247">
            <v>22.424555351348332</v>
          </cell>
          <cell r="DU247">
            <v>36.092600898674625</v>
          </cell>
          <cell r="DV247">
            <v>11.644336226312735</v>
          </cell>
          <cell r="DW247">
            <v>9.8476005987137558</v>
          </cell>
          <cell r="DX247">
            <v>7.1073990168282446</v>
          </cell>
          <cell r="DY247">
            <v>12.587802180599267</v>
          </cell>
        </row>
        <row r="248">
          <cell r="A248">
            <v>39811</v>
          </cell>
          <cell r="DF248">
            <v>42.256109310910908</v>
          </cell>
          <cell r="DG248">
            <v>21.679348620667902</v>
          </cell>
          <cell r="DH248">
            <v>18.362277992096409</v>
          </cell>
          <cell r="DI248">
            <v>14.300000632844487</v>
          </cell>
          <cell r="DJ248">
            <v>22.424555351348332</v>
          </cell>
          <cell r="DU248">
            <v>36.329999571210053</v>
          </cell>
          <cell r="DV248">
            <v>11.644336226312735</v>
          </cell>
          <cell r="DW248">
            <v>9.8476005987137558</v>
          </cell>
          <cell r="DX248">
            <v>7.1073990168282446</v>
          </cell>
          <cell r="DY248">
            <v>12.587802180599267</v>
          </cell>
        </row>
        <row r="249">
          <cell r="A249">
            <v>39812</v>
          </cell>
          <cell r="DF249">
            <v>29.302304894042567</v>
          </cell>
          <cell r="DG249">
            <v>21.679348620667902</v>
          </cell>
          <cell r="DH249">
            <v>18.362277992096409</v>
          </cell>
          <cell r="DI249">
            <v>14.300000632844487</v>
          </cell>
          <cell r="DJ249">
            <v>22.424555351348332</v>
          </cell>
          <cell r="DU249">
            <v>34.543231666822592</v>
          </cell>
          <cell r="DV249">
            <v>11.644336226312735</v>
          </cell>
          <cell r="DW249">
            <v>9.8476005987137558</v>
          </cell>
          <cell r="DX249">
            <v>7.1073990168282446</v>
          </cell>
          <cell r="DY249">
            <v>12.587802180599267</v>
          </cell>
        </row>
        <row r="250">
          <cell r="A250">
            <v>39813</v>
          </cell>
          <cell r="DF250">
            <v>28.945265089635125</v>
          </cell>
          <cell r="DG250">
            <v>21.679348620667902</v>
          </cell>
          <cell r="DH250">
            <v>18.362277992096409</v>
          </cell>
          <cell r="DI250">
            <v>14.300000632844487</v>
          </cell>
          <cell r="DJ250">
            <v>22.424555351348332</v>
          </cell>
          <cell r="DU250">
            <v>35.451829038814672</v>
          </cell>
          <cell r="DV250">
            <v>11.644336226312735</v>
          </cell>
          <cell r="DW250">
            <v>9.8476005987137558</v>
          </cell>
          <cell r="DX250">
            <v>7.1073990168282446</v>
          </cell>
          <cell r="DY250">
            <v>12.587802180599267</v>
          </cell>
        </row>
        <row r="251">
          <cell r="A251">
            <v>39814</v>
          </cell>
          <cell r="DF251">
            <v>29.002282909553109</v>
          </cell>
          <cell r="DG251">
            <v>21.679348620667902</v>
          </cell>
          <cell r="DH251">
            <v>18.362277992096409</v>
          </cell>
          <cell r="DI251">
            <v>14.300000632844487</v>
          </cell>
          <cell r="DJ251">
            <v>22.424555351348332</v>
          </cell>
          <cell r="DU251">
            <v>35.527917653701941</v>
          </cell>
          <cell r="DV251">
            <v>11.644336226312735</v>
          </cell>
          <cell r="DW251">
            <v>9.8476005987137558</v>
          </cell>
          <cell r="DX251">
            <v>7.1073990168282446</v>
          </cell>
          <cell r="DY251">
            <v>12.587802180599267</v>
          </cell>
        </row>
        <row r="252">
          <cell r="A252">
            <v>39815</v>
          </cell>
          <cell r="DF252">
            <v>28.307141920708172</v>
          </cell>
          <cell r="DG252">
            <v>21.679348620667902</v>
          </cell>
          <cell r="DH252">
            <v>18.362277992096409</v>
          </cell>
          <cell r="DI252">
            <v>14.300000632844487</v>
          </cell>
          <cell r="DJ252">
            <v>22.424555351348332</v>
          </cell>
          <cell r="DU252">
            <v>35.469736481214142</v>
          </cell>
          <cell r="DV252">
            <v>11.644336226312735</v>
          </cell>
          <cell r="DW252">
            <v>9.8476005987137558</v>
          </cell>
          <cell r="DX252">
            <v>7.1073990168282446</v>
          </cell>
          <cell r="DY252">
            <v>12.587802180599267</v>
          </cell>
        </row>
        <row r="253">
          <cell r="A253">
            <v>39818</v>
          </cell>
          <cell r="DF253">
            <v>28.628440123367671</v>
          </cell>
          <cell r="DG253">
            <v>21.679348620667902</v>
          </cell>
          <cell r="DH253">
            <v>18.362277992096409</v>
          </cell>
          <cell r="DI253">
            <v>14.300000632844487</v>
          </cell>
          <cell r="DJ253">
            <v>22.424555351348332</v>
          </cell>
          <cell r="DU253">
            <v>35.908368337089243</v>
          </cell>
          <cell r="DV253">
            <v>11.644336226312735</v>
          </cell>
          <cell r="DW253">
            <v>9.8476005987137558</v>
          </cell>
          <cell r="DX253">
            <v>7.1073990168282446</v>
          </cell>
          <cell r="DY253">
            <v>12.587802180599267</v>
          </cell>
        </row>
        <row r="254">
          <cell r="A254">
            <v>39819</v>
          </cell>
          <cell r="DF254">
            <v>28.6841750976489</v>
          </cell>
          <cell r="DG254">
            <v>21.679348620667902</v>
          </cell>
          <cell r="DH254">
            <v>18.362277992096409</v>
          </cell>
          <cell r="DI254">
            <v>14.300000632844487</v>
          </cell>
          <cell r="DJ254">
            <v>22.424555351348332</v>
          </cell>
          <cell r="DU254">
            <v>35.984456951976505</v>
          </cell>
          <cell r="DV254">
            <v>11.644336226312735</v>
          </cell>
          <cell r="DW254">
            <v>9.8476005987137558</v>
          </cell>
          <cell r="DX254">
            <v>7.1073990168282446</v>
          </cell>
          <cell r="DY254">
            <v>12.587802180599267</v>
          </cell>
        </row>
        <row r="255">
          <cell r="A255">
            <v>39820</v>
          </cell>
          <cell r="DF255">
            <v>28.6841750976489</v>
          </cell>
          <cell r="DG255">
            <v>21.679348620667902</v>
          </cell>
          <cell r="DH255">
            <v>18.362277992096409</v>
          </cell>
          <cell r="DI255">
            <v>14.300000632844487</v>
          </cell>
          <cell r="DJ255">
            <v>22.424555351348332</v>
          </cell>
          <cell r="DU255">
            <v>35.984456951976505</v>
          </cell>
          <cell r="DV255">
            <v>11.644336226312735</v>
          </cell>
          <cell r="DW255">
            <v>9.8476005987137558</v>
          </cell>
          <cell r="DX255">
            <v>7.1073990168282446</v>
          </cell>
          <cell r="DY255">
            <v>12.587802180599267</v>
          </cell>
        </row>
        <row r="256">
          <cell r="A256">
            <v>39821</v>
          </cell>
          <cell r="DF256">
            <v>28.359599967802371</v>
          </cell>
          <cell r="DG256">
            <v>21.679348620667902</v>
          </cell>
          <cell r="DH256">
            <v>18.362277992096409</v>
          </cell>
          <cell r="DI256">
            <v>14.300000632844487</v>
          </cell>
          <cell r="DJ256">
            <v>22.424555351348332</v>
          </cell>
          <cell r="DU256">
            <v>35.541351480495344</v>
          </cell>
          <cell r="DV256">
            <v>11.644336226312735</v>
          </cell>
          <cell r="DW256">
            <v>9.8476005987137558</v>
          </cell>
          <cell r="DX256">
            <v>7.1073990168282446</v>
          </cell>
          <cell r="DY256">
            <v>12.587802180599267</v>
          </cell>
        </row>
        <row r="257">
          <cell r="A257">
            <v>39822</v>
          </cell>
          <cell r="DF257">
            <v>27.933385343097825</v>
          </cell>
          <cell r="DG257">
            <v>21.679348620667902</v>
          </cell>
          <cell r="DH257">
            <v>18.362277992096409</v>
          </cell>
          <cell r="DI257">
            <v>14.300000632844487</v>
          </cell>
          <cell r="DJ257">
            <v>22.424555351348332</v>
          </cell>
          <cell r="DU257">
            <v>34.959489178472474</v>
          </cell>
          <cell r="DV257">
            <v>11.644336226312735</v>
          </cell>
          <cell r="DW257">
            <v>9.8476005987137558</v>
          </cell>
          <cell r="DX257">
            <v>7.1073990168282446</v>
          </cell>
          <cell r="DY257">
            <v>12.587802180599267</v>
          </cell>
        </row>
        <row r="258">
          <cell r="A258">
            <v>39825</v>
          </cell>
          <cell r="DF258">
            <v>27.71699897249032</v>
          </cell>
          <cell r="DG258">
            <v>21.679348620667902</v>
          </cell>
          <cell r="DH258">
            <v>18.362277992096409</v>
          </cell>
          <cell r="DI258">
            <v>14.300000632844487</v>
          </cell>
          <cell r="DJ258">
            <v>22.424555351348332</v>
          </cell>
          <cell r="DU258">
            <v>34.664081502550182</v>
          </cell>
          <cell r="DV258">
            <v>11.644336226312735</v>
          </cell>
          <cell r="DW258">
            <v>9.8476005987137558</v>
          </cell>
          <cell r="DX258">
            <v>7.1073990168282446</v>
          </cell>
          <cell r="DY258">
            <v>12.587802180599267</v>
          </cell>
        </row>
        <row r="259">
          <cell r="A259">
            <v>39826</v>
          </cell>
          <cell r="DF259">
            <v>27.517006089947436</v>
          </cell>
          <cell r="DG259">
            <v>21.679348620667902</v>
          </cell>
          <cell r="DH259">
            <v>18.362277992096409</v>
          </cell>
          <cell r="DI259">
            <v>14.300000632844487</v>
          </cell>
          <cell r="DJ259">
            <v>22.424555351348332</v>
          </cell>
          <cell r="DU259">
            <v>34.391053989462712</v>
          </cell>
          <cell r="DV259">
            <v>11.644336226312735</v>
          </cell>
          <cell r="DW259">
            <v>9.8476005987137558</v>
          </cell>
          <cell r="DX259">
            <v>7.1073990168282446</v>
          </cell>
          <cell r="DY259">
            <v>12.587802180599267</v>
          </cell>
        </row>
        <row r="260">
          <cell r="A260">
            <v>39827</v>
          </cell>
          <cell r="DF260">
            <v>26.431801571859278</v>
          </cell>
          <cell r="DG260">
            <v>21.679348620667902</v>
          </cell>
          <cell r="DH260">
            <v>18.362277992096409</v>
          </cell>
          <cell r="DI260">
            <v>14.300000632844487</v>
          </cell>
          <cell r="DJ260">
            <v>22.424555351348332</v>
          </cell>
          <cell r="DU260">
            <v>32.909547812854825</v>
          </cell>
          <cell r="DV260">
            <v>11.644336226312735</v>
          </cell>
          <cell r="DW260">
            <v>9.8476005987137558</v>
          </cell>
          <cell r="DX260">
            <v>7.1073990168282446</v>
          </cell>
          <cell r="DY260">
            <v>12.587802180599267</v>
          </cell>
        </row>
        <row r="261">
          <cell r="A261">
            <v>39828</v>
          </cell>
          <cell r="DF261">
            <v>26.956368928535397</v>
          </cell>
          <cell r="DG261">
            <v>21.679348620667902</v>
          </cell>
          <cell r="DH261">
            <v>18.362277992096409</v>
          </cell>
          <cell r="DI261">
            <v>14.300000632844487</v>
          </cell>
          <cell r="DJ261">
            <v>22.424555351348332</v>
          </cell>
          <cell r="DU261">
            <v>33.625679902252749</v>
          </cell>
          <cell r="DV261">
            <v>11.644336226312735</v>
          </cell>
          <cell r="DW261">
            <v>9.8476005987137558</v>
          </cell>
          <cell r="DX261">
            <v>7.1073990168282446</v>
          </cell>
          <cell r="DY261">
            <v>12.587802180599267</v>
          </cell>
        </row>
        <row r="262">
          <cell r="A262">
            <v>39829</v>
          </cell>
          <cell r="DF262">
            <v>26.974932411053828</v>
          </cell>
          <cell r="DG262">
            <v>21.679348620667902</v>
          </cell>
          <cell r="DH262">
            <v>18.362277992096409</v>
          </cell>
          <cell r="DI262">
            <v>14.300000632844487</v>
          </cell>
          <cell r="DJ262">
            <v>22.424555351348332</v>
          </cell>
          <cell r="DU262">
            <v>33.245236827816441</v>
          </cell>
          <cell r="DV262">
            <v>11.644336226312735</v>
          </cell>
          <cell r="DW262">
            <v>9.8476005987137558</v>
          </cell>
          <cell r="DX262">
            <v>7.1073990168282446</v>
          </cell>
          <cell r="DY262">
            <v>12.587802180599267</v>
          </cell>
        </row>
        <row r="263">
          <cell r="A263">
            <v>39832</v>
          </cell>
          <cell r="DF263">
            <v>26.984877035144343</v>
          </cell>
          <cell r="DG263">
            <v>21.679348620667902</v>
          </cell>
          <cell r="DH263">
            <v>18.362277992096409</v>
          </cell>
          <cell r="DI263">
            <v>14.300000632844487</v>
          </cell>
          <cell r="DJ263">
            <v>22.424555351348332</v>
          </cell>
          <cell r="DU263">
            <v>33.2586634932442</v>
          </cell>
          <cell r="DV263">
            <v>11.644336226312735</v>
          </cell>
          <cell r="DW263">
            <v>9.8476005987137558</v>
          </cell>
          <cell r="DX263">
            <v>7.1073990168282446</v>
          </cell>
          <cell r="DY263">
            <v>12.587802180599267</v>
          </cell>
        </row>
        <row r="264">
          <cell r="A264">
            <v>39833</v>
          </cell>
          <cell r="DF264">
            <v>26.139526636294814</v>
          </cell>
          <cell r="DG264">
            <v>21.679348620667902</v>
          </cell>
          <cell r="DH264">
            <v>18.362277992096409</v>
          </cell>
          <cell r="DI264">
            <v>14.300000632844487</v>
          </cell>
          <cell r="DJ264">
            <v>22.424555351348332</v>
          </cell>
          <cell r="DU264">
            <v>32.117319499618624</v>
          </cell>
          <cell r="DV264">
            <v>11.644336226312735</v>
          </cell>
          <cell r="DW264">
            <v>9.8476005987137558</v>
          </cell>
          <cell r="DX264">
            <v>7.1073990168282446</v>
          </cell>
          <cell r="DY264">
            <v>12.587802180599267</v>
          </cell>
        </row>
        <row r="265">
          <cell r="A265">
            <v>39834</v>
          </cell>
          <cell r="DF265">
            <v>24.11854326132385</v>
          </cell>
          <cell r="DG265">
            <v>21.679348620667902</v>
          </cell>
          <cell r="DH265">
            <v>18.362277992096409</v>
          </cell>
          <cell r="DI265">
            <v>14.300000632844487</v>
          </cell>
          <cell r="DJ265">
            <v>22.424555351348332</v>
          </cell>
          <cell r="DU265">
            <v>29.62533895544215</v>
          </cell>
          <cell r="DV265">
            <v>11.644336226312735</v>
          </cell>
          <cell r="DW265">
            <v>9.8476005987137558</v>
          </cell>
          <cell r="DX265">
            <v>7.1073990168282446</v>
          </cell>
          <cell r="DY265">
            <v>12.587802180599267</v>
          </cell>
        </row>
        <row r="266">
          <cell r="A266">
            <v>39835</v>
          </cell>
          <cell r="DF266">
            <v>24.536358931622274</v>
          </cell>
          <cell r="DG266">
            <v>21.679348620667902</v>
          </cell>
          <cell r="DH266">
            <v>18.362277992096409</v>
          </cell>
          <cell r="DI266">
            <v>14.300000632844487</v>
          </cell>
          <cell r="DJ266">
            <v>22.424555351348332</v>
          </cell>
          <cell r="DU266">
            <v>30.191673125238271</v>
          </cell>
          <cell r="DV266">
            <v>11.644336226312735</v>
          </cell>
          <cell r="DW266">
            <v>9.8476005987137558</v>
          </cell>
          <cell r="DX266">
            <v>7.1073990168282446</v>
          </cell>
          <cell r="DY266">
            <v>12.587802180599267</v>
          </cell>
        </row>
        <row r="267">
          <cell r="A267">
            <v>39836</v>
          </cell>
          <cell r="DF267">
            <v>25.438971061707992</v>
          </cell>
          <cell r="DG267">
            <v>21.679348620667902</v>
          </cell>
          <cell r="DH267">
            <v>18.362277992096409</v>
          </cell>
          <cell r="DI267">
            <v>14.300000632844487</v>
          </cell>
          <cell r="DJ267">
            <v>22.424555351348332</v>
          </cell>
          <cell r="DU267">
            <v>31.415131524907427</v>
          </cell>
          <cell r="DV267">
            <v>11.644336226312735</v>
          </cell>
          <cell r="DW267">
            <v>9.8476005987137558</v>
          </cell>
          <cell r="DX267">
            <v>7.1073990168282446</v>
          </cell>
          <cell r="DY267">
            <v>12.587802180599267</v>
          </cell>
        </row>
        <row r="268">
          <cell r="A268">
            <v>39839</v>
          </cell>
          <cell r="DF268">
            <v>24.64799124184778</v>
          </cell>
          <cell r="DG268">
            <v>21.679348620667902</v>
          </cell>
          <cell r="DH268">
            <v>18.362277992096409</v>
          </cell>
          <cell r="DI268">
            <v>14.300000632844487</v>
          </cell>
          <cell r="DJ268">
            <v>22.424555351348332</v>
          </cell>
          <cell r="DU268">
            <v>30.342986721707327</v>
          </cell>
          <cell r="DV268">
            <v>11.644336226312735</v>
          </cell>
          <cell r="DW268">
            <v>9.8476005987137558</v>
          </cell>
          <cell r="DX268">
            <v>7.1073990168282446</v>
          </cell>
          <cell r="DY268">
            <v>12.587802180599267</v>
          </cell>
        </row>
        <row r="269">
          <cell r="A269">
            <v>39840</v>
          </cell>
          <cell r="DF269">
            <v>25.899139824556666</v>
          </cell>
          <cell r="DG269">
            <v>21.679348620667902</v>
          </cell>
          <cell r="DH269">
            <v>18.362277992096409</v>
          </cell>
          <cell r="DI269">
            <v>14.300000632844487</v>
          </cell>
          <cell r="DJ269">
            <v>22.424555351348332</v>
          </cell>
          <cell r="DU269">
            <v>30.524559060152402</v>
          </cell>
          <cell r="DV269">
            <v>11.644336226312735</v>
          </cell>
          <cell r="DW269">
            <v>9.8476005987137558</v>
          </cell>
          <cell r="DX269">
            <v>7.1073990168282446</v>
          </cell>
          <cell r="DY269">
            <v>12.587802180599267</v>
          </cell>
        </row>
        <row r="270">
          <cell r="A270">
            <v>39841</v>
          </cell>
          <cell r="DF270">
            <v>26.062463254269595</v>
          </cell>
          <cell r="DG270">
            <v>21.679348620667902</v>
          </cell>
          <cell r="DH270">
            <v>18.362277992096409</v>
          </cell>
          <cell r="DI270">
            <v>14.300000632844487</v>
          </cell>
          <cell r="DJ270">
            <v>22.424555351348332</v>
          </cell>
          <cell r="DU270">
            <v>30.628311285343408</v>
          </cell>
          <cell r="DV270">
            <v>11.644336226312735</v>
          </cell>
          <cell r="DW270">
            <v>9.8476005987137558</v>
          </cell>
          <cell r="DX270">
            <v>7.1073990168282446</v>
          </cell>
          <cell r="DY270">
            <v>12.587802180599267</v>
          </cell>
        </row>
        <row r="271">
          <cell r="A271">
            <v>39842</v>
          </cell>
          <cell r="DF271">
            <v>26.787343761575528</v>
          </cell>
          <cell r="DG271">
            <v>21.679348620667902</v>
          </cell>
          <cell r="DH271">
            <v>18.362277992096409</v>
          </cell>
          <cell r="DI271">
            <v>14.300000632844487</v>
          </cell>
          <cell r="DJ271">
            <v>22.424555351348332</v>
          </cell>
          <cell r="DU271">
            <v>32.249500598552125</v>
          </cell>
          <cell r="DV271">
            <v>11.644336226312735</v>
          </cell>
          <cell r="DW271">
            <v>9.8476005987137558</v>
          </cell>
          <cell r="DX271">
            <v>7.1073990168282446</v>
          </cell>
          <cell r="DY271">
            <v>12.587802180599267</v>
          </cell>
        </row>
        <row r="272">
          <cell r="A272">
            <v>39843</v>
          </cell>
          <cell r="DF272">
            <v>25.731457935188082</v>
          </cell>
          <cell r="DG272">
            <v>21.679348620667902</v>
          </cell>
          <cell r="DH272">
            <v>18.362277992096409</v>
          </cell>
          <cell r="DI272">
            <v>14.300000632844487</v>
          </cell>
          <cell r="DJ272">
            <v>22.424555351348332</v>
          </cell>
          <cell r="DU272">
            <v>30.857438510309276</v>
          </cell>
          <cell r="DV272">
            <v>11.644336226312735</v>
          </cell>
          <cell r="DW272">
            <v>9.8476005987137558</v>
          </cell>
          <cell r="DX272">
            <v>7.1073990168282446</v>
          </cell>
          <cell r="DY272">
            <v>12.587802180599267</v>
          </cell>
        </row>
        <row r="273">
          <cell r="A273">
            <v>39846</v>
          </cell>
          <cell r="DF273">
            <v>27.105421299254591</v>
          </cell>
          <cell r="DG273">
            <v>21.679348620667902</v>
          </cell>
          <cell r="DH273">
            <v>18.362277992096409</v>
          </cell>
          <cell r="DI273">
            <v>14.300000632844487</v>
          </cell>
          <cell r="DJ273">
            <v>22.424555351348332</v>
          </cell>
          <cell r="DU273">
            <v>32.668848666552599</v>
          </cell>
          <cell r="DV273">
            <v>11.644336226312735</v>
          </cell>
          <cell r="DW273">
            <v>9.8476005987137558</v>
          </cell>
          <cell r="DX273">
            <v>7.1073990168282446</v>
          </cell>
          <cell r="DY273">
            <v>12.587802180599267</v>
          </cell>
        </row>
        <row r="274">
          <cell r="A274">
            <v>39847</v>
          </cell>
          <cell r="DF274">
            <v>26.967697802402391</v>
          </cell>
          <cell r="DG274">
            <v>21.679348620667902</v>
          </cell>
          <cell r="DH274">
            <v>18.362277992096409</v>
          </cell>
          <cell r="DI274">
            <v>14.300000632844487</v>
          </cell>
          <cell r="DJ274">
            <v>22.424555351348332</v>
          </cell>
          <cell r="DU274">
            <v>32.487276328107527</v>
          </cell>
          <cell r="DV274">
            <v>11.644336226312735</v>
          </cell>
          <cell r="DW274">
            <v>9.8476005987137558</v>
          </cell>
          <cell r="DX274">
            <v>7.1073990168282446</v>
          </cell>
          <cell r="DY274">
            <v>12.587802180599267</v>
          </cell>
        </row>
        <row r="275">
          <cell r="A275">
            <v>39848</v>
          </cell>
          <cell r="DF275">
            <v>26.616831751031004</v>
          </cell>
          <cell r="DG275">
            <v>21.679348620667902</v>
          </cell>
          <cell r="DH275">
            <v>18.362277992096409</v>
          </cell>
          <cell r="DI275">
            <v>14.300000632844487</v>
          </cell>
          <cell r="DJ275">
            <v>22.424555351348332</v>
          </cell>
          <cell r="DU275">
            <v>32.024700435942499</v>
          </cell>
          <cell r="DV275">
            <v>11.644336226312735</v>
          </cell>
          <cell r="DW275">
            <v>9.8476005987137558</v>
          </cell>
          <cell r="DX275">
            <v>7.1073990168282446</v>
          </cell>
          <cell r="DY275">
            <v>12.587802180599267</v>
          </cell>
        </row>
        <row r="276">
          <cell r="A276">
            <v>39849</v>
          </cell>
          <cell r="DF276">
            <v>28.047134909631993</v>
          </cell>
          <cell r="DG276">
            <v>21.679348620667902</v>
          </cell>
          <cell r="DH276">
            <v>18.362277992096409</v>
          </cell>
          <cell r="DI276">
            <v>14.300000632844487</v>
          </cell>
          <cell r="DJ276">
            <v>22.424555351348332</v>
          </cell>
          <cell r="DU276">
            <v>32.573738461193869</v>
          </cell>
          <cell r="DV276">
            <v>11.644336226312735</v>
          </cell>
          <cell r="DW276">
            <v>9.8476005987137558</v>
          </cell>
          <cell r="DX276">
            <v>7.1073990168282446</v>
          </cell>
          <cell r="DY276">
            <v>12.587802180599267</v>
          </cell>
        </row>
        <row r="277">
          <cell r="A277">
            <v>39850</v>
          </cell>
          <cell r="DF277">
            <v>27.849810835035377</v>
          </cell>
          <cell r="DG277">
            <v>21.679348620667902</v>
          </cell>
          <cell r="DH277">
            <v>18.362277992096409</v>
          </cell>
          <cell r="DI277">
            <v>14.300000632844487</v>
          </cell>
          <cell r="DJ277">
            <v>22.424555351348332</v>
          </cell>
          <cell r="DU277">
            <v>32.322993649449963</v>
          </cell>
          <cell r="DV277">
            <v>11.644336226312735</v>
          </cell>
          <cell r="DW277">
            <v>9.8476005987137558</v>
          </cell>
          <cell r="DX277">
            <v>7.1073990168282446</v>
          </cell>
          <cell r="DY277">
            <v>12.587802180599267</v>
          </cell>
        </row>
        <row r="278">
          <cell r="A278">
            <v>39853</v>
          </cell>
          <cell r="DF278">
            <v>25.991333374283247</v>
          </cell>
          <cell r="DG278">
            <v>21.679348620667902</v>
          </cell>
          <cell r="DH278">
            <v>18.362277992096409</v>
          </cell>
          <cell r="DI278">
            <v>14.300000632844487</v>
          </cell>
          <cell r="DJ278">
            <v>22.424555351348332</v>
          </cell>
          <cell r="DU278">
            <v>23.753001020063071</v>
          </cell>
          <cell r="DV278">
            <v>11.644336226312735</v>
          </cell>
          <cell r="DW278">
            <v>9.8476005987137558</v>
          </cell>
          <cell r="DX278">
            <v>7.1073990168282446</v>
          </cell>
          <cell r="DY278">
            <v>12.587802180599267</v>
          </cell>
        </row>
        <row r="279">
          <cell r="A279">
            <v>39854</v>
          </cell>
          <cell r="DF279">
            <v>25.527083866609118</v>
          </cell>
          <cell r="DG279">
            <v>21.679348620667902</v>
          </cell>
          <cell r="DH279">
            <v>18.362277992096409</v>
          </cell>
          <cell r="DI279">
            <v>14.300000632844487</v>
          </cell>
          <cell r="DJ279">
            <v>22.424555351348332</v>
          </cell>
          <cell r="DU279">
            <v>23.287488618140209</v>
          </cell>
          <cell r="DV279">
            <v>11.644336226312735</v>
          </cell>
          <cell r="DW279">
            <v>9.8476005987137558</v>
          </cell>
          <cell r="DX279">
            <v>7.1073990168282446</v>
          </cell>
          <cell r="DY279">
            <v>12.587802180599267</v>
          </cell>
        </row>
        <row r="280">
          <cell r="A280">
            <v>39855</v>
          </cell>
          <cell r="DF280">
            <v>26.296503321383337</v>
          </cell>
          <cell r="DG280">
            <v>21.679348620667902</v>
          </cell>
          <cell r="DH280">
            <v>18.362277992096409</v>
          </cell>
          <cell r="DI280">
            <v>14.300000632844487</v>
          </cell>
          <cell r="DJ280">
            <v>22.424555351348332</v>
          </cell>
          <cell r="DU280">
            <v>24.059001118546643</v>
          </cell>
          <cell r="DV280">
            <v>11.644336226312735</v>
          </cell>
          <cell r="DW280">
            <v>9.8476005987137558</v>
          </cell>
          <cell r="DX280">
            <v>7.1073990168282446</v>
          </cell>
          <cell r="DY280">
            <v>12.587802180599267</v>
          </cell>
        </row>
        <row r="281">
          <cell r="A281">
            <v>39856</v>
          </cell>
          <cell r="DF281">
            <v>26.520800404459909</v>
          </cell>
          <cell r="DG281">
            <v>21.679348620667902</v>
          </cell>
          <cell r="DH281">
            <v>18.362277992096409</v>
          </cell>
          <cell r="DI281">
            <v>14.300000632844487</v>
          </cell>
          <cell r="DJ281">
            <v>22.424555351348332</v>
          </cell>
          <cell r="DU281">
            <v>24.130613453057645</v>
          </cell>
          <cell r="DV281">
            <v>11.644336226312735</v>
          </cell>
          <cell r="DW281">
            <v>9.8476005987137558</v>
          </cell>
          <cell r="DX281">
            <v>7.1073990168282446</v>
          </cell>
          <cell r="DY281">
            <v>12.587802180599267</v>
          </cell>
        </row>
        <row r="282">
          <cell r="A282">
            <v>39857</v>
          </cell>
          <cell r="DF282">
            <v>29.378003220145278</v>
          </cell>
          <cell r="DG282">
            <v>21.679348620667902</v>
          </cell>
          <cell r="DH282">
            <v>18.362277992096409</v>
          </cell>
          <cell r="DI282">
            <v>14.300000632844487</v>
          </cell>
          <cell r="DJ282">
            <v>22.424555351348332</v>
          </cell>
          <cell r="DU282">
            <v>26.692548577734819</v>
          </cell>
          <cell r="DV282">
            <v>11.644336226312735</v>
          </cell>
          <cell r="DW282">
            <v>9.8476005987137558</v>
          </cell>
          <cell r="DX282">
            <v>7.1073990168282446</v>
          </cell>
          <cell r="DY282">
            <v>12.587802180599267</v>
          </cell>
        </row>
        <row r="283">
          <cell r="A283">
            <v>39860</v>
          </cell>
          <cell r="DF283">
            <v>30.474172894089591</v>
          </cell>
          <cell r="DG283">
            <v>21.679348620667902</v>
          </cell>
          <cell r="DH283">
            <v>18.362277992096409</v>
          </cell>
          <cell r="DI283">
            <v>14.300000632844487</v>
          </cell>
          <cell r="DJ283">
            <v>22.424555351348332</v>
          </cell>
          <cell r="DU283">
            <v>27.262048663407665</v>
          </cell>
          <cell r="DV283">
            <v>11.644336226312735</v>
          </cell>
          <cell r="DW283">
            <v>9.8476005987137558</v>
          </cell>
          <cell r="DX283">
            <v>7.1073990168282446</v>
          </cell>
          <cell r="DY283">
            <v>12.587802180599267</v>
          </cell>
        </row>
        <row r="284">
          <cell r="A284">
            <v>39861</v>
          </cell>
          <cell r="DF284">
            <v>28.041720937077308</v>
          </cell>
          <cell r="DG284">
            <v>21.679348620667902</v>
          </cell>
          <cell r="DH284">
            <v>18.362277992096409</v>
          </cell>
          <cell r="DI284">
            <v>14.300000632844487</v>
          </cell>
          <cell r="DJ284">
            <v>22.424555351348332</v>
          </cell>
          <cell r="DU284">
            <v>26.435200872187625</v>
          </cell>
          <cell r="DV284">
            <v>11.644336226312735</v>
          </cell>
          <cell r="DW284">
            <v>9.8476005987137558</v>
          </cell>
          <cell r="DX284">
            <v>7.1073990168282446</v>
          </cell>
          <cell r="DY284">
            <v>12.587802180599267</v>
          </cell>
        </row>
        <row r="285">
          <cell r="A285">
            <v>39862</v>
          </cell>
          <cell r="DF285">
            <v>28.707929940083663</v>
          </cell>
          <cell r="DG285">
            <v>21.679348620667902</v>
          </cell>
          <cell r="DH285">
            <v>18.362277992096409</v>
          </cell>
          <cell r="DI285">
            <v>14.300000632844487</v>
          </cell>
          <cell r="DJ285">
            <v>22.424555351348332</v>
          </cell>
          <cell r="DU285">
            <v>27.144852890791075</v>
          </cell>
          <cell r="DV285">
            <v>11.644336226312735</v>
          </cell>
          <cell r="DW285">
            <v>9.8476005987137558</v>
          </cell>
          <cell r="DX285">
            <v>7.1073990168282446</v>
          </cell>
          <cell r="DY285">
            <v>12.587802180599267</v>
          </cell>
        </row>
        <row r="286">
          <cell r="A286">
            <v>39863</v>
          </cell>
          <cell r="DF286">
            <v>28.853877810554494</v>
          </cell>
          <cell r="DG286">
            <v>21.679348620667902</v>
          </cell>
          <cell r="DH286">
            <v>18.362277992096409</v>
          </cell>
          <cell r="DI286">
            <v>14.300000632844487</v>
          </cell>
          <cell r="DJ286">
            <v>22.424555351348332</v>
          </cell>
          <cell r="DU286">
            <v>27.294593134129997</v>
          </cell>
          <cell r="DV286">
            <v>11.644336226312735</v>
          </cell>
          <cell r="DW286">
            <v>9.8476005987137558</v>
          </cell>
          <cell r="DX286">
            <v>7.1073990168282446</v>
          </cell>
          <cell r="DY286">
            <v>12.587802180599267</v>
          </cell>
        </row>
        <row r="287">
          <cell r="A287">
            <v>39864</v>
          </cell>
          <cell r="DF287">
            <v>29.851078320471153</v>
          </cell>
          <cell r="DG287">
            <v>21.679348620667902</v>
          </cell>
          <cell r="DH287">
            <v>18.362277992096409</v>
          </cell>
          <cell r="DI287">
            <v>14.300000632844487</v>
          </cell>
          <cell r="DJ287">
            <v>22.424555351348332</v>
          </cell>
          <cell r="DU287">
            <v>25.707008359506446</v>
          </cell>
          <cell r="DV287">
            <v>11.644336226312735</v>
          </cell>
          <cell r="DW287">
            <v>9.8476005987137558</v>
          </cell>
          <cell r="DX287">
            <v>7.1073990168282446</v>
          </cell>
          <cell r="DY287">
            <v>12.587802180599267</v>
          </cell>
        </row>
        <row r="288">
          <cell r="A288">
            <v>39867</v>
          </cell>
          <cell r="DF288">
            <v>28.903955186000612</v>
          </cell>
          <cell r="DG288">
            <v>21.679348620667902</v>
          </cell>
          <cell r="DH288">
            <v>18.362277992096409</v>
          </cell>
          <cell r="DI288">
            <v>14.300000632844487</v>
          </cell>
          <cell r="DJ288">
            <v>22.424555351348332</v>
          </cell>
          <cell r="DU288">
            <v>24.821704246373059</v>
          </cell>
          <cell r="DV288">
            <v>11.644336226312735</v>
          </cell>
          <cell r="DW288">
            <v>9.8476005987137558</v>
          </cell>
          <cell r="DX288">
            <v>7.1073990168282446</v>
          </cell>
          <cell r="DY288">
            <v>12.587802180599267</v>
          </cell>
        </row>
        <row r="289">
          <cell r="A289">
            <v>39868</v>
          </cell>
          <cell r="DF289">
            <v>28.864206949002963</v>
          </cell>
          <cell r="DG289">
            <v>21.679348620667902</v>
          </cell>
          <cell r="DH289">
            <v>18.362277992096409</v>
          </cell>
          <cell r="DI289">
            <v>14.300000632844487</v>
          </cell>
          <cell r="DJ289">
            <v>22.424555351348332</v>
          </cell>
          <cell r="DU289">
            <v>24.784550389157342</v>
          </cell>
          <cell r="DV289">
            <v>11.644336226312735</v>
          </cell>
          <cell r="DW289">
            <v>9.8476005987137558</v>
          </cell>
          <cell r="DX289">
            <v>7.1073990168282446</v>
          </cell>
          <cell r="DY289">
            <v>12.587802180599267</v>
          </cell>
        </row>
        <row r="290">
          <cell r="A290">
            <v>39869</v>
          </cell>
          <cell r="DF290">
            <v>28.791350304309667</v>
          </cell>
          <cell r="DG290">
            <v>21.679348620667902</v>
          </cell>
          <cell r="DH290">
            <v>18.362277992096409</v>
          </cell>
          <cell r="DI290">
            <v>14.300000632844487</v>
          </cell>
          <cell r="DJ290">
            <v>22.424555351348332</v>
          </cell>
          <cell r="DU290">
            <v>24.716449120305825</v>
          </cell>
          <cell r="DV290">
            <v>11.644336226312735</v>
          </cell>
          <cell r="DW290">
            <v>9.8476005987137558</v>
          </cell>
          <cell r="DX290">
            <v>7.1073990168282446</v>
          </cell>
          <cell r="DY290">
            <v>12.587802180599267</v>
          </cell>
        </row>
        <row r="291">
          <cell r="A291">
            <v>39870</v>
          </cell>
          <cell r="DF291">
            <v>28.599280077997712</v>
          </cell>
          <cell r="DG291">
            <v>21.679348620667902</v>
          </cell>
          <cell r="DH291">
            <v>18.362277992096409</v>
          </cell>
          <cell r="DI291">
            <v>14.300000632844487</v>
          </cell>
          <cell r="DJ291">
            <v>22.424555351348332</v>
          </cell>
          <cell r="DU291">
            <v>24.536915377357509</v>
          </cell>
          <cell r="DV291">
            <v>11.644336226312735</v>
          </cell>
          <cell r="DW291">
            <v>9.8476005987137558</v>
          </cell>
          <cell r="DX291">
            <v>7.1073990168282446</v>
          </cell>
          <cell r="DY291">
            <v>12.587802180599267</v>
          </cell>
        </row>
        <row r="292">
          <cell r="A292">
            <v>39871</v>
          </cell>
          <cell r="DF292">
            <v>29.619259194834431</v>
          </cell>
          <cell r="DG292">
            <v>21.679348620667902</v>
          </cell>
          <cell r="DH292">
            <v>18.362277992096409</v>
          </cell>
          <cell r="DI292">
            <v>14.300000632844487</v>
          </cell>
          <cell r="DJ292">
            <v>22.424555351348332</v>
          </cell>
          <cell r="DU292">
            <v>25.490320140245597</v>
          </cell>
          <cell r="DV292">
            <v>11.644336226312735</v>
          </cell>
          <cell r="DW292">
            <v>9.8476005987137558</v>
          </cell>
          <cell r="DX292">
            <v>7.1073990168282446</v>
          </cell>
          <cell r="DY292">
            <v>12.587802180599267</v>
          </cell>
        </row>
        <row r="293">
          <cell r="A293">
            <v>39874</v>
          </cell>
          <cell r="DF293">
            <v>27.702014165552796</v>
          </cell>
          <cell r="DG293">
            <v>21.679348620667902</v>
          </cell>
          <cell r="DH293">
            <v>18.362277992096409</v>
          </cell>
          <cell r="DI293">
            <v>14.300000632844487</v>
          </cell>
          <cell r="DJ293">
            <v>22.424555351348332</v>
          </cell>
          <cell r="DU293">
            <v>25.960839911337143</v>
          </cell>
          <cell r="DV293">
            <v>11.644336226312735</v>
          </cell>
          <cell r="DW293">
            <v>9.8476005987137558</v>
          </cell>
          <cell r="DX293">
            <v>7.1073990168282446</v>
          </cell>
          <cell r="DY293">
            <v>12.587802180599267</v>
          </cell>
        </row>
        <row r="294">
          <cell r="A294">
            <v>39875</v>
          </cell>
          <cell r="DF294">
            <v>27.702014165552796</v>
          </cell>
          <cell r="DG294">
            <v>21.679348620667902</v>
          </cell>
          <cell r="DH294">
            <v>18.362277992096409</v>
          </cell>
          <cell r="DI294">
            <v>14.300000632844487</v>
          </cell>
          <cell r="DJ294">
            <v>22.424555351348332</v>
          </cell>
          <cell r="DU294">
            <v>25.960839911337143</v>
          </cell>
          <cell r="DV294">
            <v>11.644336226312735</v>
          </cell>
          <cell r="DW294">
            <v>9.8476005987137558</v>
          </cell>
          <cell r="DX294">
            <v>7.1073990168282446</v>
          </cell>
          <cell r="DY294">
            <v>12.587802180599267</v>
          </cell>
        </row>
        <row r="295">
          <cell r="A295">
            <v>39876</v>
          </cell>
          <cell r="DF295">
            <v>28.018750301020887</v>
          </cell>
          <cell r="DG295">
            <v>21.679348620667902</v>
          </cell>
          <cell r="DH295">
            <v>18.362277992096409</v>
          </cell>
          <cell r="DI295">
            <v>14.300000632844487</v>
          </cell>
          <cell r="DJ295">
            <v>22.424555351348332</v>
          </cell>
          <cell r="DU295">
            <v>26.282772732019353</v>
          </cell>
          <cell r="DV295">
            <v>11.644336226312735</v>
          </cell>
          <cell r="DW295">
            <v>9.8476005987137558</v>
          </cell>
          <cell r="DX295">
            <v>7.1073990168282446</v>
          </cell>
          <cell r="DY295">
            <v>12.587802180599267</v>
          </cell>
        </row>
        <row r="296">
          <cell r="A296">
            <v>39877</v>
          </cell>
          <cell r="DF296">
            <v>27.385278030084709</v>
          </cell>
          <cell r="DG296">
            <v>21.679348620667902</v>
          </cell>
          <cell r="DH296">
            <v>18.362277992096409</v>
          </cell>
          <cell r="DI296">
            <v>14.300000632844487</v>
          </cell>
          <cell r="DJ296">
            <v>22.424555351348332</v>
          </cell>
          <cell r="DU296">
            <v>25.638907090654932</v>
          </cell>
          <cell r="DV296">
            <v>11.644336226312735</v>
          </cell>
          <cell r="DW296">
            <v>9.8476005987137558</v>
          </cell>
          <cell r="DX296">
            <v>7.1073990168282446</v>
          </cell>
          <cell r="DY296">
            <v>12.587802180599267</v>
          </cell>
        </row>
        <row r="297">
          <cell r="A297">
            <v>39878</v>
          </cell>
          <cell r="DF297">
            <v>27.044181418539686</v>
          </cell>
          <cell r="DG297">
            <v>21.679348620667902</v>
          </cell>
          <cell r="DH297">
            <v>18.362277992096409</v>
          </cell>
          <cell r="DI297">
            <v>14.300000632844487</v>
          </cell>
          <cell r="DJ297">
            <v>22.424555351348332</v>
          </cell>
          <cell r="DU297">
            <v>25.292214111915545</v>
          </cell>
          <cell r="DV297">
            <v>11.644336226312735</v>
          </cell>
          <cell r="DW297">
            <v>9.8476005987137558</v>
          </cell>
          <cell r="DX297">
            <v>7.1073990168282446</v>
          </cell>
          <cell r="DY297">
            <v>12.587802180599267</v>
          </cell>
        </row>
        <row r="298">
          <cell r="A298">
            <v>39881</v>
          </cell>
          <cell r="DF298">
            <v>27.689829663791457</v>
          </cell>
          <cell r="DG298">
            <v>21.679348620667902</v>
          </cell>
          <cell r="DH298">
            <v>18.362277992096409</v>
          </cell>
          <cell r="DI298">
            <v>14.300000632844487</v>
          </cell>
          <cell r="DJ298">
            <v>22.424555351348332</v>
          </cell>
          <cell r="DU298">
            <v>25.948455498630846</v>
          </cell>
          <cell r="DV298">
            <v>11.644336226312735</v>
          </cell>
          <cell r="DW298">
            <v>9.8476005987137558</v>
          </cell>
          <cell r="DX298">
            <v>7.1073990168282446</v>
          </cell>
          <cell r="DY298">
            <v>12.587802180599267</v>
          </cell>
        </row>
        <row r="299">
          <cell r="A299">
            <v>39882</v>
          </cell>
          <cell r="DF299">
            <v>27.586283326537696</v>
          </cell>
          <cell r="DG299">
            <v>21.679348620667902</v>
          </cell>
          <cell r="DH299">
            <v>18.362277992096409</v>
          </cell>
          <cell r="DI299">
            <v>14.300000632844487</v>
          </cell>
          <cell r="DJ299">
            <v>22.424555351348332</v>
          </cell>
          <cell r="DU299">
            <v>25.843210278112664</v>
          </cell>
          <cell r="DV299">
            <v>11.644336226312735</v>
          </cell>
          <cell r="DW299">
            <v>9.8476005987137558</v>
          </cell>
          <cell r="DX299">
            <v>7.1073990168282446</v>
          </cell>
          <cell r="DY299">
            <v>12.587802180599267</v>
          </cell>
        </row>
        <row r="300">
          <cell r="A300">
            <v>39883</v>
          </cell>
          <cell r="DF300">
            <v>26.355892289949363</v>
          </cell>
          <cell r="DG300">
            <v>21.679348620667902</v>
          </cell>
          <cell r="DH300">
            <v>18.362277992096409</v>
          </cell>
          <cell r="DI300">
            <v>14.300000632844487</v>
          </cell>
          <cell r="DJ300">
            <v>22.424555351348332</v>
          </cell>
          <cell r="DU300">
            <v>24.592632233502723</v>
          </cell>
          <cell r="DV300">
            <v>11.644336226312735</v>
          </cell>
          <cell r="DW300">
            <v>9.8476005987137558</v>
          </cell>
          <cell r="DX300">
            <v>7.1073990168282446</v>
          </cell>
          <cell r="DY300">
            <v>12.587802180599267</v>
          </cell>
        </row>
        <row r="301">
          <cell r="A301">
            <v>39884</v>
          </cell>
          <cell r="DF301">
            <v>24.834014450864743</v>
          </cell>
          <cell r="DG301">
            <v>21.679348620667902</v>
          </cell>
          <cell r="DH301">
            <v>18.362277992096409</v>
          </cell>
          <cell r="DI301">
            <v>14.300000632844487</v>
          </cell>
          <cell r="DJ301">
            <v>22.424555351348332</v>
          </cell>
          <cell r="DU301">
            <v>23.044890193623171</v>
          </cell>
          <cell r="DV301">
            <v>11.644336226312735</v>
          </cell>
          <cell r="DW301">
            <v>9.8476005987137558</v>
          </cell>
          <cell r="DX301">
            <v>7.1073990168282446</v>
          </cell>
          <cell r="DY301">
            <v>12.587802180599267</v>
          </cell>
        </row>
        <row r="302">
          <cell r="A302">
            <v>39885</v>
          </cell>
          <cell r="DF302">
            <v>23.158921085870592</v>
          </cell>
          <cell r="DG302">
            <v>21.679348620667902</v>
          </cell>
          <cell r="DH302">
            <v>18.362277992096409</v>
          </cell>
          <cell r="DI302">
            <v>14.300000632844487</v>
          </cell>
          <cell r="DJ302">
            <v>22.424555351348332</v>
          </cell>
          <cell r="DU302">
            <v>21.147500336710941</v>
          </cell>
          <cell r="DV302">
            <v>11.644336226312735</v>
          </cell>
          <cell r="DW302">
            <v>9.8476005987137558</v>
          </cell>
          <cell r="DX302">
            <v>7.1073990168282446</v>
          </cell>
          <cell r="DY302">
            <v>12.587802180599267</v>
          </cell>
        </row>
        <row r="303">
          <cell r="A303">
            <v>39888</v>
          </cell>
          <cell r="DF303">
            <v>23.152832882894913</v>
          </cell>
          <cell r="DG303">
            <v>21.679348620667902</v>
          </cell>
          <cell r="DH303">
            <v>18.362277992096409</v>
          </cell>
          <cell r="DI303">
            <v>14.300000632844487</v>
          </cell>
          <cell r="DJ303">
            <v>22.424555351348332</v>
          </cell>
          <cell r="DU303">
            <v>21.141368964456131</v>
          </cell>
          <cell r="DV303">
            <v>11.644336226312735</v>
          </cell>
          <cell r="DW303">
            <v>9.8476005987137558</v>
          </cell>
          <cell r="DX303">
            <v>7.1073990168282446</v>
          </cell>
          <cell r="DY303">
            <v>12.587802180599267</v>
          </cell>
        </row>
        <row r="304">
          <cell r="A304">
            <v>39889</v>
          </cell>
          <cell r="DF304">
            <v>23.153656140040017</v>
          </cell>
          <cell r="DG304">
            <v>21.679348620667902</v>
          </cell>
          <cell r="DH304">
            <v>18.362277992096409</v>
          </cell>
          <cell r="DI304">
            <v>14.300000632844487</v>
          </cell>
          <cell r="DJ304">
            <v>22.424555351348332</v>
          </cell>
          <cell r="DU304">
            <v>21.141368964456131</v>
          </cell>
          <cell r="DV304">
            <v>11.644336226312735</v>
          </cell>
          <cell r="DW304">
            <v>9.8476005987137558</v>
          </cell>
          <cell r="DX304">
            <v>7.1073990168282446</v>
          </cell>
          <cell r="DY304">
            <v>12.587802180599267</v>
          </cell>
        </row>
        <row r="305">
          <cell r="A305">
            <v>39890</v>
          </cell>
          <cell r="DF305">
            <v>23.068376236531755</v>
          </cell>
          <cell r="DG305">
            <v>21.679348620667902</v>
          </cell>
          <cell r="DH305">
            <v>18.362277992096409</v>
          </cell>
          <cell r="DI305">
            <v>14.300000632844487</v>
          </cell>
          <cell r="DJ305">
            <v>22.424555351348332</v>
          </cell>
          <cell r="DU305">
            <v>21.055487425256381</v>
          </cell>
          <cell r="DV305">
            <v>11.644336226312735</v>
          </cell>
          <cell r="DW305">
            <v>9.8476005987137558</v>
          </cell>
          <cell r="DX305">
            <v>7.1073990168282446</v>
          </cell>
          <cell r="DY305">
            <v>12.587802180599267</v>
          </cell>
        </row>
        <row r="306">
          <cell r="A306">
            <v>39891</v>
          </cell>
          <cell r="DF306">
            <v>24.396036522221547</v>
          </cell>
          <cell r="DG306">
            <v>21.679348620667902</v>
          </cell>
          <cell r="DH306">
            <v>18.362277992096409</v>
          </cell>
          <cell r="DI306">
            <v>14.300000632844487</v>
          </cell>
          <cell r="DJ306">
            <v>22.424555351348332</v>
          </cell>
          <cell r="DU306">
            <v>23.426099945163742</v>
          </cell>
          <cell r="DV306">
            <v>11.644336226312735</v>
          </cell>
          <cell r="DW306">
            <v>9.8476005987137558</v>
          </cell>
          <cell r="DX306">
            <v>7.1073990168282446</v>
          </cell>
          <cell r="DY306">
            <v>12.587802180599267</v>
          </cell>
        </row>
        <row r="307">
          <cell r="A307">
            <v>39892</v>
          </cell>
          <cell r="DF307">
            <v>24.391219350328281</v>
          </cell>
          <cell r="DG307">
            <v>21.679348620667902</v>
          </cell>
          <cell r="DH307">
            <v>18.362277992096409</v>
          </cell>
          <cell r="DI307">
            <v>14.300000632844487</v>
          </cell>
          <cell r="DJ307">
            <v>22.424555351348332</v>
          </cell>
          <cell r="DU307">
            <v>23.465290196095221</v>
          </cell>
          <cell r="DV307">
            <v>11.644336226312735</v>
          </cell>
          <cell r="DW307">
            <v>9.8476005987137558</v>
          </cell>
          <cell r="DX307">
            <v>7.1073990168282446</v>
          </cell>
          <cell r="DY307">
            <v>12.587802180599267</v>
          </cell>
        </row>
        <row r="308">
          <cell r="A308">
            <v>39895</v>
          </cell>
          <cell r="DF308">
            <v>23.971005519280347</v>
          </cell>
          <cell r="DG308">
            <v>21.679348620667902</v>
          </cell>
          <cell r="DH308">
            <v>18.362277992096409</v>
          </cell>
          <cell r="DI308">
            <v>14.300000632844487</v>
          </cell>
          <cell r="DJ308">
            <v>22.424555351348332</v>
          </cell>
          <cell r="DU308">
            <v>23.021117035580485</v>
          </cell>
          <cell r="DV308">
            <v>11.644336226312735</v>
          </cell>
          <cell r="DW308">
            <v>9.8476005987137558</v>
          </cell>
          <cell r="DX308">
            <v>7.1073990168282446</v>
          </cell>
          <cell r="DY308">
            <v>12.587802180599267</v>
          </cell>
        </row>
        <row r="309">
          <cell r="A309">
            <v>39896</v>
          </cell>
          <cell r="DF309">
            <v>22.600344771821817</v>
          </cell>
          <cell r="DG309">
            <v>21.679348620667902</v>
          </cell>
          <cell r="DH309">
            <v>18.362277992096409</v>
          </cell>
          <cell r="DI309">
            <v>14.300000632844487</v>
          </cell>
          <cell r="DJ309">
            <v>22.424555351348332</v>
          </cell>
          <cell r="DU309">
            <v>22.092059098328665</v>
          </cell>
          <cell r="DV309">
            <v>11.644336226312735</v>
          </cell>
          <cell r="DW309">
            <v>9.8476005987137558</v>
          </cell>
          <cell r="DX309">
            <v>7.1073990168282446</v>
          </cell>
          <cell r="DY309">
            <v>12.587802180599267</v>
          </cell>
        </row>
        <row r="310">
          <cell r="A310">
            <v>39897</v>
          </cell>
          <cell r="DF310">
            <v>22.357455895942017</v>
          </cell>
          <cell r="DG310">
            <v>21.679348620667902</v>
          </cell>
          <cell r="DH310">
            <v>18.362277992096409</v>
          </cell>
          <cell r="DI310">
            <v>14.300000632844487</v>
          </cell>
          <cell r="DJ310">
            <v>22.424555351348332</v>
          </cell>
          <cell r="DU310">
            <v>21.363209649446034</v>
          </cell>
          <cell r="DV310">
            <v>11.644336226312735</v>
          </cell>
          <cell r="DW310">
            <v>9.8476005987137558</v>
          </cell>
          <cell r="DX310">
            <v>7.1073990168282446</v>
          </cell>
          <cell r="DY310">
            <v>12.587802180599267</v>
          </cell>
        </row>
        <row r="311">
          <cell r="A311">
            <v>39898</v>
          </cell>
          <cell r="DF311">
            <v>19.987838173110038</v>
          </cell>
          <cell r="DG311">
            <v>21.679348620667902</v>
          </cell>
          <cell r="DH311">
            <v>18.362277992096409</v>
          </cell>
          <cell r="DI311">
            <v>14.300000632844487</v>
          </cell>
          <cell r="DJ311">
            <v>22.424555351348332</v>
          </cell>
          <cell r="DU311">
            <v>18.789156996217113</v>
          </cell>
          <cell r="DV311">
            <v>11.644336226312735</v>
          </cell>
          <cell r="DW311">
            <v>9.8476005987137558</v>
          </cell>
          <cell r="DX311">
            <v>7.1073990168282446</v>
          </cell>
          <cell r="DY311">
            <v>12.587802180599267</v>
          </cell>
        </row>
        <row r="312">
          <cell r="A312">
            <v>39899</v>
          </cell>
          <cell r="DF312">
            <v>18.872517306165769</v>
          </cell>
          <cell r="DG312">
            <v>21.679348620667902</v>
          </cell>
          <cell r="DH312">
            <v>18.362277992096409</v>
          </cell>
          <cell r="DI312">
            <v>14.300000632844487</v>
          </cell>
          <cell r="DJ312">
            <v>22.424555351348332</v>
          </cell>
          <cell r="DU312">
            <v>16.367694591539149</v>
          </cell>
          <cell r="DV312">
            <v>11.644336226312735</v>
          </cell>
          <cell r="DW312">
            <v>9.8476005987137558</v>
          </cell>
          <cell r="DX312">
            <v>7.1073990168282446</v>
          </cell>
          <cell r="DY312">
            <v>12.587802180599267</v>
          </cell>
        </row>
        <row r="313">
          <cell r="A313">
            <v>39902</v>
          </cell>
          <cell r="DF313">
            <v>18.755661323318929</v>
          </cell>
          <cell r="DG313">
            <v>21.679348620667902</v>
          </cell>
          <cell r="DH313">
            <v>18.362277992096409</v>
          </cell>
          <cell r="DI313">
            <v>14.300000632844487</v>
          </cell>
          <cell r="DJ313">
            <v>22.424555351348332</v>
          </cell>
          <cell r="DU313">
            <v>16.25115760439618</v>
          </cell>
          <cell r="DV313">
            <v>11.644336226312735</v>
          </cell>
          <cell r="DW313">
            <v>9.8476005987137558</v>
          </cell>
          <cell r="DX313">
            <v>7.1073990168282446</v>
          </cell>
          <cell r="DY313">
            <v>12.587802180599267</v>
          </cell>
        </row>
        <row r="314">
          <cell r="A314">
            <v>39903</v>
          </cell>
          <cell r="DF314">
            <v>18.899345351371579</v>
          </cell>
          <cell r="DG314">
            <v>21.679348620667902</v>
          </cell>
          <cell r="DH314">
            <v>18.362277992096409</v>
          </cell>
          <cell r="DI314">
            <v>14.300000632844487</v>
          </cell>
          <cell r="DJ314">
            <v>22.424555351348332</v>
          </cell>
          <cell r="DU314">
            <v>15.394597317806115</v>
          </cell>
          <cell r="DV314">
            <v>11.644336226312735</v>
          </cell>
          <cell r="DW314">
            <v>9.8476005987137558</v>
          </cell>
          <cell r="DX314">
            <v>7.1073990168282446</v>
          </cell>
          <cell r="DY314">
            <v>12.587802180599267</v>
          </cell>
        </row>
        <row r="315">
          <cell r="A315">
            <v>39904</v>
          </cell>
          <cell r="DF315">
            <v>20.399578700007673</v>
          </cell>
          <cell r="DG315">
            <v>21.679348620667902</v>
          </cell>
          <cell r="DH315">
            <v>18.362277992096409</v>
          </cell>
          <cell r="DI315">
            <v>14.300000632844487</v>
          </cell>
          <cell r="DJ315">
            <v>22.424555351348332</v>
          </cell>
          <cell r="DU315">
            <v>16.513368010569145</v>
          </cell>
          <cell r="DV315">
            <v>11.644336226312735</v>
          </cell>
          <cell r="DW315">
            <v>9.8476005987137558</v>
          </cell>
          <cell r="DX315">
            <v>7.1073990168282446</v>
          </cell>
          <cell r="DY315">
            <v>12.587802180599267</v>
          </cell>
        </row>
        <row r="316">
          <cell r="A316">
            <v>39905</v>
          </cell>
          <cell r="DF316">
            <v>20.556257549628199</v>
          </cell>
          <cell r="DG316">
            <v>21.679348620667902</v>
          </cell>
          <cell r="DH316">
            <v>18.362277992096409</v>
          </cell>
          <cell r="DI316">
            <v>14.300000632844487</v>
          </cell>
          <cell r="DJ316">
            <v>22.424555351348332</v>
          </cell>
          <cell r="DU316">
            <v>16.659041429599146</v>
          </cell>
          <cell r="DV316">
            <v>11.644336226312735</v>
          </cell>
          <cell r="DW316">
            <v>9.8476005987137558</v>
          </cell>
          <cell r="DX316">
            <v>7.1073990168282446</v>
          </cell>
          <cell r="DY316">
            <v>12.587802180599267</v>
          </cell>
        </row>
        <row r="317">
          <cell r="A317">
            <v>39906</v>
          </cell>
          <cell r="DF317">
            <v>20.039234823644751</v>
          </cell>
          <cell r="DG317">
            <v>21.679348620667902</v>
          </cell>
          <cell r="DH317">
            <v>18.362277992096409</v>
          </cell>
          <cell r="DI317">
            <v>14.300000632844487</v>
          </cell>
          <cell r="DJ317">
            <v>22.424555351348332</v>
          </cell>
          <cell r="DU317">
            <v>14.925988265979221</v>
          </cell>
          <cell r="DV317">
            <v>11.644336226312735</v>
          </cell>
          <cell r="DW317">
            <v>9.8476005987137558</v>
          </cell>
          <cell r="DX317">
            <v>7.1073990168282446</v>
          </cell>
          <cell r="DY317">
            <v>12.587802180599267</v>
          </cell>
        </row>
        <row r="318">
          <cell r="A318">
            <v>39909</v>
          </cell>
          <cell r="DF318">
            <v>20.02066558641113</v>
          </cell>
          <cell r="DG318">
            <v>21.679348620667902</v>
          </cell>
          <cell r="DH318">
            <v>18.362277992096409</v>
          </cell>
          <cell r="DI318">
            <v>14.300000632844487</v>
          </cell>
          <cell r="DJ318">
            <v>22.424555351348332</v>
          </cell>
          <cell r="DU318">
            <v>14.910090711679787</v>
          </cell>
          <cell r="DV318">
            <v>11.644336226312735</v>
          </cell>
          <cell r="DW318">
            <v>9.8476005987137558</v>
          </cell>
          <cell r="DX318">
            <v>7.1073990168282446</v>
          </cell>
          <cell r="DY318">
            <v>12.587802180599267</v>
          </cell>
        </row>
        <row r="319">
          <cell r="A319">
            <v>39910</v>
          </cell>
          <cell r="DF319">
            <v>20.330008513605403</v>
          </cell>
          <cell r="DG319">
            <v>21.679348620667902</v>
          </cell>
          <cell r="DH319">
            <v>18.362277992096409</v>
          </cell>
          <cell r="DI319">
            <v>14.300000632844487</v>
          </cell>
          <cell r="DJ319">
            <v>22.424555351348332</v>
          </cell>
          <cell r="DU319">
            <v>15.174926360034446</v>
          </cell>
          <cell r="DV319">
            <v>11.644336226312735</v>
          </cell>
          <cell r="DW319">
            <v>9.8476005987137558</v>
          </cell>
          <cell r="DX319">
            <v>7.1073990168282446</v>
          </cell>
          <cell r="DY319">
            <v>12.587802180599267</v>
          </cell>
        </row>
        <row r="320">
          <cell r="A320">
            <v>39911</v>
          </cell>
          <cell r="DF320">
            <v>19.972492913167635</v>
          </cell>
          <cell r="DG320">
            <v>21.679348620667902</v>
          </cell>
          <cell r="DH320">
            <v>18.362277992096409</v>
          </cell>
          <cell r="DI320">
            <v>14.300000632844487</v>
          </cell>
          <cell r="DJ320">
            <v>22.424555351348332</v>
          </cell>
          <cell r="DU320">
            <v>15.058406090156549</v>
          </cell>
          <cell r="DV320">
            <v>11.644336226312735</v>
          </cell>
          <cell r="DW320">
            <v>9.8476005987137558</v>
          </cell>
          <cell r="DX320">
            <v>7.1073990168282446</v>
          </cell>
          <cell r="DY320">
            <v>12.587802180599267</v>
          </cell>
        </row>
        <row r="321">
          <cell r="A321">
            <v>39912</v>
          </cell>
          <cell r="DF321">
            <v>20.804680117882953</v>
          </cell>
          <cell r="DG321">
            <v>21.679348620667902</v>
          </cell>
          <cell r="DH321">
            <v>18.362277992096409</v>
          </cell>
          <cell r="DI321">
            <v>14.300000632844487</v>
          </cell>
          <cell r="DJ321">
            <v>22.424555351348332</v>
          </cell>
          <cell r="DU321">
            <v>15.778759053681219</v>
          </cell>
          <cell r="DV321">
            <v>11.644336226312735</v>
          </cell>
          <cell r="DW321">
            <v>9.8476005987137558</v>
          </cell>
          <cell r="DX321">
            <v>7.1073990168282446</v>
          </cell>
          <cell r="DY321">
            <v>12.587802180599267</v>
          </cell>
        </row>
        <row r="322">
          <cell r="A322">
            <v>39913</v>
          </cell>
          <cell r="DF322">
            <v>20.536875225967766</v>
          </cell>
          <cell r="DG322">
            <v>21.679348620667902</v>
          </cell>
          <cell r="DH322">
            <v>18.362277992096409</v>
          </cell>
          <cell r="DI322">
            <v>14.300000632844487</v>
          </cell>
          <cell r="DJ322">
            <v>22.424555351348332</v>
          </cell>
          <cell r="DU322">
            <v>15.407982789929136</v>
          </cell>
          <cell r="DV322">
            <v>11.644336226312735</v>
          </cell>
          <cell r="DW322">
            <v>9.8476005987137558</v>
          </cell>
          <cell r="DX322">
            <v>7.1073990168282446</v>
          </cell>
          <cell r="DY322">
            <v>12.587802180599267</v>
          </cell>
        </row>
        <row r="323">
          <cell r="A323">
            <v>39916</v>
          </cell>
          <cell r="DF323">
            <v>20.203849013949437</v>
          </cell>
          <cell r="DG323">
            <v>21.679348620667902</v>
          </cell>
          <cell r="DH323">
            <v>18.362277992096409</v>
          </cell>
          <cell r="DI323">
            <v>14.300000632844487</v>
          </cell>
          <cell r="DJ323">
            <v>22.424555351348332</v>
          </cell>
          <cell r="DU323">
            <v>15.121963997405185</v>
          </cell>
          <cell r="DV323">
            <v>11.644336226312735</v>
          </cell>
          <cell r="DW323">
            <v>9.8476005987137558</v>
          </cell>
          <cell r="DX323">
            <v>7.1073990168282446</v>
          </cell>
          <cell r="DY323">
            <v>12.587802180599267</v>
          </cell>
        </row>
        <row r="324">
          <cell r="A324">
            <v>39917</v>
          </cell>
          <cell r="DF324">
            <v>20.074332824466726</v>
          </cell>
          <cell r="DG324">
            <v>21.679348620667902</v>
          </cell>
          <cell r="DH324">
            <v>18.362277992096409</v>
          </cell>
          <cell r="DI324">
            <v>14.300000632844487</v>
          </cell>
          <cell r="DJ324">
            <v>22.424555351348332</v>
          </cell>
          <cell r="DU324">
            <v>15.010729317397148</v>
          </cell>
          <cell r="DV324">
            <v>11.644336226312735</v>
          </cell>
          <cell r="DW324">
            <v>9.8476005987137558</v>
          </cell>
          <cell r="DX324">
            <v>7.1073990168282446</v>
          </cell>
          <cell r="DY324">
            <v>12.587802180599267</v>
          </cell>
        </row>
        <row r="325">
          <cell r="A325">
            <v>39918</v>
          </cell>
          <cell r="DF325">
            <v>20.074332824466726</v>
          </cell>
          <cell r="DG325">
            <v>21.679348620667902</v>
          </cell>
          <cell r="DH325">
            <v>18.362277992096409</v>
          </cell>
          <cell r="DI325">
            <v>14.300000632844487</v>
          </cell>
          <cell r="DJ325">
            <v>22.424555351348332</v>
          </cell>
          <cell r="DU325">
            <v>15.010729317397148</v>
          </cell>
          <cell r="DV325">
            <v>11.644336226312735</v>
          </cell>
          <cell r="DW325">
            <v>9.8476005987137558</v>
          </cell>
          <cell r="DX325">
            <v>7.1073990168282446</v>
          </cell>
          <cell r="DY325">
            <v>12.587802180599267</v>
          </cell>
        </row>
        <row r="326">
          <cell r="A326">
            <v>39919</v>
          </cell>
          <cell r="DF326">
            <v>21.011755175124843</v>
          </cell>
          <cell r="DG326">
            <v>21.679348620667902</v>
          </cell>
          <cell r="DH326">
            <v>18.362277992096409</v>
          </cell>
          <cell r="DI326">
            <v>14.300000632844487</v>
          </cell>
          <cell r="DJ326">
            <v>22.424555351348332</v>
          </cell>
          <cell r="DU326">
            <v>15.815832336751788</v>
          </cell>
          <cell r="DV326">
            <v>11.644336226312735</v>
          </cell>
          <cell r="DW326">
            <v>9.8476005987137558</v>
          </cell>
          <cell r="DX326">
            <v>7.1073990168282446</v>
          </cell>
          <cell r="DY326">
            <v>12.587802180599267</v>
          </cell>
        </row>
        <row r="327">
          <cell r="A327">
            <v>39920</v>
          </cell>
          <cell r="DF327">
            <v>20.795897737361944</v>
          </cell>
          <cell r="DG327">
            <v>21.679348620667902</v>
          </cell>
          <cell r="DH327">
            <v>18.362277992096409</v>
          </cell>
          <cell r="DI327">
            <v>14.300000632844487</v>
          </cell>
          <cell r="DJ327">
            <v>22.424555351348332</v>
          </cell>
          <cell r="DU327">
            <v>15.630443675204456</v>
          </cell>
          <cell r="DV327">
            <v>11.644336226312735</v>
          </cell>
          <cell r="DW327">
            <v>9.8476005987137558</v>
          </cell>
          <cell r="DX327">
            <v>7.1073990168282446</v>
          </cell>
          <cell r="DY327">
            <v>12.587802180599267</v>
          </cell>
        </row>
        <row r="328">
          <cell r="A328">
            <v>39923</v>
          </cell>
          <cell r="DF328">
            <v>21.378951682509694</v>
          </cell>
          <cell r="DG328">
            <v>21.679348620667902</v>
          </cell>
          <cell r="DH328">
            <v>18.362277992096409</v>
          </cell>
          <cell r="DI328">
            <v>14.300000632844487</v>
          </cell>
          <cell r="DJ328">
            <v>22.424555351348332</v>
          </cell>
          <cell r="DU328">
            <v>16.371988787310464</v>
          </cell>
          <cell r="DV328">
            <v>11.644336226312735</v>
          </cell>
          <cell r="DW328">
            <v>9.8476005987137558</v>
          </cell>
          <cell r="DX328">
            <v>7.1073990168282446</v>
          </cell>
          <cell r="DY328">
            <v>12.587802180599267</v>
          </cell>
        </row>
        <row r="329">
          <cell r="A329">
            <v>39924</v>
          </cell>
          <cell r="DF329">
            <v>22.012037178793587</v>
          </cell>
          <cell r="DG329">
            <v>21.679348620667902</v>
          </cell>
          <cell r="DH329">
            <v>18.362277992096409</v>
          </cell>
          <cell r="DI329">
            <v>14.300000632844487</v>
          </cell>
          <cell r="DJ329">
            <v>22.424555351348332</v>
          </cell>
          <cell r="DU329">
            <v>16.922843228189077</v>
          </cell>
          <cell r="DV329">
            <v>11.644336226312735</v>
          </cell>
          <cell r="DW329">
            <v>9.8476005987137558</v>
          </cell>
          <cell r="DX329">
            <v>7.1073990168282446</v>
          </cell>
          <cell r="DY329">
            <v>12.587802180599267</v>
          </cell>
        </row>
        <row r="330">
          <cell r="A330">
            <v>39925</v>
          </cell>
          <cell r="DF330">
            <v>21.607665869093445</v>
          </cell>
          <cell r="DG330">
            <v>21.679348620667902</v>
          </cell>
          <cell r="DH330">
            <v>18.362277992096409</v>
          </cell>
          <cell r="DI330">
            <v>14.300000632844487</v>
          </cell>
          <cell r="DJ330">
            <v>22.424555351348332</v>
          </cell>
          <cell r="DU330">
            <v>16.508093769009019</v>
          </cell>
          <cell r="DV330">
            <v>11.644336226312735</v>
          </cell>
          <cell r="DW330">
            <v>9.8476005987137558</v>
          </cell>
          <cell r="DX330">
            <v>7.1073990168282446</v>
          </cell>
          <cell r="DY330">
            <v>12.587802180599267</v>
          </cell>
        </row>
        <row r="331">
          <cell r="A331">
            <v>39926</v>
          </cell>
          <cell r="DF331">
            <v>22.08210730392587</v>
          </cell>
          <cell r="DG331">
            <v>21.679348620667902</v>
          </cell>
          <cell r="DH331">
            <v>18.362277992096409</v>
          </cell>
          <cell r="DI331">
            <v>14.300000632844487</v>
          </cell>
          <cell r="DJ331">
            <v>22.424555351348332</v>
          </cell>
          <cell r="DU331">
            <v>16.917262111542939</v>
          </cell>
          <cell r="DV331">
            <v>11.644336226312735</v>
          </cell>
          <cell r="DW331">
            <v>9.8476005987137558</v>
          </cell>
          <cell r="DX331">
            <v>7.1073990168282446</v>
          </cell>
          <cell r="DY331">
            <v>12.587802180599267</v>
          </cell>
        </row>
        <row r="332">
          <cell r="A332">
            <v>39927</v>
          </cell>
          <cell r="DF332">
            <v>22.339831288891951</v>
          </cell>
          <cell r="DG332">
            <v>21.679348620667902</v>
          </cell>
          <cell r="DH332">
            <v>18.362277992096409</v>
          </cell>
          <cell r="DI332">
            <v>14.300000632844487</v>
          </cell>
          <cell r="DJ332">
            <v>22.424555351348332</v>
          </cell>
          <cell r="DU332">
            <v>17.139528735024196</v>
          </cell>
          <cell r="DV332">
            <v>11.644336226312735</v>
          </cell>
          <cell r="DW332">
            <v>9.8476005987137558</v>
          </cell>
          <cell r="DX332">
            <v>7.1073990168282446</v>
          </cell>
          <cell r="DY332">
            <v>12.587802180599267</v>
          </cell>
        </row>
        <row r="333">
          <cell r="A333">
            <v>39930</v>
          </cell>
          <cell r="DF333">
            <v>21.654516255707847</v>
          </cell>
          <cell r="DG333">
            <v>21.679348620667902</v>
          </cell>
          <cell r="DH333">
            <v>18.362277992096409</v>
          </cell>
          <cell r="DI333">
            <v>14.300000632844487</v>
          </cell>
          <cell r="DJ333">
            <v>22.424555351348332</v>
          </cell>
          <cell r="DU333">
            <v>16.54849853476237</v>
          </cell>
          <cell r="DV333">
            <v>11.644336226312735</v>
          </cell>
          <cell r="DW333">
            <v>9.8476005987137558</v>
          </cell>
          <cell r="DX333">
            <v>7.1073990168282446</v>
          </cell>
          <cell r="DY333">
            <v>12.587802180599267</v>
          </cell>
        </row>
        <row r="334">
          <cell r="A334">
            <v>39931</v>
          </cell>
          <cell r="DF334">
            <v>21.69552220507525</v>
          </cell>
          <cell r="DG334">
            <v>21.679348620667902</v>
          </cell>
          <cell r="DH334">
            <v>18.362277992096409</v>
          </cell>
          <cell r="DI334">
            <v>14.300000632844487</v>
          </cell>
          <cell r="DJ334">
            <v>22.424555351348332</v>
          </cell>
          <cell r="DU334">
            <v>16.583862934043005</v>
          </cell>
          <cell r="DV334">
            <v>11.644336226312735</v>
          </cell>
          <cell r="DW334">
            <v>9.8476005987137558</v>
          </cell>
          <cell r="DX334">
            <v>7.1073990168282446</v>
          </cell>
          <cell r="DY334">
            <v>12.587802180599267</v>
          </cell>
        </row>
        <row r="335">
          <cell r="A335">
            <v>39932</v>
          </cell>
          <cell r="DF335">
            <v>21.115643678200819</v>
          </cell>
          <cell r="DG335">
            <v>21.679348620667902</v>
          </cell>
          <cell r="DH335">
            <v>18.362277992096409</v>
          </cell>
          <cell r="DI335">
            <v>14.300000632844487</v>
          </cell>
          <cell r="DJ335">
            <v>22.424555351348332</v>
          </cell>
          <cell r="DU335">
            <v>16.083763410071139</v>
          </cell>
          <cell r="DV335">
            <v>11.644336226312735</v>
          </cell>
          <cell r="DW335">
            <v>9.8476005987137558</v>
          </cell>
          <cell r="DX335">
            <v>7.1073990168282446</v>
          </cell>
          <cell r="DY335">
            <v>12.587802180599267</v>
          </cell>
        </row>
        <row r="336">
          <cell r="A336">
            <v>39933</v>
          </cell>
          <cell r="DF336">
            <v>21.689667810378538</v>
          </cell>
          <cell r="DG336">
            <v>21.679348620667902</v>
          </cell>
          <cell r="DH336">
            <v>18.362277992096409</v>
          </cell>
          <cell r="DI336">
            <v>14.300000632844487</v>
          </cell>
          <cell r="DJ336">
            <v>22.424555351348332</v>
          </cell>
          <cell r="DU336">
            <v>16.578813980054743</v>
          </cell>
          <cell r="DV336">
            <v>11.644336226312735</v>
          </cell>
          <cell r="DW336">
            <v>9.8476005987137558</v>
          </cell>
          <cell r="DX336">
            <v>7.1073990168282446</v>
          </cell>
          <cell r="DY336">
            <v>12.587802180599267</v>
          </cell>
        </row>
        <row r="337">
          <cell r="A337">
            <v>39934</v>
          </cell>
          <cell r="DF337">
            <v>21.560806110761668</v>
          </cell>
          <cell r="DG337">
            <v>21.679348620667902</v>
          </cell>
          <cell r="DH337">
            <v>18.362277992096409</v>
          </cell>
          <cell r="DI337">
            <v>14.300000632844487</v>
          </cell>
          <cell r="DJ337">
            <v>22.424555351348332</v>
          </cell>
          <cell r="DU337">
            <v>16.4676809208881</v>
          </cell>
          <cell r="DV337">
            <v>11.644336226312735</v>
          </cell>
          <cell r="DW337">
            <v>9.8476005987137558</v>
          </cell>
          <cell r="DX337">
            <v>7.1073990168282446</v>
          </cell>
          <cell r="DY337">
            <v>12.587802180599267</v>
          </cell>
        </row>
        <row r="338">
          <cell r="A338">
            <v>39937</v>
          </cell>
          <cell r="DF338">
            <v>22.076244708976457</v>
          </cell>
          <cell r="DG338">
            <v>21.679348620667902</v>
          </cell>
          <cell r="DH338">
            <v>18.362277992096409</v>
          </cell>
          <cell r="DI338">
            <v>14.300000632844487</v>
          </cell>
          <cell r="DJ338">
            <v>22.424555351348332</v>
          </cell>
          <cell r="DU338">
            <v>16.91220608548306</v>
          </cell>
          <cell r="DV338">
            <v>11.644336226312735</v>
          </cell>
          <cell r="DW338">
            <v>9.8476005987137558</v>
          </cell>
          <cell r="DX338">
            <v>7.1073990168282446</v>
          </cell>
          <cell r="DY338">
            <v>12.587802180599267</v>
          </cell>
        </row>
        <row r="339">
          <cell r="A339">
            <v>39938</v>
          </cell>
          <cell r="DF339">
            <v>22.111395677914814</v>
          </cell>
          <cell r="DG339">
            <v>21.679348620667902</v>
          </cell>
          <cell r="DH339">
            <v>18.362277992096409</v>
          </cell>
          <cell r="DI339">
            <v>14.300000632844487</v>
          </cell>
          <cell r="DJ339">
            <v>22.424555351348332</v>
          </cell>
          <cell r="DU339">
            <v>16.942521025627464</v>
          </cell>
          <cell r="DV339">
            <v>11.644336226312735</v>
          </cell>
          <cell r="DW339">
            <v>9.8476005987137558</v>
          </cell>
          <cell r="DX339">
            <v>7.1073990168282446</v>
          </cell>
          <cell r="DY339">
            <v>12.587802180599267</v>
          </cell>
        </row>
        <row r="340">
          <cell r="A340">
            <v>39939</v>
          </cell>
          <cell r="DF340">
            <v>21.792003046458493</v>
          </cell>
          <cell r="DG340">
            <v>21.679348620667902</v>
          </cell>
          <cell r="DH340">
            <v>18.362277992096409</v>
          </cell>
          <cell r="DI340">
            <v>14.300000632844487</v>
          </cell>
          <cell r="DJ340">
            <v>22.424555351348332</v>
          </cell>
          <cell r="DU340">
            <v>15.795833106752005</v>
          </cell>
          <cell r="DV340">
            <v>11.644336226312735</v>
          </cell>
          <cell r="DW340">
            <v>9.8476005987137558</v>
          </cell>
          <cell r="DX340">
            <v>7.1073990168282446</v>
          </cell>
          <cell r="DY340">
            <v>12.587802180599267</v>
          </cell>
        </row>
        <row r="341">
          <cell r="A341">
            <v>39940</v>
          </cell>
          <cell r="DF341">
            <v>21.386625678696898</v>
          </cell>
          <cell r="DG341">
            <v>21.679348620667902</v>
          </cell>
          <cell r="DH341">
            <v>18.362277992096409</v>
          </cell>
          <cell r="DI341">
            <v>14.300000632844487</v>
          </cell>
          <cell r="DJ341">
            <v>22.424555351348332</v>
          </cell>
          <cell r="DU341">
            <v>15.462433929252068</v>
          </cell>
          <cell r="DV341">
            <v>11.644336226312735</v>
          </cell>
          <cell r="DW341">
            <v>9.8476005987137558</v>
          </cell>
          <cell r="DX341">
            <v>7.1073990168282446</v>
          </cell>
          <cell r="DY341">
            <v>12.587802180599267</v>
          </cell>
        </row>
        <row r="342">
          <cell r="A342">
            <v>39941</v>
          </cell>
          <cell r="DF342">
            <v>22.516761049554088</v>
          </cell>
          <cell r="DG342">
            <v>21.679348620667902</v>
          </cell>
          <cell r="DH342">
            <v>18.362277992096409</v>
          </cell>
          <cell r="DI342">
            <v>14.300000632844487</v>
          </cell>
          <cell r="DJ342">
            <v>22.424555351348332</v>
          </cell>
          <cell r="DU342">
            <v>16.391904178634526</v>
          </cell>
          <cell r="DV342">
            <v>11.644336226312735</v>
          </cell>
          <cell r="DW342">
            <v>9.8476005987137558</v>
          </cell>
          <cell r="DX342">
            <v>7.1073990168282446</v>
          </cell>
          <cell r="DY342">
            <v>12.587802180599267</v>
          </cell>
        </row>
        <row r="343">
          <cell r="A343">
            <v>39944</v>
          </cell>
          <cell r="DF343">
            <v>22.418494951232095</v>
          </cell>
          <cell r="DG343">
            <v>21.679348620667902</v>
          </cell>
          <cell r="DH343">
            <v>18.362277992096409</v>
          </cell>
          <cell r="DI343">
            <v>14.300000632844487</v>
          </cell>
          <cell r="DJ343">
            <v>22.424555351348332</v>
          </cell>
          <cell r="DU343">
            <v>16.311086059612283</v>
          </cell>
          <cell r="DV343">
            <v>11.644336226312735</v>
          </cell>
          <cell r="DW343">
            <v>9.8476005987137558</v>
          </cell>
          <cell r="DX343">
            <v>7.1073990168282446</v>
          </cell>
          <cell r="DY343">
            <v>12.587802180599267</v>
          </cell>
        </row>
        <row r="344">
          <cell r="A344">
            <v>39945</v>
          </cell>
          <cell r="DF344">
            <v>22.891426921848513</v>
          </cell>
          <cell r="DG344">
            <v>21.679348620667902</v>
          </cell>
          <cell r="DH344">
            <v>18.362277992096409</v>
          </cell>
          <cell r="DI344">
            <v>14.300000632844487</v>
          </cell>
          <cell r="DJ344">
            <v>22.424555351348332</v>
          </cell>
          <cell r="DU344">
            <v>16.700044947197902</v>
          </cell>
          <cell r="DV344">
            <v>11.644336226312735</v>
          </cell>
          <cell r="DW344">
            <v>9.8476005987137558</v>
          </cell>
          <cell r="DX344">
            <v>7.1073990168282446</v>
          </cell>
          <cell r="DY344">
            <v>12.587802180599267</v>
          </cell>
        </row>
        <row r="345">
          <cell r="A345">
            <v>39946</v>
          </cell>
          <cell r="DF345">
            <v>22.541334176842003</v>
          </cell>
          <cell r="DG345">
            <v>21.679348620667902</v>
          </cell>
          <cell r="DH345">
            <v>18.362277992096409</v>
          </cell>
          <cell r="DI345">
            <v>14.300000632844487</v>
          </cell>
          <cell r="DJ345">
            <v>22.424555351348332</v>
          </cell>
          <cell r="DU345">
            <v>16.412114138730793</v>
          </cell>
          <cell r="DV345">
            <v>11.644336226312735</v>
          </cell>
          <cell r="DW345">
            <v>9.8476005987137558</v>
          </cell>
          <cell r="DX345">
            <v>7.1073990168282446</v>
          </cell>
          <cell r="DY345">
            <v>12.587802180599267</v>
          </cell>
        </row>
        <row r="346">
          <cell r="A346">
            <v>39947</v>
          </cell>
          <cell r="DF346">
            <v>21.405892063492061</v>
          </cell>
          <cell r="DG346">
            <v>21.679348620667902</v>
          </cell>
          <cell r="DH346">
            <v>18.362277992096409</v>
          </cell>
          <cell r="DI346">
            <v>14.300000632844487</v>
          </cell>
          <cell r="DJ346">
            <v>22.424555351348332</v>
          </cell>
          <cell r="DU346">
            <v>15.706486769924174</v>
          </cell>
          <cell r="DV346">
            <v>11.644336226312735</v>
          </cell>
          <cell r="DW346">
            <v>9.8476005987137558</v>
          </cell>
          <cell r="DX346">
            <v>7.1073990168282446</v>
          </cell>
          <cell r="DY346">
            <v>12.587802180599267</v>
          </cell>
        </row>
        <row r="347">
          <cell r="A347">
            <v>39948</v>
          </cell>
          <cell r="DF347">
            <v>21.82312743764172</v>
          </cell>
          <cell r="DG347">
            <v>21.679348620667902</v>
          </cell>
          <cell r="DH347">
            <v>18.362277992096409</v>
          </cell>
          <cell r="DI347">
            <v>14.300000632844487</v>
          </cell>
          <cell r="DJ347">
            <v>22.424555351348332</v>
          </cell>
          <cell r="DU347">
            <v>16.053957842050103</v>
          </cell>
          <cell r="DV347">
            <v>11.644336226312735</v>
          </cell>
          <cell r="DW347">
            <v>9.8476005987137558</v>
          </cell>
          <cell r="DX347">
            <v>7.1073990168282446</v>
          </cell>
          <cell r="DY347">
            <v>12.587802180599267</v>
          </cell>
        </row>
        <row r="348">
          <cell r="A348">
            <v>39951</v>
          </cell>
          <cell r="DF348">
            <v>22.675736961451246</v>
          </cell>
          <cell r="DG348">
            <v>21.679348620667902</v>
          </cell>
          <cell r="DH348">
            <v>18.362277992096409</v>
          </cell>
          <cell r="DI348">
            <v>14.300000632844487</v>
          </cell>
          <cell r="DJ348">
            <v>22.424555351348332</v>
          </cell>
          <cell r="DU348">
            <v>16.764005847799034</v>
          </cell>
          <cell r="DV348">
            <v>11.644336226312735</v>
          </cell>
          <cell r="DW348">
            <v>9.8476005987137558</v>
          </cell>
          <cell r="DX348">
            <v>7.1073990168282446</v>
          </cell>
          <cell r="DY348">
            <v>12.587802180599267</v>
          </cell>
        </row>
        <row r="349">
          <cell r="A349">
            <v>39952</v>
          </cell>
          <cell r="DF349">
            <v>20.922141194255481</v>
          </cell>
          <cell r="DG349">
            <v>21.679348620667902</v>
          </cell>
          <cell r="DH349">
            <v>18.362277992096409</v>
          </cell>
          <cell r="DI349">
            <v>14.300000632844487</v>
          </cell>
          <cell r="DJ349">
            <v>22.424555351348332</v>
          </cell>
          <cell r="DU349">
            <v>15.313150124485562</v>
          </cell>
          <cell r="DV349">
            <v>11.644336226312735</v>
          </cell>
          <cell r="DW349">
            <v>9.8476005987137558</v>
          </cell>
          <cell r="DX349">
            <v>7.1073990168282446</v>
          </cell>
          <cell r="DY349">
            <v>12.587802180599267</v>
          </cell>
        </row>
        <row r="350">
          <cell r="A350">
            <v>39953</v>
          </cell>
          <cell r="DF350">
            <v>21.865450642479214</v>
          </cell>
          <cell r="DG350">
            <v>21.679348620667902</v>
          </cell>
          <cell r="DH350">
            <v>18.362277992096409</v>
          </cell>
          <cell r="DI350">
            <v>14.300000632844487</v>
          </cell>
          <cell r="DJ350">
            <v>22.424555351348332</v>
          </cell>
          <cell r="DU350">
            <v>16.099221581691957</v>
          </cell>
          <cell r="DV350">
            <v>11.644336226312735</v>
          </cell>
          <cell r="DW350">
            <v>9.8476005987137558</v>
          </cell>
          <cell r="DX350">
            <v>7.1073990168282446</v>
          </cell>
          <cell r="DY350">
            <v>12.587802180599267</v>
          </cell>
        </row>
        <row r="351">
          <cell r="A351">
            <v>39954</v>
          </cell>
          <cell r="DF351">
            <v>21.557063643235072</v>
          </cell>
          <cell r="DG351">
            <v>21.679348620667902</v>
          </cell>
          <cell r="DH351">
            <v>18.362277992096409</v>
          </cell>
          <cell r="DI351">
            <v>14.300000632844487</v>
          </cell>
          <cell r="DJ351">
            <v>22.424555351348332</v>
          </cell>
          <cell r="DU351">
            <v>15.842238872215422</v>
          </cell>
          <cell r="DV351">
            <v>11.644336226312735</v>
          </cell>
          <cell r="DW351">
            <v>9.8476005987137558</v>
          </cell>
          <cell r="DX351">
            <v>7.1073990168282446</v>
          </cell>
          <cell r="DY351">
            <v>12.587802180599267</v>
          </cell>
        </row>
        <row r="352">
          <cell r="A352">
            <v>39955</v>
          </cell>
          <cell r="DF352">
            <v>16.189522848578953</v>
          </cell>
          <cell r="DG352">
            <v>21.679348620667902</v>
          </cell>
          <cell r="DH352">
            <v>18.362277992096409</v>
          </cell>
          <cell r="DI352">
            <v>14.300000632844487</v>
          </cell>
          <cell r="DJ352">
            <v>22.424555351348332</v>
          </cell>
          <cell r="DU352">
            <v>11.8053225806801</v>
          </cell>
          <cell r="DV352">
            <v>11.644336226312735</v>
          </cell>
          <cell r="DW352">
            <v>9.8476005987137558</v>
          </cell>
          <cell r="DX352">
            <v>7.1073990168282446</v>
          </cell>
          <cell r="DY352">
            <v>12.587802180599267</v>
          </cell>
        </row>
        <row r="353">
          <cell r="A353">
            <v>39958</v>
          </cell>
          <cell r="DF353">
            <v>16.358717308782943</v>
          </cell>
          <cell r="DG353">
            <v>21.679348620667902</v>
          </cell>
          <cell r="DH353">
            <v>18.362277992096409</v>
          </cell>
          <cell r="DI353">
            <v>14.300000632844487</v>
          </cell>
          <cell r="DJ353">
            <v>22.424555351348332</v>
          </cell>
          <cell r="DU353">
            <v>11.794502243776156</v>
          </cell>
          <cell r="DV353">
            <v>11.644336226312735</v>
          </cell>
          <cell r="DW353">
            <v>9.8476005987137558</v>
          </cell>
          <cell r="DX353">
            <v>7.1073990168282446</v>
          </cell>
          <cell r="DY353">
            <v>12.587802180599267</v>
          </cell>
        </row>
        <row r="354">
          <cell r="A354">
            <v>39959</v>
          </cell>
          <cell r="DF354">
            <v>16.358717308782943</v>
          </cell>
          <cell r="DG354">
            <v>21.679348620667902</v>
          </cell>
          <cell r="DH354">
            <v>18.362277992096409</v>
          </cell>
          <cell r="DI354">
            <v>14.300000632844487</v>
          </cell>
          <cell r="DJ354">
            <v>22.424555351348332</v>
          </cell>
          <cell r="DU354">
            <v>11.794502243776156</v>
          </cell>
          <cell r="DV354">
            <v>11.644336226312735</v>
          </cell>
          <cell r="DW354">
            <v>9.8476005987137558</v>
          </cell>
          <cell r="DX354">
            <v>7.1073990168282446</v>
          </cell>
          <cell r="DY354">
            <v>12.587802180599267</v>
          </cell>
        </row>
        <row r="355">
          <cell r="A355">
            <v>39960</v>
          </cell>
          <cell r="DF355">
            <v>15.993791447328658</v>
          </cell>
          <cell r="DG355">
            <v>21.679348620667902</v>
          </cell>
          <cell r="DH355">
            <v>18.362277992096409</v>
          </cell>
          <cell r="DI355">
            <v>14.300000632844487</v>
          </cell>
          <cell r="DJ355">
            <v>22.424555351348332</v>
          </cell>
          <cell r="DU355">
            <v>11.480554958902438</v>
          </cell>
          <cell r="DV355">
            <v>11.644336226312735</v>
          </cell>
          <cell r="DW355">
            <v>9.8476005987137558</v>
          </cell>
          <cell r="DX355">
            <v>7.1073990168282446</v>
          </cell>
          <cell r="DY355">
            <v>12.587802180599267</v>
          </cell>
        </row>
        <row r="356">
          <cell r="A356">
            <v>39961</v>
          </cell>
          <cell r="DF356">
            <v>15.597403997400972</v>
          </cell>
          <cell r="DG356">
            <v>21.679348620667902</v>
          </cell>
          <cell r="DH356">
            <v>18.362277992096409</v>
          </cell>
          <cell r="DI356">
            <v>14.300000632844487</v>
          </cell>
          <cell r="DJ356">
            <v>22.424555351348332</v>
          </cell>
          <cell r="DU356">
            <v>11.139541134431676</v>
          </cell>
          <cell r="DV356">
            <v>11.644336226312735</v>
          </cell>
          <cell r="DW356">
            <v>9.8476005987137558</v>
          </cell>
          <cell r="DX356">
            <v>7.1073990168282446</v>
          </cell>
          <cell r="DY356">
            <v>12.587802180599267</v>
          </cell>
        </row>
        <row r="357">
          <cell r="A357">
            <v>39962</v>
          </cell>
          <cell r="DF357">
            <v>15.555904894646773</v>
          </cell>
          <cell r="DG357">
            <v>21.679348620667902</v>
          </cell>
          <cell r="DH357">
            <v>18.362277992096409</v>
          </cell>
          <cell r="DI357">
            <v>14.300000632844487</v>
          </cell>
          <cell r="DJ357">
            <v>22.424555351348332</v>
          </cell>
          <cell r="DU357">
            <v>11.042105056122246</v>
          </cell>
          <cell r="DV357">
            <v>11.644336226312735</v>
          </cell>
          <cell r="DW357">
            <v>9.8476005987137558</v>
          </cell>
          <cell r="DX357">
            <v>7.1073990168282446</v>
          </cell>
          <cell r="DY357">
            <v>12.587802180599267</v>
          </cell>
        </row>
        <row r="358">
          <cell r="A358">
            <v>39965</v>
          </cell>
          <cell r="DF358">
            <v>15.612800601758188</v>
          </cell>
          <cell r="DG358">
            <v>21.679348620667902</v>
          </cell>
          <cell r="DH358">
            <v>18.362277992096409</v>
          </cell>
          <cell r="DI358">
            <v>14.300000632844487</v>
          </cell>
          <cell r="DJ358">
            <v>22.424555351348332</v>
          </cell>
          <cell r="DU358">
            <v>11.090826884289383</v>
          </cell>
          <cell r="DV358">
            <v>11.644336226312735</v>
          </cell>
          <cell r="DW358">
            <v>9.8476005987137558</v>
          </cell>
          <cell r="DX358">
            <v>7.1073990168282446</v>
          </cell>
          <cell r="DY358">
            <v>12.587802180599267</v>
          </cell>
        </row>
        <row r="359">
          <cell r="A359">
            <v>39966</v>
          </cell>
          <cell r="DF359">
            <v>15.878280821854483</v>
          </cell>
          <cell r="DG359">
            <v>21.679348620667902</v>
          </cell>
          <cell r="DH359">
            <v>18.362277992096409</v>
          </cell>
          <cell r="DI359">
            <v>14.300000632844487</v>
          </cell>
          <cell r="DJ359">
            <v>22.424555351348332</v>
          </cell>
          <cell r="DU359">
            <v>11.318167088357441</v>
          </cell>
          <cell r="DV359">
            <v>11.644336226312735</v>
          </cell>
          <cell r="DW359">
            <v>9.8476005987137558</v>
          </cell>
          <cell r="DX359">
            <v>7.1073990168282446</v>
          </cell>
          <cell r="DY359">
            <v>12.587802180599267</v>
          </cell>
        </row>
        <row r="360">
          <cell r="A360">
            <v>39967</v>
          </cell>
          <cell r="DF360">
            <v>16.361412894624998</v>
          </cell>
          <cell r="DG360">
            <v>21.679348620667902</v>
          </cell>
          <cell r="DH360">
            <v>18.362277992096409</v>
          </cell>
          <cell r="DI360">
            <v>14.300000632844487</v>
          </cell>
          <cell r="DJ360">
            <v>22.424555351348332</v>
          </cell>
          <cell r="DU360">
            <v>11.220731010048009</v>
          </cell>
          <cell r="DV360">
            <v>11.644336226312735</v>
          </cell>
          <cell r="DW360">
            <v>9.8476005987137558</v>
          </cell>
          <cell r="DX360">
            <v>7.1073990168282446</v>
          </cell>
          <cell r="DY360">
            <v>12.587802180599267</v>
          </cell>
        </row>
        <row r="361">
          <cell r="A361">
            <v>39968</v>
          </cell>
          <cell r="DF361">
            <v>16.676315137760071</v>
          </cell>
          <cell r="DG361">
            <v>21.679348620667902</v>
          </cell>
          <cell r="DH361">
            <v>18.362277992096409</v>
          </cell>
          <cell r="DI361">
            <v>14.300000632844487</v>
          </cell>
          <cell r="DJ361">
            <v>22.424555351348332</v>
          </cell>
          <cell r="DU361">
            <v>11.480554958902438</v>
          </cell>
          <cell r="DV361">
            <v>11.644336226312735</v>
          </cell>
          <cell r="DW361">
            <v>9.8476005987137558</v>
          </cell>
          <cell r="DX361">
            <v>7.1073990168282446</v>
          </cell>
          <cell r="DY361">
            <v>12.587802180599267</v>
          </cell>
        </row>
        <row r="362">
          <cell r="A362">
            <v>39969</v>
          </cell>
          <cell r="DF362">
            <v>16.659604243275684</v>
          </cell>
          <cell r="DG362">
            <v>21.679348620667902</v>
          </cell>
          <cell r="DH362">
            <v>18.362277992096409</v>
          </cell>
          <cell r="DI362">
            <v>14.300000632844487</v>
          </cell>
          <cell r="DJ362">
            <v>22.424555351348332</v>
          </cell>
          <cell r="DU362">
            <v>11.356052882283453</v>
          </cell>
          <cell r="DV362">
            <v>11.644336226312735</v>
          </cell>
          <cell r="DW362">
            <v>9.8476005987137558</v>
          </cell>
          <cell r="DX362">
            <v>7.1073990168282446</v>
          </cell>
          <cell r="DY362">
            <v>12.587802180599267</v>
          </cell>
        </row>
        <row r="363">
          <cell r="A363">
            <v>39972</v>
          </cell>
          <cell r="DF363">
            <v>16.527334594324586</v>
          </cell>
          <cell r="DG363">
            <v>21.679348620667902</v>
          </cell>
          <cell r="DH363">
            <v>18.362277992096409</v>
          </cell>
          <cell r="DI363">
            <v>14.300000632844487</v>
          </cell>
          <cell r="DJ363">
            <v>22.424555351348332</v>
          </cell>
          <cell r="DU363">
            <v>11.247797008357564</v>
          </cell>
          <cell r="DV363">
            <v>11.644336226312735</v>
          </cell>
          <cell r="DW363">
            <v>9.8476005987137558</v>
          </cell>
          <cell r="DX363">
            <v>7.1073990168282446</v>
          </cell>
          <cell r="DY363">
            <v>12.587802180599267</v>
          </cell>
        </row>
        <row r="364">
          <cell r="A364">
            <v>39973</v>
          </cell>
          <cell r="DF364">
            <v>16.752193725035436</v>
          </cell>
          <cell r="DG364">
            <v>21.679348620667902</v>
          </cell>
          <cell r="DH364">
            <v>18.362277992096409</v>
          </cell>
          <cell r="DI364">
            <v>14.300000632844487</v>
          </cell>
          <cell r="DJ364">
            <v>22.424555351348332</v>
          </cell>
          <cell r="DU364">
            <v>11.431832589447811</v>
          </cell>
          <cell r="DV364">
            <v>11.644336226312735</v>
          </cell>
          <cell r="DW364">
            <v>9.8476005987137558</v>
          </cell>
          <cell r="DX364">
            <v>7.1073990168282446</v>
          </cell>
          <cell r="DY364">
            <v>12.587802180599267</v>
          </cell>
        </row>
        <row r="365">
          <cell r="A365">
            <v>39974</v>
          </cell>
          <cell r="DF365">
            <v>17.221762651783454</v>
          </cell>
          <cell r="DG365">
            <v>21.679348620667902</v>
          </cell>
          <cell r="DH365">
            <v>18.362277992096409</v>
          </cell>
          <cell r="DI365">
            <v>14.300000632844487</v>
          </cell>
          <cell r="DJ365">
            <v>22.424555351348332</v>
          </cell>
          <cell r="DU365">
            <v>11.816150495608895</v>
          </cell>
          <cell r="DV365">
            <v>11.644336226312735</v>
          </cell>
          <cell r="DW365">
            <v>9.8476005987137558</v>
          </cell>
          <cell r="DX365">
            <v>7.1073990168282446</v>
          </cell>
          <cell r="DY365">
            <v>12.587802180599267</v>
          </cell>
        </row>
        <row r="366">
          <cell r="A366">
            <v>39975</v>
          </cell>
          <cell r="DF366">
            <v>17.446621782494304</v>
          </cell>
          <cell r="DG366">
            <v>21.679348620667902</v>
          </cell>
          <cell r="DH366">
            <v>18.362277992096409</v>
          </cell>
          <cell r="DI366">
            <v>14.300000632844487</v>
          </cell>
          <cell r="DJ366">
            <v>22.424555351348332</v>
          </cell>
          <cell r="DU366">
            <v>12.000186076699139</v>
          </cell>
          <cell r="DV366">
            <v>11.644336226312735</v>
          </cell>
          <cell r="DW366">
            <v>9.8476005987137558</v>
          </cell>
          <cell r="DX366">
            <v>7.1073990168282446</v>
          </cell>
          <cell r="DY366">
            <v>12.587802180599267</v>
          </cell>
        </row>
        <row r="367">
          <cell r="A367">
            <v>39976</v>
          </cell>
          <cell r="DF367">
            <v>17.320962408403659</v>
          </cell>
          <cell r="DG367">
            <v>21.679348620667902</v>
          </cell>
          <cell r="DH367">
            <v>18.362277992096409</v>
          </cell>
          <cell r="DI367">
            <v>14.300000632844487</v>
          </cell>
          <cell r="DJ367">
            <v>22.424555351348332</v>
          </cell>
          <cell r="DU367">
            <v>11.897340371225228</v>
          </cell>
          <cell r="DV367">
            <v>11.644336226312735</v>
          </cell>
          <cell r="DW367">
            <v>9.8476005987137558</v>
          </cell>
          <cell r="DX367">
            <v>7.1073990168282446</v>
          </cell>
          <cell r="DY367">
            <v>12.587802180599267</v>
          </cell>
        </row>
        <row r="368">
          <cell r="A368">
            <v>39979</v>
          </cell>
          <cell r="DF368">
            <v>17.797140948653965</v>
          </cell>
          <cell r="DG368">
            <v>21.679348620667902</v>
          </cell>
          <cell r="DH368">
            <v>18.362277992096409</v>
          </cell>
          <cell r="DI368">
            <v>14.300000632844487</v>
          </cell>
          <cell r="DJ368">
            <v>22.424555351348332</v>
          </cell>
          <cell r="DU368">
            <v>12.28706790455079</v>
          </cell>
          <cell r="DV368">
            <v>11.644336226312735</v>
          </cell>
          <cell r="DW368">
            <v>9.8476005987137558</v>
          </cell>
          <cell r="DX368">
            <v>7.1073990168282446</v>
          </cell>
          <cell r="DY368">
            <v>12.587802180599267</v>
          </cell>
        </row>
        <row r="369">
          <cell r="A369">
            <v>39980</v>
          </cell>
          <cell r="DF369">
            <v>18.405589137855369</v>
          </cell>
          <cell r="DG369">
            <v>21.679348620667902</v>
          </cell>
          <cell r="DH369">
            <v>18.362277992096409</v>
          </cell>
          <cell r="DI369">
            <v>14.300000632844487</v>
          </cell>
          <cell r="DJ369">
            <v>22.424555351348332</v>
          </cell>
          <cell r="DU369">
            <v>12.785051311802247</v>
          </cell>
          <cell r="DV369">
            <v>11.644336226312735</v>
          </cell>
          <cell r="DW369">
            <v>9.8476005987137558</v>
          </cell>
          <cell r="DX369">
            <v>7.1073990168282446</v>
          </cell>
          <cell r="DY369">
            <v>12.587802180599267</v>
          </cell>
        </row>
        <row r="370">
          <cell r="A370">
            <v>39981</v>
          </cell>
          <cell r="DF370">
            <v>18.663518160897116</v>
          </cell>
          <cell r="DG370">
            <v>21.679348620667902</v>
          </cell>
          <cell r="DH370">
            <v>18.362277992096409</v>
          </cell>
          <cell r="DI370">
            <v>14.300000632844487</v>
          </cell>
          <cell r="DJ370">
            <v>22.424555351348332</v>
          </cell>
          <cell r="DU370">
            <v>12.996152891202049</v>
          </cell>
          <cell r="DV370">
            <v>11.644336226312735</v>
          </cell>
          <cell r="DW370">
            <v>9.8476005987137558</v>
          </cell>
          <cell r="DX370">
            <v>7.1073990168282446</v>
          </cell>
          <cell r="DY370">
            <v>12.587802180599267</v>
          </cell>
        </row>
        <row r="371">
          <cell r="A371">
            <v>39982</v>
          </cell>
          <cell r="DF371">
            <v>18.570928679137364</v>
          </cell>
          <cell r="DG371">
            <v>21.679348620667902</v>
          </cell>
          <cell r="DH371">
            <v>18.362277992096409</v>
          </cell>
          <cell r="DI371">
            <v>14.300000632844487</v>
          </cell>
          <cell r="DJ371">
            <v>22.424555351348332</v>
          </cell>
          <cell r="DU371">
            <v>12.92037318403769</v>
          </cell>
          <cell r="DV371">
            <v>11.644336226312735</v>
          </cell>
          <cell r="DW371">
            <v>9.8476005987137558</v>
          </cell>
          <cell r="DX371">
            <v>7.1073990168282446</v>
          </cell>
          <cell r="DY371">
            <v>12.587802180599267</v>
          </cell>
        </row>
        <row r="372">
          <cell r="A372">
            <v>39983</v>
          </cell>
          <cell r="DF372">
            <v>18.372529165896953</v>
          </cell>
          <cell r="DG372">
            <v>21.679348620667902</v>
          </cell>
          <cell r="DH372">
            <v>18.362277992096409</v>
          </cell>
          <cell r="DI372">
            <v>14.300000632844487</v>
          </cell>
          <cell r="DJ372">
            <v>22.424555351348332</v>
          </cell>
          <cell r="DU372">
            <v>12.757993432805025</v>
          </cell>
          <cell r="DV372">
            <v>11.644336226312735</v>
          </cell>
          <cell r="DW372">
            <v>9.8476005987137558</v>
          </cell>
          <cell r="DX372">
            <v>7.1073990168282446</v>
          </cell>
          <cell r="DY372">
            <v>12.587802180599267</v>
          </cell>
        </row>
        <row r="373">
          <cell r="A373">
            <v>39986</v>
          </cell>
          <cell r="DF373">
            <v>18.127820031217951</v>
          </cell>
          <cell r="DG373">
            <v>21.679348620667902</v>
          </cell>
          <cell r="DH373">
            <v>18.362277992096409</v>
          </cell>
          <cell r="DI373">
            <v>14.300000632844487</v>
          </cell>
          <cell r="DJ373">
            <v>22.424555351348332</v>
          </cell>
          <cell r="DU373">
            <v>12.557711649021677</v>
          </cell>
          <cell r="DV373">
            <v>11.644336226312735</v>
          </cell>
          <cell r="DW373">
            <v>9.8476005987137558</v>
          </cell>
          <cell r="DX373">
            <v>7.1073990168282446</v>
          </cell>
          <cell r="DY373">
            <v>12.587802180599267</v>
          </cell>
        </row>
        <row r="374">
          <cell r="A374">
            <v>39987</v>
          </cell>
          <cell r="DF374">
            <v>18.134440226450884</v>
          </cell>
          <cell r="DG374">
            <v>21.679348620667902</v>
          </cell>
          <cell r="DH374">
            <v>18.362277992096409</v>
          </cell>
          <cell r="DI374">
            <v>14.300000632844487</v>
          </cell>
          <cell r="DJ374">
            <v>22.424555351348332</v>
          </cell>
          <cell r="DU374">
            <v>12.563129936785986</v>
          </cell>
          <cell r="DV374">
            <v>11.644336226312735</v>
          </cell>
          <cell r="DW374">
            <v>9.8476005987137558</v>
          </cell>
          <cell r="DX374">
            <v>7.1073990168282446</v>
          </cell>
          <cell r="DY374">
            <v>12.587802180599267</v>
          </cell>
        </row>
        <row r="375">
          <cell r="A375">
            <v>39988</v>
          </cell>
          <cell r="DF375">
            <v>17.7827077060644</v>
          </cell>
          <cell r="DG375">
            <v>21.679348620667902</v>
          </cell>
          <cell r="DH375">
            <v>18.362277992096409</v>
          </cell>
          <cell r="DI375">
            <v>14.300000632844487</v>
          </cell>
          <cell r="DJ375">
            <v>22.424555351348332</v>
          </cell>
          <cell r="DU375">
            <v>12.065867130484824</v>
          </cell>
          <cell r="DV375">
            <v>11.644336226312735</v>
          </cell>
          <cell r="DW375">
            <v>9.8476005987137558</v>
          </cell>
          <cell r="DX375">
            <v>7.1073990168282446</v>
          </cell>
          <cell r="DY375">
            <v>12.587802180599267</v>
          </cell>
        </row>
        <row r="376">
          <cell r="A376">
            <v>39989</v>
          </cell>
          <cell r="DF376">
            <v>17.592065819058583</v>
          </cell>
          <cell r="DG376">
            <v>21.679348620667902</v>
          </cell>
          <cell r="DH376">
            <v>18.362277992096409</v>
          </cell>
          <cell r="DI376">
            <v>14.300000632844487</v>
          </cell>
          <cell r="DJ376">
            <v>22.424555351348332</v>
          </cell>
          <cell r="DU376">
            <v>11.912668273001159</v>
          </cell>
          <cell r="DV376">
            <v>11.644336226312735</v>
          </cell>
          <cell r="DW376">
            <v>9.8476005987137558</v>
          </cell>
          <cell r="DX376">
            <v>7.1073990168282446</v>
          </cell>
          <cell r="DY376">
            <v>12.587802180599267</v>
          </cell>
        </row>
        <row r="377">
          <cell r="A377">
            <v>39990</v>
          </cell>
          <cell r="DF377">
            <v>17.158178076970369</v>
          </cell>
          <cell r="DG377">
            <v>21.679348620667902</v>
          </cell>
          <cell r="DH377">
            <v>18.362277992096409</v>
          </cell>
          <cell r="DI377">
            <v>14.300000632844487</v>
          </cell>
          <cell r="DJ377">
            <v>22.424555351348332</v>
          </cell>
          <cell r="DU377">
            <v>11.563998274985163</v>
          </cell>
          <cell r="DV377">
            <v>11.644336226312735</v>
          </cell>
          <cell r="DW377">
            <v>9.8476005987137558</v>
          </cell>
          <cell r="DX377">
            <v>7.1073990168282446</v>
          </cell>
          <cell r="DY377">
            <v>12.587802180599267</v>
          </cell>
        </row>
        <row r="378">
          <cell r="A378">
            <v>39993</v>
          </cell>
          <cell r="DF378">
            <v>16.908362149442304</v>
          </cell>
          <cell r="DG378">
            <v>21.679348620667902</v>
          </cell>
          <cell r="DH378">
            <v>18.362277992096409</v>
          </cell>
          <cell r="DI378">
            <v>14.300000632844487</v>
          </cell>
          <cell r="DJ378">
            <v>22.424555351348332</v>
          </cell>
          <cell r="DU378">
            <v>11.363247457420323</v>
          </cell>
          <cell r="DV378">
            <v>11.644336226312735</v>
          </cell>
          <cell r="DW378">
            <v>9.8476005987137558</v>
          </cell>
          <cell r="DX378">
            <v>7.1073990168282446</v>
          </cell>
          <cell r="DY378">
            <v>12.587802180599267</v>
          </cell>
        </row>
        <row r="379">
          <cell r="A379">
            <v>39994</v>
          </cell>
          <cell r="DF379">
            <v>17.381692677861828</v>
          </cell>
          <cell r="DG379">
            <v>21.679348620667902</v>
          </cell>
          <cell r="DH379">
            <v>18.362277992096409</v>
          </cell>
          <cell r="DI379">
            <v>14.300000632844487</v>
          </cell>
          <cell r="DJ379">
            <v>22.424555351348332</v>
          </cell>
          <cell r="DU379">
            <v>11.743613479310357</v>
          </cell>
          <cell r="DV379">
            <v>11.644336226312735</v>
          </cell>
          <cell r="DW379">
            <v>9.8476005987137558</v>
          </cell>
          <cell r="DX379">
            <v>7.1073990168282446</v>
          </cell>
          <cell r="DY379">
            <v>12.587802180599267</v>
          </cell>
        </row>
        <row r="380">
          <cell r="A380">
            <v>39995</v>
          </cell>
          <cell r="DF380">
            <v>17.513415728065866</v>
          </cell>
          <cell r="DG380">
            <v>21.679348620667902</v>
          </cell>
          <cell r="DH380">
            <v>18.362277992096409</v>
          </cell>
          <cell r="DI380">
            <v>14.300000632844487</v>
          </cell>
          <cell r="DJ380">
            <v>22.424555351348332</v>
          </cell>
          <cell r="DU380">
            <v>11.648525935972904</v>
          </cell>
          <cell r="DV380">
            <v>11.644336226312735</v>
          </cell>
          <cell r="DW380">
            <v>9.8476005987137558</v>
          </cell>
          <cell r="DX380">
            <v>7.1073990168282446</v>
          </cell>
          <cell r="DY380">
            <v>12.587802180599267</v>
          </cell>
        </row>
        <row r="381">
          <cell r="A381">
            <v>39996</v>
          </cell>
          <cell r="DF381">
            <v>17.660139631615362</v>
          </cell>
          <cell r="DG381">
            <v>21.679348620667902</v>
          </cell>
          <cell r="DH381">
            <v>18.362277992096409</v>
          </cell>
          <cell r="DI381">
            <v>14.300000632844487</v>
          </cell>
          <cell r="DJ381">
            <v>22.424555351348332</v>
          </cell>
          <cell r="DU381">
            <v>11.76474909255001</v>
          </cell>
          <cell r="DV381">
            <v>11.644336226312735</v>
          </cell>
          <cell r="DW381">
            <v>9.8476005987137558</v>
          </cell>
          <cell r="DX381">
            <v>7.1073990168282446</v>
          </cell>
          <cell r="DY381">
            <v>12.587802180599267</v>
          </cell>
        </row>
        <row r="382">
          <cell r="A382">
            <v>39997</v>
          </cell>
          <cell r="DF382">
            <v>17.686812582186306</v>
          </cell>
          <cell r="DG382">
            <v>21.679348620667902</v>
          </cell>
          <cell r="DH382">
            <v>18.362277992096409</v>
          </cell>
          <cell r="DI382">
            <v>14.300000632844487</v>
          </cell>
          <cell r="DJ382">
            <v>22.424555351348332</v>
          </cell>
          <cell r="DU382">
            <v>11.785877309804224</v>
          </cell>
          <cell r="DV382">
            <v>11.644336226312735</v>
          </cell>
          <cell r="DW382">
            <v>9.8476005987137558</v>
          </cell>
          <cell r="DX382">
            <v>7.1073990168282446</v>
          </cell>
          <cell r="DY382">
            <v>12.587802180599267</v>
          </cell>
        </row>
        <row r="383">
          <cell r="A383">
            <v>40000</v>
          </cell>
          <cell r="DF383">
            <v>17.253316111880487</v>
          </cell>
          <cell r="DG383">
            <v>21.679348620667902</v>
          </cell>
          <cell r="DH383">
            <v>18.362277992096409</v>
          </cell>
          <cell r="DI383">
            <v>14.300000632844487</v>
          </cell>
          <cell r="DJ383">
            <v>22.424555351348332</v>
          </cell>
          <cell r="DU383">
            <v>11.442495441375542</v>
          </cell>
          <cell r="DV383">
            <v>11.644336226312735</v>
          </cell>
          <cell r="DW383">
            <v>9.8476005987137558</v>
          </cell>
          <cell r="DX383">
            <v>7.1073990168282446</v>
          </cell>
          <cell r="DY383">
            <v>12.587802180599267</v>
          </cell>
        </row>
        <row r="384">
          <cell r="A384">
            <v>40001</v>
          </cell>
          <cell r="DF384">
            <v>17.20662611029098</v>
          </cell>
          <cell r="DG384">
            <v>21.679348620667902</v>
          </cell>
          <cell r="DH384">
            <v>18.362277992096409</v>
          </cell>
          <cell r="DI384">
            <v>14.300000632844487</v>
          </cell>
          <cell r="DJ384">
            <v>22.424555351348332</v>
          </cell>
          <cell r="DU384">
            <v>11.405511287914189</v>
          </cell>
          <cell r="DV384">
            <v>11.644336226312735</v>
          </cell>
          <cell r="DW384">
            <v>9.8476005987137558</v>
          </cell>
          <cell r="DX384">
            <v>7.1073990168282446</v>
          </cell>
          <cell r="DY384">
            <v>12.587802180599267</v>
          </cell>
        </row>
        <row r="385">
          <cell r="A385">
            <v>40002</v>
          </cell>
          <cell r="DF385">
            <v>16.431509033064859</v>
          </cell>
          <cell r="DG385">
            <v>21.679348620667902</v>
          </cell>
          <cell r="DH385">
            <v>18.362277992096409</v>
          </cell>
          <cell r="DI385">
            <v>14.300000632844487</v>
          </cell>
          <cell r="DJ385">
            <v>22.424555351348332</v>
          </cell>
          <cell r="DU385">
            <v>11.14472824933185</v>
          </cell>
          <cell r="DV385">
            <v>11.644336226312735</v>
          </cell>
          <cell r="DW385">
            <v>9.8476005987137558</v>
          </cell>
          <cell r="DX385">
            <v>7.1073990168282446</v>
          </cell>
          <cell r="DY385">
            <v>12.587802180599267</v>
          </cell>
        </row>
        <row r="386">
          <cell r="A386">
            <v>40003</v>
          </cell>
          <cell r="DF386">
            <v>16.654104844241822</v>
          </cell>
          <cell r="DG386">
            <v>21.679348620667902</v>
          </cell>
          <cell r="DH386">
            <v>18.362277992096409</v>
          </cell>
          <cell r="DI386">
            <v>14.300000632844487</v>
          </cell>
          <cell r="DJ386">
            <v>22.424555351348332</v>
          </cell>
          <cell r="DU386">
            <v>11.327251151017595</v>
          </cell>
          <cell r="DV386">
            <v>11.644336226312735</v>
          </cell>
          <cell r="DW386">
            <v>9.8476005987137558</v>
          </cell>
          <cell r="DX386">
            <v>7.1073990168282446</v>
          </cell>
          <cell r="DY386">
            <v>12.587802180599267</v>
          </cell>
        </row>
        <row r="387">
          <cell r="A387">
            <v>40004</v>
          </cell>
          <cell r="DF387">
            <v>16.967459517442624</v>
          </cell>
          <cell r="DG387">
            <v>21.679348620667902</v>
          </cell>
          <cell r="DH387">
            <v>18.362277992096409</v>
          </cell>
          <cell r="DI387">
            <v>14.300000632844487</v>
          </cell>
          <cell r="DJ387">
            <v>22.424555351348332</v>
          </cell>
          <cell r="DU387">
            <v>11.465525238512326</v>
          </cell>
          <cell r="DV387">
            <v>11.644336226312735</v>
          </cell>
          <cell r="DW387">
            <v>9.8476005987137558</v>
          </cell>
          <cell r="DX387">
            <v>7.1073990168282446</v>
          </cell>
          <cell r="DY387">
            <v>12.587802180599267</v>
          </cell>
        </row>
        <row r="388">
          <cell r="A388">
            <v>40007</v>
          </cell>
          <cell r="DF388">
            <v>17.499687860818764</v>
          </cell>
          <cell r="DG388">
            <v>21.679348620667902</v>
          </cell>
          <cell r="DH388">
            <v>18.362277992096409</v>
          </cell>
          <cell r="DI388">
            <v>14.300000632844487</v>
          </cell>
          <cell r="DJ388">
            <v>22.424555351348332</v>
          </cell>
          <cell r="DU388">
            <v>11.614863465392036</v>
          </cell>
          <cell r="DV388">
            <v>11.644336226312735</v>
          </cell>
          <cell r="DW388">
            <v>9.8476005987137558</v>
          </cell>
          <cell r="DX388">
            <v>7.1073990168282446</v>
          </cell>
          <cell r="DY388">
            <v>12.587802180599267</v>
          </cell>
        </row>
        <row r="389">
          <cell r="A389">
            <v>40008</v>
          </cell>
          <cell r="DF389">
            <v>17.381682589854638</v>
          </cell>
          <cell r="DG389">
            <v>21.679348620667902</v>
          </cell>
          <cell r="DH389">
            <v>18.362277992096409</v>
          </cell>
          <cell r="DI389">
            <v>14.300000632844487</v>
          </cell>
          <cell r="DJ389">
            <v>22.424555351348332</v>
          </cell>
          <cell r="DU389">
            <v>11.581637873270841</v>
          </cell>
          <cell r="DV389">
            <v>11.644336226312735</v>
          </cell>
          <cell r="DW389">
            <v>9.8476005987137558</v>
          </cell>
          <cell r="DX389">
            <v>7.1073990168282446</v>
          </cell>
          <cell r="DY389">
            <v>12.587802180599267</v>
          </cell>
        </row>
        <row r="390">
          <cell r="A390">
            <v>40009</v>
          </cell>
          <cell r="DF390">
            <v>18.006419562266597</v>
          </cell>
          <cell r="DG390">
            <v>21.679348620667902</v>
          </cell>
          <cell r="DH390">
            <v>18.362277992096409</v>
          </cell>
          <cell r="DI390">
            <v>14.300000632844487</v>
          </cell>
          <cell r="DJ390">
            <v>22.424555351348332</v>
          </cell>
          <cell r="DU390">
            <v>12.081606547684069</v>
          </cell>
          <cell r="DV390">
            <v>11.644336226312735</v>
          </cell>
          <cell r="DW390">
            <v>9.8476005987137558</v>
          </cell>
          <cell r="DX390">
            <v>7.1073990168282446</v>
          </cell>
          <cell r="DY390">
            <v>12.587802180599267</v>
          </cell>
        </row>
        <row r="391">
          <cell r="A391">
            <v>40010</v>
          </cell>
          <cell r="DF391">
            <v>17.964771541423374</v>
          </cell>
          <cell r="DG391">
            <v>21.679348620667902</v>
          </cell>
          <cell r="DH391">
            <v>18.362277992096409</v>
          </cell>
          <cell r="DI391">
            <v>14.300000632844487</v>
          </cell>
          <cell r="DJ391">
            <v>22.424555351348332</v>
          </cell>
          <cell r="DU391">
            <v>12.54188908893436</v>
          </cell>
          <cell r="DV391">
            <v>11.644336226312735</v>
          </cell>
          <cell r="DW391">
            <v>9.8476005987137558</v>
          </cell>
          <cell r="DX391">
            <v>7.1073990168282446</v>
          </cell>
          <cell r="DY391">
            <v>12.587802180599267</v>
          </cell>
        </row>
        <row r="392">
          <cell r="A392">
            <v>40011</v>
          </cell>
          <cell r="DF392">
            <v>21.442504147589244</v>
          </cell>
          <cell r="DG392">
            <v>21.679348620667902</v>
          </cell>
          <cell r="DH392">
            <v>18.362277992096409</v>
          </cell>
          <cell r="DI392">
            <v>14.300000632844487</v>
          </cell>
          <cell r="DJ392">
            <v>22.424555351348332</v>
          </cell>
          <cell r="DU392">
            <v>15.325072152929254</v>
          </cell>
          <cell r="DV392">
            <v>11.644336226312735</v>
          </cell>
          <cell r="DW392">
            <v>9.8476005987137558</v>
          </cell>
          <cell r="DX392">
            <v>7.1073990168282446</v>
          </cell>
          <cell r="DY392">
            <v>12.587802180599267</v>
          </cell>
        </row>
        <row r="393">
          <cell r="A393">
            <v>40014</v>
          </cell>
          <cell r="DF393">
            <v>19.398306252385151</v>
          </cell>
          <cell r="DG393">
            <v>21.679348620667902</v>
          </cell>
          <cell r="DH393">
            <v>18.362277992096409</v>
          </cell>
          <cell r="DI393">
            <v>14.300000632844487</v>
          </cell>
          <cell r="DJ393">
            <v>22.424555351348332</v>
          </cell>
          <cell r="DU393">
            <v>14.525755514645915</v>
          </cell>
          <cell r="DV393">
            <v>11.644336226312735</v>
          </cell>
          <cell r="DW393">
            <v>9.8476005987137558</v>
          </cell>
          <cell r="DX393">
            <v>7.1073990168282446</v>
          </cell>
          <cell r="DY393">
            <v>12.587802180599267</v>
          </cell>
        </row>
        <row r="394">
          <cell r="A394">
            <v>40015</v>
          </cell>
          <cell r="DF394">
            <v>19.682542810831926</v>
          </cell>
          <cell r="DG394">
            <v>21.679348620667902</v>
          </cell>
          <cell r="DH394">
            <v>18.362277992096409</v>
          </cell>
          <cell r="DI394">
            <v>14.300000632844487</v>
          </cell>
          <cell r="DJ394">
            <v>22.424555351348332</v>
          </cell>
          <cell r="DU394">
            <v>15.085941304799022</v>
          </cell>
          <cell r="DV394">
            <v>11.644336226312735</v>
          </cell>
          <cell r="DW394">
            <v>9.8476005987137558</v>
          </cell>
          <cell r="DX394">
            <v>7.1073990168282446</v>
          </cell>
          <cell r="DY394">
            <v>12.587802180599267</v>
          </cell>
        </row>
        <row r="395">
          <cell r="A395">
            <v>40016</v>
          </cell>
          <cell r="DF395">
            <v>19.724209208721472</v>
          </cell>
          <cell r="DG395">
            <v>21.679348620667902</v>
          </cell>
          <cell r="DH395">
            <v>18.362277992096409</v>
          </cell>
          <cell r="DI395">
            <v>14.300000632844487</v>
          </cell>
          <cell r="DJ395">
            <v>22.424555351348332</v>
          </cell>
          <cell r="DU395">
            <v>15.242611451751854</v>
          </cell>
          <cell r="DV395">
            <v>11.644336226312735</v>
          </cell>
          <cell r="DW395">
            <v>9.8476005987137558</v>
          </cell>
          <cell r="DX395">
            <v>7.1073990168282446</v>
          </cell>
          <cell r="DY395">
            <v>12.587802180599267</v>
          </cell>
        </row>
        <row r="396">
          <cell r="A396">
            <v>40017</v>
          </cell>
          <cell r="DF396">
            <v>19.388037752624996</v>
          </cell>
          <cell r="DG396">
            <v>21.679348620667902</v>
          </cell>
          <cell r="DH396">
            <v>18.362277992096409</v>
          </cell>
          <cell r="DI396">
            <v>14.300000632844487</v>
          </cell>
          <cell r="DJ396">
            <v>22.424555351348332</v>
          </cell>
          <cell r="DU396">
            <v>14.799613842558999</v>
          </cell>
          <cell r="DV396">
            <v>11.644336226312735</v>
          </cell>
          <cell r="DW396">
            <v>9.8476005987137558</v>
          </cell>
          <cell r="DX396">
            <v>7.1073990168282446</v>
          </cell>
          <cell r="DY396">
            <v>12.587802180599267</v>
          </cell>
        </row>
        <row r="397">
          <cell r="A397">
            <v>40018</v>
          </cell>
          <cell r="DF397">
            <v>19.189745000271852</v>
          </cell>
          <cell r="DG397">
            <v>21.679348620667902</v>
          </cell>
          <cell r="DH397">
            <v>18.362277992096409</v>
          </cell>
          <cell r="DI397">
            <v>14.300000632844487</v>
          </cell>
          <cell r="DJ397">
            <v>22.424555351348332</v>
          </cell>
          <cell r="DU397">
            <v>14.629735427366784</v>
          </cell>
          <cell r="DV397">
            <v>11.644336226312735</v>
          </cell>
          <cell r="DW397">
            <v>9.8476005987137558</v>
          </cell>
          <cell r="DX397">
            <v>7.1073990168282446</v>
          </cell>
          <cell r="DY397">
            <v>12.587802180599267</v>
          </cell>
        </row>
        <row r="398">
          <cell r="A398">
            <v>40021</v>
          </cell>
          <cell r="DF398">
            <v>19.567141399636032</v>
          </cell>
          <cell r="DG398">
            <v>21.679348620667902</v>
          </cell>
          <cell r="DH398">
            <v>18.362277992096409</v>
          </cell>
          <cell r="DI398">
            <v>14.300000632844487</v>
          </cell>
          <cell r="DJ398">
            <v>22.424555351348332</v>
          </cell>
          <cell r="DU398">
            <v>14.953052853053928</v>
          </cell>
          <cell r="DV398">
            <v>11.644336226312735</v>
          </cell>
          <cell r="DW398">
            <v>9.8476005987137558</v>
          </cell>
          <cell r="DX398">
            <v>7.1073990168282446</v>
          </cell>
          <cell r="DY398">
            <v>12.587802180599267</v>
          </cell>
        </row>
        <row r="399">
          <cell r="A399">
            <v>40022</v>
          </cell>
          <cell r="DF399">
            <v>19.810204466732976</v>
          </cell>
          <cell r="DG399">
            <v>21.679348620667902</v>
          </cell>
          <cell r="DH399">
            <v>18.362277992096409</v>
          </cell>
          <cell r="DI399">
            <v>14.300000632844487</v>
          </cell>
          <cell r="DJ399">
            <v>22.424555351348332</v>
          </cell>
          <cell r="DU399">
            <v>15.16128622588367</v>
          </cell>
          <cell r="DV399">
            <v>11.644336226312735</v>
          </cell>
          <cell r="DW399">
            <v>9.8476005987137558</v>
          </cell>
          <cell r="DX399">
            <v>7.1073990168282446</v>
          </cell>
          <cell r="DY399">
            <v>12.587802180599267</v>
          </cell>
        </row>
        <row r="400">
          <cell r="A400">
            <v>40023</v>
          </cell>
          <cell r="DF400">
            <v>19.520211022589752</v>
          </cell>
          <cell r="DG400">
            <v>21.679348620667902</v>
          </cell>
          <cell r="DH400">
            <v>18.362277992096409</v>
          </cell>
          <cell r="DI400">
            <v>14.300000632844487</v>
          </cell>
          <cell r="DJ400">
            <v>22.424555351348332</v>
          </cell>
          <cell r="DU400">
            <v>14.973092848107337</v>
          </cell>
          <cell r="DV400">
            <v>11.644336226312735</v>
          </cell>
          <cell r="DW400">
            <v>9.8476005987137558</v>
          </cell>
          <cell r="DX400">
            <v>7.1073990168282446</v>
          </cell>
          <cell r="DY400">
            <v>12.587802180599267</v>
          </cell>
        </row>
        <row r="401">
          <cell r="A401">
            <v>40024</v>
          </cell>
          <cell r="DF401">
            <v>19.82275930314643</v>
          </cell>
          <cell r="DG401">
            <v>21.679348620667902</v>
          </cell>
          <cell r="DH401">
            <v>18.362277992096409</v>
          </cell>
          <cell r="DI401">
            <v>14.300000632844487</v>
          </cell>
          <cell r="DJ401">
            <v>22.424555351348332</v>
          </cell>
          <cell r="DU401">
            <v>15.232873001912692</v>
          </cell>
          <cell r="DV401">
            <v>11.644336226312735</v>
          </cell>
          <cell r="DW401">
            <v>9.8476005987137558</v>
          </cell>
          <cell r="DX401">
            <v>7.1073990168282446</v>
          </cell>
          <cell r="DY401">
            <v>12.587802180599267</v>
          </cell>
        </row>
        <row r="402">
          <cell r="A402">
            <v>40025</v>
          </cell>
          <cell r="DF402">
            <v>19.96772451089149</v>
          </cell>
          <cell r="DG402">
            <v>21.679348620667902</v>
          </cell>
          <cell r="DH402">
            <v>18.362277992096409</v>
          </cell>
          <cell r="DI402">
            <v>14.300000632844487</v>
          </cell>
          <cell r="DJ402">
            <v>22.424555351348332</v>
          </cell>
          <cell r="DU402">
            <v>15.357345974937514</v>
          </cell>
          <cell r="DV402">
            <v>11.644336226312735</v>
          </cell>
          <cell r="DW402">
            <v>9.8476005987137558</v>
          </cell>
          <cell r="DX402">
            <v>7.1073990168282446</v>
          </cell>
          <cell r="DY402">
            <v>12.587802180599267</v>
          </cell>
        </row>
        <row r="403">
          <cell r="A403">
            <v>40028</v>
          </cell>
          <cell r="DF403">
            <v>19.457187878176686</v>
          </cell>
          <cell r="DG403">
            <v>21.679348620667902</v>
          </cell>
          <cell r="DH403">
            <v>18.362277992096409</v>
          </cell>
          <cell r="DI403">
            <v>14.300000632844487</v>
          </cell>
          <cell r="DJ403">
            <v>22.424555351348332</v>
          </cell>
          <cell r="DU403">
            <v>14.918978634935145</v>
          </cell>
          <cell r="DV403">
            <v>11.644336226312735</v>
          </cell>
          <cell r="DW403">
            <v>9.8476005987137558</v>
          </cell>
          <cell r="DX403">
            <v>7.1073990168282446</v>
          </cell>
          <cell r="DY403">
            <v>12.587802180599267</v>
          </cell>
        </row>
        <row r="404">
          <cell r="A404">
            <v>40029</v>
          </cell>
          <cell r="DF404">
            <v>19.425671263614362</v>
          </cell>
          <cell r="DG404">
            <v>21.679348620667902</v>
          </cell>
          <cell r="DH404">
            <v>18.362277992096409</v>
          </cell>
          <cell r="DI404">
            <v>14.300000632844487</v>
          </cell>
          <cell r="DJ404">
            <v>22.424555351348332</v>
          </cell>
          <cell r="DU404">
            <v>14.891917198779037</v>
          </cell>
          <cell r="DV404">
            <v>11.644336226312735</v>
          </cell>
          <cell r="DW404">
            <v>9.8476005987137558</v>
          </cell>
          <cell r="DX404">
            <v>7.1073990168282446</v>
          </cell>
          <cell r="DY404">
            <v>12.587802180599267</v>
          </cell>
        </row>
        <row r="405">
          <cell r="A405">
            <v>40030</v>
          </cell>
          <cell r="DF405">
            <v>19.230281237394109</v>
          </cell>
          <cell r="DG405">
            <v>21.679348620667902</v>
          </cell>
          <cell r="DH405">
            <v>18.362277992096409</v>
          </cell>
          <cell r="DI405">
            <v>14.300000632844487</v>
          </cell>
          <cell r="DJ405">
            <v>22.424555351348332</v>
          </cell>
          <cell r="DU405">
            <v>14.724147443253948</v>
          </cell>
          <cell r="DV405">
            <v>11.644336226312735</v>
          </cell>
          <cell r="DW405">
            <v>9.8476005987137558</v>
          </cell>
          <cell r="DX405">
            <v>7.1073990168282446</v>
          </cell>
          <cell r="DY405">
            <v>12.587802180599267</v>
          </cell>
        </row>
        <row r="406">
          <cell r="A406">
            <v>40031</v>
          </cell>
          <cell r="DF406">
            <v>19.123132437474787</v>
          </cell>
          <cell r="DG406">
            <v>21.679348620667902</v>
          </cell>
          <cell r="DH406">
            <v>18.362277992096409</v>
          </cell>
          <cell r="DI406">
            <v>14.300000632844487</v>
          </cell>
          <cell r="DJ406">
            <v>22.424555351348332</v>
          </cell>
          <cell r="DU406">
            <v>14.632145162917451</v>
          </cell>
          <cell r="DV406">
            <v>11.644336226312735</v>
          </cell>
          <cell r="DW406">
            <v>9.8476005987137558</v>
          </cell>
          <cell r="DX406">
            <v>7.1073990168282446</v>
          </cell>
          <cell r="DY406">
            <v>12.587802180599267</v>
          </cell>
        </row>
        <row r="407">
          <cell r="A407">
            <v>40032</v>
          </cell>
          <cell r="DF407">
            <v>18.871008975393305</v>
          </cell>
          <cell r="DG407">
            <v>21.679348620667902</v>
          </cell>
          <cell r="DH407">
            <v>18.362277992096409</v>
          </cell>
          <cell r="DI407">
            <v>14.300000632844487</v>
          </cell>
          <cell r="DJ407">
            <v>22.424555351348332</v>
          </cell>
          <cell r="DU407">
            <v>14.41566179161236</v>
          </cell>
          <cell r="DV407">
            <v>11.644336226312735</v>
          </cell>
          <cell r="DW407">
            <v>9.8476005987137558</v>
          </cell>
          <cell r="DX407">
            <v>7.1073990168282446</v>
          </cell>
          <cell r="DY407">
            <v>12.587802180599267</v>
          </cell>
        </row>
        <row r="408">
          <cell r="A408">
            <v>40035</v>
          </cell>
          <cell r="DF408">
            <v>19.17985641891892</v>
          </cell>
          <cell r="DG408">
            <v>21.679348620667902</v>
          </cell>
          <cell r="DH408">
            <v>18.362277992096409</v>
          </cell>
          <cell r="DI408">
            <v>14.300000632844487</v>
          </cell>
          <cell r="DJ408">
            <v>22.424555351348332</v>
          </cell>
          <cell r="DU408">
            <v>14.680850660753681</v>
          </cell>
          <cell r="DV408">
            <v>11.644336226312735</v>
          </cell>
          <cell r="DW408">
            <v>9.8476005987137558</v>
          </cell>
          <cell r="DX408">
            <v>7.1073990168282446</v>
          </cell>
          <cell r="DY408">
            <v>12.587802180599267</v>
          </cell>
        </row>
        <row r="409">
          <cell r="A409">
            <v>40036</v>
          </cell>
          <cell r="DF409">
            <v>18.871008975393305</v>
          </cell>
          <cell r="DG409">
            <v>21.679348620667902</v>
          </cell>
          <cell r="DH409">
            <v>18.362277992096409</v>
          </cell>
          <cell r="DI409">
            <v>14.300000632844487</v>
          </cell>
          <cell r="DJ409">
            <v>22.424555351348332</v>
          </cell>
          <cell r="DU409">
            <v>14.41566179161236</v>
          </cell>
          <cell r="DV409">
            <v>11.644336226312735</v>
          </cell>
          <cell r="DW409">
            <v>9.8476005987137558</v>
          </cell>
          <cell r="DX409">
            <v>7.1073990168282446</v>
          </cell>
          <cell r="DY409">
            <v>12.587802180599267</v>
          </cell>
        </row>
        <row r="410">
          <cell r="A410">
            <v>40037</v>
          </cell>
          <cell r="DF410">
            <v>18.360471712384026</v>
          </cell>
          <cell r="DG410">
            <v>21.679348620667902</v>
          </cell>
          <cell r="DH410">
            <v>18.362277992096409</v>
          </cell>
          <cell r="DI410">
            <v>14.300000632844487</v>
          </cell>
          <cell r="DJ410">
            <v>22.424555351348332</v>
          </cell>
          <cell r="DU410">
            <v>13.977293910413739</v>
          </cell>
          <cell r="DV410">
            <v>11.644336226312735</v>
          </cell>
          <cell r="DW410">
            <v>9.8476005987137558</v>
          </cell>
          <cell r="DX410">
            <v>7.1073990168282446</v>
          </cell>
          <cell r="DY410">
            <v>12.587802180599267</v>
          </cell>
        </row>
        <row r="411">
          <cell r="A411">
            <v>40038</v>
          </cell>
          <cell r="DF411">
            <v>18.102048457039128</v>
          </cell>
          <cell r="DG411">
            <v>21.679348620667902</v>
          </cell>
          <cell r="DH411">
            <v>18.362277992096409</v>
          </cell>
          <cell r="DI411">
            <v>14.300000632844487</v>
          </cell>
          <cell r="DJ411">
            <v>22.424555351348332</v>
          </cell>
          <cell r="DU411">
            <v>13.755401282576436</v>
          </cell>
          <cell r="DV411">
            <v>11.644336226312735</v>
          </cell>
          <cell r="DW411">
            <v>9.8476005987137558</v>
          </cell>
          <cell r="DX411">
            <v>7.1073990168282446</v>
          </cell>
          <cell r="DY411">
            <v>12.587802180599267</v>
          </cell>
        </row>
        <row r="412">
          <cell r="A412">
            <v>40039</v>
          </cell>
          <cell r="DF412">
            <v>17.697212246675459</v>
          </cell>
          <cell r="DG412">
            <v>21.679348620667902</v>
          </cell>
          <cell r="DH412">
            <v>18.362277992096409</v>
          </cell>
          <cell r="DI412">
            <v>14.300000632844487</v>
          </cell>
          <cell r="DJ412">
            <v>22.424555351348332</v>
          </cell>
          <cell r="DU412">
            <v>13.387392161230443</v>
          </cell>
          <cell r="DV412">
            <v>11.644336226312735</v>
          </cell>
          <cell r="DW412">
            <v>9.8476005987137558</v>
          </cell>
          <cell r="DX412">
            <v>7.1073990168282446</v>
          </cell>
          <cell r="DY412">
            <v>12.587802180599267</v>
          </cell>
        </row>
        <row r="413">
          <cell r="A413">
            <v>40042</v>
          </cell>
          <cell r="DF413">
            <v>17.015577841873732</v>
          </cell>
          <cell r="DG413">
            <v>21.679348620667902</v>
          </cell>
          <cell r="DH413">
            <v>18.362277992096409</v>
          </cell>
          <cell r="DI413">
            <v>14.300000632844487</v>
          </cell>
          <cell r="DJ413">
            <v>22.424555351348332</v>
          </cell>
          <cell r="DU413">
            <v>12.802899127383109</v>
          </cell>
          <cell r="DV413">
            <v>11.644336226312735</v>
          </cell>
          <cell r="DW413">
            <v>9.8476005987137558</v>
          </cell>
          <cell r="DX413">
            <v>7.1073990168282446</v>
          </cell>
          <cell r="DY413">
            <v>12.587802180599267</v>
          </cell>
        </row>
        <row r="414">
          <cell r="A414">
            <v>40043</v>
          </cell>
          <cell r="DF414">
            <v>16.813617515447195</v>
          </cell>
          <cell r="DG414">
            <v>21.679348620667902</v>
          </cell>
          <cell r="DH414">
            <v>18.362277992096409</v>
          </cell>
          <cell r="DI414">
            <v>14.300000632844487</v>
          </cell>
          <cell r="DJ414">
            <v>22.424555351348332</v>
          </cell>
          <cell r="DU414">
            <v>12.629720656522057</v>
          </cell>
          <cell r="DV414">
            <v>11.644336226312735</v>
          </cell>
          <cell r="DW414">
            <v>9.8476005987137558</v>
          </cell>
          <cell r="DX414">
            <v>7.1073990168282446</v>
          </cell>
          <cell r="DY414">
            <v>12.587802180599267</v>
          </cell>
        </row>
        <row r="415">
          <cell r="A415">
            <v>40044</v>
          </cell>
          <cell r="DF415">
            <v>16.920910358930342</v>
          </cell>
          <cell r="DG415">
            <v>21.679348620667902</v>
          </cell>
          <cell r="DH415">
            <v>18.362277992096409</v>
          </cell>
          <cell r="DI415">
            <v>14.300000632844487</v>
          </cell>
          <cell r="DJ415">
            <v>22.424555351348332</v>
          </cell>
          <cell r="DU415">
            <v>12.721722936858557</v>
          </cell>
          <cell r="DV415">
            <v>11.644336226312735</v>
          </cell>
          <cell r="DW415">
            <v>9.8476005987137558</v>
          </cell>
          <cell r="DX415">
            <v>7.1073990168282446</v>
          </cell>
          <cell r="DY415">
            <v>12.587802180599267</v>
          </cell>
        </row>
        <row r="416">
          <cell r="A416">
            <v>40045</v>
          </cell>
          <cell r="DF416">
            <v>17.293281495553607</v>
          </cell>
          <cell r="DG416">
            <v>21.679348620667902</v>
          </cell>
          <cell r="DH416">
            <v>18.362277992096409</v>
          </cell>
          <cell r="DI416">
            <v>14.300000632844487</v>
          </cell>
          <cell r="DJ416">
            <v>22.424555351348332</v>
          </cell>
          <cell r="DU416">
            <v>13.041026560368321</v>
          </cell>
          <cell r="DV416">
            <v>11.644336226312735</v>
          </cell>
          <cell r="DW416">
            <v>9.8476005987137558</v>
          </cell>
          <cell r="DX416">
            <v>7.1073990168282446</v>
          </cell>
          <cell r="DY416">
            <v>12.587802180599267</v>
          </cell>
        </row>
        <row r="417">
          <cell r="A417">
            <v>40046</v>
          </cell>
          <cell r="DF417">
            <v>17.299589757830891</v>
          </cell>
          <cell r="DG417">
            <v>21.679348620667902</v>
          </cell>
          <cell r="DH417">
            <v>18.362277992096409</v>
          </cell>
          <cell r="DI417">
            <v>14.300000632844487</v>
          </cell>
          <cell r="DJ417">
            <v>22.424555351348332</v>
          </cell>
          <cell r="DU417">
            <v>13.046435816900535</v>
          </cell>
          <cell r="DV417">
            <v>11.644336226312735</v>
          </cell>
          <cell r="DW417">
            <v>9.8476005987137558</v>
          </cell>
          <cell r="DX417">
            <v>7.1073990168282446</v>
          </cell>
          <cell r="DY417">
            <v>12.587802180599267</v>
          </cell>
        </row>
        <row r="418">
          <cell r="A418">
            <v>40049</v>
          </cell>
          <cell r="DF418">
            <v>16.737052122368297</v>
          </cell>
          <cell r="DG418">
            <v>21.679348620667902</v>
          </cell>
          <cell r="DH418">
            <v>18.362277992096409</v>
          </cell>
          <cell r="DI418">
            <v>14.300000632844487</v>
          </cell>
          <cell r="DJ418">
            <v>22.424555351348332</v>
          </cell>
          <cell r="DU418">
            <v>12.423366910972831</v>
          </cell>
          <cell r="DV418">
            <v>11.644336226312735</v>
          </cell>
          <cell r="DW418">
            <v>9.8476005987137558</v>
          </cell>
          <cell r="DX418">
            <v>7.1073990168282446</v>
          </cell>
          <cell r="DY418">
            <v>12.587802180599267</v>
          </cell>
        </row>
        <row r="419">
          <cell r="A419">
            <v>40050</v>
          </cell>
          <cell r="DF419">
            <v>16.329751983258308</v>
          </cell>
          <cell r="DG419">
            <v>21.679348620667902</v>
          </cell>
          <cell r="DH419">
            <v>18.362277992096409</v>
          </cell>
          <cell r="DI419">
            <v>14.300000632844487</v>
          </cell>
          <cell r="DJ419">
            <v>22.424555351348332</v>
          </cell>
          <cell r="DU419">
            <v>12.078374854251951</v>
          </cell>
          <cell r="DV419">
            <v>11.644336226312735</v>
          </cell>
          <cell r="DW419">
            <v>9.8476005987137558</v>
          </cell>
          <cell r="DX419">
            <v>7.1073990168282446</v>
          </cell>
          <cell r="DY419">
            <v>12.587802180599267</v>
          </cell>
        </row>
        <row r="420">
          <cell r="A420">
            <v>40051</v>
          </cell>
          <cell r="DF420">
            <v>16.567861842519171</v>
          </cell>
          <cell r="DG420">
            <v>21.679348620667902</v>
          </cell>
          <cell r="DH420">
            <v>18.362277992096409</v>
          </cell>
          <cell r="DI420">
            <v>14.300000632844487</v>
          </cell>
          <cell r="DJ420">
            <v>22.424555351348332</v>
          </cell>
          <cell r="DU420">
            <v>12.280059072311452</v>
          </cell>
          <cell r="DV420">
            <v>11.644336226312735</v>
          </cell>
          <cell r="DW420">
            <v>9.8476005987137558</v>
          </cell>
          <cell r="DX420">
            <v>7.1073990168282446</v>
          </cell>
          <cell r="DY420">
            <v>12.587802180599267</v>
          </cell>
        </row>
        <row r="421">
          <cell r="A421">
            <v>40052</v>
          </cell>
          <cell r="DF421">
            <v>16.831001021772291</v>
          </cell>
          <cell r="DG421">
            <v>21.679348620667902</v>
          </cell>
          <cell r="DH421">
            <v>18.362277992096409</v>
          </cell>
          <cell r="DI421">
            <v>14.300000632844487</v>
          </cell>
          <cell r="DJ421">
            <v>22.424555351348332</v>
          </cell>
          <cell r="DU421">
            <v>12.497673047566193</v>
          </cell>
          <cell r="DV421">
            <v>11.644336226312735</v>
          </cell>
          <cell r="DW421">
            <v>9.8476005987137558</v>
          </cell>
          <cell r="DX421">
            <v>7.1073990168282446</v>
          </cell>
          <cell r="DY421">
            <v>12.587802180599267</v>
          </cell>
        </row>
        <row r="422">
          <cell r="A422">
            <v>40053</v>
          </cell>
          <cell r="DF422">
            <v>16.705632275415862</v>
          </cell>
          <cell r="DG422">
            <v>21.679348620667902</v>
          </cell>
          <cell r="DH422">
            <v>18.362277992096409</v>
          </cell>
          <cell r="DI422">
            <v>14.300000632844487</v>
          </cell>
          <cell r="DJ422">
            <v>22.424555351348332</v>
          </cell>
          <cell r="DU422">
            <v>12.39152225791582</v>
          </cell>
          <cell r="DV422">
            <v>11.644336226312735</v>
          </cell>
          <cell r="DW422">
            <v>9.8476005987137558</v>
          </cell>
          <cell r="DX422">
            <v>7.1073990168282446</v>
          </cell>
          <cell r="DY422">
            <v>12.587802180599267</v>
          </cell>
        </row>
        <row r="423">
          <cell r="A423">
            <v>40056</v>
          </cell>
          <cell r="DF423">
            <v>16.981449535190098</v>
          </cell>
          <cell r="DG423">
            <v>21.679348620667902</v>
          </cell>
          <cell r="DH423">
            <v>18.362277992096409</v>
          </cell>
          <cell r="DI423">
            <v>14.300000632844487</v>
          </cell>
          <cell r="DJ423">
            <v>22.424555351348332</v>
          </cell>
          <cell r="DU423">
            <v>12.625059090460979</v>
          </cell>
          <cell r="DV423">
            <v>11.644336226312735</v>
          </cell>
          <cell r="DW423">
            <v>9.8476005987137558</v>
          </cell>
          <cell r="DX423">
            <v>7.1073990168282446</v>
          </cell>
          <cell r="DY423">
            <v>12.587802180599267</v>
          </cell>
        </row>
        <row r="424">
          <cell r="A424">
            <v>40057</v>
          </cell>
          <cell r="DF424">
            <v>16.751537125698871</v>
          </cell>
          <cell r="DG424">
            <v>21.679348620667902</v>
          </cell>
          <cell r="DH424">
            <v>18.362277992096409</v>
          </cell>
          <cell r="DI424">
            <v>14.300000632844487</v>
          </cell>
          <cell r="DJ424">
            <v>22.424555351348332</v>
          </cell>
          <cell r="DU424">
            <v>12.428671345498179</v>
          </cell>
          <cell r="DV424">
            <v>11.644336226312735</v>
          </cell>
          <cell r="DW424">
            <v>9.8476005987137558</v>
          </cell>
          <cell r="DX424">
            <v>7.1073990168282446</v>
          </cell>
          <cell r="DY424">
            <v>12.587802180599267</v>
          </cell>
        </row>
        <row r="425">
          <cell r="A425">
            <v>40058</v>
          </cell>
          <cell r="DF425">
            <v>16.851853576396334</v>
          </cell>
          <cell r="DG425">
            <v>21.679348620667902</v>
          </cell>
          <cell r="DH425">
            <v>18.362277992096409</v>
          </cell>
          <cell r="DI425">
            <v>14.300000632844487</v>
          </cell>
          <cell r="DJ425">
            <v>22.424555351348332</v>
          </cell>
          <cell r="DU425">
            <v>12.269449672498848</v>
          </cell>
          <cell r="DV425">
            <v>11.644336226312735</v>
          </cell>
          <cell r="DW425">
            <v>9.8476005987137558</v>
          </cell>
          <cell r="DX425">
            <v>7.1073990168282446</v>
          </cell>
          <cell r="DY425">
            <v>12.587802180599267</v>
          </cell>
        </row>
        <row r="426">
          <cell r="A426">
            <v>40059</v>
          </cell>
          <cell r="DF426">
            <v>16.29692176198354</v>
          </cell>
          <cell r="DG426">
            <v>21.679348620667902</v>
          </cell>
          <cell r="DH426">
            <v>18.362277992096409</v>
          </cell>
          <cell r="DI426">
            <v>14.300000632844487</v>
          </cell>
          <cell r="DJ426">
            <v>22.424555351348332</v>
          </cell>
          <cell r="DU426">
            <v>11.80768097269579</v>
          </cell>
          <cell r="DV426">
            <v>11.644336226312735</v>
          </cell>
          <cell r="DW426">
            <v>9.8476005987137558</v>
          </cell>
          <cell r="DX426">
            <v>7.1073990168282446</v>
          </cell>
          <cell r="DY426">
            <v>12.587802180599267</v>
          </cell>
        </row>
        <row r="427">
          <cell r="A427">
            <v>40060</v>
          </cell>
          <cell r="DF427">
            <v>16.979420581971109</v>
          </cell>
          <cell r="DG427">
            <v>21.679348620667902</v>
          </cell>
          <cell r="DH427">
            <v>18.362277992096409</v>
          </cell>
          <cell r="DI427">
            <v>14.300000632844487</v>
          </cell>
          <cell r="DJ427">
            <v>22.424555351348332</v>
          </cell>
          <cell r="DU427">
            <v>12.375600462149224</v>
          </cell>
          <cell r="DV427">
            <v>11.644336226312735</v>
          </cell>
          <cell r="DW427">
            <v>9.8476005987137558</v>
          </cell>
          <cell r="DX427">
            <v>7.1073990168282446</v>
          </cell>
          <cell r="DY427">
            <v>12.587802180599267</v>
          </cell>
        </row>
        <row r="428">
          <cell r="A428">
            <v>40063</v>
          </cell>
          <cell r="DF428">
            <v>17.775393612237494</v>
          </cell>
          <cell r="DG428">
            <v>21.679348620667902</v>
          </cell>
          <cell r="DH428">
            <v>18.362277992096409</v>
          </cell>
          <cell r="DI428">
            <v>14.300000632844487</v>
          </cell>
          <cell r="DJ428">
            <v>22.424555351348332</v>
          </cell>
          <cell r="DU428">
            <v>12.508290939569354</v>
          </cell>
          <cell r="DV428">
            <v>11.644336226312735</v>
          </cell>
          <cell r="DW428">
            <v>9.8476005987137558</v>
          </cell>
          <cell r="DX428">
            <v>7.1073990168282446</v>
          </cell>
          <cell r="DY428">
            <v>12.587802180599267</v>
          </cell>
        </row>
        <row r="429">
          <cell r="A429">
            <v>40064</v>
          </cell>
          <cell r="DF429">
            <v>17.874619618429456</v>
          </cell>
          <cell r="DG429">
            <v>21.679348620667902</v>
          </cell>
          <cell r="DH429">
            <v>18.362277992096409</v>
          </cell>
          <cell r="DI429">
            <v>14.300000632844487</v>
          </cell>
          <cell r="DJ429">
            <v>22.424555351348332</v>
          </cell>
          <cell r="DU429">
            <v>12.587902041449974</v>
          </cell>
          <cell r="DV429">
            <v>11.644336226312735</v>
          </cell>
          <cell r="DW429">
            <v>9.8476005987137558</v>
          </cell>
          <cell r="DX429">
            <v>7.1073990168282446</v>
          </cell>
          <cell r="DY429">
            <v>12.587802180599267</v>
          </cell>
        </row>
        <row r="430">
          <cell r="A430">
            <v>40065</v>
          </cell>
          <cell r="DF430">
            <v>18.099538249849655</v>
          </cell>
          <cell r="DG430">
            <v>21.679348620667902</v>
          </cell>
          <cell r="DH430">
            <v>18.362277992096409</v>
          </cell>
          <cell r="DI430">
            <v>14.300000632844487</v>
          </cell>
          <cell r="DJ430">
            <v>22.424555351348332</v>
          </cell>
          <cell r="DU430">
            <v>12.768358967693709</v>
          </cell>
          <cell r="DV430">
            <v>11.644336226312735</v>
          </cell>
          <cell r="DW430">
            <v>9.8476005987137558</v>
          </cell>
          <cell r="DX430">
            <v>7.1073990168282446</v>
          </cell>
          <cell r="DY430">
            <v>12.587802180599267</v>
          </cell>
        </row>
        <row r="431">
          <cell r="A431">
            <v>40066</v>
          </cell>
          <cell r="DF431">
            <v>17.543853033792868</v>
          </cell>
          <cell r="DG431">
            <v>21.679348620667902</v>
          </cell>
          <cell r="DH431">
            <v>18.362277992096409</v>
          </cell>
          <cell r="DI431">
            <v>14.300000632844487</v>
          </cell>
          <cell r="DJ431">
            <v>22.424555351348332</v>
          </cell>
          <cell r="DU431">
            <v>12.322521086609713</v>
          </cell>
          <cell r="DV431">
            <v>11.644336226312735</v>
          </cell>
          <cell r="DW431">
            <v>9.8476005987137558</v>
          </cell>
          <cell r="DX431">
            <v>7.1073990168282446</v>
          </cell>
          <cell r="DY431">
            <v>12.587802180599267</v>
          </cell>
        </row>
        <row r="432">
          <cell r="A432">
            <v>40067</v>
          </cell>
          <cell r="DF432">
            <v>17.318933740839498</v>
          </cell>
          <cell r="DG432">
            <v>21.679348620667902</v>
          </cell>
          <cell r="DH432">
            <v>18.362277992096409</v>
          </cell>
          <cell r="DI432">
            <v>14.300000632844487</v>
          </cell>
          <cell r="DJ432">
            <v>22.424555351348332</v>
          </cell>
          <cell r="DU432">
            <v>12.142063629604067</v>
          </cell>
          <cell r="DV432">
            <v>11.644336226312735</v>
          </cell>
          <cell r="DW432">
            <v>9.8476005987137558</v>
          </cell>
          <cell r="DX432">
            <v>7.1073990168282446</v>
          </cell>
          <cell r="DY432">
            <v>12.587802180599267</v>
          </cell>
        </row>
        <row r="433">
          <cell r="A433">
            <v>40070</v>
          </cell>
          <cell r="DF433">
            <v>17.160162472548087</v>
          </cell>
          <cell r="DG433">
            <v>21.679348620667902</v>
          </cell>
          <cell r="DH433">
            <v>18.362277992096409</v>
          </cell>
          <cell r="DI433">
            <v>14.300000632844487</v>
          </cell>
          <cell r="DJ433">
            <v>22.424555351348332</v>
          </cell>
          <cell r="DU433">
            <v>12.014678117471194</v>
          </cell>
          <cell r="DV433">
            <v>11.644336226312735</v>
          </cell>
          <cell r="DW433">
            <v>9.8476005987137558</v>
          </cell>
          <cell r="DX433">
            <v>7.1073990168282446</v>
          </cell>
          <cell r="DY433">
            <v>12.587802180599267</v>
          </cell>
        </row>
        <row r="434">
          <cell r="A434">
            <v>40071</v>
          </cell>
          <cell r="DF434">
            <v>17.259398401737588</v>
          </cell>
          <cell r="DG434">
            <v>21.679348620667902</v>
          </cell>
          <cell r="DH434">
            <v>18.362277992096409</v>
          </cell>
          <cell r="DI434">
            <v>14.300000632844487</v>
          </cell>
          <cell r="DJ434">
            <v>22.424555351348332</v>
          </cell>
          <cell r="DU434">
            <v>12.09429718078046</v>
          </cell>
          <cell r="DV434">
            <v>11.644336226312735</v>
          </cell>
          <cell r="DW434">
            <v>9.8476005987137558</v>
          </cell>
          <cell r="DX434">
            <v>7.1073990168282446</v>
          </cell>
          <cell r="DY434">
            <v>12.587802180599267</v>
          </cell>
        </row>
        <row r="435">
          <cell r="A435">
            <v>40072</v>
          </cell>
          <cell r="DF435">
            <v>16.57801989891939</v>
          </cell>
          <cell r="DG435">
            <v>21.679348620667902</v>
          </cell>
          <cell r="DH435">
            <v>18.362277992096409</v>
          </cell>
          <cell r="DI435">
            <v>14.300000632844487</v>
          </cell>
          <cell r="DJ435">
            <v>22.424555351348332</v>
          </cell>
          <cell r="DU435">
            <v>11.547612944571432</v>
          </cell>
          <cell r="DV435">
            <v>11.644336226312735</v>
          </cell>
          <cell r="DW435">
            <v>9.8476005987137558</v>
          </cell>
          <cell r="DX435">
            <v>7.1073990168282446</v>
          </cell>
          <cell r="DY435">
            <v>12.587802180599267</v>
          </cell>
        </row>
        <row r="436">
          <cell r="A436">
            <v>40073</v>
          </cell>
          <cell r="DF436">
            <v>16.339867296447878</v>
          </cell>
          <cell r="DG436">
            <v>21.679348620667902</v>
          </cell>
          <cell r="DH436">
            <v>18.362277992096409</v>
          </cell>
          <cell r="DI436">
            <v>14.300000632844487</v>
          </cell>
          <cell r="DJ436">
            <v>22.424555351348332</v>
          </cell>
          <cell r="DU436">
            <v>11.356538126324535</v>
          </cell>
          <cell r="DV436">
            <v>11.644336226312735</v>
          </cell>
          <cell r="DW436">
            <v>9.8476005987137558</v>
          </cell>
          <cell r="DX436">
            <v>7.1073990168282446</v>
          </cell>
          <cell r="DY436">
            <v>12.587802180599267</v>
          </cell>
        </row>
        <row r="437">
          <cell r="A437">
            <v>40074</v>
          </cell>
          <cell r="DF437">
            <v>15.883408086583049</v>
          </cell>
          <cell r="DG437">
            <v>21.679348620667902</v>
          </cell>
          <cell r="DH437">
            <v>18.362277992096409</v>
          </cell>
          <cell r="DI437">
            <v>14.300000632844487</v>
          </cell>
          <cell r="DJ437">
            <v>22.424555351348332</v>
          </cell>
          <cell r="DU437">
            <v>10.99031134712116</v>
          </cell>
          <cell r="DV437">
            <v>11.644336226312735</v>
          </cell>
          <cell r="DW437">
            <v>9.8476005987137558</v>
          </cell>
          <cell r="DX437">
            <v>7.1073990168282446</v>
          </cell>
          <cell r="DY437">
            <v>12.587802180599267</v>
          </cell>
        </row>
        <row r="438">
          <cell r="A438">
            <v>40077</v>
          </cell>
          <cell r="DF438">
            <v>16.313400677411597</v>
          </cell>
          <cell r="DG438">
            <v>21.679348620667902</v>
          </cell>
          <cell r="DH438">
            <v>18.362277992096409</v>
          </cell>
          <cell r="DI438">
            <v>14.300000632844487</v>
          </cell>
          <cell r="DJ438">
            <v>22.424555351348332</v>
          </cell>
          <cell r="DU438">
            <v>11.33530340384204</v>
          </cell>
          <cell r="DV438">
            <v>11.644336226312735</v>
          </cell>
          <cell r="DW438">
            <v>9.8476005987137558</v>
          </cell>
          <cell r="DX438">
            <v>7.1073990168282446</v>
          </cell>
          <cell r="DY438">
            <v>12.587802180599267</v>
          </cell>
        </row>
        <row r="439">
          <cell r="A439">
            <v>40078</v>
          </cell>
          <cell r="DF439">
            <v>16.062024688419484</v>
          </cell>
          <cell r="DG439">
            <v>21.679348620667902</v>
          </cell>
          <cell r="DH439">
            <v>18.362277992096409</v>
          </cell>
          <cell r="DI439">
            <v>14.300000632844487</v>
          </cell>
          <cell r="DJ439">
            <v>22.424555351348332</v>
          </cell>
          <cell r="DU439">
            <v>11.171429443113736</v>
          </cell>
          <cell r="DV439">
            <v>11.644336226312735</v>
          </cell>
          <cell r="DW439">
            <v>9.8476005987137558</v>
          </cell>
          <cell r="DX439">
            <v>7.1073990168282446</v>
          </cell>
          <cell r="DY439">
            <v>12.587802180599267</v>
          </cell>
        </row>
        <row r="440">
          <cell r="A440">
            <v>40079</v>
          </cell>
          <cell r="DF440">
            <v>16.22500826971552</v>
          </cell>
          <cell r="DG440">
            <v>21.679348620667902</v>
          </cell>
          <cell r="DH440">
            <v>18.362277992096409</v>
          </cell>
          <cell r="DI440">
            <v>14.300000632844487</v>
          </cell>
          <cell r="DJ440">
            <v>22.424555351348332</v>
          </cell>
          <cell r="DU440">
            <v>11.216014667043821</v>
          </cell>
          <cell r="DV440">
            <v>11.644336226312735</v>
          </cell>
          <cell r="DW440">
            <v>9.8476005987137558</v>
          </cell>
          <cell r="DX440">
            <v>7.1073990168282446</v>
          </cell>
          <cell r="DY440">
            <v>12.587802180599267</v>
          </cell>
        </row>
        <row r="441">
          <cell r="A441">
            <v>40080</v>
          </cell>
          <cell r="DF441">
            <v>16.277754529050899</v>
          </cell>
          <cell r="DG441">
            <v>21.679348620667902</v>
          </cell>
          <cell r="DH441">
            <v>18.362277992096409</v>
          </cell>
          <cell r="DI441">
            <v>14.300000632844487</v>
          </cell>
          <cell r="DJ441">
            <v>22.424555351348332</v>
          </cell>
          <cell r="DU441">
            <v>11.449027075896451</v>
          </cell>
          <cell r="DV441">
            <v>11.644336226312735</v>
          </cell>
          <cell r="DW441">
            <v>9.8476005987137558</v>
          </cell>
          <cell r="DX441">
            <v>7.1073990168282446</v>
          </cell>
          <cell r="DY441">
            <v>12.587802180599267</v>
          </cell>
        </row>
        <row r="442">
          <cell r="A442">
            <v>40081</v>
          </cell>
          <cell r="DF442">
            <v>15.766615450419273</v>
          </cell>
          <cell r="DG442">
            <v>21.679348620667902</v>
          </cell>
          <cell r="DH442">
            <v>18.362277992096409</v>
          </cell>
          <cell r="DI442">
            <v>14.300000632844487</v>
          </cell>
          <cell r="DJ442">
            <v>22.424555351348332</v>
          </cell>
          <cell r="DU442">
            <v>11.16505093388416</v>
          </cell>
          <cell r="DV442">
            <v>11.644336226312735</v>
          </cell>
          <cell r="DW442">
            <v>9.8476005987137558</v>
          </cell>
          <cell r="DX442">
            <v>7.1073990168282446</v>
          </cell>
          <cell r="DY442">
            <v>12.587802180599267</v>
          </cell>
        </row>
        <row r="443">
          <cell r="A443">
            <v>40084</v>
          </cell>
          <cell r="DF443">
            <v>15.518572630172381</v>
          </cell>
          <cell r="DG443">
            <v>21.679348620667902</v>
          </cell>
          <cell r="DH443">
            <v>18.362277992096409</v>
          </cell>
          <cell r="DI443">
            <v>14.300000632844487</v>
          </cell>
          <cell r="DJ443">
            <v>22.424555351348332</v>
          </cell>
          <cell r="DU443">
            <v>10.958413301936689</v>
          </cell>
          <cell r="DV443">
            <v>11.644336226312735</v>
          </cell>
          <cell r="DW443">
            <v>9.8476005987137558</v>
          </cell>
          <cell r="DX443">
            <v>7.1073990168282446</v>
          </cell>
          <cell r="DY443">
            <v>12.587802180599267</v>
          </cell>
        </row>
        <row r="444">
          <cell r="A444">
            <v>40085</v>
          </cell>
          <cell r="DF444">
            <v>15.890933918653444</v>
          </cell>
          <cell r="DG444">
            <v>21.679348620667902</v>
          </cell>
          <cell r="DH444">
            <v>18.362277992096409</v>
          </cell>
          <cell r="DI444">
            <v>14.300000632844487</v>
          </cell>
          <cell r="DJ444">
            <v>22.424555351348332</v>
          </cell>
          <cell r="DU444">
            <v>11.03441629892308</v>
          </cell>
          <cell r="DV444">
            <v>11.644336226312735</v>
          </cell>
          <cell r="DW444">
            <v>9.8476005987137558</v>
          </cell>
          <cell r="DX444">
            <v>7.1073990168282446</v>
          </cell>
          <cell r="DY444">
            <v>12.587802180599267</v>
          </cell>
        </row>
        <row r="445">
          <cell r="A445">
            <v>40086</v>
          </cell>
          <cell r="DF445">
            <v>14.980342635865428</v>
          </cell>
          <cell r="DG445">
            <v>21.679348620667902</v>
          </cell>
          <cell r="DH445">
            <v>18.362277992096409</v>
          </cell>
          <cell r="DI445">
            <v>14.300000632844487</v>
          </cell>
          <cell r="DJ445">
            <v>22.424555351348332</v>
          </cell>
          <cell r="DU445">
            <v>10.528598900488943</v>
          </cell>
          <cell r="DV445">
            <v>11.644336226312735</v>
          </cell>
          <cell r="DW445">
            <v>9.8476005987137558</v>
          </cell>
          <cell r="DX445">
            <v>7.1073990168282446</v>
          </cell>
          <cell r="DY445">
            <v>12.587802180599267</v>
          </cell>
        </row>
        <row r="446">
          <cell r="A446">
            <v>40087</v>
          </cell>
          <cell r="DF446">
            <v>15.729832171093005</v>
          </cell>
          <cell r="DG446">
            <v>21.679348620667902</v>
          </cell>
          <cell r="DH446">
            <v>18.362277992096409</v>
          </cell>
          <cell r="DI446">
            <v>14.300000632844487</v>
          </cell>
          <cell r="DJ446">
            <v>22.424555351348332</v>
          </cell>
          <cell r="DU446">
            <v>11.078898385949469</v>
          </cell>
          <cell r="DV446">
            <v>11.644336226312735</v>
          </cell>
          <cell r="DW446">
            <v>9.8476005987137558</v>
          </cell>
          <cell r="DX446">
            <v>7.1073990168282446</v>
          </cell>
          <cell r="DY446">
            <v>12.587802180599267</v>
          </cell>
        </row>
        <row r="447">
          <cell r="A447">
            <v>40088</v>
          </cell>
          <cell r="DF447">
            <v>15.83243422135978</v>
          </cell>
          <cell r="DG447">
            <v>21.679348620667902</v>
          </cell>
          <cell r="DH447">
            <v>18.362277992096409</v>
          </cell>
          <cell r="DI447">
            <v>14.300000632844487</v>
          </cell>
          <cell r="DJ447">
            <v>22.424555351348332</v>
          </cell>
          <cell r="DU447">
            <v>11.051381760777987</v>
          </cell>
          <cell r="DV447">
            <v>11.644336226312735</v>
          </cell>
          <cell r="DW447">
            <v>9.8476005987137558</v>
          </cell>
          <cell r="DX447">
            <v>7.1073990168282446</v>
          </cell>
          <cell r="DY447">
            <v>12.587802180599267</v>
          </cell>
        </row>
        <row r="448">
          <cell r="A448">
            <v>40091</v>
          </cell>
          <cell r="DF448">
            <v>15.978785857905462</v>
          </cell>
          <cell r="DG448">
            <v>21.679348620667902</v>
          </cell>
          <cell r="DH448">
            <v>18.362277992096409</v>
          </cell>
          <cell r="DI448">
            <v>14.300000632844487</v>
          </cell>
          <cell r="DJ448">
            <v>22.424555351348332</v>
          </cell>
          <cell r="DU448">
            <v>11.172448748178274</v>
          </cell>
          <cell r="DV448">
            <v>11.644336226312735</v>
          </cell>
          <cell r="DW448">
            <v>9.8476005987137558</v>
          </cell>
          <cell r="DX448">
            <v>7.1073990168282446</v>
          </cell>
          <cell r="DY448">
            <v>12.587802180599267</v>
          </cell>
        </row>
        <row r="449">
          <cell r="A449">
            <v>40092</v>
          </cell>
          <cell r="DF449">
            <v>15.499819889340793</v>
          </cell>
          <cell r="DG449">
            <v>21.679348620667902</v>
          </cell>
          <cell r="DH449">
            <v>18.362277992096409</v>
          </cell>
          <cell r="DI449">
            <v>14.300000632844487</v>
          </cell>
          <cell r="DJ449">
            <v>22.424555351348332</v>
          </cell>
          <cell r="DU449">
            <v>10.776232018047724</v>
          </cell>
          <cell r="DV449">
            <v>11.644336226312735</v>
          </cell>
          <cell r="DW449">
            <v>9.8476005987137558</v>
          </cell>
          <cell r="DX449">
            <v>7.1073990168282446</v>
          </cell>
          <cell r="DY449">
            <v>12.587802180599267</v>
          </cell>
        </row>
        <row r="450">
          <cell r="A450">
            <v>40093</v>
          </cell>
          <cell r="DF450">
            <v>15.526435022960289</v>
          </cell>
          <cell r="DG450">
            <v>21.679348620667902</v>
          </cell>
          <cell r="DH450">
            <v>18.362277992096409</v>
          </cell>
          <cell r="DI450">
            <v>14.300000632844487</v>
          </cell>
          <cell r="DJ450">
            <v>22.424555351348332</v>
          </cell>
          <cell r="DU450">
            <v>10.798248950161513</v>
          </cell>
          <cell r="DV450">
            <v>11.644336226312735</v>
          </cell>
          <cell r="DW450">
            <v>9.8476005987137558</v>
          </cell>
          <cell r="DX450">
            <v>7.1073990168282446</v>
          </cell>
          <cell r="DY450">
            <v>12.587802180599267</v>
          </cell>
        </row>
        <row r="451">
          <cell r="A451">
            <v>40094</v>
          </cell>
          <cell r="DF451">
            <v>15.439951970492032</v>
          </cell>
          <cell r="DG451">
            <v>21.679348620667902</v>
          </cell>
          <cell r="DH451">
            <v>18.362277992096409</v>
          </cell>
          <cell r="DI451">
            <v>14.300000632844487</v>
          </cell>
          <cell r="DJ451">
            <v>22.424555351348332</v>
          </cell>
          <cell r="DU451">
            <v>10.726707265554218</v>
          </cell>
          <cell r="DV451">
            <v>11.644336226312735</v>
          </cell>
          <cell r="DW451">
            <v>9.8476005987137558</v>
          </cell>
          <cell r="DX451">
            <v>7.1073990168282446</v>
          </cell>
          <cell r="DY451">
            <v>12.587802180599267</v>
          </cell>
        </row>
        <row r="452">
          <cell r="A452">
            <v>40095</v>
          </cell>
          <cell r="DF452">
            <v>15.273644804482538</v>
          </cell>
          <cell r="DG452">
            <v>21.679348620667902</v>
          </cell>
          <cell r="DH452">
            <v>18.362277992096409</v>
          </cell>
          <cell r="DI452">
            <v>14.300000632844487</v>
          </cell>
          <cell r="DJ452">
            <v>22.424555351348332</v>
          </cell>
          <cell r="DU452">
            <v>10.589132394189086</v>
          </cell>
          <cell r="DV452">
            <v>11.644336226312735</v>
          </cell>
          <cell r="DW452">
            <v>9.8476005987137558</v>
          </cell>
          <cell r="DX452">
            <v>7.1073990168282446</v>
          </cell>
          <cell r="DY452">
            <v>12.587802180599267</v>
          </cell>
        </row>
        <row r="453">
          <cell r="A453">
            <v>40098</v>
          </cell>
          <cell r="DF453">
            <v>15.606259136501524</v>
          </cell>
          <cell r="DG453">
            <v>21.679348620667902</v>
          </cell>
          <cell r="DH453">
            <v>18.362277992096409</v>
          </cell>
          <cell r="DI453">
            <v>14.300000632844487</v>
          </cell>
          <cell r="DJ453">
            <v>22.424555351348332</v>
          </cell>
          <cell r="DU453">
            <v>10.86428213691935</v>
          </cell>
          <cell r="DV453">
            <v>11.644336226312735</v>
          </cell>
          <cell r="DW453">
            <v>9.8476005987137558</v>
          </cell>
          <cell r="DX453">
            <v>7.1073990168282446</v>
          </cell>
          <cell r="DY453">
            <v>12.587802180599267</v>
          </cell>
        </row>
        <row r="454">
          <cell r="A454">
            <v>40099</v>
          </cell>
          <cell r="DF454">
            <v>15.699390484238176</v>
          </cell>
          <cell r="DG454">
            <v>21.679348620667902</v>
          </cell>
          <cell r="DH454">
            <v>18.362277992096409</v>
          </cell>
          <cell r="DI454">
            <v>14.300000632844487</v>
          </cell>
          <cell r="DJ454">
            <v>22.424555351348332</v>
          </cell>
          <cell r="DU454">
            <v>10.941323514584337</v>
          </cell>
          <cell r="DV454">
            <v>11.644336226312735</v>
          </cell>
          <cell r="DW454">
            <v>9.8476005987137558</v>
          </cell>
          <cell r="DX454">
            <v>7.1073990168282446</v>
          </cell>
          <cell r="DY454">
            <v>12.587802180599267</v>
          </cell>
        </row>
        <row r="455">
          <cell r="A455">
            <v>40100</v>
          </cell>
          <cell r="DF455">
            <v>15.839093160286801</v>
          </cell>
          <cell r="DG455">
            <v>21.679348620667902</v>
          </cell>
          <cell r="DH455">
            <v>18.362277992096409</v>
          </cell>
          <cell r="DI455">
            <v>14.300000632844487</v>
          </cell>
          <cell r="DJ455">
            <v>22.424555351348332</v>
          </cell>
          <cell r="DU455">
            <v>11.056890258627448</v>
          </cell>
          <cell r="DV455">
            <v>11.644336226312735</v>
          </cell>
          <cell r="DW455">
            <v>9.8476005987137558</v>
          </cell>
          <cell r="DX455">
            <v>7.1073990168282446</v>
          </cell>
          <cell r="DY455">
            <v>12.587802180599267</v>
          </cell>
        </row>
        <row r="456">
          <cell r="A456">
            <v>40101</v>
          </cell>
          <cell r="DF456">
            <v>15.752610107818542</v>
          </cell>
          <cell r="DG456">
            <v>21.679348620667902</v>
          </cell>
          <cell r="DH456">
            <v>18.362277992096409</v>
          </cell>
          <cell r="DI456">
            <v>14.300000632844487</v>
          </cell>
          <cell r="DJ456">
            <v>22.424555351348332</v>
          </cell>
          <cell r="DU456">
            <v>10.985348574020149</v>
          </cell>
          <cell r="DV456">
            <v>11.644336226312735</v>
          </cell>
          <cell r="DW456">
            <v>9.8476005987137558</v>
          </cell>
          <cell r="DX456">
            <v>7.1073990168282446</v>
          </cell>
          <cell r="DY456">
            <v>12.587802180599267</v>
          </cell>
        </row>
        <row r="457">
          <cell r="A457">
            <v>40102</v>
          </cell>
          <cell r="DF457">
            <v>16.038653776754224</v>
          </cell>
          <cell r="DG457">
            <v>21.679348620667902</v>
          </cell>
          <cell r="DH457">
            <v>18.362277992096409</v>
          </cell>
          <cell r="DI457">
            <v>14.300000632844487</v>
          </cell>
          <cell r="DJ457">
            <v>22.424555351348332</v>
          </cell>
          <cell r="DU457">
            <v>11.22197350067178</v>
          </cell>
          <cell r="DV457">
            <v>11.644336226312735</v>
          </cell>
          <cell r="DW457">
            <v>9.8476005987137558</v>
          </cell>
          <cell r="DX457">
            <v>7.1073990168282446</v>
          </cell>
          <cell r="DY457">
            <v>12.587802180599267</v>
          </cell>
        </row>
        <row r="458">
          <cell r="A458">
            <v>40105</v>
          </cell>
          <cell r="DF458">
            <v>16.038653776754224</v>
          </cell>
          <cell r="DG458">
            <v>21.679348620667902</v>
          </cell>
          <cell r="DH458">
            <v>18.362277992096409</v>
          </cell>
          <cell r="DI458">
            <v>14.300000632844487</v>
          </cell>
          <cell r="DJ458">
            <v>22.424555351348332</v>
          </cell>
          <cell r="DU458">
            <v>11.22197350067178</v>
          </cell>
          <cell r="DV458">
            <v>11.644336226312735</v>
          </cell>
          <cell r="DW458">
            <v>9.8476005987137558</v>
          </cell>
          <cell r="DX458">
            <v>7.1073990168282446</v>
          </cell>
          <cell r="DY458">
            <v>12.587802180599267</v>
          </cell>
        </row>
        <row r="459">
          <cell r="A459">
            <v>40106</v>
          </cell>
          <cell r="DF459">
            <v>15.932224508023452</v>
          </cell>
          <cell r="DG459">
            <v>21.679348620667902</v>
          </cell>
          <cell r="DH459">
            <v>18.362277992096409</v>
          </cell>
          <cell r="DI459">
            <v>14.300000632844487</v>
          </cell>
          <cell r="DJ459">
            <v>22.424555351348332</v>
          </cell>
          <cell r="DU459">
            <v>11.133931636292434</v>
          </cell>
          <cell r="DV459">
            <v>11.644336226312735</v>
          </cell>
          <cell r="DW459">
            <v>9.8476005987137558</v>
          </cell>
          <cell r="DX459">
            <v>7.1073990168282446</v>
          </cell>
          <cell r="DY459">
            <v>12.587802180599267</v>
          </cell>
        </row>
        <row r="460">
          <cell r="A460">
            <v>40107</v>
          </cell>
          <cell r="DF460">
            <v>15.380084051643271</v>
          </cell>
          <cell r="DG460">
            <v>21.679348620667902</v>
          </cell>
          <cell r="DH460">
            <v>18.362277992096409</v>
          </cell>
          <cell r="DI460">
            <v>14.300000632844487</v>
          </cell>
          <cell r="DJ460">
            <v>22.424555351348332</v>
          </cell>
          <cell r="DU460">
            <v>10.677182513060712</v>
          </cell>
          <cell r="DV460">
            <v>11.644336226312735</v>
          </cell>
          <cell r="DW460">
            <v>9.8476005987137558</v>
          </cell>
          <cell r="DX460">
            <v>7.1073990168282446</v>
          </cell>
          <cell r="DY460">
            <v>12.587802180599267</v>
          </cell>
        </row>
        <row r="461">
          <cell r="A461">
            <v>40108</v>
          </cell>
          <cell r="DF461">
            <v>15.893935518833166</v>
          </cell>
          <cell r="DG461">
            <v>21.679348620667902</v>
          </cell>
          <cell r="DH461">
            <v>18.362277992096409</v>
          </cell>
          <cell r="DI461">
            <v>14.300000632844487</v>
          </cell>
          <cell r="DJ461">
            <v>22.424555351348332</v>
          </cell>
          <cell r="DU461">
            <v>10.966233872200801</v>
          </cell>
          <cell r="DV461">
            <v>11.644336226312735</v>
          </cell>
          <cell r="DW461">
            <v>9.8476005987137558</v>
          </cell>
          <cell r="DX461">
            <v>7.1073990168282446</v>
          </cell>
          <cell r="DY461">
            <v>12.587802180599267</v>
          </cell>
        </row>
        <row r="462">
          <cell r="A462">
            <v>40109</v>
          </cell>
          <cell r="DF462">
            <v>16.226143228347762</v>
          </cell>
          <cell r="DG462">
            <v>21.679348620667902</v>
          </cell>
          <cell r="DH462">
            <v>18.362277992096409</v>
          </cell>
          <cell r="DI462">
            <v>14.300000632844487</v>
          </cell>
          <cell r="DJ462">
            <v>22.424555351348332</v>
          </cell>
          <cell r="DU462">
            <v>11.214336554928042</v>
          </cell>
          <cell r="DV462">
            <v>11.644336226312735</v>
          </cell>
          <cell r="DW462">
            <v>9.8476005987137558</v>
          </cell>
          <cell r="DX462">
            <v>7.1073990168282446</v>
          </cell>
          <cell r="DY462">
            <v>12.587802180599267</v>
          </cell>
        </row>
        <row r="463">
          <cell r="A463">
            <v>40112</v>
          </cell>
          <cell r="DF463">
            <v>16.00767481504775</v>
          </cell>
          <cell r="DG463">
            <v>21.679348620667902</v>
          </cell>
          <cell r="DH463">
            <v>18.362277992096409</v>
          </cell>
          <cell r="DI463">
            <v>14.300000632844487</v>
          </cell>
          <cell r="DJ463">
            <v>22.424555351348332</v>
          </cell>
          <cell r="DU463">
            <v>11.036351477515403</v>
          </cell>
          <cell r="DV463">
            <v>11.644336226312735</v>
          </cell>
          <cell r="DW463">
            <v>9.8476005987137558</v>
          </cell>
          <cell r="DX463">
            <v>7.1073990168282446</v>
          </cell>
          <cell r="DY463">
            <v>12.587802180599267</v>
          </cell>
        </row>
        <row r="464">
          <cell r="A464">
            <v>40113</v>
          </cell>
          <cell r="DF464">
            <v>15.914992469505636</v>
          </cell>
          <cell r="DG464">
            <v>21.679348620667902</v>
          </cell>
          <cell r="DH464">
            <v>18.362277992096409</v>
          </cell>
          <cell r="DI464">
            <v>14.300000632844487</v>
          </cell>
          <cell r="DJ464">
            <v>22.424555351348332</v>
          </cell>
          <cell r="DU464">
            <v>10.960843653766783</v>
          </cell>
          <cell r="DV464">
            <v>11.644336226312735</v>
          </cell>
          <cell r="DW464">
            <v>9.8476005987137558</v>
          </cell>
          <cell r="DX464">
            <v>7.1073990168282446</v>
          </cell>
          <cell r="DY464">
            <v>12.587802180599267</v>
          </cell>
        </row>
        <row r="465">
          <cell r="A465">
            <v>40114</v>
          </cell>
          <cell r="DF465">
            <v>15.974571754853446</v>
          </cell>
          <cell r="DG465">
            <v>21.679348620667902</v>
          </cell>
          <cell r="DH465">
            <v>18.362277992096409</v>
          </cell>
          <cell r="DI465">
            <v>14.300000632844487</v>
          </cell>
          <cell r="DJ465">
            <v>22.424555351348332</v>
          </cell>
          <cell r="DU465">
            <v>11.009382586945454</v>
          </cell>
          <cell r="DV465">
            <v>11.644336226312735</v>
          </cell>
          <cell r="DW465">
            <v>9.8476005987137558</v>
          </cell>
          <cell r="DX465">
            <v>7.1073990168282446</v>
          </cell>
          <cell r="DY465">
            <v>12.587802180599267</v>
          </cell>
        </row>
        <row r="466">
          <cell r="A466">
            <v>40115</v>
          </cell>
          <cell r="DF466">
            <v>16.146703960543523</v>
          </cell>
          <cell r="DG466">
            <v>21.679348620667902</v>
          </cell>
          <cell r="DH466">
            <v>18.362277992096409</v>
          </cell>
          <cell r="DI466">
            <v>14.300000632844487</v>
          </cell>
          <cell r="DJ466">
            <v>22.424555351348332</v>
          </cell>
          <cell r="DU466">
            <v>11.149617797574665</v>
          </cell>
          <cell r="DV466">
            <v>11.644336226312735</v>
          </cell>
          <cell r="DW466">
            <v>9.8476005987137558</v>
          </cell>
          <cell r="DX466">
            <v>7.1073990168282446</v>
          </cell>
          <cell r="DY466">
            <v>12.587802180599267</v>
          </cell>
        </row>
        <row r="467">
          <cell r="A467">
            <v>40116</v>
          </cell>
          <cell r="DF467">
            <v>16.106974065308421</v>
          </cell>
          <cell r="DG467">
            <v>21.679348620667902</v>
          </cell>
          <cell r="DH467">
            <v>18.362277992096409</v>
          </cell>
          <cell r="DI467">
            <v>14.300000632844487</v>
          </cell>
          <cell r="DJ467">
            <v>22.424555351348332</v>
          </cell>
          <cell r="DU467">
            <v>11.117250059043487</v>
          </cell>
          <cell r="DV467">
            <v>11.644336226312735</v>
          </cell>
          <cell r="DW467">
            <v>9.8476005987137558</v>
          </cell>
          <cell r="DX467">
            <v>7.1073990168282446</v>
          </cell>
          <cell r="DY467">
            <v>12.587802180599267</v>
          </cell>
        </row>
        <row r="468">
          <cell r="A468">
            <v>40119</v>
          </cell>
          <cell r="DF468">
            <v>16.1864232634349</v>
          </cell>
          <cell r="DG468">
            <v>21.679348620667902</v>
          </cell>
          <cell r="DH468">
            <v>18.362277992096409</v>
          </cell>
          <cell r="DI468">
            <v>14.300000632844487</v>
          </cell>
          <cell r="DJ468">
            <v>22.424555351348332</v>
          </cell>
          <cell r="DU468">
            <v>11.181976906578628</v>
          </cell>
          <cell r="DV468">
            <v>11.644336226312735</v>
          </cell>
          <cell r="DW468">
            <v>9.8476005987137558</v>
          </cell>
          <cell r="DX468">
            <v>7.1073990168282446</v>
          </cell>
          <cell r="DY468">
            <v>12.587802180599267</v>
          </cell>
        </row>
        <row r="469">
          <cell r="A469">
            <v>40120</v>
          </cell>
          <cell r="DF469">
            <v>16.093740917892788</v>
          </cell>
          <cell r="DG469">
            <v>21.679348620667902</v>
          </cell>
          <cell r="DH469">
            <v>18.362277992096409</v>
          </cell>
          <cell r="DI469">
            <v>14.300000632844487</v>
          </cell>
          <cell r="DJ469">
            <v>22.424555351348332</v>
          </cell>
          <cell r="DU469">
            <v>11.106469082830008</v>
          </cell>
          <cell r="DV469">
            <v>11.644336226312735</v>
          </cell>
          <cell r="DW469">
            <v>9.8476005987137558</v>
          </cell>
          <cell r="DX469">
            <v>7.1073990168282446</v>
          </cell>
          <cell r="DY469">
            <v>12.587802180599267</v>
          </cell>
        </row>
        <row r="470">
          <cell r="A470">
            <v>40121</v>
          </cell>
          <cell r="DF470">
            <v>16.24600321080419</v>
          </cell>
          <cell r="DG470">
            <v>21.679348620667902</v>
          </cell>
          <cell r="DH470">
            <v>18.362277992096409</v>
          </cell>
          <cell r="DI470">
            <v>14.300000632844487</v>
          </cell>
          <cell r="DJ470">
            <v>22.424555351348332</v>
          </cell>
          <cell r="DU470">
            <v>11.230516379102749</v>
          </cell>
          <cell r="DV470">
            <v>11.644336226312735</v>
          </cell>
          <cell r="DW470">
            <v>9.8476005987137558</v>
          </cell>
          <cell r="DX470">
            <v>7.1073990168282446</v>
          </cell>
          <cell r="DY470">
            <v>12.587802180599267</v>
          </cell>
        </row>
        <row r="471">
          <cell r="A471">
            <v>40122</v>
          </cell>
          <cell r="DF471">
            <v>16.385031694278481</v>
          </cell>
          <cell r="DG471">
            <v>21.679348620667902</v>
          </cell>
          <cell r="DH471">
            <v>18.362277992096409</v>
          </cell>
          <cell r="DI471">
            <v>14.300000632844487</v>
          </cell>
          <cell r="DJ471">
            <v>22.424555351348332</v>
          </cell>
          <cell r="DU471">
            <v>11.343782159816559</v>
          </cell>
          <cell r="DV471">
            <v>11.644336226312735</v>
          </cell>
          <cell r="DW471">
            <v>9.8476005987137558</v>
          </cell>
          <cell r="DX471">
            <v>7.1073990168282446</v>
          </cell>
          <cell r="DY471">
            <v>12.587802180599267</v>
          </cell>
        </row>
        <row r="472">
          <cell r="A472">
            <v>40123</v>
          </cell>
          <cell r="DF472">
            <v>16.24600321080419</v>
          </cell>
          <cell r="DG472">
            <v>21.679348620667902</v>
          </cell>
          <cell r="DH472">
            <v>18.362277992096409</v>
          </cell>
          <cell r="DI472">
            <v>14.300000632844487</v>
          </cell>
          <cell r="DJ472">
            <v>22.424555351348332</v>
          </cell>
          <cell r="DU472">
            <v>11.230516379102749</v>
          </cell>
          <cell r="DV472">
            <v>11.644336226312735</v>
          </cell>
          <cell r="DW472">
            <v>9.8476005987137558</v>
          </cell>
          <cell r="DX472">
            <v>7.1073990168282446</v>
          </cell>
          <cell r="DY472">
            <v>12.587802180599267</v>
          </cell>
        </row>
        <row r="473">
          <cell r="A473">
            <v>40126</v>
          </cell>
          <cell r="DF473">
            <v>16.060637857698485</v>
          </cell>
          <cell r="DG473">
            <v>21.679348620667902</v>
          </cell>
          <cell r="DH473">
            <v>18.362277992096409</v>
          </cell>
          <cell r="DI473">
            <v>14.300000632844487</v>
          </cell>
          <cell r="DJ473">
            <v>22.424555351348332</v>
          </cell>
          <cell r="DU473">
            <v>11.07950019226006</v>
          </cell>
          <cell r="DV473">
            <v>11.644336226312735</v>
          </cell>
          <cell r="DW473">
            <v>9.8476005987137558</v>
          </cell>
          <cell r="DX473">
            <v>7.1073990168282446</v>
          </cell>
          <cell r="DY473">
            <v>12.587802180599267</v>
          </cell>
        </row>
        <row r="474">
          <cell r="A474">
            <v>40127</v>
          </cell>
          <cell r="DF474">
            <v>16.060637857698485</v>
          </cell>
          <cell r="DG474">
            <v>21.679348620667902</v>
          </cell>
          <cell r="DH474">
            <v>18.362277992096409</v>
          </cell>
          <cell r="DI474">
            <v>14.300000632844487</v>
          </cell>
          <cell r="DJ474">
            <v>22.424555351348332</v>
          </cell>
          <cell r="DU474">
            <v>11.07950019226006</v>
          </cell>
          <cell r="DV474">
            <v>11.644336226312735</v>
          </cell>
          <cell r="DW474">
            <v>9.8476005987137558</v>
          </cell>
          <cell r="DX474">
            <v>7.1073990168282446</v>
          </cell>
          <cell r="DY474">
            <v>12.587802180599267</v>
          </cell>
        </row>
        <row r="475">
          <cell r="A475">
            <v>40128</v>
          </cell>
          <cell r="DF475">
            <v>15.994431737309876</v>
          </cell>
          <cell r="DG475">
            <v>21.679348620667902</v>
          </cell>
          <cell r="DH475">
            <v>18.362277992096409</v>
          </cell>
          <cell r="DI475">
            <v>14.300000632844487</v>
          </cell>
          <cell r="DJ475">
            <v>22.424555351348332</v>
          </cell>
          <cell r="DU475">
            <v>11.025562411120163</v>
          </cell>
          <cell r="DV475">
            <v>11.644336226312735</v>
          </cell>
          <cell r="DW475">
            <v>9.8476005987137558</v>
          </cell>
          <cell r="DX475">
            <v>7.1073990168282446</v>
          </cell>
          <cell r="DY475">
            <v>12.587802180599267</v>
          </cell>
        </row>
        <row r="476">
          <cell r="A476">
            <v>40129</v>
          </cell>
          <cell r="DF476">
            <v>16.497574684298506</v>
          </cell>
          <cell r="DG476">
            <v>21.679348620667902</v>
          </cell>
          <cell r="DH476">
            <v>18.362277992096409</v>
          </cell>
          <cell r="DI476">
            <v>14.300000632844487</v>
          </cell>
          <cell r="DJ476">
            <v>22.424555351348332</v>
          </cell>
          <cell r="DU476">
            <v>11.435470347085337</v>
          </cell>
          <cell r="DV476">
            <v>11.644336226312735</v>
          </cell>
          <cell r="DW476">
            <v>9.8476005987137558</v>
          </cell>
          <cell r="DX476">
            <v>7.1073990168282446</v>
          </cell>
          <cell r="DY476">
            <v>12.587802180599267</v>
          </cell>
        </row>
        <row r="477">
          <cell r="A477">
            <v>40130</v>
          </cell>
          <cell r="DF477">
            <v>17.291998477350592</v>
          </cell>
          <cell r="DG477">
            <v>21.679348620667902</v>
          </cell>
          <cell r="DH477">
            <v>18.362277992096409</v>
          </cell>
          <cell r="DI477">
            <v>14.300000632844487</v>
          </cell>
          <cell r="DJ477">
            <v>22.424555351348332</v>
          </cell>
          <cell r="DU477">
            <v>12.0826832698553</v>
          </cell>
          <cell r="DV477">
            <v>11.644336226312735</v>
          </cell>
          <cell r="DW477">
            <v>9.8476005987137558</v>
          </cell>
          <cell r="DX477">
            <v>7.1073990168282446</v>
          </cell>
          <cell r="DY477">
            <v>12.587802180599267</v>
          </cell>
        </row>
        <row r="478">
          <cell r="A478">
            <v>40133</v>
          </cell>
          <cell r="DF478">
            <v>17.364820840436273</v>
          </cell>
          <cell r="DG478">
            <v>21.679348620667902</v>
          </cell>
          <cell r="DH478">
            <v>18.362277992096409</v>
          </cell>
          <cell r="DI478">
            <v>14.300000632844487</v>
          </cell>
          <cell r="DJ478">
            <v>22.424555351348332</v>
          </cell>
          <cell r="DU478">
            <v>12.14201126942921</v>
          </cell>
          <cell r="DV478">
            <v>11.644336226312735</v>
          </cell>
          <cell r="DW478">
            <v>9.8476005987137558</v>
          </cell>
          <cell r="DX478">
            <v>7.1073990168282446</v>
          </cell>
          <cell r="DY478">
            <v>12.587802180599267</v>
          </cell>
        </row>
        <row r="479">
          <cell r="A479">
            <v>40134</v>
          </cell>
          <cell r="DF479">
            <v>17.364820840436273</v>
          </cell>
          <cell r="DG479">
            <v>21.679348620667902</v>
          </cell>
          <cell r="DH479">
            <v>18.362277992096409</v>
          </cell>
          <cell r="DI479">
            <v>14.300000632844487</v>
          </cell>
          <cell r="DJ479">
            <v>22.424555351348332</v>
          </cell>
          <cell r="DU479">
            <v>12.14201126942921</v>
          </cell>
          <cell r="DV479">
            <v>11.644336226312735</v>
          </cell>
          <cell r="DW479">
            <v>9.8476005987137558</v>
          </cell>
          <cell r="DX479">
            <v>7.1073990168282446</v>
          </cell>
          <cell r="DY479">
            <v>12.587802180599267</v>
          </cell>
        </row>
        <row r="480">
          <cell r="A480">
            <v>40135</v>
          </cell>
          <cell r="DF480">
            <v>17.636252296387021</v>
          </cell>
          <cell r="DG480">
            <v>21.679348620667902</v>
          </cell>
          <cell r="DH480">
            <v>18.362277992096409</v>
          </cell>
          <cell r="DI480">
            <v>14.300000632844487</v>
          </cell>
          <cell r="DJ480">
            <v>22.424555351348332</v>
          </cell>
          <cell r="DU480">
            <v>12.363145061586506</v>
          </cell>
          <cell r="DV480">
            <v>11.644336226312735</v>
          </cell>
          <cell r="DW480">
            <v>9.8476005987137558</v>
          </cell>
          <cell r="DX480">
            <v>7.1073990168282446</v>
          </cell>
          <cell r="DY480">
            <v>12.587802180599267</v>
          </cell>
        </row>
        <row r="481">
          <cell r="A481">
            <v>40136</v>
          </cell>
          <cell r="DF481">
            <v>17.351577762698401</v>
          </cell>
          <cell r="DG481">
            <v>21.679348620667902</v>
          </cell>
          <cell r="DH481">
            <v>18.362277992096409</v>
          </cell>
          <cell r="DI481">
            <v>14.300000632844487</v>
          </cell>
          <cell r="DJ481">
            <v>22.424555351348332</v>
          </cell>
          <cell r="DU481">
            <v>12.131222203033969</v>
          </cell>
          <cell r="DV481">
            <v>11.644336226312735</v>
          </cell>
          <cell r="DW481">
            <v>9.8476005987137558</v>
          </cell>
          <cell r="DX481">
            <v>7.1073990168282446</v>
          </cell>
          <cell r="DY481">
            <v>12.587802180599267</v>
          </cell>
        </row>
        <row r="482">
          <cell r="A482">
            <v>40137</v>
          </cell>
          <cell r="DF482">
            <v>17.450877012959072</v>
          </cell>
          <cell r="DG482">
            <v>21.679348620667902</v>
          </cell>
          <cell r="DH482">
            <v>18.362277992096409</v>
          </cell>
          <cell r="DI482">
            <v>14.300000632844487</v>
          </cell>
          <cell r="DJ482">
            <v>22.424555351348332</v>
          </cell>
          <cell r="DU482">
            <v>12.212120784562055</v>
          </cell>
          <cell r="DV482">
            <v>11.644336226312735</v>
          </cell>
          <cell r="DW482">
            <v>9.8476005987137558</v>
          </cell>
          <cell r="DX482">
            <v>7.1073990168282446</v>
          </cell>
          <cell r="DY482">
            <v>12.587802180599267</v>
          </cell>
        </row>
        <row r="483">
          <cell r="A483">
            <v>40140</v>
          </cell>
          <cell r="DF483">
            <v>17.272138494894161</v>
          </cell>
          <cell r="DG483">
            <v>21.679348620667902</v>
          </cell>
          <cell r="DH483">
            <v>18.362277992096409</v>
          </cell>
          <cell r="DI483">
            <v>14.300000632844487</v>
          </cell>
          <cell r="DJ483">
            <v>22.424555351348332</v>
          </cell>
          <cell r="DU483">
            <v>12.06650344568059</v>
          </cell>
          <cell r="DV483">
            <v>11.644336226312735</v>
          </cell>
          <cell r="DW483">
            <v>9.8476005987137558</v>
          </cell>
          <cell r="DX483">
            <v>7.1073990168282446</v>
          </cell>
          <cell r="DY483">
            <v>12.587802180599267</v>
          </cell>
        </row>
        <row r="484">
          <cell r="A484">
            <v>40141</v>
          </cell>
          <cell r="DF484">
            <v>17.156561256571432</v>
          </cell>
          <cell r="DG484">
            <v>21.679348620667902</v>
          </cell>
          <cell r="DH484">
            <v>18.362277992096409</v>
          </cell>
          <cell r="DI484">
            <v>14.300000632844487</v>
          </cell>
          <cell r="DJ484">
            <v>22.424555351348332</v>
          </cell>
          <cell r="DU484">
            <v>11.83100042654452</v>
          </cell>
          <cell r="DV484">
            <v>11.644336226312735</v>
          </cell>
          <cell r="DW484">
            <v>9.8476005987137558</v>
          </cell>
          <cell r="DX484">
            <v>7.1073990168282446</v>
          </cell>
          <cell r="DY484">
            <v>12.587802180599267</v>
          </cell>
        </row>
        <row r="485">
          <cell r="A485">
            <v>40142</v>
          </cell>
          <cell r="DF485">
            <v>17.531383172563054</v>
          </cell>
          <cell r="DG485">
            <v>21.679348620667902</v>
          </cell>
          <cell r="DH485">
            <v>18.362277992096409</v>
          </cell>
          <cell r="DI485">
            <v>14.300000632844487</v>
          </cell>
          <cell r="DJ485">
            <v>22.424555351348332</v>
          </cell>
          <cell r="DU485">
            <v>12.13242302463742</v>
          </cell>
          <cell r="DV485">
            <v>11.644336226312735</v>
          </cell>
          <cell r="DW485">
            <v>9.8476005987137558</v>
          </cell>
          <cell r="DX485">
            <v>7.1073990168282446</v>
          </cell>
          <cell r="DY485">
            <v>12.587802180599267</v>
          </cell>
        </row>
        <row r="486">
          <cell r="A486">
            <v>40143</v>
          </cell>
          <cell r="DF486">
            <v>17.472202564499113</v>
          </cell>
          <cell r="DG486">
            <v>21.679348620667902</v>
          </cell>
          <cell r="DH486">
            <v>18.362277992096409</v>
          </cell>
          <cell r="DI486">
            <v>14.300000632844487</v>
          </cell>
          <cell r="DJ486">
            <v>22.424555351348332</v>
          </cell>
          <cell r="DU486">
            <v>12.084831430127377</v>
          </cell>
          <cell r="DV486">
            <v>11.644336226312735</v>
          </cell>
          <cell r="DW486">
            <v>9.8476005987137558</v>
          </cell>
          <cell r="DX486">
            <v>7.1073990168282446</v>
          </cell>
          <cell r="DY486">
            <v>12.587802180599267</v>
          </cell>
        </row>
        <row r="487">
          <cell r="A487">
            <v>40144</v>
          </cell>
          <cell r="DF487">
            <v>17.702363548387595</v>
          </cell>
          <cell r="DG487">
            <v>21.679348620667902</v>
          </cell>
          <cell r="DH487">
            <v>18.362277992096409</v>
          </cell>
          <cell r="DI487">
            <v>14.300000632844487</v>
          </cell>
          <cell r="DJ487">
            <v>22.424555351348332</v>
          </cell>
          <cell r="DU487">
            <v>12.269921252209272</v>
          </cell>
          <cell r="DV487">
            <v>11.644336226312735</v>
          </cell>
          <cell r="DW487">
            <v>9.8476005987137558</v>
          </cell>
          <cell r="DX487">
            <v>7.1073990168282446</v>
          </cell>
          <cell r="DY487">
            <v>12.587802180599267</v>
          </cell>
        </row>
        <row r="488">
          <cell r="A488">
            <v>40147</v>
          </cell>
          <cell r="DF488">
            <v>17.426175759972029</v>
          </cell>
          <cell r="DG488">
            <v>21.679348620667902</v>
          </cell>
          <cell r="DH488">
            <v>18.362277992096409</v>
          </cell>
          <cell r="DI488">
            <v>14.300000632844487</v>
          </cell>
          <cell r="DJ488">
            <v>22.424555351348332</v>
          </cell>
          <cell r="DU488">
            <v>12.047817802026781</v>
          </cell>
          <cell r="DV488">
            <v>11.644336226312735</v>
          </cell>
          <cell r="DW488">
            <v>9.8476005987137558</v>
          </cell>
          <cell r="DX488">
            <v>7.1073990168282446</v>
          </cell>
          <cell r="DY488">
            <v>12.587802180599267</v>
          </cell>
        </row>
        <row r="489">
          <cell r="A489">
            <v>40148</v>
          </cell>
          <cell r="DF489">
            <v>17.222314492058807</v>
          </cell>
          <cell r="DG489">
            <v>21.679348620667902</v>
          </cell>
          <cell r="DH489">
            <v>18.362277992096409</v>
          </cell>
          <cell r="DI489">
            <v>14.300000632844487</v>
          </cell>
          <cell r="DJ489">
            <v>22.424555351348332</v>
          </cell>
          <cell r="DU489">
            <v>11.883877566935801</v>
          </cell>
          <cell r="DV489">
            <v>11.644336226312735</v>
          </cell>
          <cell r="DW489">
            <v>9.8476005987137558</v>
          </cell>
          <cell r="DX489">
            <v>7.1073990168282446</v>
          </cell>
          <cell r="DY489">
            <v>12.587802180599267</v>
          </cell>
        </row>
        <row r="490">
          <cell r="A490">
            <v>40149</v>
          </cell>
          <cell r="DF490">
            <v>16.814611026386963</v>
          </cell>
          <cell r="DG490">
            <v>21.679348620667902</v>
          </cell>
          <cell r="DH490">
            <v>18.362277992096409</v>
          </cell>
          <cell r="DI490">
            <v>14.300000632844487</v>
          </cell>
          <cell r="DJ490">
            <v>22.424555351348332</v>
          </cell>
          <cell r="DU490">
            <v>11.556012432504779</v>
          </cell>
          <cell r="DV490">
            <v>11.644336226312735</v>
          </cell>
          <cell r="DW490">
            <v>9.8476005987137558</v>
          </cell>
          <cell r="DX490">
            <v>7.1073990168282446</v>
          </cell>
          <cell r="DY490">
            <v>12.587802180599267</v>
          </cell>
        </row>
        <row r="491">
          <cell r="A491">
            <v>40150</v>
          </cell>
          <cell r="DF491">
            <v>15.778307954198979</v>
          </cell>
          <cell r="DG491">
            <v>21.679348620667902</v>
          </cell>
          <cell r="DH491">
            <v>18.362277992096409</v>
          </cell>
          <cell r="DI491">
            <v>14.300000632844487</v>
          </cell>
          <cell r="DJ491">
            <v>22.424555351348332</v>
          </cell>
          <cell r="DU491">
            <v>10.884409661429091</v>
          </cell>
          <cell r="DV491">
            <v>11.644336226312735</v>
          </cell>
          <cell r="DW491">
            <v>9.8476005987137558</v>
          </cell>
          <cell r="DX491">
            <v>7.1073990168282446</v>
          </cell>
          <cell r="DY491">
            <v>12.587802180599267</v>
          </cell>
        </row>
        <row r="492">
          <cell r="A492">
            <v>40151</v>
          </cell>
          <cell r="DF492">
            <v>16.018561056564344</v>
          </cell>
          <cell r="DG492">
            <v>21.679348620667902</v>
          </cell>
          <cell r="DH492">
            <v>18.362277992096409</v>
          </cell>
          <cell r="DI492">
            <v>14.300000632844487</v>
          </cell>
          <cell r="DJ492">
            <v>22.424555351348332</v>
          </cell>
          <cell r="DU492">
            <v>11.080078507558426</v>
          </cell>
          <cell r="DV492">
            <v>11.644336226312735</v>
          </cell>
          <cell r="DW492">
            <v>9.8476005987137558</v>
          </cell>
          <cell r="DX492">
            <v>7.1073990168282446</v>
          </cell>
          <cell r="DY492">
            <v>12.587802180599267</v>
          </cell>
        </row>
        <row r="493">
          <cell r="A493">
            <v>40154</v>
          </cell>
          <cell r="DF493">
            <v>15.988783922463583</v>
          </cell>
          <cell r="DG493">
            <v>21.679348620667902</v>
          </cell>
          <cell r="DH493">
            <v>18.362277992096409</v>
          </cell>
          <cell r="DI493">
            <v>14.300000632844487</v>
          </cell>
          <cell r="DJ493">
            <v>22.424555351348332</v>
          </cell>
          <cell r="DU493">
            <v>11.234423179041592</v>
          </cell>
          <cell r="DV493">
            <v>11.644336226312735</v>
          </cell>
          <cell r="DW493">
            <v>9.8476005987137558</v>
          </cell>
          <cell r="DX493">
            <v>7.1073990168282446</v>
          </cell>
          <cell r="DY493">
            <v>12.587802180599267</v>
          </cell>
        </row>
        <row r="494">
          <cell r="A494">
            <v>40155</v>
          </cell>
          <cell r="DF494">
            <v>15.558063703884899</v>
          </cell>
          <cell r="DG494">
            <v>21.679348620667902</v>
          </cell>
          <cell r="DH494">
            <v>18.362277992096409</v>
          </cell>
          <cell r="DI494">
            <v>14.300000632844487</v>
          </cell>
          <cell r="DJ494">
            <v>22.424555351348332</v>
          </cell>
          <cell r="DU494">
            <v>10.877644462152944</v>
          </cell>
          <cell r="DV494">
            <v>11.644336226312735</v>
          </cell>
          <cell r="DW494">
            <v>9.8476005987137558</v>
          </cell>
          <cell r="DX494">
            <v>7.1073990168282446</v>
          </cell>
          <cell r="DY494">
            <v>12.587802180599267</v>
          </cell>
        </row>
        <row r="495">
          <cell r="A495">
            <v>40156</v>
          </cell>
          <cell r="DF495">
            <v>15.558063703884899</v>
          </cell>
          <cell r="DG495">
            <v>21.679348620667902</v>
          </cell>
          <cell r="DH495">
            <v>18.362277992096409</v>
          </cell>
          <cell r="DI495">
            <v>14.300000632844487</v>
          </cell>
          <cell r="DJ495">
            <v>22.424555351348332</v>
          </cell>
          <cell r="DU495">
            <v>10.877644462152944</v>
          </cell>
          <cell r="DV495">
            <v>11.644336226312735</v>
          </cell>
          <cell r="DW495">
            <v>9.8476005987137558</v>
          </cell>
          <cell r="DX495">
            <v>7.1073990168282446</v>
          </cell>
          <cell r="DY495">
            <v>12.587802180599267</v>
          </cell>
        </row>
        <row r="496">
          <cell r="A496">
            <v>40157</v>
          </cell>
          <cell r="DF496">
            <v>15.355757947215681</v>
          </cell>
          <cell r="DG496">
            <v>21.679348620667902</v>
          </cell>
          <cell r="DH496">
            <v>18.362277992096409</v>
          </cell>
          <cell r="DI496">
            <v>14.300000632844487</v>
          </cell>
          <cell r="DJ496">
            <v>22.424555351348332</v>
          </cell>
          <cell r="DU496">
            <v>10.710068422834869</v>
          </cell>
          <cell r="DV496">
            <v>11.644336226312735</v>
          </cell>
          <cell r="DW496">
            <v>9.8476005987137558</v>
          </cell>
          <cell r="DX496">
            <v>7.1073990168282446</v>
          </cell>
          <cell r="DY496">
            <v>12.587802180599267</v>
          </cell>
        </row>
        <row r="497">
          <cell r="A497">
            <v>40158</v>
          </cell>
          <cell r="DF497">
            <v>15.22522943089324</v>
          </cell>
          <cell r="DG497">
            <v>21.679348620667902</v>
          </cell>
          <cell r="DH497">
            <v>18.362277992096409</v>
          </cell>
          <cell r="DI497">
            <v>14.300000632844487</v>
          </cell>
          <cell r="DJ497">
            <v>22.424555351348332</v>
          </cell>
          <cell r="DU497">
            <v>10.601947664713569</v>
          </cell>
          <cell r="DV497">
            <v>11.644336226312735</v>
          </cell>
          <cell r="DW497">
            <v>9.8476005987137558</v>
          </cell>
          <cell r="DX497">
            <v>7.1073990168282446</v>
          </cell>
          <cell r="DY497">
            <v>12.587802180599267</v>
          </cell>
        </row>
        <row r="498">
          <cell r="A498">
            <v>40161</v>
          </cell>
          <cell r="DF498">
            <v>14.902704704239175</v>
          </cell>
          <cell r="DG498">
            <v>21.679348620667902</v>
          </cell>
          <cell r="DH498">
            <v>18.362277992096409</v>
          </cell>
          <cell r="DI498">
            <v>14.300000632844487</v>
          </cell>
          <cell r="DJ498">
            <v>22.424555351348332</v>
          </cell>
          <cell r="DU498">
            <v>10.337073105827823</v>
          </cell>
          <cell r="DV498">
            <v>11.644336226312735</v>
          </cell>
          <cell r="DW498">
            <v>9.8476005987137558</v>
          </cell>
          <cell r="DX498">
            <v>7.1073990168282446</v>
          </cell>
          <cell r="DY498">
            <v>12.587802180599267</v>
          </cell>
        </row>
        <row r="499">
          <cell r="A499">
            <v>40162</v>
          </cell>
          <cell r="DF499">
            <v>14.861424193023955</v>
          </cell>
          <cell r="DG499">
            <v>21.679348620667902</v>
          </cell>
          <cell r="DH499">
            <v>18.362277992096409</v>
          </cell>
          <cell r="DI499">
            <v>14.300000632844487</v>
          </cell>
          <cell r="DJ499">
            <v>22.424555351348332</v>
          </cell>
          <cell r="DU499">
            <v>10.310042916297499</v>
          </cell>
          <cell r="DV499">
            <v>11.644336226312735</v>
          </cell>
          <cell r="DW499">
            <v>9.8476005987137558</v>
          </cell>
          <cell r="DX499">
            <v>7.1073990168282446</v>
          </cell>
          <cell r="DY499">
            <v>12.587802180599267</v>
          </cell>
        </row>
        <row r="500">
          <cell r="A500">
            <v>40163</v>
          </cell>
          <cell r="DF500">
            <v>14.587542223672772</v>
          </cell>
          <cell r="DG500">
            <v>21.679348620667902</v>
          </cell>
          <cell r="DH500">
            <v>18.362277992096409</v>
          </cell>
          <cell r="DI500">
            <v>14.300000632844487</v>
          </cell>
          <cell r="DJ500">
            <v>22.424555351348332</v>
          </cell>
          <cell r="DU500">
            <v>10.083004027783662</v>
          </cell>
          <cell r="DV500">
            <v>11.644336226312735</v>
          </cell>
          <cell r="DW500">
            <v>9.8476005987137558</v>
          </cell>
          <cell r="DX500">
            <v>7.1073990168282446</v>
          </cell>
          <cell r="DY500">
            <v>12.587802180599267</v>
          </cell>
        </row>
        <row r="501">
          <cell r="A501">
            <v>40164</v>
          </cell>
          <cell r="DF501">
            <v>15.024449951093747</v>
          </cell>
          <cell r="DG501">
            <v>21.679348620667902</v>
          </cell>
          <cell r="DH501">
            <v>18.362277992096409</v>
          </cell>
          <cell r="DI501">
            <v>14.300000632844487</v>
          </cell>
          <cell r="DJ501">
            <v>22.424555351348332</v>
          </cell>
          <cell r="DU501">
            <v>10.445185755378777</v>
          </cell>
          <cell r="DV501">
            <v>11.644336226312735</v>
          </cell>
          <cell r="DW501">
            <v>9.8476005987137558</v>
          </cell>
          <cell r="DX501">
            <v>7.1073990168282446</v>
          </cell>
          <cell r="DY501">
            <v>12.587802180599267</v>
          </cell>
        </row>
        <row r="502">
          <cell r="A502">
            <v>40165</v>
          </cell>
          <cell r="DF502">
            <v>14.743868432575871</v>
          </cell>
          <cell r="DG502">
            <v>21.679348620667902</v>
          </cell>
          <cell r="DH502">
            <v>18.362277992096409</v>
          </cell>
          <cell r="DI502">
            <v>14.300000632844487</v>
          </cell>
          <cell r="DJ502">
            <v>22.424555351348332</v>
          </cell>
          <cell r="DU502">
            <v>10.126250276861027</v>
          </cell>
          <cell r="DV502">
            <v>11.644336226312735</v>
          </cell>
          <cell r="DW502">
            <v>9.8476005987137558</v>
          </cell>
          <cell r="DX502">
            <v>7.1073990168282446</v>
          </cell>
          <cell r="DY502">
            <v>12.587802180599267</v>
          </cell>
        </row>
        <row r="503">
          <cell r="A503">
            <v>40168</v>
          </cell>
          <cell r="DF503">
            <v>14.612521891419991</v>
          </cell>
          <cell r="DG503">
            <v>21.679348620667902</v>
          </cell>
          <cell r="DH503">
            <v>18.362277992096409</v>
          </cell>
          <cell r="DI503">
            <v>14.300000632844487</v>
          </cell>
          <cell r="DJ503">
            <v>22.424555351348332</v>
          </cell>
          <cell r="DU503">
            <v>10.018137627310072</v>
          </cell>
          <cell r="DV503">
            <v>11.644336226312735</v>
          </cell>
          <cell r="DW503">
            <v>9.8476005987137558</v>
          </cell>
          <cell r="DX503">
            <v>7.1073990168282446</v>
          </cell>
          <cell r="DY503">
            <v>12.587802180599267</v>
          </cell>
        </row>
        <row r="504">
          <cell r="A504">
            <v>40169</v>
          </cell>
          <cell r="DF504">
            <v>15.151108126260715</v>
          </cell>
          <cell r="DG504">
            <v>21.679348620667902</v>
          </cell>
          <cell r="DH504">
            <v>18.362277992096409</v>
          </cell>
          <cell r="DI504">
            <v>14.300000632844487</v>
          </cell>
          <cell r="DJ504">
            <v>22.424555351348332</v>
          </cell>
          <cell r="DU504">
            <v>10.724240556297989</v>
          </cell>
          <cell r="DV504">
            <v>11.644336226312735</v>
          </cell>
          <cell r="DW504">
            <v>9.8476005987137558</v>
          </cell>
          <cell r="DX504">
            <v>7.1073990168282446</v>
          </cell>
          <cell r="DY504">
            <v>12.587802180599267</v>
          </cell>
        </row>
        <row r="505">
          <cell r="A505">
            <v>40170</v>
          </cell>
          <cell r="DF505">
            <v>15.211086780385315</v>
          </cell>
          <cell r="DG505">
            <v>21.679348620667902</v>
          </cell>
          <cell r="DH505">
            <v>18.362277992096409</v>
          </cell>
          <cell r="DI505">
            <v>14.300000632844487</v>
          </cell>
          <cell r="DJ505">
            <v>22.424555351348332</v>
          </cell>
          <cell r="DU505">
            <v>10.682348722700365</v>
          </cell>
          <cell r="DV505">
            <v>11.644336226312735</v>
          </cell>
          <cell r="DW505">
            <v>9.8476005987137558</v>
          </cell>
          <cell r="DX505">
            <v>7.1073990168282446</v>
          </cell>
          <cell r="DY505">
            <v>12.587802180599267</v>
          </cell>
        </row>
        <row r="506">
          <cell r="A506">
            <v>40171</v>
          </cell>
          <cell r="DF506">
            <v>15.204478072494387</v>
          </cell>
          <cell r="DG506">
            <v>21.679348620667902</v>
          </cell>
          <cell r="DH506">
            <v>18.362277992096409</v>
          </cell>
          <cell r="DI506">
            <v>14.300000632844487</v>
          </cell>
          <cell r="DJ506">
            <v>22.424555351348332</v>
          </cell>
          <cell r="DU506">
            <v>10.856234535807872</v>
          </cell>
          <cell r="DV506">
            <v>11.644336226312735</v>
          </cell>
          <cell r="DW506">
            <v>9.8476005987137558</v>
          </cell>
          <cell r="DX506">
            <v>7.1073990168282446</v>
          </cell>
          <cell r="DY506">
            <v>12.587802180599267</v>
          </cell>
        </row>
        <row r="507">
          <cell r="A507">
            <v>40172</v>
          </cell>
          <cell r="DF507">
            <v>16.150321568629064</v>
          </cell>
          <cell r="DG507">
            <v>21.679348620667902</v>
          </cell>
          <cell r="DH507">
            <v>18.362277992096409</v>
          </cell>
          <cell r="DI507">
            <v>14.300000632844487</v>
          </cell>
          <cell r="DJ507">
            <v>22.424555351348332</v>
          </cell>
          <cell r="DU507">
            <v>11.327924541152301</v>
          </cell>
          <cell r="DV507">
            <v>11.644336226312735</v>
          </cell>
          <cell r="DW507">
            <v>9.8476005987137558</v>
          </cell>
          <cell r="DX507">
            <v>7.1073990168282446</v>
          </cell>
          <cell r="DY507">
            <v>12.587802180599267</v>
          </cell>
        </row>
        <row r="508">
          <cell r="A508">
            <v>40175</v>
          </cell>
          <cell r="DF508">
            <v>14.885197706863933</v>
          </cell>
          <cell r="DG508">
            <v>21.679348620667902</v>
          </cell>
          <cell r="DH508">
            <v>18.362277992096409</v>
          </cell>
          <cell r="DI508">
            <v>14.300000632844487</v>
          </cell>
          <cell r="DJ508">
            <v>22.424555351348332</v>
          </cell>
          <cell r="DU508">
            <v>10.464714699120313</v>
          </cell>
          <cell r="DV508">
            <v>11.644336226312735</v>
          </cell>
          <cell r="DW508">
            <v>9.8476005987137558</v>
          </cell>
          <cell r="DX508">
            <v>7.1073990168282446</v>
          </cell>
          <cell r="DY508">
            <v>12.587802180599267</v>
          </cell>
        </row>
        <row r="509">
          <cell r="A509">
            <v>40176</v>
          </cell>
          <cell r="DF509">
            <v>14.234376657940308</v>
          </cell>
          <cell r="DG509">
            <v>21.679348620667902</v>
          </cell>
          <cell r="DH509">
            <v>18.362277992096409</v>
          </cell>
          <cell r="DI509">
            <v>14.300000632844487</v>
          </cell>
          <cell r="DJ509">
            <v>22.424555351348332</v>
          </cell>
          <cell r="DU509">
            <v>9.923201519194798</v>
          </cell>
          <cell r="DV509">
            <v>11.644336226312735</v>
          </cell>
          <cell r="DW509">
            <v>9.8476005987137558</v>
          </cell>
          <cell r="DX509">
            <v>7.1073990168282446</v>
          </cell>
          <cell r="DY509">
            <v>12.587802180599267</v>
          </cell>
        </row>
        <row r="510">
          <cell r="A510">
            <v>40177</v>
          </cell>
          <cell r="DF510">
            <v>13.963737882951719</v>
          </cell>
          <cell r="DG510">
            <v>21.679348620667902</v>
          </cell>
          <cell r="DH510">
            <v>18.362277992096409</v>
          </cell>
          <cell r="DI510">
            <v>14.300000632844487</v>
          </cell>
          <cell r="DJ510">
            <v>22.424555351348332</v>
          </cell>
          <cell r="DU510">
            <v>9.69801755518872</v>
          </cell>
          <cell r="DV510">
            <v>11.644336226312735</v>
          </cell>
          <cell r="DW510">
            <v>9.8476005987137558</v>
          </cell>
          <cell r="DX510">
            <v>7.1073990168282446</v>
          </cell>
          <cell r="DY510">
            <v>12.587802180599267</v>
          </cell>
        </row>
        <row r="511">
          <cell r="A511">
            <v>40178</v>
          </cell>
          <cell r="DF511">
            <v>13.92365702144188</v>
          </cell>
          <cell r="DG511">
            <v>21.679348620667902</v>
          </cell>
          <cell r="DH511">
            <v>18.362277992096409</v>
          </cell>
          <cell r="DI511">
            <v>14.300000632844487</v>
          </cell>
          <cell r="DJ511">
            <v>22.424555351348332</v>
          </cell>
          <cell r="DU511">
            <v>9.5800624162374248</v>
          </cell>
          <cell r="DV511">
            <v>11.644336226312735</v>
          </cell>
          <cell r="DW511">
            <v>9.8476005987137558</v>
          </cell>
          <cell r="DX511">
            <v>7.1073990168282446</v>
          </cell>
          <cell r="DY511">
            <v>12.587802180599267</v>
          </cell>
        </row>
        <row r="512">
          <cell r="A512">
            <v>40179</v>
          </cell>
          <cell r="DF512">
            <v>13.974860735473026</v>
          </cell>
          <cell r="DG512">
            <v>21.679348620667902</v>
          </cell>
          <cell r="DH512">
            <v>18.362277992096409</v>
          </cell>
          <cell r="DI512">
            <v>14.300000632844487</v>
          </cell>
          <cell r="DJ512">
            <v>22.424555351348332</v>
          </cell>
          <cell r="DU512">
            <v>9.6872917774470597</v>
          </cell>
          <cell r="DV512">
            <v>11.644336226312735</v>
          </cell>
          <cell r="DW512">
            <v>9.8476005987137558</v>
          </cell>
          <cell r="DX512">
            <v>7.1073990168282446</v>
          </cell>
          <cell r="DY512">
            <v>12.587802180599267</v>
          </cell>
        </row>
        <row r="513">
          <cell r="A513">
            <v>40182</v>
          </cell>
          <cell r="DF513">
            <v>13.490743023865125</v>
          </cell>
          <cell r="DG513">
            <v>21.679348620667902</v>
          </cell>
          <cell r="DH513">
            <v>18.362277992096409</v>
          </cell>
          <cell r="DI513">
            <v>14.300000632844487</v>
          </cell>
          <cell r="DJ513">
            <v>22.424555351348332</v>
          </cell>
          <cell r="DU513">
            <v>9.2851756411688893</v>
          </cell>
          <cell r="DV513">
            <v>11.644336226312735</v>
          </cell>
          <cell r="DW513">
            <v>9.8476005987137558</v>
          </cell>
          <cell r="DX513">
            <v>7.1073990168282446</v>
          </cell>
          <cell r="DY513">
            <v>12.587802180599267</v>
          </cell>
        </row>
        <row r="514">
          <cell r="A514">
            <v>40183</v>
          </cell>
          <cell r="DF514">
            <v>13.639116491520832</v>
          </cell>
          <cell r="DG514">
            <v>21.679348620667902</v>
          </cell>
          <cell r="DH514">
            <v>18.362277992096409</v>
          </cell>
          <cell r="DI514">
            <v>14.300000632844487</v>
          </cell>
          <cell r="DJ514">
            <v>22.424555351348332</v>
          </cell>
          <cell r="DU514">
            <v>9.5264437144712453</v>
          </cell>
          <cell r="DV514">
            <v>11.644336226312735</v>
          </cell>
          <cell r="DW514">
            <v>9.8476005987137558</v>
          </cell>
          <cell r="DX514">
            <v>7.1073990168282446</v>
          </cell>
          <cell r="DY514">
            <v>12.587802180599267</v>
          </cell>
        </row>
        <row r="515">
          <cell r="A515">
            <v>40184</v>
          </cell>
          <cell r="DF515">
            <v>13.639116491520832</v>
          </cell>
          <cell r="DG515">
            <v>21.679348620667902</v>
          </cell>
          <cell r="DH515">
            <v>18.362277992096409</v>
          </cell>
          <cell r="DI515">
            <v>14.300000632844487</v>
          </cell>
          <cell r="DJ515">
            <v>22.424555351348332</v>
          </cell>
          <cell r="DU515">
            <v>9.5264437144712453</v>
          </cell>
          <cell r="DV515">
            <v>11.644336226312735</v>
          </cell>
          <cell r="DW515">
            <v>9.8476005987137558</v>
          </cell>
          <cell r="DX515">
            <v>7.1073990168282446</v>
          </cell>
          <cell r="DY515">
            <v>12.587802180599267</v>
          </cell>
        </row>
        <row r="516">
          <cell r="A516">
            <v>40185</v>
          </cell>
          <cell r="DF516">
            <v>13.634277647829798</v>
          </cell>
          <cell r="DG516">
            <v>21.679348620667902</v>
          </cell>
          <cell r="DH516">
            <v>18.362277992096409</v>
          </cell>
          <cell r="DI516">
            <v>14.300000632844487</v>
          </cell>
          <cell r="DJ516">
            <v>22.424555351348332</v>
          </cell>
          <cell r="DU516">
            <v>9.4031307801201827</v>
          </cell>
          <cell r="DV516">
            <v>11.644336226312735</v>
          </cell>
          <cell r="DW516">
            <v>9.8476005987137558</v>
          </cell>
          <cell r="DX516">
            <v>7.1073990168282446</v>
          </cell>
          <cell r="DY516">
            <v>12.587802180599267</v>
          </cell>
        </row>
        <row r="517">
          <cell r="A517">
            <v>40186</v>
          </cell>
          <cell r="DF517">
            <v>13.957058903276764</v>
          </cell>
          <cell r="DG517">
            <v>21.679348620667902</v>
          </cell>
          <cell r="DH517">
            <v>18.362277992096409</v>
          </cell>
          <cell r="DI517">
            <v>14.300000632844487</v>
          </cell>
          <cell r="DJ517">
            <v>22.424555351348332</v>
          </cell>
          <cell r="DU517">
            <v>9.6712082043056302</v>
          </cell>
          <cell r="DV517">
            <v>11.644336226312735</v>
          </cell>
          <cell r="DW517">
            <v>9.8476005987137558</v>
          </cell>
          <cell r="DX517">
            <v>7.1073990168282446</v>
          </cell>
          <cell r="DY517">
            <v>12.587802180599267</v>
          </cell>
        </row>
        <row r="518">
          <cell r="A518">
            <v>40189</v>
          </cell>
          <cell r="DF518">
            <v>13.937692673512457</v>
          </cell>
          <cell r="DG518">
            <v>21.679348620667902</v>
          </cell>
          <cell r="DH518">
            <v>18.362277992096409</v>
          </cell>
          <cell r="DI518">
            <v>14.300000632844487</v>
          </cell>
          <cell r="DJ518">
            <v>22.424555351348332</v>
          </cell>
          <cell r="DU518">
            <v>9.6551240950093504</v>
          </cell>
          <cell r="DV518">
            <v>11.644336226312735</v>
          </cell>
          <cell r="DW518">
            <v>9.8476005987137558</v>
          </cell>
          <cell r="DX518">
            <v>7.1073990168282446</v>
          </cell>
          <cell r="DY518">
            <v>12.587802180599267</v>
          </cell>
        </row>
        <row r="519">
          <cell r="A519">
            <v>40190</v>
          </cell>
          <cell r="DF519">
            <v>14.376670661982754</v>
          </cell>
          <cell r="DG519">
            <v>21.679348620667902</v>
          </cell>
          <cell r="DH519">
            <v>18.362277992096409</v>
          </cell>
          <cell r="DI519">
            <v>14.300000632844487</v>
          </cell>
          <cell r="DJ519">
            <v>22.424555351348332</v>
          </cell>
          <cell r="DU519">
            <v>10.019705638817619</v>
          </cell>
          <cell r="DV519">
            <v>11.644336226312735</v>
          </cell>
          <cell r="DW519">
            <v>9.8476005987137558</v>
          </cell>
          <cell r="DX519">
            <v>7.1073990168282446</v>
          </cell>
          <cell r="DY519">
            <v>12.587802180599267</v>
          </cell>
        </row>
        <row r="520">
          <cell r="A520">
            <v>40191</v>
          </cell>
          <cell r="DF520">
            <v>14.441230786447212</v>
          </cell>
          <cell r="DG520">
            <v>21.679348620667902</v>
          </cell>
          <cell r="DH520">
            <v>18.362277992096409</v>
          </cell>
          <cell r="DI520">
            <v>14.300000632844487</v>
          </cell>
          <cell r="DJ520">
            <v>22.424555351348332</v>
          </cell>
          <cell r="DU520">
            <v>10.073324340583801</v>
          </cell>
          <cell r="DV520">
            <v>11.644336226312735</v>
          </cell>
          <cell r="DW520">
            <v>9.8476005987137558</v>
          </cell>
          <cell r="DX520">
            <v>7.1073990168282446</v>
          </cell>
          <cell r="DY520">
            <v>12.587802180599267</v>
          </cell>
        </row>
        <row r="521">
          <cell r="A521">
            <v>40192</v>
          </cell>
          <cell r="DF521">
            <v>14.202375239666502</v>
          </cell>
          <cell r="DG521">
            <v>21.679348620667902</v>
          </cell>
          <cell r="DH521">
            <v>18.362277992096409</v>
          </cell>
          <cell r="DI521">
            <v>14.300000632844487</v>
          </cell>
          <cell r="DJ521">
            <v>22.424555351348332</v>
          </cell>
          <cell r="DU521">
            <v>9.8028412891745855</v>
          </cell>
          <cell r="DV521">
            <v>11.644336226312735</v>
          </cell>
          <cell r="DW521">
            <v>9.8476005987137558</v>
          </cell>
          <cell r="DX521">
            <v>7.1073990168282446</v>
          </cell>
          <cell r="DY521">
            <v>12.587802180599267</v>
          </cell>
        </row>
        <row r="522">
          <cell r="A522">
            <v>40193</v>
          </cell>
          <cell r="DF522">
            <v>14.421864556682905</v>
          </cell>
          <cell r="DG522">
            <v>21.679348620667902</v>
          </cell>
          <cell r="DH522">
            <v>18.362277992096409</v>
          </cell>
          <cell r="DI522">
            <v>14.300000632844487</v>
          </cell>
          <cell r="DJ522">
            <v>22.424555351348332</v>
          </cell>
          <cell r="DU522">
            <v>9.9838012210951543</v>
          </cell>
          <cell r="DV522">
            <v>11.644336226312735</v>
          </cell>
          <cell r="DW522">
            <v>9.8476005987137558</v>
          </cell>
          <cell r="DX522">
            <v>7.1073990168282446</v>
          </cell>
          <cell r="DY522">
            <v>12.587802180599267</v>
          </cell>
        </row>
        <row r="523">
          <cell r="A523">
            <v>40196</v>
          </cell>
          <cell r="DF523">
            <v>14.454144618915135</v>
          </cell>
          <cell r="DG523">
            <v>21.679348620667902</v>
          </cell>
          <cell r="DH523">
            <v>18.362277992096409</v>
          </cell>
          <cell r="DI523">
            <v>14.300000632844487</v>
          </cell>
          <cell r="DJ523">
            <v>22.424555351348332</v>
          </cell>
          <cell r="DU523">
            <v>10.010414807320398</v>
          </cell>
          <cell r="DV523">
            <v>11.644336226312735</v>
          </cell>
          <cell r="DW523">
            <v>9.8476005987137558</v>
          </cell>
          <cell r="DX523">
            <v>7.1073990168282446</v>
          </cell>
          <cell r="DY523">
            <v>12.587802180599267</v>
          </cell>
        </row>
        <row r="524">
          <cell r="A524">
            <v>40197</v>
          </cell>
          <cell r="DF524">
            <v>14.847937750560433</v>
          </cell>
          <cell r="DG524">
            <v>21.679348620667902</v>
          </cell>
          <cell r="DH524">
            <v>18.362277992096409</v>
          </cell>
          <cell r="DI524">
            <v>14.300000632844487</v>
          </cell>
          <cell r="DJ524">
            <v>22.424555351348332</v>
          </cell>
          <cell r="DU524">
            <v>10.335081079292053</v>
          </cell>
          <cell r="DV524">
            <v>11.644336226312735</v>
          </cell>
          <cell r="DW524">
            <v>9.8476005987137558</v>
          </cell>
          <cell r="DX524">
            <v>7.1073990168282446</v>
          </cell>
          <cell r="DY524">
            <v>12.587802180599267</v>
          </cell>
        </row>
        <row r="525">
          <cell r="A525">
            <v>40198</v>
          </cell>
          <cell r="DF525">
            <v>14.799320118047556</v>
          </cell>
          <cell r="DG525">
            <v>21.679348620667902</v>
          </cell>
          <cell r="DH525">
            <v>18.362277992096409</v>
          </cell>
          <cell r="DI525">
            <v>14.300000632844487</v>
          </cell>
          <cell r="DJ525">
            <v>22.424555351348332</v>
          </cell>
          <cell r="DU525">
            <v>10.167646733135575</v>
          </cell>
          <cell r="DV525">
            <v>11.644336226312735</v>
          </cell>
          <cell r="DW525">
            <v>9.8476005987137558</v>
          </cell>
          <cell r="DX525">
            <v>7.1073990168282446</v>
          </cell>
          <cell r="DY525">
            <v>12.587802180599267</v>
          </cell>
        </row>
        <row r="526">
          <cell r="A526">
            <v>40199</v>
          </cell>
          <cell r="DF526">
            <v>15.244990655880395</v>
          </cell>
          <cell r="DG526">
            <v>21.679348620667902</v>
          </cell>
          <cell r="DH526">
            <v>18.362277992096409</v>
          </cell>
          <cell r="DI526">
            <v>14.300000632844487</v>
          </cell>
          <cell r="DJ526">
            <v>22.424555351348332</v>
          </cell>
          <cell r="DU526">
            <v>10.580663106576109</v>
          </cell>
          <cell r="DV526">
            <v>11.644336226312735</v>
          </cell>
          <cell r="DW526">
            <v>9.8476005987137558</v>
          </cell>
          <cell r="DX526">
            <v>7.1073990168282446</v>
          </cell>
          <cell r="DY526">
            <v>12.587802180599267</v>
          </cell>
        </row>
        <row r="527">
          <cell r="A527">
            <v>40200</v>
          </cell>
          <cell r="DF527">
            <v>14.790580359428599</v>
          </cell>
          <cell r="DG527">
            <v>21.679348620667902</v>
          </cell>
          <cell r="DH527">
            <v>18.362277992096409</v>
          </cell>
          <cell r="DI527">
            <v>14.300000632844487</v>
          </cell>
          <cell r="DJ527">
            <v>22.424555351348332</v>
          </cell>
          <cell r="DU527">
            <v>10.209464697148448</v>
          </cell>
          <cell r="DV527">
            <v>11.644336226312735</v>
          </cell>
          <cell r="DW527">
            <v>9.8476005987137558</v>
          </cell>
          <cell r="DX527">
            <v>7.1073990168282446</v>
          </cell>
          <cell r="DY527">
            <v>12.587802180599267</v>
          </cell>
        </row>
        <row r="528">
          <cell r="A528">
            <v>40203</v>
          </cell>
          <cell r="DF528">
            <v>14.708307310734662</v>
          </cell>
          <cell r="DG528">
            <v>21.679348620667902</v>
          </cell>
          <cell r="DH528">
            <v>18.362277992096409</v>
          </cell>
          <cell r="DI528">
            <v>14.300000632844487</v>
          </cell>
          <cell r="DJ528">
            <v>22.424555351348332</v>
          </cell>
          <cell r="DU528">
            <v>9.991413966219012</v>
          </cell>
          <cell r="DV528">
            <v>11.644336226312735</v>
          </cell>
          <cell r="DW528">
            <v>9.8476005987137558</v>
          </cell>
          <cell r="DX528">
            <v>7.1073990168282446</v>
          </cell>
          <cell r="DY528">
            <v>12.587802180599267</v>
          </cell>
        </row>
        <row r="529">
          <cell r="A529">
            <v>40204</v>
          </cell>
          <cell r="DF529">
            <v>14.475652674172323</v>
          </cell>
          <cell r="DG529">
            <v>21.679348620667902</v>
          </cell>
          <cell r="DH529">
            <v>18.362277992096409</v>
          </cell>
          <cell r="DI529">
            <v>14.300000632844487</v>
          </cell>
          <cell r="DJ529">
            <v>22.424555351348332</v>
          </cell>
          <cell r="DU529">
            <v>9.9925654278353289</v>
          </cell>
          <cell r="DV529">
            <v>11.644336226312735</v>
          </cell>
          <cell r="DW529">
            <v>9.8476005987137558</v>
          </cell>
          <cell r="DX529">
            <v>7.1073990168282446</v>
          </cell>
          <cell r="DY529">
            <v>12.587802180599267</v>
          </cell>
        </row>
        <row r="530">
          <cell r="A530">
            <v>40205</v>
          </cell>
          <cell r="DF530">
            <v>14.572077147806635</v>
          </cell>
          <cell r="DG530">
            <v>21.679348620667902</v>
          </cell>
          <cell r="DH530">
            <v>18.362277992096409</v>
          </cell>
          <cell r="DI530">
            <v>14.300000632844487</v>
          </cell>
          <cell r="DJ530">
            <v>22.424555351348332</v>
          </cell>
          <cell r="DU530">
            <v>10.07171677836733</v>
          </cell>
          <cell r="DV530">
            <v>11.644336226312735</v>
          </cell>
          <cell r="DW530">
            <v>9.8476005987137558</v>
          </cell>
          <cell r="DX530">
            <v>7.1073990168282446</v>
          </cell>
          <cell r="DY530">
            <v>12.587802180599267</v>
          </cell>
        </row>
        <row r="531">
          <cell r="A531">
            <v>40206</v>
          </cell>
          <cell r="DF531">
            <v>14.764906168546293</v>
          </cell>
          <cell r="DG531">
            <v>21.679348620667902</v>
          </cell>
          <cell r="DH531">
            <v>18.362277992096409</v>
          </cell>
          <cell r="DI531">
            <v>14.300000632844487</v>
          </cell>
          <cell r="DJ531">
            <v>22.424555351348332</v>
          </cell>
          <cell r="DU531">
            <v>10.230003122466968</v>
          </cell>
          <cell r="DV531">
            <v>11.644336226312735</v>
          </cell>
          <cell r="DW531">
            <v>9.8476005987137558</v>
          </cell>
          <cell r="DX531">
            <v>7.1073990168282446</v>
          </cell>
          <cell r="DY531">
            <v>12.587802180599267</v>
          </cell>
        </row>
        <row r="532">
          <cell r="A532">
            <v>40207</v>
          </cell>
          <cell r="DF532">
            <v>14.687774431692178</v>
          </cell>
          <cell r="DG532">
            <v>21.679348620667902</v>
          </cell>
          <cell r="DH532">
            <v>18.362277992096409</v>
          </cell>
          <cell r="DI532">
            <v>14.300000632844487</v>
          </cell>
          <cell r="DJ532">
            <v>22.424555351348332</v>
          </cell>
          <cell r="DU532">
            <v>10.16668847929831</v>
          </cell>
          <cell r="DV532">
            <v>11.644336226312735</v>
          </cell>
          <cell r="DW532">
            <v>9.8476005987137558</v>
          </cell>
          <cell r="DX532">
            <v>7.1073990168282446</v>
          </cell>
          <cell r="DY532">
            <v>12.587802180599267</v>
          </cell>
        </row>
        <row r="533">
          <cell r="A533">
            <v>40210</v>
          </cell>
          <cell r="DF533">
            <v>15.195585309648617</v>
          </cell>
          <cell r="DG533">
            <v>21.679348620667902</v>
          </cell>
          <cell r="DH533">
            <v>18.362277992096409</v>
          </cell>
          <cell r="DI533">
            <v>14.300000632844487</v>
          </cell>
          <cell r="DJ533">
            <v>22.424555351348332</v>
          </cell>
          <cell r="DU533">
            <v>10.583531997236795</v>
          </cell>
          <cell r="DV533">
            <v>11.644336226312735</v>
          </cell>
          <cell r="DW533">
            <v>9.8476005987137558</v>
          </cell>
          <cell r="DX533">
            <v>7.1073990168282446</v>
          </cell>
          <cell r="DY533">
            <v>12.587802180599267</v>
          </cell>
        </row>
        <row r="534">
          <cell r="A534">
            <v>40211</v>
          </cell>
          <cell r="DF534">
            <v>15.658386015433416</v>
          </cell>
          <cell r="DG534">
            <v>21.679348620667902</v>
          </cell>
          <cell r="DH534">
            <v>18.362277992096409</v>
          </cell>
          <cell r="DI534">
            <v>14.300000632844487</v>
          </cell>
          <cell r="DJ534">
            <v>22.424555351348332</v>
          </cell>
          <cell r="DU534">
            <v>10.963428298552927</v>
          </cell>
          <cell r="DV534">
            <v>11.644336226312735</v>
          </cell>
          <cell r="DW534">
            <v>9.8476005987137558</v>
          </cell>
          <cell r="DX534">
            <v>7.1073990168282446</v>
          </cell>
          <cell r="DY534">
            <v>12.587802180599267</v>
          </cell>
        </row>
        <row r="535">
          <cell r="A535">
            <v>40212</v>
          </cell>
          <cell r="DF535">
            <v>16.23047923302147</v>
          </cell>
          <cell r="DG535">
            <v>21.679348620667902</v>
          </cell>
          <cell r="DH535">
            <v>18.362277992096409</v>
          </cell>
          <cell r="DI535">
            <v>14.300000632844487</v>
          </cell>
          <cell r="DJ535">
            <v>22.424555351348332</v>
          </cell>
          <cell r="DU535">
            <v>11.433038855868734</v>
          </cell>
          <cell r="DV535">
            <v>11.644336226312735</v>
          </cell>
          <cell r="DW535">
            <v>9.8476005987137558</v>
          </cell>
          <cell r="DX535">
            <v>7.1073990168282446</v>
          </cell>
          <cell r="DY535">
            <v>12.587802180599267</v>
          </cell>
        </row>
        <row r="536">
          <cell r="A536">
            <v>40213</v>
          </cell>
          <cell r="DF536">
            <v>16.384743349520956</v>
          </cell>
          <cell r="DG536">
            <v>21.679348620667902</v>
          </cell>
          <cell r="DH536">
            <v>18.362277992096409</v>
          </cell>
          <cell r="DI536">
            <v>14.300000632844487</v>
          </cell>
          <cell r="DJ536">
            <v>22.424555351348332</v>
          </cell>
          <cell r="DU536">
            <v>11.559668669850065</v>
          </cell>
          <cell r="DV536">
            <v>11.644336226312735</v>
          </cell>
          <cell r="DW536">
            <v>9.8476005987137558</v>
          </cell>
          <cell r="DX536">
            <v>7.1073990168282446</v>
          </cell>
          <cell r="DY536">
            <v>12.587802180599267</v>
          </cell>
        </row>
        <row r="537">
          <cell r="A537">
            <v>40214</v>
          </cell>
          <cell r="DF537">
            <v>16.114772307267074</v>
          </cell>
          <cell r="DG537">
            <v>21.679348620667902</v>
          </cell>
          <cell r="DH537">
            <v>18.362277992096409</v>
          </cell>
          <cell r="DI537">
            <v>14.300000632844487</v>
          </cell>
          <cell r="DJ537">
            <v>22.424555351348332</v>
          </cell>
          <cell r="DU537">
            <v>11.33805924027758</v>
          </cell>
          <cell r="DV537">
            <v>11.644336226312735</v>
          </cell>
          <cell r="DW537">
            <v>9.8476005987137558</v>
          </cell>
          <cell r="DX537">
            <v>7.1073990168282446</v>
          </cell>
          <cell r="DY537">
            <v>12.587802180599267</v>
          </cell>
        </row>
        <row r="538">
          <cell r="A538">
            <v>40217</v>
          </cell>
          <cell r="DF538">
            <v>16.056923022533045</v>
          </cell>
          <cell r="DG538">
            <v>21.679348620667902</v>
          </cell>
          <cell r="DH538">
            <v>18.362277992096409</v>
          </cell>
          <cell r="DI538">
            <v>14.300000632844487</v>
          </cell>
          <cell r="DJ538">
            <v>22.424555351348332</v>
          </cell>
          <cell r="DU538">
            <v>11.290572862168078</v>
          </cell>
          <cell r="DV538">
            <v>11.644336226312735</v>
          </cell>
          <cell r="DW538">
            <v>9.8476005987137558</v>
          </cell>
          <cell r="DX538">
            <v>7.1073990168282446</v>
          </cell>
          <cell r="DY538">
            <v>12.587802180599267</v>
          </cell>
        </row>
        <row r="539">
          <cell r="A539">
            <v>40218</v>
          </cell>
          <cell r="DF539">
            <v>16.089064513744482</v>
          </cell>
          <cell r="DG539">
            <v>21.679348620667902</v>
          </cell>
          <cell r="DH539">
            <v>18.362277992096409</v>
          </cell>
          <cell r="DI539">
            <v>14.300000632844487</v>
          </cell>
          <cell r="DJ539">
            <v>22.424555351348332</v>
          </cell>
          <cell r="DU539">
            <v>11.316956645678745</v>
          </cell>
          <cell r="DV539">
            <v>11.644336226312735</v>
          </cell>
          <cell r="DW539">
            <v>9.8476005987137558</v>
          </cell>
          <cell r="DX539">
            <v>7.1073990168282446</v>
          </cell>
          <cell r="DY539">
            <v>12.587802180599267</v>
          </cell>
        </row>
        <row r="540">
          <cell r="A540">
            <v>40219</v>
          </cell>
          <cell r="DF540">
            <v>16.024781531321608</v>
          </cell>
          <cell r="DG540">
            <v>21.679348620667902</v>
          </cell>
          <cell r="DH540">
            <v>18.362277992096409</v>
          </cell>
          <cell r="DI540">
            <v>14.300000632844487</v>
          </cell>
          <cell r="DJ540">
            <v>22.424555351348332</v>
          </cell>
          <cell r="DU540">
            <v>11.264189078657409</v>
          </cell>
          <cell r="DV540">
            <v>11.644336226312735</v>
          </cell>
          <cell r="DW540">
            <v>9.8476005987137558</v>
          </cell>
          <cell r="DX540">
            <v>7.1073990168282446</v>
          </cell>
          <cell r="DY540">
            <v>12.587802180599267</v>
          </cell>
        </row>
        <row r="541">
          <cell r="A541">
            <v>40220</v>
          </cell>
          <cell r="DF541">
            <v>16.094206882265301</v>
          </cell>
          <cell r="DG541">
            <v>21.679348620667902</v>
          </cell>
          <cell r="DH541">
            <v>18.362277992096409</v>
          </cell>
          <cell r="DI541">
            <v>14.300000632844487</v>
          </cell>
          <cell r="DJ541">
            <v>22.424555351348332</v>
          </cell>
          <cell r="DU541">
            <v>11.433038855868734</v>
          </cell>
          <cell r="DV541">
            <v>11.644336226312735</v>
          </cell>
          <cell r="DW541">
            <v>9.8476005987137558</v>
          </cell>
          <cell r="DX541">
            <v>7.1073990168282446</v>
          </cell>
          <cell r="DY541">
            <v>12.587802180599267</v>
          </cell>
        </row>
        <row r="542">
          <cell r="A542">
            <v>40221</v>
          </cell>
          <cell r="DF542">
            <v>15.985841559703932</v>
          </cell>
          <cell r="DG542">
            <v>21.679348620667902</v>
          </cell>
          <cell r="DH542">
            <v>18.362277992096409</v>
          </cell>
          <cell r="DI542">
            <v>14.300000632844487</v>
          </cell>
          <cell r="DJ542">
            <v>22.424555351348332</v>
          </cell>
          <cell r="DU542">
            <v>11.343332514529239</v>
          </cell>
          <cell r="DV542">
            <v>11.644336226312735</v>
          </cell>
          <cell r="DW542">
            <v>9.8476005987137558</v>
          </cell>
          <cell r="DX542">
            <v>7.1073990168282446</v>
          </cell>
          <cell r="DY542">
            <v>12.587802180599267</v>
          </cell>
        </row>
        <row r="543">
          <cell r="A543">
            <v>40224</v>
          </cell>
          <cell r="DF543">
            <v>15.909357426839083</v>
          </cell>
          <cell r="DG543">
            <v>21.679348620667902</v>
          </cell>
          <cell r="DH543">
            <v>18.362277992096409</v>
          </cell>
          <cell r="DI543">
            <v>14.300000632844487</v>
          </cell>
          <cell r="DJ543">
            <v>22.424555351348332</v>
          </cell>
          <cell r="DU543">
            <v>11.280017871360579</v>
          </cell>
          <cell r="DV543">
            <v>11.644336226312735</v>
          </cell>
          <cell r="DW543">
            <v>9.8476005987137558</v>
          </cell>
          <cell r="DX543">
            <v>7.1073990168282446</v>
          </cell>
          <cell r="DY543">
            <v>12.587802180599267</v>
          </cell>
        </row>
        <row r="544">
          <cell r="A544">
            <v>40225</v>
          </cell>
          <cell r="DF544">
            <v>16.017713188485473</v>
          </cell>
          <cell r="DG544">
            <v>21.679348620667902</v>
          </cell>
          <cell r="DH544">
            <v>18.362277992096409</v>
          </cell>
          <cell r="DI544">
            <v>14.300000632844487</v>
          </cell>
          <cell r="DJ544">
            <v>22.424555351348332</v>
          </cell>
          <cell r="DU544">
            <v>11.369716298039902</v>
          </cell>
          <cell r="DV544">
            <v>11.644336226312735</v>
          </cell>
          <cell r="DW544">
            <v>9.8476005987137558</v>
          </cell>
          <cell r="DX544">
            <v>7.1073990168282446</v>
          </cell>
          <cell r="DY544">
            <v>12.587802180599267</v>
          </cell>
        </row>
        <row r="545">
          <cell r="A545">
            <v>40226</v>
          </cell>
          <cell r="DF545">
            <v>15.871115041709494</v>
          </cell>
          <cell r="DG545">
            <v>21.679348620667902</v>
          </cell>
          <cell r="DH545">
            <v>18.362277992096409</v>
          </cell>
          <cell r="DI545">
            <v>14.300000632844487</v>
          </cell>
          <cell r="DJ545">
            <v>22.424555351348332</v>
          </cell>
          <cell r="DU545">
            <v>11.248360285954242</v>
          </cell>
          <cell r="DV545">
            <v>11.644336226312735</v>
          </cell>
          <cell r="DW545">
            <v>9.8476005987137558</v>
          </cell>
          <cell r="DX545">
            <v>7.1073990168282446</v>
          </cell>
          <cell r="DY545">
            <v>12.587802180599267</v>
          </cell>
        </row>
        <row r="546">
          <cell r="A546">
            <v>40227</v>
          </cell>
          <cell r="DF546">
            <v>15.11563751165961</v>
          </cell>
          <cell r="DG546">
            <v>21.679348620667902</v>
          </cell>
          <cell r="DH546">
            <v>18.362277992096409</v>
          </cell>
          <cell r="DI546">
            <v>14.300000632844487</v>
          </cell>
          <cell r="DJ546">
            <v>22.424555351348332</v>
          </cell>
          <cell r="DU546">
            <v>10.615189054999117</v>
          </cell>
          <cell r="DV546">
            <v>11.644336226312735</v>
          </cell>
          <cell r="DW546">
            <v>9.8476005987137558</v>
          </cell>
          <cell r="DX546">
            <v>7.1073990168282446</v>
          </cell>
          <cell r="DY546">
            <v>12.587802180599267</v>
          </cell>
        </row>
        <row r="547">
          <cell r="A547">
            <v>40228</v>
          </cell>
          <cell r="DF547">
            <v>15.335337449327206</v>
          </cell>
          <cell r="DG547">
            <v>21.679348620667902</v>
          </cell>
          <cell r="DH547">
            <v>18.362277992096409</v>
          </cell>
          <cell r="DI547">
            <v>14.300000632844487</v>
          </cell>
          <cell r="DJ547">
            <v>22.424555351348332</v>
          </cell>
          <cell r="DU547">
            <v>10.938840678638249</v>
          </cell>
          <cell r="DV547">
            <v>11.644336226312735</v>
          </cell>
          <cell r="DW547">
            <v>9.8476005987137558</v>
          </cell>
          <cell r="DX547">
            <v>7.1073990168282446</v>
          </cell>
          <cell r="DY547">
            <v>12.587802180599267</v>
          </cell>
        </row>
        <row r="548">
          <cell r="A548">
            <v>40231</v>
          </cell>
          <cell r="DF548">
            <v>15.222581964313035</v>
          </cell>
          <cell r="DG548">
            <v>21.679348620667902</v>
          </cell>
          <cell r="DH548">
            <v>18.362277992096409</v>
          </cell>
          <cell r="DI548">
            <v>14.300000632844487</v>
          </cell>
          <cell r="DJ548">
            <v>22.424555351348332</v>
          </cell>
          <cell r="DU548">
            <v>10.743169231224085</v>
          </cell>
          <cell r="DV548">
            <v>11.644336226312735</v>
          </cell>
          <cell r="DW548">
            <v>9.8476005987137558</v>
          </cell>
          <cell r="DX548">
            <v>7.1073990168282446</v>
          </cell>
          <cell r="DY548">
            <v>12.587802180599267</v>
          </cell>
        </row>
        <row r="549">
          <cell r="A549">
            <v>40232</v>
          </cell>
          <cell r="DF549">
            <v>15.222581964313035</v>
          </cell>
          <cell r="DG549">
            <v>21.679348620667902</v>
          </cell>
          <cell r="DH549">
            <v>18.362277992096409</v>
          </cell>
          <cell r="DI549">
            <v>14.300000632844487</v>
          </cell>
          <cell r="DJ549">
            <v>22.424555351348332</v>
          </cell>
          <cell r="DU549">
            <v>10.743169231224085</v>
          </cell>
          <cell r="DV549">
            <v>11.644336226312735</v>
          </cell>
          <cell r="DW549">
            <v>9.8476005987137558</v>
          </cell>
          <cell r="DX549">
            <v>7.1073990168282446</v>
          </cell>
          <cell r="DY549">
            <v>12.587802180599267</v>
          </cell>
        </row>
        <row r="550">
          <cell r="A550">
            <v>40233</v>
          </cell>
          <cell r="DF550">
            <v>15.285977279188927</v>
          </cell>
          <cell r="DG550">
            <v>21.679348620667902</v>
          </cell>
          <cell r="DH550">
            <v>18.362277992096409</v>
          </cell>
          <cell r="DI550">
            <v>14.300000632844487</v>
          </cell>
          <cell r="DJ550">
            <v>22.424555351348332</v>
          </cell>
          <cell r="DU550">
            <v>10.795754686121001</v>
          </cell>
          <cell r="DV550">
            <v>11.644336226312735</v>
          </cell>
          <cell r="DW550">
            <v>9.8476005987137558</v>
          </cell>
          <cell r="DX550">
            <v>7.1073990168282446</v>
          </cell>
          <cell r="DY550">
            <v>12.587802180599267</v>
          </cell>
        </row>
        <row r="551">
          <cell r="A551">
            <v>40234</v>
          </cell>
          <cell r="DF551">
            <v>14.749242611742934</v>
          </cell>
          <cell r="DG551">
            <v>21.679348620667902</v>
          </cell>
          <cell r="DH551">
            <v>18.362277992096409</v>
          </cell>
          <cell r="DI551">
            <v>14.300000632844487</v>
          </cell>
          <cell r="DJ551">
            <v>22.424555351348332</v>
          </cell>
          <cell r="DU551">
            <v>10.32568035973636</v>
          </cell>
          <cell r="DV551">
            <v>11.644336226312735</v>
          </cell>
          <cell r="DW551">
            <v>9.8476005987137558</v>
          </cell>
          <cell r="DX551">
            <v>7.1073990168282446</v>
          </cell>
          <cell r="DY551">
            <v>12.587802180599267</v>
          </cell>
        </row>
        <row r="552">
          <cell r="A552">
            <v>40235</v>
          </cell>
          <cell r="DF552">
            <v>14.547892694592088</v>
          </cell>
          <cell r="DG552">
            <v>21.679348620667902</v>
          </cell>
          <cell r="DH552">
            <v>18.362277992096409</v>
          </cell>
          <cell r="DI552">
            <v>14.300000632844487</v>
          </cell>
          <cell r="DJ552">
            <v>22.424555351348332</v>
          </cell>
          <cell r="DU552">
            <v>10.159292916906542</v>
          </cell>
          <cell r="DV552">
            <v>11.644336226312735</v>
          </cell>
          <cell r="DW552">
            <v>9.8476005987137558</v>
          </cell>
          <cell r="DX552">
            <v>7.1073990168282446</v>
          </cell>
          <cell r="DY552">
            <v>12.587802180599267</v>
          </cell>
        </row>
        <row r="553">
          <cell r="A553">
            <v>40238</v>
          </cell>
          <cell r="DF553">
            <v>14.649340213323001</v>
          </cell>
          <cell r="DG553">
            <v>21.679348620667902</v>
          </cell>
          <cell r="DH553">
            <v>18.362277992096409</v>
          </cell>
          <cell r="DI553">
            <v>14.300000632844487</v>
          </cell>
          <cell r="DJ553">
            <v>22.424555351348332</v>
          </cell>
          <cell r="DU553">
            <v>10.243935642949234</v>
          </cell>
          <cell r="DV553">
            <v>11.644336226312735</v>
          </cell>
          <cell r="DW553">
            <v>9.8476005987137558</v>
          </cell>
          <cell r="DX553">
            <v>7.1073990168282446</v>
          </cell>
          <cell r="DY553">
            <v>12.587802180599267</v>
          </cell>
        </row>
        <row r="554">
          <cell r="A554">
            <v>40239</v>
          </cell>
          <cell r="DF554">
            <v>14.674507126452664</v>
          </cell>
          <cell r="DG554">
            <v>21.679348620667902</v>
          </cell>
          <cell r="DH554">
            <v>18.362277992096409</v>
          </cell>
          <cell r="DI554">
            <v>14.300000632844487</v>
          </cell>
          <cell r="DJ554">
            <v>22.424555351348332</v>
          </cell>
          <cell r="DU554">
            <v>10.26473440802925</v>
          </cell>
          <cell r="DV554">
            <v>11.644336226312735</v>
          </cell>
          <cell r="DW554">
            <v>9.8476005987137558</v>
          </cell>
          <cell r="DX554">
            <v>7.1073990168282446</v>
          </cell>
          <cell r="DY554">
            <v>12.587802180599267</v>
          </cell>
        </row>
        <row r="555">
          <cell r="A555">
            <v>40240</v>
          </cell>
          <cell r="DF555">
            <v>14.46055816002405</v>
          </cell>
          <cell r="DG555">
            <v>21.679348620667902</v>
          </cell>
          <cell r="DH555">
            <v>18.362277992096409</v>
          </cell>
          <cell r="DI555">
            <v>14.300000632844487</v>
          </cell>
          <cell r="DJ555">
            <v>22.424555351348332</v>
          </cell>
          <cell r="DU555">
            <v>10.087919942586652</v>
          </cell>
          <cell r="DV555">
            <v>11.644336226312735</v>
          </cell>
          <cell r="DW555">
            <v>9.8476005987137558</v>
          </cell>
          <cell r="DX555">
            <v>7.1073990168282446</v>
          </cell>
          <cell r="DY555">
            <v>12.587802180599267</v>
          </cell>
        </row>
        <row r="556">
          <cell r="A556">
            <v>40241</v>
          </cell>
          <cell r="DF556">
            <v>14.30419683579561</v>
          </cell>
          <cell r="DG556">
            <v>21.679348620667902</v>
          </cell>
          <cell r="DH556">
            <v>18.362277992096409</v>
          </cell>
          <cell r="DI556">
            <v>14.300000632844487</v>
          </cell>
          <cell r="DJ556">
            <v>22.424555351348332</v>
          </cell>
          <cell r="DU556">
            <v>9.9564222071169883</v>
          </cell>
          <cell r="DV556">
            <v>11.644336226312735</v>
          </cell>
          <cell r="DW556">
            <v>9.8476005987137558</v>
          </cell>
          <cell r="DX556">
            <v>7.1073990168282446</v>
          </cell>
          <cell r="DY556">
            <v>12.587802180599267</v>
          </cell>
        </row>
        <row r="557">
          <cell r="A557">
            <v>40242</v>
          </cell>
          <cell r="DF557">
            <v>14.666487881511827</v>
          </cell>
          <cell r="DG557">
            <v>21.679348620667902</v>
          </cell>
          <cell r="DH557">
            <v>18.362277992096409</v>
          </cell>
          <cell r="DI557">
            <v>14.300000632844487</v>
          </cell>
          <cell r="DJ557">
            <v>22.424555351348332</v>
          </cell>
          <cell r="DU557">
            <v>10.255351659377379</v>
          </cell>
          <cell r="DV557">
            <v>11.644336226312735</v>
          </cell>
          <cell r="DW557">
            <v>9.8476005987137558</v>
          </cell>
          <cell r="DX557">
            <v>7.1073990168282446</v>
          </cell>
          <cell r="DY557">
            <v>12.587802180599267</v>
          </cell>
        </row>
        <row r="558">
          <cell r="A558">
            <v>40245</v>
          </cell>
          <cell r="DF558">
            <v>14.529868693937084</v>
          </cell>
          <cell r="DG558">
            <v>21.679348620667902</v>
          </cell>
          <cell r="DH558">
            <v>18.362277992096409</v>
          </cell>
          <cell r="DI558">
            <v>14.300000632844487</v>
          </cell>
          <cell r="DJ558">
            <v>22.424555351348332</v>
          </cell>
          <cell r="DU558">
            <v>10.141964501355963</v>
          </cell>
          <cell r="DV558">
            <v>11.644336226312735</v>
          </cell>
          <cell r="DW558">
            <v>9.8476005987137558</v>
          </cell>
          <cell r="DX558">
            <v>7.1073990168282446</v>
          </cell>
          <cell r="DY558">
            <v>12.587802180599267</v>
          </cell>
        </row>
        <row r="559">
          <cell r="A559">
            <v>40246</v>
          </cell>
          <cell r="DF559">
            <v>14.423675695261378</v>
          </cell>
          <cell r="DG559">
            <v>21.679348620667902</v>
          </cell>
          <cell r="DH559">
            <v>18.362277992096409</v>
          </cell>
          <cell r="DI559">
            <v>14.300000632844487</v>
          </cell>
          <cell r="DJ559">
            <v>22.424555351348332</v>
          </cell>
          <cell r="DU559">
            <v>10.054348581022305</v>
          </cell>
          <cell r="DV559">
            <v>11.644336226312735</v>
          </cell>
          <cell r="DW559">
            <v>9.8476005987137558</v>
          </cell>
          <cell r="DX559">
            <v>7.1073990168282446</v>
          </cell>
          <cell r="DY559">
            <v>12.587802180599267</v>
          </cell>
        </row>
        <row r="560">
          <cell r="A560">
            <v>40247</v>
          </cell>
          <cell r="DF560">
            <v>14.230028609981131</v>
          </cell>
          <cell r="DG560">
            <v>21.679348620667902</v>
          </cell>
          <cell r="DH560">
            <v>18.362277992096409</v>
          </cell>
          <cell r="DI560">
            <v>14.300000632844487</v>
          </cell>
          <cell r="DJ560">
            <v>22.424555351348332</v>
          </cell>
          <cell r="DU560">
            <v>9.8945775244710923</v>
          </cell>
          <cell r="DV560">
            <v>11.644336226312735</v>
          </cell>
          <cell r="DW560">
            <v>9.8476005987137558</v>
          </cell>
          <cell r="DX560">
            <v>7.1073990168282446</v>
          </cell>
          <cell r="DY560">
            <v>12.587802180599267</v>
          </cell>
        </row>
        <row r="561">
          <cell r="A561">
            <v>40248</v>
          </cell>
          <cell r="DF561">
            <v>14.242515179532118</v>
          </cell>
          <cell r="DG561">
            <v>21.679348620667902</v>
          </cell>
          <cell r="DH561">
            <v>18.362277992096409</v>
          </cell>
          <cell r="DI561">
            <v>14.300000632844487</v>
          </cell>
          <cell r="DJ561">
            <v>22.424555351348332</v>
          </cell>
          <cell r="DU561">
            <v>9.9048797317414685</v>
          </cell>
          <cell r="DV561">
            <v>11.644336226312735</v>
          </cell>
          <cell r="DW561">
            <v>9.8476005987137558</v>
          </cell>
          <cell r="DX561">
            <v>7.1073990168282446</v>
          </cell>
          <cell r="DY561">
            <v>12.587802180599267</v>
          </cell>
        </row>
        <row r="562">
          <cell r="A562">
            <v>40249</v>
          </cell>
          <cell r="DF562">
            <v>14.013009158979756</v>
          </cell>
          <cell r="DG562">
            <v>21.679348620667902</v>
          </cell>
          <cell r="DH562">
            <v>18.362277992096409</v>
          </cell>
          <cell r="DI562">
            <v>14.300000632844487</v>
          </cell>
          <cell r="DJ562">
            <v>22.424555351348332</v>
          </cell>
          <cell r="DU562">
            <v>9.6626441161887016</v>
          </cell>
          <cell r="DV562">
            <v>11.644336226312735</v>
          </cell>
          <cell r="DW562">
            <v>9.8476005987137558</v>
          </cell>
          <cell r="DX562">
            <v>7.1073990168282446</v>
          </cell>
          <cell r="DY562">
            <v>12.587802180599267</v>
          </cell>
        </row>
        <row r="563">
          <cell r="A563">
            <v>40252</v>
          </cell>
          <cell r="DF563">
            <v>14.107146136799287</v>
          </cell>
          <cell r="DG563">
            <v>21.679348620667902</v>
          </cell>
          <cell r="DH563">
            <v>18.362277992096409</v>
          </cell>
          <cell r="DI563">
            <v>14.300000632844487</v>
          </cell>
          <cell r="DJ563">
            <v>22.424555351348332</v>
          </cell>
          <cell r="DU563">
            <v>9.7399578292519831</v>
          </cell>
          <cell r="DV563">
            <v>11.644336226312735</v>
          </cell>
          <cell r="DW563">
            <v>9.8476005987137558</v>
          </cell>
          <cell r="DX563">
            <v>7.1073990168282446</v>
          </cell>
          <cell r="DY563">
            <v>12.587802180599267</v>
          </cell>
        </row>
        <row r="564">
          <cell r="A564">
            <v>40253</v>
          </cell>
          <cell r="DF564">
            <v>14.420917236598399</v>
          </cell>
          <cell r="DG564">
            <v>21.679348620667902</v>
          </cell>
          <cell r="DH564">
            <v>18.362277992096409</v>
          </cell>
          <cell r="DI564">
            <v>14.300000632844487</v>
          </cell>
          <cell r="DJ564">
            <v>22.424555351348332</v>
          </cell>
          <cell r="DU564">
            <v>9.9976547443146799</v>
          </cell>
          <cell r="DV564">
            <v>11.644336226312735</v>
          </cell>
          <cell r="DW564">
            <v>9.8476005987137558</v>
          </cell>
          <cell r="DX564">
            <v>7.1073990168282446</v>
          </cell>
          <cell r="DY564">
            <v>12.587802180599267</v>
          </cell>
        </row>
        <row r="565">
          <cell r="A565">
            <v>40254</v>
          </cell>
          <cell r="DF565">
            <v>14.628007417550211</v>
          </cell>
          <cell r="DG565">
            <v>21.679348620667902</v>
          </cell>
          <cell r="DH565">
            <v>18.362277992096409</v>
          </cell>
          <cell r="DI565">
            <v>14.300000632844487</v>
          </cell>
          <cell r="DJ565">
            <v>22.424555351348332</v>
          </cell>
          <cell r="DU565">
            <v>10.167735739043721</v>
          </cell>
          <cell r="DV565">
            <v>11.644336226312735</v>
          </cell>
          <cell r="DW565">
            <v>9.8476005987137558</v>
          </cell>
          <cell r="DX565">
            <v>7.1073990168282446</v>
          </cell>
          <cell r="DY565">
            <v>12.587802180599267</v>
          </cell>
        </row>
        <row r="566">
          <cell r="A566">
            <v>40255</v>
          </cell>
          <cell r="DF566">
            <v>15.398653852350501</v>
          </cell>
          <cell r="DG566">
            <v>21.679348620667902</v>
          </cell>
          <cell r="DH566">
            <v>18.362277992096409</v>
          </cell>
          <cell r="DI566">
            <v>14.300000632844487</v>
          </cell>
          <cell r="DJ566">
            <v>22.424555351348332</v>
          </cell>
          <cell r="DU566">
            <v>10.471816037242384</v>
          </cell>
          <cell r="DV566">
            <v>11.644336226312735</v>
          </cell>
          <cell r="DW566">
            <v>9.8476005987137558</v>
          </cell>
          <cell r="DX566">
            <v>7.1073990168282446</v>
          </cell>
          <cell r="DY566">
            <v>12.587802180599267</v>
          </cell>
        </row>
        <row r="567">
          <cell r="A567">
            <v>40256</v>
          </cell>
          <cell r="DF567">
            <v>15.224691543625651</v>
          </cell>
          <cell r="DG567">
            <v>21.679348620667902</v>
          </cell>
          <cell r="DH567">
            <v>18.362277992096409</v>
          </cell>
          <cell r="DI567">
            <v>14.300000632844487</v>
          </cell>
          <cell r="DJ567">
            <v>22.424555351348332</v>
          </cell>
          <cell r="DU567">
            <v>10.332657641533206</v>
          </cell>
          <cell r="DV567">
            <v>11.644336226312735</v>
          </cell>
          <cell r="DW567">
            <v>9.8476005987137558</v>
          </cell>
          <cell r="DX567">
            <v>7.1073990168282446</v>
          </cell>
          <cell r="DY567">
            <v>12.587802180599267</v>
          </cell>
        </row>
        <row r="568">
          <cell r="A568">
            <v>40259</v>
          </cell>
          <cell r="DF568">
            <v>15.370563480130397</v>
          </cell>
          <cell r="DG568">
            <v>21.679348620667902</v>
          </cell>
          <cell r="DH568">
            <v>18.362277992096409</v>
          </cell>
          <cell r="DI568">
            <v>14.300000632844487</v>
          </cell>
          <cell r="DJ568">
            <v>22.424555351348332</v>
          </cell>
          <cell r="DU568">
            <v>10.446044799554626</v>
          </cell>
          <cell r="DV568">
            <v>11.644336226312735</v>
          </cell>
          <cell r="DW568">
            <v>9.8476005987137558</v>
          </cell>
          <cell r="DX568">
            <v>7.1073990168282446</v>
          </cell>
          <cell r="DY568">
            <v>12.587802180599267</v>
          </cell>
        </row>
        <row r="569">
          <cell r="A569">
            <v>40260</v>
          </cell>
          <cell r="DF569">
            <v>15.467239527391417</v>
          </cell>
          <cell r="DG569">
            <v>21.679348620667902</v>
          </cell>
          <cell r="DH569">
            <v>18.362277992096409</v>
          </cell>
          <cell r="DI569">
            <v>14.300000632844487</v>
          </cell>
          <cell r="DJ569">
            <v>22.424555351348332</v>
          </cell>
          <cell r="DU569">
            <v>10.696236861046946</v>
          </cell>
          <cell r="DV569">
            <v>11.644336226312735</v>
          </cell>
          <cell r="DW569">
            <v>9.8476005987137558</v>
          </cell>
          <cell r="DX569">
            <v>7.1073990168282446</v>
          </cell>
          <cell r="DY569">
            <v>12.587802180599267</v>
          </cell>
        </row>
        <row r="570">
          <cell r="A570">
            <v>40261</v>
          </cell>
          <cell r="DF570">
            <v>15.687067422946756</v>
          </cell>
          <cell r="DG570">
            <v>21.679348620667902</v>
          </cell>
          <cell r="DH570">
            <v>18.362277992096409</v>
          </cell>
          <cell r="DI570">
            <v>14.300000632844487</v>
          </cell>
          <cell r="DJ570">
            <v>22.424555351348332</v>
          </cell>
          <cell r="DU570">
            <v>10.74063123646596</v>
          </cell>
          <cell r="DV570">
            <v>11.644336226312735</v>
          </cell>
          <cell r="DW570">
            <v>9.8476005987137558</v>
          </cell>
          <cell r="DX570">
            <v>7.1073990168282446</v>
          </cell>
          <cell r="DY570">
            <v>12.587802180599267</v>
          </cell>
        </row>
        <row r="571">
          <cell r="A571">
            <v>40262</v>
          </cell>
          <cell r="DF571">
            <v>15.462320419522076</v>
          </cell>
          <cell r="DG571">
            <v>21.679348620667902</v>
          </cell>
          <cell r="DH571">
            <v>18.362277992096409</v>
          </cell>
          <cell r="DI571">
            <v>14.300000632844487</v>
          </cell>
          <cell r="DJ571">
            <v>22.424555351348332</v>
          </cell>
          <cell r="DU571">
            <v>10.280887844822772</v>
          </cell>
          <cell r="DV571">
            <v>11.644336226312735</v>
          </cell>
          <cell r="DW571">
            <v>9.8476005987137558</v>
          </cell>
          <cell r="DX571">
            <v>7.1073990168282446</v>
          </cell>
          <cell r="DY571">
            <v>12.587802180599267</v>
          </cell>
        </row>
        <row r="572">
          <cell r="A572">
            <v>40263</v>
          </cell>
          <cell r="DF572">
            <v>12.52874231987508</v>
          </cell>
          <cell r="DG572">
            <v>21.679348620667902</v>
          </cell>
          <cell r="DH572">
            <v>18.362277992096409</v>
          </cell>
          <cell r="DI572">
            <v>14.300000632844487</v>
          </cell>
          <cell r="DJ572">
            <v>22.424555351348332</v>
          </cell>
          <cell r="DU572">
            <v>7.6204829111203525</v>
          </cell>
          <cell r="DV572">
            <v>11.644336226312735</v>
          </cell>
          <cell r="DW572">
            <v>9.8476005987137558</v>
          </cell>
          <cell r="DX572">
            <v>7.1073990168282446</v>
          </cell>
          <cell r="DY572">
            <v>12.587802180599267</v>
          </cell>
        </row>
        <row r="573">
          <cell r="A573">
            <v>40266</v>
          </cell>
          <cell r="DF573">
            <v>13.631766534547126</v>
          </cell>
          <cell r="DG573">
            <v>21.679348620667902</v>
          </cell>
          <cell r="DH573">
            <v>18.362277992096409</v>
          </cell>
          <cell r="DI573">
            <v>14.300000632844487</v>
          </cell>
          <cell r="DJ573">
            <v>22.424555351348332</v>
          </cell>
          <cell r="DU573">
            <v>7.1181964636522874</v>
          </cell>
          <cell r="DV573">
            <v>11.644336226312735</v>
          </cell>
          <cell r="DW573">
            <v>9.8476005987137558</v>
          </cell>
          <cell r="DX573">
            <v>7.1073990168282446</v>
          </cell>
          <cell r="DY573">
            <v>12.587802180599267</v>
          </cell>
        </row>
        <row r="574">
          <cell r="A574">
            <v>40267</v>
          </cell>
          <cell r="DF574">
            <v>13.600683920107082</v>
          </cell>
          <cell r="DG574">
            <v>21.679348620667902</v>
          </cell>
          <cell r="DH574">
            <v>18.362277992096409</v>
          </cell>
          <cell r="DI574">
            <v>14.300000632844487</v>
          </cell>
          <cell r="DJ574">
            <v>22.424555351348332</v>
          </cell>
          <cell r="DU574">
            <v>7.097050666160257</v>
          </cell>
          <cell r="DV574">
            <v>11.644336226312735</v>
          </cell>
          <cell r="DW574">
            <v>9.8476005987137558</v>
          </cell>
          <cell r="DX574">
            <v>7.1073990168282446</v>
          </cell>
          <cell r="DY574">
            <v>12.587802180599267</v>
          </cell>
        </row>
        <row r="575">
          <cell r="A575">
            <v>40268</v>
          </cell>
          <cell r="DF575">
            <v>14.43037602855725</v>
          </cell>
          <cell r="DG575">
            <v>21.679348620667902</v>
          </cell>
          <cell r="DH575">
            <v>18.362277992096409</v>
          </cell>
          <cell r="DI575">
            <v>14.300000632844487</v>
          </cell>
          <cell r="DJ575">
            <v>22.424555351348332</v>
          </cell>
          <cell r="DU575">
            <v>7.679171442153061</v>
          </cell>
          <cell r="DV575">
            <v>11.644336226312735</v>
          </cell>
          <cell r="DW575">
            <v>9.8476005987137558</v>
          </cell>
          <cell r="DX575">
            <v>7.1073990168282446</v>
          </cell>
          <cell r="DY575">
            <v>12.587802180599267</v>
          </cell>
        </row>
        <row r="576">
          <cell r="A576">
            <v>40269</v>
          </cell>
          <cell r="DF576">
            <v>14.446430828684861</v>
          </cell>
          <cell r="DG576">
            <v>21.679348620667902</v>
          </cell>
          <cell r="DH576">
            <v>18.362277992096409</v>
          </cell>
          <cell r="DI576">
            <v>14.300000632844487</v>
          </cell>
          <cell r="DJ576">
            <v>22.424555351348332</v>
          </cell>
          <cell r="DU576">
            <v>7.6902204604100817</v>
          </cell>
          <cell r="DV576">
            <v>11.644336226312735</v>
          </cell>
          <cell r="DW576">
            <v>9.8476005987137558</v>
          </cell>
          <cell r="DX576">
            <v>7.1073990168282446</v>
          </cell>
          <cell r="DY576">
            <v>12.587802180599267</v>
          </cell>
        </row>
        <row r="577">
          <cell r="A577">
            <v>40270</v>
          </cell>
          <cell r="DF577">
            <v>14.842448276003113</v>
          </cell>
          <cell r="DG577">
            <v>21.679348620667902</v>
          </cell>
          <cell r="DH577">
            <v>18.362277992096409</v>
          </cell>
          <cell r="DI577">
            <v>14.300000632844487</v>
          </cell>
          <cell r="DJ577">
            <v>22.424555351348332</v>
          </cell>
          <cell r="DU577">
            <v>7.8780145546078586</v>
          </cell>
          <cell r="DV577">
            <v>11.644336226312735</v>
          </cell>
          <cell r="DW577">
            <v>9.8476005987137558</v>
          </cell>
          <cell r="DX577">
            <v>7.1073990168282446</v>
          </cell>
          <cell r="DY577">
            <v>12.587802180599267</v>
          </cell>
        </row>
        <row r="578">
          <cell r="A578">
            <v>40273</v>
          </cell>
          <cell r="DF578">
            <v>15.328017351263451</v>
          </cell>
          <cell r="DG578">
            <v>21.679348620667902</v>
          </cell>
          <cell r="DH578">
            <v>18.362277992096409</v>
          </cell>
          <cell r="DI578">
            <v>14.300000632844487</v>
          </cell>
          <cell r="DJ578">
            <v>22.424555351348332</v>
          </cell>
          <cell r="DU578">
            <v>8.2094138504011074</v>
          </cell>
          <cell r="DV578">
            <v>11.644336226312735</v>
          </cell>
          <cell r="DW578">
            <v>9.8476005987137558</v>
          </cell>
          <cell r="DX578">
            <v>7.1073990168282446</v>
          </cell>
          <cell r="DY578">
            <v>12.587802180599267</v>
          </cell>
        </row>
        <row r="579">
          <cell r="A579">
            <v>40274</v>
          </cell>
          <cell r="DF579">
            <v>15.459989776455011</v>
          </cell>
          <cell r="DG579">
            <v>21.679348620667902</v>
          </cell>
          <cell r="DH579">
            <v>18.362277992096409</v>
          </cell>
          <cell r="DI579">
            <v>14.300000632844487</v>
          </cell>
          <cell r="DJ579">
            <v>22.424555351348332</v>
          </cell>
          <cell r="DU579">
            <v>8.0216197562033305</v>
          </cell>
          <cell r="DV579">
            <v>11.644336226312735</v>
          </cell>
          <cell r="DW579">
            <v>9.8476005987137558</v>
          </cell>
          <cell r="DX579">
            <v>7.1073990168282446</v>
          </cell>
          <cell r="DY579">
            <v>12.587802180599267</v>
          </cell>
        </row>
        <row r="580">
          <cell r="A580">
            <v>40275</v>
          </cell>
          <cell r="DF580">
            <v>15.62622381255329</v>
          </cell>
          <cell r="DG580">
            <v>21.679348620667902</v>
          </cell>
          <cell r="DH580">
            <v>18.362277992096409</v>
          </cell>
          <cell r="DI580">
            <v>14.300000632844487</v>
          </cell>
          <cell r="DJ580">
            <v>22.424555351348332</v>
          </cell>
          <cell r="DU580">
            <v>8.3220857305454707</v>
          </cell>
          <cell r="DV580">
            <v>11.644336226312735</v>
          </cell>
          <cell r="DW580">
            <v>9.8476005987137558</v>
          </cell>
          <cell r="DX580">
            <v>7.1073990168282446</v>
          </cell>
          <cell r="DY580">
            <v>12.587802180599267</v>
          </cell>
        </row>
        <row r="581">
          <cell r="A581">
            <v>40276</v>
          </cell>
          <cell r="DF581">
            <v>15.468297447024081</v>
          </cell>
          <cell r="DG581">
            <v>21.679348620667902</v>
          </cell>
          <cell r="DH581">
            <v>18.362277992096409</v>
          </cell>
          <cell r="DI581">
            <v>14.300000632844487</v>
          </cell>
          <cell r="DJ581">
            <v>22.424555351348332</v>
          </cell>
          <cell r="DU581">
            <v>8.2146879688324468</v>
          </cell>
          <cell r="DV581">
            <v>11.644336226312735</v>
          </cell>
          <cell r="DW581">
            <v>9.8476005987137558</v>
          </cell>
          <cell r="DX581">
            <v>7.1073990168282446</v>
          </cell>
          <cell r="DY581">
            <v>12.587802180599267</v>
          </cell>
        </row>
        <row r="582">
          <cell r="A582">
            <v>40277</v>
          </cell>
          <cell r="DF582">
            <v>15.459989776455011</v>
          </cell>
          <cell r="DG582">
            <v>21.679348620667902</v>
          </cell>
          <cell r="DH582">
            <v>18.362277992096409</v>
          </cell>
          <cell r="DI582">
            <v>14.300000632844487</v>
          </cell>
          <cell r="DJ582">
            <v>22.424555351348332</v>
          </cell>
          <cell r="DU582">
            <v>8.2090383407847316</v>
          </cell>
          <cell r="DV582">
            <v>11.644336226312735</v>
          </cell>
          <cell r="DW582">
            <v>9.8476005987137558</v>
          </cell>
          <cell r="DX582">
            <v>7.1073990168282446</v>
          </cell>
          <cell r="DY582">
            <v>12.587802180599267</v>
          </cell>
        </row>
        <row r="583">
          <cell r="A583">
            <v>40280</v>
          </cell>
          <cell r="DF583">
            <v>15.177391000787024</v>
          </cell>
          <cell r="DG583">
            <v>21.679348620667902</v>
          </cell>
          <cell r="DH583">
            <v>18.362277992096409</v>
          </cell>
          <cell r="DI583">
            <v>14.300000632844487</v>
          </cell>
          <cell r="DJ583">
            <v>22.424555351348332</v>
          </cell>
          <cell r="DU583">
            <v>8.3031600551044065</v>
          </cell>
          <cell r="DV583">
            <v>11.644336226312735</v>
          </cell>
          <cell r="DW583">
            <v>9.8476005987137558</v>
          </cell>
          <cell r="DX583">
            <v>7.1073990168282446</v>
          </cell>
          <cell r="DY583">
            <v>12.587802180599267</v>
          </cell>
        </row>
        <row r="584">
          <cell r="A584">
            <v>40281</v>
          </cell>
          <cell r="DF584">
            <v>15.385186662844804</v>
          </cell>
          <cell r="DG584">
            <v>21.679348620667902</v>
          </cell>
          <cell r="DH584">
            <v>18.362277992096409</v>
          </cell>
          <cell r="DI584">
            <v>14.300000632844487</v>
          </cell>
          <cell r="DJ584">
            <v>22.424555351348332</v>
          </cell>
          <cell r="DU584">
            <v>8.4495180094514328</v>
          </cell>
          <cell r="DV584">
            <v>11.644336226312735</v>
          </cell>
          <cell r="DW584">
            <v>9.8476005987137558</v>
          </cell>
          <cell r="DX584">
            <v>7.1073990168282446</v>
          </cell>
          <cell r="DY584">
            <v>12.587802180599267</v>
          </cell>
        </row>
        <row r="585">
          <cell r="A585">
            <v>40282</v>
          </cell>
          <cell r="DF585">
            <v>15.360252014580519</v>
          </cell>
          <cell r="DG585">
            <v>21.679348620667902</v>
          </cell>
          <cell r="DH585">
            <v>18.362277992096409</v>
          </cell>
          <cell r="DI585">
            <v>14.300000632844487</v>
          </cell>
          <cell r="DJ585">
            <v>22.424555351348332</v>
          </cell>
          <cell r="DU585">
            <v>8.4319556403616076</v>
          </cell>
          <cell r="DV585">
            <v>11.644336226312735</v>
          </cell>
          <cell r="DW585">
            <v>9.8476005987137558</v>
          </cell>
          <cell r="DX585">
            <v>7.1073990168282446</v>
          </cell>
          <cell r="DY585">
            <v>12.587802180599267</v>
          </cell>
        </row>
        <row r="586">
          <cell r="A586">
            <v>40283</v>
          </cell>
          <cell r="DF586">
            <v>15.21063248843773</v>
          </cell>
          <cell r="DG586">
            <v>21.679348620667902</v>
          </cell>
          <cell r="DH586">
            <v>18.362277992096409</v>
          </cell>
          <cell r="DI586">
            <v>14.300000632844487</v>
          </cell>
          <cell r="DJ586">
            <v>22.424555351348332</v>
          </cell>
          <cell r="DU586">
            <v>8.3265732297772086</v>
          </cell>
          <cell r="DV586">
            <v>11.644336226312735</v>
          </cell>
          <cell r="DW586">
            <v>9.8476005987137558</v>
          </cell>
          <cell r="DX586">
            <v>7.1073990168282446</v>
          </cell>
          <cell r="DY586">
            <v>12.587802180599267</v>
          </cell>
        </row>
        <row r="587">
          <cell r="A587">
            <v>40284</v>
          </cell>
          <cell r="DF587">
            <v>15.376878992275733</v>
          </cell>
          <cell r="DG587">
            <v>21.679348620667902</v>
          </cell>
          <cell r="DH587">
            <v>18.362277992096409</v>
          </cell>
          <cell r="DI587">
            <v>14.300000632844487</v>
          </cell>
          <cell r="DJ587">
            <v>22.424555351348332</v>
          </cell>
          <cell r="DU587">
            <v>8.4436666184366391</v>
          </cell>
          <cell r="DV587">
            <v>11.644336226312735</v>
          </cell>
          <cell r="DW587">
            <v>9.8476005987137558</v>
          </cell>
          <cell r="DX587">
            <v>7.1073990168282446</v>
          </cell>
          <cell r="DY587">
            <v>12.587802180599267</v>
          </cell>
        </row>
        <row r="588">
          <cell r="A588">
            <v>40287</v>
          </cell>
          <cell r="DF588">
            <v>15.277128762661517</v>
          </cell>
          <cell r="DG588">
            <v>21.679348620667902</v>
          </cell>
          <cell r="DH588">
            <v>18.362277992096409</v>
          </cell>
          <cell r="DI588">
            <v>14.300000632844487</v>
          </cell>
          <cell r="DJ588">
            <v>22.424555351348332</v>
          </cell>
          <cell r="DU588">
            <v>8.3734089460318906</v>
          </cell>
          <cell r="DV588">
            <v>11.644336226312735</v>
          </cell>
          <cell r="DW588">
            <v>9.8476005987137558</v>
          </cell>
          <cell r="DX588">
            <v>7.1073990168282446</v>
          </cell>
          <cell r="DY588">
            <v>12.587802180599267</v>
          </cell>
        </row>
        <row r="589">
          <cell r="A589">
            <v>40288</v>
          </cell>
          <cell r="DF589">
            <v>15.169083330217953</v>
          </cell>
          <cell r="DG589">
            <v>21.679348620667902</v>
          </cell>
          <cell r="DH589">
            <v>18.362277992096409</v>
          </cell>
          <cell r="DI589">
            <v>14.300000632844487</v>
          </cell>
          <cell r="DJ589">
            <v>22.424555351348332</v>
          </cell>
          <cell r="DU589">
            <v>8.2973086640896128</v>
          </cell>
          <cell r="DV589">
            <v>11.644336226312735</v>
          </cell>
          <cell r="DW589">
            <v>9.8476005987137558</v>
          </cell>
          <cell r="DX589">
            <v>7.1073990168282446</v>
          </cell>
          <cell r="DY589">
            <v>12.587802180599267</v>
          </cell>
        </row>
        <row r="590">
          <cell r="A590">
            <v>40289</v>
          </cell>
          <cell r="DF590">
            <v>15.169083330217953</v>
          </cell>
          <cell r="DG590">
            <v>21.679348620667902</v>
          </cell>
          <cell r="DH590">
            <v>18.362277992096409</v>
          </cell>
          <cell r="DI590">
            <v>14.300000632844487</v>
          </cell>
          <cell r="DJ590">
            <v>22.424555351348332</v>
          </cell>
          <cell r="DU590">
            <v>8.2973086640896128</v>
          </cell>
          <cell r="DV590">
            <v>11.644336226312735</v>
          </cell>
          <cell r="DW590">
            <v>9.8476005987137558</v>
          </cell>
          <cell r="DX590">
            <v>7.1073990168282446</v>
          </cell>
          <cell r="DY590">
            <v>12.587802180599267</v>
          </cell>
        </row>
        <row r="591">
          <cell r="A591">
            <v>40290</v>
          </cell>
          <cell r="DF591">
            <v>14.958534499383715</v>
          </cell>
          <cell r="DG591">
            <v>21.679348620667902</v>
          </cell>
          <cell r="DH591">
            <v>18.362277992096409</v>
          </cell>
          <cell r="DI591">
            <v>14.300000632844487</v>
          </cell>
          <cell r="DJ591">
            <v>22.424555351348332</v>
          </cell>
          <cell r="DU591">
            <v>7.96490013531215</v>
          </cell>
          <cell r="DV591">
            <v>11.644336226312735</v>
          </cell>
          <cell r="DW591">
            <v>9.8476005987137558</v>
          </cell>
          <cell r="DX591">
            <v>7.1073990168282446</v>
          </cell>
          <cell r="DY591">
            <v>12.587802180599267</v>
          </cell>
        </row>
        <row r="592">
          <cell r="A592">
            <v>40291</v>
          </cell>
          <cell r="DF592">
            <v>15.478389777215062</v>
          </cell>
          <cell r="DG592">
            <v>21.679348620667902</v>
          </cell>
          <cell r="DH592">
            <v>18.362277992096409</v>
          </cell>
          <cell r="DI592">
            <v>14.300000632844487</v>
          </cell>
          <cell r="DJ592">
            <v>22.424555351348332</v>
          </cell>
          <cell r="DU592">
            <v>8.3237034077434622</v>
          </cell>
          <cell r="DV592">
            <v>11.644336226312735</v>
          </cell>
          <cell r="DW592">
            <v>9.8476005987137558</v>
          </cell>
          <cell r="DX592">
            <v>7.1073990168282446</v>
          </cell>
          <cell r="DY592">
            <v>12.587802180599267</v>
          </cell>
        </row>
        <row r="593">
          <cell r="A593">
            <v>40294</v>
          </cell>
          <cell r="DF593">
            <v>15.352622355634185</v>
          </cell>
          <cell r="DG593">
            <v>21.679348620667902</v>
          </cell>
          <cell r="DH593">
            <v>18.362277992096409</v>
          </cell>
          <cell r="DI593">
            <v>14.300000632844487</v>
          </cell>
          <cell r="DJ593">
            <v>22.424555351348332</v>
          </cell>
          <cell r="DU593">
            <v>8.2368989366669823</v>
          </cell>
          <cell r="DV593">
            <v>11.644336226312735</v>
          </cell>
          <cell r="DW593">
            <v>9.8476005987137558</v>
          </cell>
          <cell r="DX593">
            <v>7.1073990168282446</v>
          </cell>
          <cell r="DY593">
            <v>12.587802180599267</v>
          </cell>
        </row>
        <row r="594">
          <cell r="A594">
            <v>40295</v>
          </cell>
          <cell r="DF594">
            <v>15.025614817671867</v>
          </cell>
          <cell r="DG594">
            <v>21.679348620667902</v>
          </cell>
          <cell r="DH594">
            <v>18.362277992096409</v>
          </cell>
          <cell r="DI594">
            <v>14.300000632844487</v>
          </cell>
          <cell r="DJ594">
            <v>22.424555351348332</v>
          </cell>
          <cell r="DU594">
            <v>8.0111988625616419</v>
          </cell>
          <cell r="DV594">
            <v>11.644336226312735</v>
          </cell>
          <cell r="DW594">
            <v>9.8476005987137558</v>
          </cell>
          <cell r="DX594">
            <v>7.1073990168282446</v>
          </cell>
          <cell r="DY594">
            <v>12.587802180599267</v>
          </cell>
        </row>
        <row r="595">
          <cell r="A595">
            <v>40296</v>
          </cell>
          <cell r="DF595">
            <v>14.951298842318037</v>
          </cell>
          <cell r="DG595">
            <v>21.679348620667902</v>
          </cell>
          <cell r="DH595">
            <v>18.362277992096409</v>
          </cell>
          <cell r="DI595">
            <v>14.300000632844487</v>
          </cell>
          <cell r="DJ595">
            <v>22.424555351348332</v>
          </cell>
          <cell r="DU595">
            <v>7.9996215765109673</v>
          </cell>
          <cell r="DV595">
            <v>11.644336226312735</v>
          </cell>
          <cell r="DW595">
            <v>9.8476005987137558</v>
          </cell>
          <cell r="DX595">
            <v>7.1073990168282446</v>
          </cell>
          <cell r="DY595">
            <v>12.587802180599267</v>
          </cell>
        </row>
        <row r="596">
          <cell r="A596">
            <v>40297</v>
          </cell>
          <cell r="DF596">
            <v>14.792596181153005</v>
          </cell>
          <cell r="DG596">
            <v>21.679348620667902</v>
          </cell>
          <cell r="DH596">
            <v>18.362277992096409</v>
          </cell>
          <cell r="DI596">
            <v>14.300000632844487</v>
          </cell>
          <cell r="DJ596">
            <v>22.424555351348332</v>
          </cell>
          <cell r="DU596">
            <v>7.8896636907723821</v>
          </cell>
          <cell r="DV596">
            <v>11.644336226312735</v>
          </cell>
          <cell r="DW596">
            <v>9.8476005987137558</v>
          </cell>
          <cell r="DX596">
            <v>7.1073990168282446</v>
          </cell>
          <cell r="DY596">
            <v>12.587802180599267</v>
          </cell>
        </row>
        <row r="597">
          <cell r="A597">
            <v>40298</v>
          </cell>
          <cell r="DF597">
            <v>14.77588747264496</v>
          </cell>
          <cell r="DG597">
            <v>21.679348620667902</v>
          </cell>
          <cell r="DH597">
            <v>18.362277992096409</v>
          </cell>
          <cell r="DI597">
            <v>14.300000632844487</v>
          </cell>
          <cell r="DJ597">
            <v>22.424555351348332</v>
          </cell>
          <cell r="DU597">
            <v>7.878086983441329</v>
          </cell>
          <cell r="DV597">
            <v>11.644336226312735</v>
          </cell>
          <cell r="DW597">
            <v>9.8476005987137558</v>
          </cell>
          <cell r="DX597">
            <v>7.1073990168282446</v>
          </cell>
          <cell r="DY597">
            <v>12.587802180599267</v>
          </cell>
        </row>
        <row r="598">
          <cell r="A598">
            <v>40301</v>
          </cell>
          <cell r="DF598">
            <v>15.076584086466982</v>
          </cell>
          <cell r="DG598">
            <v>21.679348620667902</v>
          </cell>
          <cell r="DH598">
            <v>18.362277992096409</v>
          </cell>
          <cell r="DI598">
            <v>14.300000632844487</v>
          </cell>
          <cell r="DJ598">
            <v>22.424555351348332</v>
          </cell>
          <cell r="DU598">
            <v>8.0864260475874481</v>
          </cell>
          <cell r="DV598">
            <v>11.644336226312735</v>
          </cell>
          <cell r="DW598">
            <v>9.8476005987137558</v>
          </cell>
          <cell r="DX598">
            <v>7.1073990168282446</v>
          </cell>
          <cell r="DY598">
            <v>12.587802180599267</v>
          </cell>
        </row>
        <row r="599">
          <cell r="A599">
            <v>40302</v>
          </cell>
          <cell r="DF599">
            <v>14.692368152887523</v>
          </cell>
          <cell r="DG599">
            <v>21.679348620667902</v>
          </cell>
          <cell r="DH599">
            <v>18.362277992096409</v>
          </cell>
          <cell r="DI599">
            <v>14.300000632844487</v>
          </cell>
          <cell r="DJ599">
            <v>22.424555351348332</v>
          </cell>
          <cell r="DU599">
            <v>7.8202202296551224</v>
          </cell>
          <cell r="DV599">
            <v>11.644336226312735</v>
          </cell>
          <cell r="DW599">
            <v>9.8476005987137558</v>
          </cell>
          <cell r="DX599">
            <v>7.1073990168282446</v>
          </cell>
          <cell r="DY599">
            <v>12.587802180599267</v>
          </cell>
        </row>
        <row r="600">
          <cell r="A600">
            <v>40303</v>
          </cell>
          <cell r="DF600">
            <v>15.068236414359934</v>
          </cell>
          <cell r="DG600">
            <v>21.679348620667902</v>
          </cell>
          <cell r="DH600">
            <v>18.362277992096409</v>
          </cell>
          <cell r="DI600">
            <v>14.300000632844487</v>
          </cell>
          <cell r="DJ600">
            <v>22.424555351348332</v>
          </cell>
          <cell r="DU600">
            <v>8.0806423236789016</v>
          </cell>
          <cell r="DV600">
            <v>11.644336226312735</v>
          </cell>
          <cell r="DW600">
            <v>9.8476005987137558</v>
          </cell>
          <cell r="DX600">
            <v>7.1073990168282446</v>
          </cell>
          <cell r="DY600">
            <v>12.587802180599267</v>
          </cell>
        </row>
        <row r="601">
          <cell r="A601">
            <v>40304</v>
          </cell>
          <cell r="DF601">
            <v>15.160115935249996</v>
          </cell>
          <cell r="DG601">
            <v>21.679348620667902</v>
          </cell>
          <cell r="DH601">
            <v>18.362277992096409</v>
          </cell>
          <cell r="DI601">
            <v>14.300000632844487</v>
          </cell>
          <cell r="DJ601">
            <v>22.424555351348332</v>
          </cell>
          <cell r="DU601">
            <v>8.1443014821679949</v>
          </cell>
          <cell r="DV601">
            <v>11.644336226312735</v>
          </cell>
          <cell r="DW601">
            <v>9.8476005987137558</v>
          </cell>
          <cell r="DX601">
            <v>7.1073990168282446</v>
          </cell>
          <cell r="DY601">
            <v>12.587802180599267</v>
          </cell>
        </row>
        <row r="602">
          <cell r="A602">
            <v>40305</v>
          </cell>
          <cell r="DF602">
            <v>13.861556649580733</v>
          </cell>
          <cell r="DG602">
            <v>21.679348620667902</v>
          </cell>
          <cell r="DH602">
            <v>18.362277992096409</v>
          </cell>
          <cell r="DI602">
            <v>14.300000632844487</v>
          </cell>
          <cell r="DJ602">
            <v>22.424555351348332</v>
          </cell>
          <cell r="DU602">
            <v>7.4485091654007967</v>
          </cell>
          <cell r="DV602">
            <v>11.644336226312735</v>
          </cell>
          <cell r="DW602">
            <v>9.8476005987137558</v>
          </cell>
          <cell r="DX602">
            <v>7.1073990168282446</v>
          </cell>
          <cell r="DY602">
            <v>12.587802180599267</v>
          </cell>
        </row>
        <row r="603">
          <cell r="A603">
            <v>40308</v>
          </cell>
          <cell r="DF603">
            <v>14.262673005632447</v>
          </cell>
          <cell r="DG603">
            <v>21.679348620667902</v>
          </cell>
          <cell r="DH603">
            <v>18.362277992096409</v>
          </cell>
          <cell r="DI603">
            <v>14.300000632844487</v>
          </cell>
          <cell r="DJ603">
            <v>22.424555351348332</v>
          </cell>
          <cell r="DU603">
            <v>7.7352733362146155</v>
          </cell>
          <cell r="DV603">
            <v>11.644336226312735</v>
          </cell>
          <cell r="DW603">
            <v>9.8476005987137558</v>
          </cell>
          <cell r="DX603">
            <v>7.1073990168282446</v>
          </cell>
          <cell r="DY603">
            <v>12.587802180599267</v>
          </cell>
        </row>
        <row r="604">
          <cell r="A604">
            <v>40309</v>
          </cell>
          <cell r="DF604">
            <v>13.975551633578503</v>
          </cell>
          <cell r="DG604">
            <v>21.679348620667902</v>
          </cell>
          <cell r="DH604">
            <v>18.362277992096409</v>
          </cell>
          <cell r="DI604">
            <v>14.300000632844487</v>
          </cell>
          <cell r="DJ604">
            <v>22.424555351348332</v>
          </cell>
          <cell r="DU604">
            <v>7.5300059095994802</v>
          </cell>
          <cell r="DV604">
            <v>11.644336226312735</v>
          </cell>
          <cell r="DW604">
            <v>9.8476005987137558</v>
          </cell>
          <cell r="DX604">
            <v>7.1073990168282446</v>
          </cell>
          <cell r="DY604">
            <v>12.587802180599267</v>
          </cell>
        </row>
        <row r="605">
          <cell r="A605">
            <v>40310</v>
          </cell>
          <cell r="DF605">
            <v>13.70533604681602</v>
          </cell>
          <cell r="DG605">
            <v>21.679348620667902</v>
          </cell>
          <cell r="DH605">
            <v>18.362277992096409</v>
          </cell>
          <cell r="DI605">
            <v>14.300000632844487</v>
          </cell>
          <cell r="DJ605">
            <v>22.424555351348332</v>
          </cell>
          <cell r="DU605">
            <v>7.3368246854737746</v>
          </cell>
          <cell r="DV605">
            <v>11.644336226312735</v>
          </cell>
          <cell r="DW605">
            <v>9.8476005987137558</v>
          </cell>
          <cell r="DX605">
            <v>7.1073990168282446</v>
          </cell>
          <cell r="DY605">
            <v>12.587802180599267</v>
          </cell>
        </row>
        <row r="606">
          <cell r="A606">
            <v>40311</v>
          </cell>
          <cell r="DF606">
            <v>13.494228219656987</v>
          </cell>
          <cell r="DG606">
            <v>21.679348620667902</v>
          </cell>
          <cell r="DH606">
            <v>18.362277992096409</v>
          </cell>
          <cell r="DI606">
            <v>14.300000632844487</v>
          </cell>
          <cell r="DJ606">
            <v>22.424555351348332</v>
          </cell>
          <cell r="DU606">
            <v>7.1859004957861252</v>
          </cell>
          <cell r="DV606">
            <v>11.644336226312735</v>
          </cell>
          <cell r="DW606">
            <v>9.8476005987137558</v>
          </cell>
          <cell r="DX606">
            <v>7.1073990168282446</v>
          </cell>
          <cell r="DY606">
            <v>12.587802180599267</v>
          </cell>
        </row>
        <row r="607">
          <cell r="A607">
            <v>40312</v>
          </cell>
          <cell r="DF607">
            <v>13.578661723849654</v>
          </cell>
          <cell r="DG607">
            <v>21.679348620667902</v>
          </cell>
          <cell r="DH607">
            <v>18.362277992096409</v>
          </cell>
          <cell r="DI607">
            <v>14.300000632844487</v>
          </cell>
          <cell r="DJ607">
            <v>22.424555351348332</v>
          </cell>
          <cell r="DU607">
            <v>7.2462632894080192</v>
          </cell>
          <cell r="DV607">
            <v>11.644336226312735</v>
          </cell>
          <cell r="DW607">
            <v>9.8476005987137558</v>
          </cell>
          <cell r="DX607">
            <v>7.1073990168282446</v>
          </cell>
          <cell r="DY607">
            <v>12.587802180599267</v>
          </cell>
        </row>
        <row r="608">
          <cell r="A608">
            <v>40315</v>
          </cell>
          <cell r="DF608">
            <v>13.257783670126075</v>
          </cell>
          <cell r="DG608">
            <v>21.679348620667902</v>
          </cell>
          <cell r="DH608">
            <v>18.362277992096409</v>
          </cell>
          <cell r="DI608">
            <v>14.300000632844487</v>
          </cell>
          <cell r="DJ608">
            <v>22.424555351348332</v>
          </cell>
          <cell r="DU608">
            <v>7.0168626987312077</v>
          </cell>
          <cell r="DV608">
            <v>11.644336226312735</v>
          </cell>
          <cell r="DW608">
            <v>9.8476005987137558</v>
          </cell>
          <cell r="DX608">
            <v>7.1073990168282446</v>
          </cell>
          <cell r="DY608">
            <v>12.587802180599267</v>
          </cell>
        </row>
        <row r="609">
          <cell r="A609">
            <v>40316</v>
          </cell>
          <cell r="DF609">
            <v>13.316894807508803</v>
          </cell>
          <cell r="DG609">
            <v>21.679348620667902</v>
          </cell>
          <cell r="DH609">
            <v>18.362277992096409</v>
          </cell>
          <cell r="DI609">
            <v>14.300000632844487</v>
          </cell>
          <cell r="DJ609">
            <v>22.424555351348332</v>
          </cell>
          <cell r="DU609">
            <v>7.0591221479949375</v>
          </cell>
          <cell r="DV609">
            <v>11.644336226312735</v>
          </cell>
          <cell r="DW609">
            <v>9.8476005987137558</v>
          </cell>
          <cell r="DX609">
            <v>7.1073990168282446</v>
          </cell>
          <cell r="DY609">
            <v>12.587802180599267</v>
          </cell>
        </row>
        <row r="610">
          <cell r="A610">
            <v>40317</v>
          </cell>
          <cell r="DF610">
            <v>13.730668546963798</v>
          </cell>
          <cell r="DG610">
            <v>21.679348620667902</v>
          </cell>
          <cell r="DH610">
            <v>18.362277992096409</v>
          </cell>
          <cell r="DI610">
            <v>14.300000632844487</v>
          </cell>
          <cell r="DJ610">
            <v>22.424555351348332</v>
          </cell>
          <cell r="DU610">
            <v>7.3549352743089544</v>
          </cell>
          <cell r="DV610">
            <v>11.644336226312735</v>
          </cell>
          <cell r="DW610">
            <v>9.8476005987137558</v>
          </cell>
          <cell r="DX610">
            <v>7.1073990168282446</v>
          </cell>
          <cell r="DY610">
            <v>12.587802180599267</v>
          </cell>
        </row>
        <row r="611">
          <cell r="A611">
            <v>40318</v>
          </cell>
          <cell r="DF611">
            <v>13.018721276020546</v>
          </cell>
          <cell r="DG611">
            <v>21.679348620667902</v>
          </cell>
          <cell r="DH611">
            <v>18.362277992096409</v>
          </cell>
          <cell r="DI611">
            <v>14.300000632844487</v>
          </cell>
          <cell r="DJ611">
            <v>22.424555351348332</v>
          </cell>
          <cell r="DU611">
            <v>6.8417878374957546</v>
          </cell>
          <cell r="DV611">
            <v>11.644336226312735</v>
          </cell>
          <cell r="DW611">
            <v>9.8476005987137558</v>
          </cell>
          <cell r="DX611">
            <v>7.1073990168282446</v>
          </cell>
          <cell r="DY611">
            <v>12.587802180599267</v>
          </cell>
        </row>
        <row r="612">
          <cell r="A612">
            <v>40319</v>
          </cell>
          <cell r="DF612">
            <v>12.589473684210526</v>
          </cell>
          <cell r="DG612">
            <v>21.679348620667902</v>
          </cell>
          <cell r="DH612">
            <v>18.362277992096409</v>
          </cell>
          <cell r="DI612">
            <v>14.300000632844487</v>
          </cell>
          <cell r="DJ612">
            <v>22.424555351348332</v>
          </cell>
          <cell r="DU612">
            <v>6.6052317683093529</v>
          </cell>
          <cell r="DV612">
            <v>11.644336226312735</v>
          </cell>
          <cell r="DW612">
            <v>9.8476005987137558</v>
          </cell>
          <cell r="DX612">
            <v>7.1073990168282446</v>
          </cell>
          <cell r="DY612">
            <v>12.587802180599267</v>
          </cell>
        </row>
        <row r="613">
          <cell r="A613">
            <v>40322</v>
          </cell>
          <cell r="DF613">
            <v>12.24242845717988</v>
          </cell>
          <cell r="DG613">
            <v>21.679348620667902</v>
          </cell>
          <cell r="DH613">
            <v>18.362277992096409</v>
          </cell>
          <cell r="DI613">
            <v>14.300000632844487</v>
          </cell>
          <cell r="DJ613">
            <v>22.424555351348332</v>
          </cell>
          <cell r="DU613">
            <v>6.4013061543134899</v>
          </cell>
          <cell r="DV613">
            <v>11.644336226312735</v>
          </cell>
          <cell r="DW613">
            <v>9.8476005987137558</v>
          </cell>
          <cell r="DX613">
            <v>7.1073990168282446</v>
          </cell>
          <cell r="DY613">
            <v>12.587802180599267</v>
          </cell>
        </row>
        <row r="614">
          <cell r="A614">
            <v>40323</v>
          </cell>
          <cell r="DF614">
            <v>12.501130081019401</v>
          </cell>
          <cell r="DG614">
            <v>21.679348620667902</v>
          </cell>
          <cell r="DH614">
            <v>18.362277992096409</v>
          </cell>
          <cell r="DI614">
            <v>14.300000632844487</v>
          </cell>
          <cell r="DJ614">
            <v>22.424555351348332</v>
          </cell>
          <cell r="DU614">
            <v>6.588638372048778</v>
          </cell>
          <cell r="DV614">
            <v>11.644336226312735</v>
          </cell>
          <cell r="DW614">
            <v>9.8476005987137558</v>
          </cell>
          <cell r="DX614">
            <v>7.1073990168282446</v>
          </cell>
          <cell r="DY614">
            <v>12.587802180599267</v>
          </cell>
        </row>
        <row r="615">
          <cell r="A615">
            <v>40324</v>
          </cell>
          <cell r="DF615">
            <v>12.501130081019401</v>
          </cell>
          <cell r="DG615">
            <v>21.679348620667902</v>
          </cell>
          <cell r="DH615">
            <v>18.362277992096409</v>
          </cell>
          <cell r="DI615">
            <v>14.300000632844487</v>
          </cell>
          <cell r="DJ615">
            <v>22.424555351348332</v>
          </cell>
          <cell r="DU615">
            <v>6.588638372048778</v>
          </cell>
          <cell r="DV615">
            <v>11.644336226312735</v>
          </cell>
          <cell r="DW615">
            <v>9.8476005987137558</v>
          </cell>
          <cell r="DX615">
            <v>7.1073990168282446</v>
          </cell>
          <cell r="DY615">
            <v>12.587802180599267</v>
          </cell>
        </row>
        <row r="616">
          <cell r="A616">
            <v>40325</v>
          </cell>
          <cell r="DF616">
            <v>12.309190166557821</v>
          </cell>
          <cell r="DG616">
            <v>21.679348620667902</v>
          </cell>
          <cell r="DH616">
            <v>18.362277992096409</v>
          </cell>
          <cell r="DI616">
            <v>14.300000632844487</v>
          </cell>
          <cell r="DJ616">
            <v>22.424555351348332</v>
          </cell>
          <cell r="DU616">
            <v>6.4496499524387252</v>
          </cell>
          <cell r="DV616">
            <v>11.644336226312735</v>
          </cell>
          <cell r="DW616">
            <v>9.8476005987137558</v>
          </cell>
          <cell r="DX616">
            <v>7.1073990168282446</v>
          </cell>
          <cell r="DY616">
            <v>12.587802180599267</v>
          </cell>
        </row>
        <row r="617">
          <cell r="A617">
            <v>40326</v>
          </cell>
          <cell r="DF617">
            <v>12.526165722036128</v>
          </cell>
          <cell r="DG617">
            <v>21.679348620667902</v>
          </cell>
          <cell r="DH617">
            <v>18.362277992096409</v>
          </cell>
          <cell r="DI617">
            <v>14.300000632844487</v>
          </cell>
          <cell r="DJ617">
            <v>22.424555351348332</v>
          </cell>
          <cell r="DU617">
            <v>6.6067672963457413</v>
          </cell>
          <cell r="DV617">
            <v>11.644336226312735</v>
          </cell>
          <cell r="DW617">
            <v>9.8476005987137558</v>
          </cell>
          <cell r="DX617">
            <v>7.1073990168282446</v>
          </cell>
          <cell r="DY617">
            <v>12.587802180599267</v>
          </cell>
        </row>
        <row r="618">
          <cell r="A618">
            <v>40329</v>
          </cell>
          <cell r="DF618">
            <v>13.101985465420867</v>
          </cell>
          <cell r="DG618">
            <v>21.679348620667902</v>
          </cell>
          <cell r="DH618">
            <v>18.362277992096409</v>
          </cell>
          <cell r="DI618">
            <v>14.300000632844487</v>
          </cell>
          <cell r="DJ618">
            <v>22.424555351348332</v>
          </cell>
          <cell r="DU618">
            <v>7.0237325551758998</v>
          </cell>
          <cell r="DV618">
            <v>11.644336226312735</v>
          </cell>
          <cell r="DW618">
            <v>9.8476005987137558</v>
          </cell>
          <cell r="DX618">
            <v>7.1073990168282446</v>
          </cell>
          <cell r="DY618">
            <v>12.587802180599267</v>
          </cell>
        </row>
        <row r="619">
          <cell r="A619">
            <v>40330</v>
          </cell>
          <cell r="DF619">
            <v>12.59197324414845</v>
          </cell>
          <cell r="DG619">
            <v>21.679348620667902</v>
          </cell>
          <cell r="DH619">
            <v>18.362277992096409</v>
          </cell>
          <cell r="DI619">
            <v>14.300000632844487</v>
          </cell>
          <cell r="DJ619">
            <v>22.424555351348332</v>
          </cell>
          <cell r="DU619">
            <v>6.6040584552618506</v>
          </cell>
          <cell r="DV619">
            <v>11.644336226312735</v>
          </cell>
          <cell r="DW619">
            <v>9.8476005987137558</v>
          </cell>
          <cell r="DX619">
            <v>7.1073990168282446</v>
          </cell>
          <cell r="DY619">
            <v>12.587802180599267</v>
          </cell>
        </row>
        <row r="620">
          <cell r="A620">
            <v>40331</v>
          </cell>
          <cell r="DF620">
            <v>12.491638795987905</v>
          </cell>
          <cell r="DG620">
            <v>21.679348620667902</v>
          </cell>
          <cell r="DH620">
            <v>18.362277992096409</v>
          </cell>
          <cell r="DI620">
            <v>14.300000632844487</v>
          </cell>
          <cell r="DJ620">
            <v>22.424555351348332</v>
          </cell>
          <cell r="DU620">
            <v>6.5319024827319279</v>
          </cell>
          <cell r="DV620">
            <v>11.644336226312735</v>
          </cell>
          <cell r="DW620">
            <v>9.8476005987137558</v>
          </cell>
          <cell r="DX620">
            <v>7.1073990168282446</v>
          </cell>
          <cell r="DY620">
            <v>12.587802180599267</v>
          </cell>
        </row>
        <row r="621">
          <cell r="A621">
            <v>40332</v>
          </cell>
          <cell r="DF621">
            <v>13.051839464884283</v>
          </cell>
          <cell r="DG621">
            <v>21.679348620667902</v>
          </cell>
          <cell r="DH621">
            <v>18.362277992096409</v>
          </cell>
          <cell r="DI621">
            <v>14.300000632844487</v>
          </cell>
          <cell r="DJ621">
            <v>22.424555351348332</v>
          </cell>
          <cell r="DU621">
            <v>6.9347733293573208</v>
          </cell>
          <cell r="DV621">
            <v>11.644336226312735</v>
          </cell>
          <cell r="DW621">
            <v>9.8476005987137558</v>
          </cell>
          <cell r="DX621">
            <v>7.1073990168282446</v>
          </cell>
          <cell r="DY621">
            <v>12.587802180599267</v>
          </cell>
        </row>
        <row r="622">
          <cell r="A622">
            <v>40333</v>
          </cell>
          <cell r="DF622">
            <v>13.093645484951178</v>
          </cell>
          <cell r="DG622">
            <v>21.679348620667902</v>
          </cell>
          <cell r="DH622">
            <v>18.362277992096409</v>
          </cell>
          <cell r="DI622">
            <v>14.300000632844487</v>
          </cell>
          <cell r="DJ622">
            <v>22.424555351348332</v>
          </cell>
          <cell r="DU622">
            <v>6.9648383179114548</v>
          </cell>
          <cell r="DV622">
            <v>11.644336226312735</v>
          </cell>
          <cell r="DW622">
            <v>9.8476005987137558</v>
          </cell>
          <cell r="DX622">
            <v>7.1073990168282446</v>
          </cell>
          <cell r="DY622">
            <v>12.587802180599267</v>
          </cell>
        </row>
        <row r="623">
          <cell r="A623">
            <v>40336</v>
          </cell>
          <cell r="DF623">
            <v>13.143812709031451</v>
          </cell>
          <cell r="DG623">
            <v>21.679348620667902</v>
          </cell>
          <cell r="DH623">
            <v>18.362277992096409</v>
          </cell>
          <cell r="DI623">
            <v>14.300000632844487</v>
          </cell>
          <cell r="DJ623">
            <v>22.424555351348332</v>
          </cell>
          <cell r="DU623">
            <v>7.0009163041764166</v>
          </cell>
          <cell r="DV623">
            <v>11.644336226312735</v>
          </cell>
          <cell r="DW623">
            <v>9.8476005987137558</v>
          </cell>
          <cell r="DX623">
            <v>7.1073990168282446</v>
          </cell>
          <cell r="DY623">
            <v>12.587802180599267</v>
          </cell>
        </row>
        <row r="624">
          <cell r="A624">
            <v>40337</v>
          </cell>
          <cell r="DF624">
            <v>12.94314381271036</v>
          </cell>
          <cell r="DG624">
            <v>21.679348620667902</v>
          </cell>
          <cell r="DH624">
            <v>18.362277992096409</v>
          </cell>
          <cell r="DI624">
            <v>14.300000632844487</v>
          </cell>
          <cell r="DJ624">
            <v>22.424555351348332</v>
          </cell>
          <cell r="DU624">
            <v>6.8566043591165737</v>
          </cell>
          <cell r="DV624">
            <v>11.644336226312735</v>
          </cell>
          <cell r="DW624">
            <v>9.8476005987137558</v>
          </cell>
          <cell r="DX624">
            <v>7.1073990168282446</v>
          </cell>
          <cell r="DY624">
            <v>12.587802180599267</v>
          </cell>
        </row>
        <row r="625">
          <cell r="A625">
            <v>40338</v>
          </cell>
          <cell r="DF625">
            <v>12.877763056970853</v>
          </cell>
          <cell r="DG625">
            <v>21.679348620667902</v>
          </cell>
          <cell r="DH625">
            <v>18.362277992096409</v>
          </cell>
          <cell r="DI625">
            <v>14.300000632844487</v>
          </cell>
          <cell r="DJ625">
            <v>22.424555351348332</v>
          </cell>
          <cell r="DU625">
            <v>6.8024873797191345</v>
          </cell>
          <cell r="DV625">
            <v>11.644336226312735</v>
          </cell>
          <cell r="DW625">
            <v>9.8476005987137558</v>
          </cell>
          <cell r="DX625">
            <v>7.1073990168282446</v>
          </cell>
          <cell r="DY625">
            <v>12.587802180599267</v>
          </cell>
        </row>
        <row r="626">
          <cell r="A626">
            <v>40339</v>
          </cell>
          <cell r="DF626">
            <v>12.663737183512495</v>
          </cell>
          <cell r="DG626">
            <v>21.679348620667902</v>
          </cell>
          <cell r="DH626">
            <v>18.362277992096409</v>
          </cell>
          <cell r="DI626">
            <v>14.300000632844487</v>
          </cell>
          <cell r="DJ626">
            <v>22.424555351348332</v>
          </cell>
          <cell r="DU626">
            <v>6.6461494392376395</v>
          </cell>
          <cell r="DV626">
            <v>11.644336226312735</v>
          </cell>
          <cell r="DW626">
            <v>9.8476005987137558</v>
          </cell>
          <cell r="DX626">
            <v>7.1073990168282446</v>
          </cell>
          <cell r="DY626">
            <v>12.587802180599267</v>
          </cell>
        </row>
        <row r="627">
          <cell r="A627">
            <v>40340</v>
          </cell>
          <cell r="DF627">
            <v>12.328939108601391</v>
          </cell>
          <cell r="DG627">
            <v>21.679348620667902</v>
          </cell>
          <cell r="DH627">
            <v>18.362277992096409</v>
          </cell>
          <cell r="DI627">
            <v>14.300000632844487</v>
          </cell>
          <cell r="DJ627">
            <v>22.424555351348332</v>
          </cell>
          <cell r="DU627">
            <v>6.4056295308045668</v>
          </cell>
          <cell r="DV627">
            <v>11.644336226312735</v>
          </cell>
          <cell r="DW627">
            <v>9.8476005987137558</v>
          </cell>
          <cell r="DX627">
            <v>7.1073990168282446</v>
          </cell>
          <cell r="DY627">
            <v>12.587802180599267</v>
          </cell>
        </row>
        <row r="628">
          <cell r="A628">
            <v>40343</v>
          </cell>
          <cell r="DF628">
            <v>12.128060263654728</v>
          </cell>
          <cell r="DG628">
            <v>21.679348620667902</v>
          </cell>
          <cell r="DH628">
            <v>18.362277992096409</v>
          </cell>
          <cell r="DI628">
            <v>14.300000632844487</v>
          </cell>
          <cell r="DJ628">
            <v>22.424555351348332</v>
          </cell>
          <cell r="DU628">
            <v>6.2613175857447256</v>
          </cell>
          <cell r="DV628">
            <v>11.644336226312735</v>
          </cell>
          <cell r="DW628">
            <v>9.8476005987137558</v>
          </cell>
          <cell r="DX628">
            <v>7.1073990168282446</v>
          </cell>
          <cell r="DY628">
            <v>12.587802180599267</v>
          </cell>
        </row>
        <row r="629">
          <cell r="A629">
            <v>40344</v>
          </cell>
          <cell r="DF629">
            <v>12.50470809792972</v>
          </cell>
          <cell r="DG629">
            <v>21.679348620667902</v>
          </cell>
          <cell r="DH629">
            <v>18.362277992096409</v>
          </cell>
          <cell r="DI629">
            <v>14.300000632844487</v>
          </cell>
          <cell r="DJ629">
            <v>22.424555351348332</v>
          </cell>
          <cell r="DU629">
            <v>6.5319024827319279</v>
          </cell>
          <cell r="DV629">
            <v>11.644336226312735</v>
          </cell>
          <cell r="DW629">
            <v>9.8476005987137558</v>
          </cell>
          <cell r="DX629">
            <v>7.1073990168282446</v>
          </cell>
          <cell r="DY629">
            <v>12.587802180599267</v>
          </cell>
        </row>
        <row r="630">
          <cell r="A630">
            <v>40345</v>
          </cell>
          <cell r="DF630">
            <v>13.624472284944613</v>
          </cell>
          <cell r="DG630">
            <v>21.679348620667902</v>
          </cell>
          <cell r="DH630">
            <v>18.362277992096409</v>
          </cell>
          <cell r="DI630">
            <v>14.300000632844487</v>
          </cell>
          <cell r="DJ630">
            <v>22.424555351348332</v>
          </cell>
          <cell r="DU630">
            <v>6.6220974483943316</v>
          </cell>
          <cell r="DV630">
            <v>11.644336226312735</v>
          </cell>
          <cell r="DW630">
            <v>9.8476005987137558</v>
          </cell>
          <cell r="DX630">
            <v>7.1073990168282446</v>
          </cell>
          <cell r="DY630">
            <v>12.587802180599267</v>
          </cell>
        </row>
        <row r="631">
          <cell r="A631">
            <v>40346</v>
          </cell>
          <cell r="DF631">
            <v>13.579328241588268</v>
          </cell>
          <cell r="DG631">
            <v>21.679348620667902</v>
          </cell>
          <cell r="DH631">
            <v>18.362277992096409</v>
          </cell>
          <cell r="DI631">
            <v>14.300000632844487</v>
          </cell>
          <cell r="DJ631">
            <v>22.424555351348332</v>
          </cell>
          <cell r="DU631">
            <v>6.5920324598401958</v>
          </cell>
          <cell r="DV631">
            <v>11.644336226312735</v>
          </cell>
          <cell r="DW631">
            <v>9.8476005987137558</v>
          </cell>
          <cell r="DX631">
            <v>7.1073990168282446</v>
          </cell>
          <cell r="DY631">
            <v>12.587802180599267</v>
          </cell>
        </row>
        <row r="632">
          <cell r="A632">
            <v>40347</v>
          </cell>
          <cell r="DF632">
            <v>13.209147086066249</v>
          </cell>
          <cell r="DG632">
            <v>21.679348620667902</v>
          </cell>
          <cell r="DH632">
            <v>18.362277992096409</v>
          </cell>
          <cell r="DI632">
            <v>14.300000632844487</v>
          </cell>
          <cell r="DJ632">
            <v>22.424555351348332</v>
          </cell>
          <cell r="DU632">
            <v>6.3454995536963006</v>
          </cell>
          <cell r="DV632">
            <v>11.644336226312735</v>
          </cell>
          <cell r="DW632">
            <v>9.8476005987137558</v>
          </cell>
          <cell r="DX632">
            <v>7.1073990168282446</v>
          </cell>
          <cell r="DY632">
            <v>12.587802180599267</v>
          </cell>
        </row>
        <row r="633">
          <cell r="A633">
            <v>40350</v>
          </cell>
          <cell r="DF633">
            <v>13.091772573339755</v>
          </cell>
          <cell r="DG633">
            <v>21.679348620667902</v>
          </cell>
          <cell r="DH633">
            <v>18.362277992096409</v>
          </cell>
          <cell r="DI633">
            <v>14.300000632844487</v>
          </cell>
          <cell r="DJ633">
            <v>22.424555351348332</v>
          </cell>
          <cell r="DU633">
            <v>6.2673305834555517</v>
          </cell>
          <cell r="DV633">
            <v>11.644336226312735</v>
          </cell>
          <cell r="DW633">
            <v>9.8476005987137558</v>
          </cell>
          <cell r="DX633">
            <v>7.1073990168282446</v>
          </cell>
          <cell r="DY633">
            <v>12.587802180599267</v>
          </cell>
        </row>
        <row r="634">
          <cell r="A634">
            <v>40351</v>
          </cell>
          <cell r="DF634">
            <v>13.100801382011023</v>
          </cell>
          <cell r="DG634">
            <v>21.679348620667902</v>
          </cell>
          <cell r="DH634">
            <v>18.362277992096409</v>
          </cell>
          <cell r="DI634">
            <v>14.300000632844487</v>
          </cell>
          <cell r="DJ634">
            <v>22.424555351348332</v>
          </cell>
          <cell r="DU634">
            <v>6.2733435811663787</v>
          </cell>
          <cell r="DV634">
            <v>11.644336226312735</v>
          </cell>
          <cell r="DW634">
            <v>9.8476005987137558</v>
          </cell>
          <cell r="DX634">
            <v>7.1073990168282446</v>
          </cell>
          <cell r="DY634">
            <v>12.587802180599267</v>
          </cell>
        </row>
        <row r="635">
          <cell r="A635">
            <v>40352</v>
          </cell>
          <cell r="DF635">
            <v>13.136026307604876</v>
          </cell>
          <cell r="DG635">
            <v>21.679348620667902</v>
          </cell>
          <cell r="DH635">
            <v>18.362277992096409</v>
          </cell>
          <cell r="DI635">
            <v>14.300000632844487</v>
          </cell>
          <cell r="DJ635">
            <v>22.424555351348332</v>
          </cell>
          <cell r="DU635">
            <v>6.419866587055977</v>
          </cell>
          <cell r="DV635">
            <v>11.644336226312735</v>
          </cell>
          <cell r="DW635">
            <v>9.8476005987137558</v>
          </cell>
          <cell r="DX635">
            <v>7.1073990168282446</v>
          </cell>
          <cell r="DY635">
            <v>12.587802180599267</v>
          </cell>
        </row>
        <row r="636">
          <cell r="A636">
            <v>40353</v>
          </cell>
          <cell r="DF636">
            <v>13.224903346221959</v>
          </cell>
          <cell r="DG636">
            <v>21.679348620667902</v>
          </cell>
          <cell r="DH636">
            <v>18.362277992096409</v>
          </cell>
          <cell r="DI636">
            <v>14.300000632844487</v>
          </cell>
          <cell r="DJ636">
            <v>22.424555351348332</v>
          </cell>
          <cell r="DU636">
            <v>6.4798486806368079</v>
          </cell>
          <cell r="DV636">
            <v>11.644336226312735</v>
          </cell>
          <cell r="DW636">
            <v>9.8476005987137558</v>
          </cell>
          <cell r="DX636">
            <v>7.1073990168282446</v>
          </cell>
          <cell r="DY636">
            <v>12.587802180599267</v>
          </cell>
        </row>
        <row r="637">
          <cell r="A637">
            <v>40354</v>
          </cell>
          <cell r="DF637">
            <v>13.660400835445666</v>
          </cell>
          <cell r="DG637">
            <v>21.679348620667902</v>
          </cell>
          <cell r="DH637">
            <v>18.362277992096409</v>
          </cell>
          <cell r="DI637">
            <v>14.300000632844487</v>
          </cell>
          <cell r="DJ637">
            <v>22.424555351348332</v>
          </cell>
          <cell r="DU637">
            <v>6.7737609391828721</v>
          </cell>
          <cell r="DV637">
            <v>11.644336226312735</v>
          </cell>
          <cell r="DW637">
            <v>9.8476005987137558</v>
          </cell>
          <cell r="DX637">
            <v>7.1073990168282446</v>
          </cell>
          <cell r="DY637">
            <v>12.587802180599267</v>
          </cell>
        </row>
        <row r="638">
          <cell r="A638">
            <v>40357</v>
          </cell>
          <cell r="DF638">
            <v>13.473759054349792</v>
          </cell>
          <cell r="DG638">
            <v>21.679348620667902</v>
          </cell>
          <cell r="DH638">
            <v>18.362277992096409</v>
          </cell>
          <cell r="DI638">
            <v>14.300000632844487</v>
          </cell>
          <cell r="DJ638">
            <v>22.424555351348332</v>
          </cell>
          <cell r="DU638">
            <v>6.6477985426631303</v>
          </cell>
          <cell r="DV638">
            <v>11.644336226312735</v>
          </cell>
          <cell r="DW638">
            <v>9.8476005987137558</v>
          </cell>
          <cell r="DX638">
            <v>7.1073990168282446</v>
          </cell>
          <cell r="DY638">
            <v>12.587802180599267</v>
          </cell>
        </row>
        <row r="639">
          <cell r="A639">
            <v>40358</v>
          </cell>
          <cell r="DF639">
            <v>13.810782999905802</v>
          </cell>
          <cell r="DG639">
            <v>21.679348620667902</v>
          </cell>
          <cell r="DH639">
            <v>18.362277992096409</v>
          </cell>
          <cell r="DI639">
            <v>14.300000632844487</v>
          </cell>
          <cell r="DJ639">
            <v>22.424555351348332</v>
          </cell>
          <cell r="DU639">
            <v>6.7837182578537396</v>
          </cell>
          <cell r="DV639">
            <v>11.644336226312735</v>
          </cell>
          <cell r="DW639">
            <v>9.8476005987137558</v>
          </cell>
          <cell r="DX639">
            <v>7.1073990168282446</v>
          </cell>
          <cell r="DY639">
            <v>12.587802180599267</v>
          </cell>
        </row>
        <row r="640">
          <cell r="A640">
            <v>40359</v>
          </cell>
          <cell r="DF640">
            <v>13.832603229113772</v>
          </cell>
          <cell r="DG640">
            <v>21.679348620667902</v>
          </cell>
          <cell r="DH640">
            <v>18.362277992096409</v>
          </cell>
          <cell r="DI640">
            <v>14.300000632844487</v>
          </cell>
          <cell r="DJ640">
            <v>22.424555351348332</v>
          </cell>
          <cell r="DU640">
            <v>6.3937120130344622</v>
          </cell>
          <cell r="DV640">
            <v>11.644336226312735</v>
          </cell>
          <cell r="DW640">
            <v>9.8476005987137558</v>
          </cell>
          <cell r="DX640">
            <v>7.1073990168282446</v>
          </cell>
          <cell r="DY640">
            <v>12.587802180599267</v>
          </cell>
        </row>
        <row r="641">
          <cell r="A641">
            <v>40360</v>
          </cell>
          <cell r="DF641">
            <v>14.074132038760503</v>
          </cell>
          <cell r="DG641">
            <v>21.679348620667902</v>
          </cell>
          <cell r="DH641">
            <v>18.362277992096409</v>
          </cell>
          <cell r="DI641">
            <v>14.300000632844487</v>
          </cell>
          <cell r="DJ641">
            <v>22.424555351348332</v>
          </cell>
          <cell r="DU641">
            <v>6.5199578366365758</v>
          </cell>
          <cell r="DV641">
            <v>11.644336226312735</v>
          </cell>
          <cell r="DW641">
            <v>9.8476005987137558</v>
          </cell>
          <cell r="DX641">
            <v>7.1073990168282446</v>
          </cell>
          <cell r="DY641">
            <v>12.587802180599267</v>
          </cell>
        </row>
        <row r="642">
          <cell r="A642">
            <v>40361</v>
          </cell>
          <cell r="DF642">
            <v>14.408012354303452</v>
          </cell>
          <cell r="DG642">
            <v>21.679348620667902</v>
          </cell>
          <cell r="DH642">
            <v>18.362277992096409</v>
          </cell>
          <cell r="DI642">
            <v>14.300000632844487</v>
          </cell>
          <cell r="DJ642">
            <v>22.424555351348332</v>
          </cell>
          <cell r="DU642">
            <v>6.2073176087311328</v>
          </cell>
          <cell r="DV642">
            <v>11.644336226312735</v>
          </cell>
          <cell r="DW642">
            <v>9.8476005987137558</v>
          </cell>
          <cell r="DX642">
            <v>7.1073990168282446</v>
          </cell>
          <cell r="DY642">
            <v>12.587802180599267</v>
          </cell>
        </row>
        <row r="643">
          <cell r="A643">
            <v>40364</v>
          </cell>
          <cell r="DF643">
            <v>15.293307242221495</v>
          </cell>
          <cell r="DG643">
            <v>21.679348620667902</v>
          </cell>
          <cell r="DH643">
            <v>18.362277992096409</v>
          </cell>
          <cell r="DI643">
            <v>14.300000632844487</v>
          </cell>
          <cell r="DJ643">
            <v>22.424555351348332</v>
          </cell>
          <cell r="DU643">
            <v>6.6770524142019179</v>
          </cell>
          <cell r="DV643">
            <v>11.644336226312735</v>
          </cell>
          <cell r="DW643">
            <v>9.8476005987137558</v>
          </cell>
          <cell r="DX643">
            <v>7.1073990168282446</v>
          </cell>
          <cell r="DY643">
            <v>12.587802180599267</v>
          </cell>
        </row>
        <row r="644">
          <cell r="A644">
            <v>40365</v>
          </cell>
          <cell r="DF644">
            <v>15.60137716469697</v>
          </cell>
          <cell r="DG644">
            <v>21.679348620667902</v>
          </cell>
          <cell r="DH644">
            <v>18.362277992096409</v>
          </cell>
          <cell r="DI644">
            <v>14.300000632844487</v>
          </cell>
          <cell r="DJ644">
            <v>22.424555351348332</v>
          </cell>
          <cell r="DU644">
            <v>6.9421330300610986</v>
          </cell>
          <cell r="DV644">
            <v>11.644336226312735</v>
          </cell>
          <cell r="DW644">
            <v>9.8476005987137558</v>
          </cell>
          <cell r="DX644">
            <v>7.1073990168282446</v>
          </cell>
          <cell r="DY644">
            <v>12.587802180599267</v>
          </cell>
        </row>
        <row r="645">
          <cell r="A645">
            <v>40366</v>
          </cell>
          <cell r="DF645">
            <v>15.932304799770625</v>
          </cell>
          <cell r="DG645">
            <v>21.679348620667902</v>
          </cell>
          <cell r="DH645">
            <v>18.362277992096409</v>
          </cell>
          <cell r="DI645">
            <v>14.300000632844487</v>
          </cell>
          <cell r="DJ645">
            <v>22.424555351348332</v>
          </cell>
          <cell r="DU645">
            <v>7.0768922766728677</v>
          </cell>
          <cell r="DV645">
            <v>11.644336226312735</v>
          </cell>
          <cell r="DW645">
            <v>9.8476005987137558</v>
          </cell>
          <cell r="DX645">
            <v>7.1073990168282446</v>
          </cell>
          <cell r="DY645">
            <v>12.587802180599267</v>
          </cell>
        </row>
        <row r="646">
          <cell r="A646">
            <v>40367</v>
          </cell>
          <cell r="DF646">
            <v>16.271224388103729</v>
          </cell>
          <cell r="DG646">
            <v>21.679348620667902</v>
          </cell>
          <cell r="DH646">
            <v>18.362277992096409</v>
          </cell>
          <cell r="DI646">
            <v>14.300000632844487</v>
          </cell>
          <cell r="DJ646">
            <v>22.424555351348332</v>
          </cell>
          <cell r="DU646">
            <v>7.2426074543152401</v>
          </cell>
          <cell r="DV646">
            <v>11.644336226312735</v>
          </cell>
          <cell r="DW646">
            <v>9.8476005987137558</v>
          </cell>
          <cell r="DX646">
            <v>7.1073990168282446</v>
          </cell>
          <cell r="DY646">
            <v>12.587802180599267</v>
          </cell>
        </row>
        <row r="647">
          <cell r="A647">
            <v>40368</v>
          </cell>
          <cell r="DF647">
            <v>16.320564016795966</v>
          </cell>
          <cell r="DG647">
            <v>21.679348620667902</v>
          </cell>
          <cell r="DH647">
            <v>18.362277992096409</v>
          </cell>
          <cell r="DI647">
            <v>14.300000632844487</v>
          </cell>
          <cell r="DJ647">
            <v>22.424555351348332</v>
          </cell>
          <cell r="DU647">
            <v>7.2722829357594962</v>
          </cell>
          <cell r="DV647">
            <v>11.644336226312735</v>
          </cell>
          <cell r="DW647">
            <v>9.8476005987137558</v>
          </cell>
          <cell r="DX647">
            <v>7.1073990168282446</v>
          </cell>
          <cell r="DY647">
            <v>12.587802180599267</v>
          </cell>
        </row>
        <row r="648">
          <cell r="A648">
            <v>40371</v>
          </cell>
          <cell r="DF648">
            <v>15.955477603621063</v>
          </cell>
          <cell r="DG648">
            <v>21.679348620667902</v>
          </cell>
          <cell r="DH648">
            <v>18.362277992096409</v>
          </cell>
          <cell r="DI648">
            <v>14.300000632844487</v>
          </cell>
          <cell r="DJ648">
            <v>22.424555351348332</v>
          </cell>
          <cell r="DU648">
            <v>7.052700515565359</v>
          </cell>
          <cell r="DV648">
            <v>11.644336226312735</v>
          </cell>
          <cell r="DW648">
            <v>9.8476005987137558</v>
          </cell>
          <cell r="DX648">
            <v>7.1073990168282446</v>
          </cell>
          <cell r="DY648">
            <v>12.587802180599267</v>
          </cell>
        </row>
        <row r="649">
          <cell r="A649">
            <v>40372</v>
          </cell>
          <cell r="DF649">
            <v>15.758131916385919</v>
          </cell>
          <cell r="DG649">
            <v>21.679348620667902</v>
          </cell>
          <cell r="DH649">
            <v>18.362277992096409</v>
          </cell>
          <cell r="DI649">
            <v>14.300000632844487</v>
          </cell>
          <cell r="DJ649">
            <v>22.424555351348332</v>
          </cell>
          <cell r="DU649">
            <v>6.9340063049506035</v>
          </cell>
          <cell r="DV649">
            <v>11.644336226312735</v>
          </cell>
          <cell r="DW649">
            <v>9.8476005987137558</v>
          </cell>
          <cell r="DX649">
            <v>7.1073990168282446</v>
          </cell>
          <cell r="DY649">
            <v>12.587802180599267</v>
          </cell>
        </row>
        <row r="650">
          <cell r="A650">
            <v>40373</v>
          </cell>
          <cell r="DF650">
            <v>15.738397248989065</v>
          </cell>
          <cell r="DG650">
            <v>21.679348620667902</v>
          </cell>
          <cell r="DH650">
            <v>18.362277992096409</v>
          </cell>
          <cell r="DI650">
            <v>14.300000632844487</v>
          </cell>
          <cell r="DJ650">
            <v>22.424555351348332</v>
          </cell>
          <cell r="DU650">
            <v>6.9221368245417239</v>
          </cell>
          <cell r="DV650">
            <v>11.644336226312735</v>
          </cell>
          <cell r="DW650">
            <v>9.8476005987137558</v>
          </cell>
          <cell r="DX650">
            <v>7.1073990168282446</v>
          </cell>
          <cell r="DY650">
            <v>12.587802180599267</v>
          </cell>
        </row>
        <row r="651">
          <cell r="A651">
            <v>40374</v>
          </cell>
          <cell r="DF651">
            <v>15.363438568448888</v>
          </cell>
          <cell r="DG651">
            <v>21.679348620667902</v>
          </cell>
          <cell r="DH651">
            <v>18.362277992096409</v>
          </cell>
          <cell r="DI651">
            <v>14.300000632844487</v>
          </cell>
          <cell r="DJ651">
            <v>22.424555351348332</v>
          </cell>
          <cell r="DU651">
            <v>6.6966166967730469</v>
          </cell>
          <cell r="DV651">
            <v>11.644336226312735</v>
          </cell>
          <cell r="DW651">
            <v>9.8476005987137558</v>
          </cell>
          <cell r="DX651">
            <v>7.1073990168282446</v>
          </cell>
          <cell r="DY651">
            <v>12.587802180599267</v>
          </cell>
        </row>
        <row r="652">
          <cell r="A652">
            <v>40375</v>
          </cell>
          <cell r="DF652">
            <v>15.432509904337868</v>
          </cell>
          <cell r="DG652">
            <v>21.679348620667902</v>
          </cell>
          <cell r="DH652">
            <v>18.362277992096409</v>
          </cell>
          <cell r="DI652">
            <v>14.300000632844487</v>
          </cell>
          <cell r="DJ652">
            <v>22.424555351348332</v>
          </cell>
          <cell r="DU652">
            <v>6.7381598782041197</v>
          </cell>
          <cell r="DV652">
            <v>11.644336226312735</v>
          </cell>
          <cell r="DW652">
            <v>9.8476005987137558</v>
          </cell>
          <cell r="DX652">
            <v>7.1073990168282446</v>
          </cell>
          <cell r="DY652">
            <v>12.587802180599267</v>
          </cell>
        </row>
        <row r="653">
          <cell r="A653">
            <v>40378</v>
          </cell>
          <cell r="DF653">
            <v>14.899673884622878</v>
          </cell>
          <cell r="DG653">
            <v>21.679348620667902</v>
          </cell>
          <cell r="DH653">
            <v>18.362277992096409</v>
          </cell>
          <cell r="DI653">
            <v>14.300000632844487</v>
          </cell>
          <cell r="DJ653">
            <v>22.424555351348332</v>
          </cell>
          <cell r="DU653">
            <v>6.4176839071644194</v>
          </cell>
          <cell r="DV653">
            <v>11.644336226312735</v>
          </cell>
          <cell r="DW653">
            <v>9.8476005987137558</v>
          </cell>
          <cell r="DX653">
            <v>7.1073990168282446</v>
          </cell>
          <cell r="DY653">
            <v>12.587802180599267</v>
          </cell>
        </row>
        <row r="654">
          <cell r="A654">
            <v>40379</v>
          </cell>
          <cell r="DF654">
            <v>15.541050575020551</v>
          </cell>
          <cell r="DG654">
            <v>21.679348620667902</v>
          </cell>
          <cell r="DH654">
            <v>18.362277992096409</v>
          </cell>
          <cell r="DI654">
            <v>14.300000632844487</v>
          </cell>
          <cell r="DJ654">
            <v>22.424555351348332</v>
          </cell>
          <cell r="DU654">
            <v>6.8034420204529464</v>
          </cell>
          <cell r="DV654">
            <v>11.644336226312735</v>
          </cell>
          <cell r="DW654">
            <v>9.8476005987137558</v>
          </cell>
          <cell r="DX654">
            <v>7.1073990168282446</v>
          </cell>
          <cell r="DY654">
            <v>12.587802180599267</v>
          </cell>
        </row>
        <row r="655">
          <cell r="A655">
            <v>40380</v>
          </cell>
          <cell r="DF655">
            <v>15.412775236941016</v>
          </cell>
          <cell r="DG655">
            <v>21.679348620667902</v>
          </cell>
          <cell r="DH655">
            <v>18.362277992096409</v>
          </cell>
          <cell r="DI655">
            <v>14.300000632844487</v>
          </cell>
          <cell r="DJ655">
            <v>22.424555351348332</v>
          </cell>
          <cell r="DU655">
            <v>6.7262903977952408</v>
          </cell>
          <cell r="DV655">
            <v>11.644336226312735</v>
          </cell>
          <cell r="DW655">
            <v>9.8476005987137558</v>
          </cell>
          <cell r="DX655">
            <v>7.1073990168282446</v>
          </cell>
          <cell r="DY655">
            <v>12.587802180599267</v>
          </cell>
        </row>
        <row r="656">
          <cell r="A656">
            <v>40381</v>
          </cell>
          <cell r="DF656">
            <v>15.446839105310454</v>
          </cell>
          <cell r="DG656">
            <v>21.679348620667902</v>
          </cell>
          <cell r="DH656">
            <v>18.362277992096409</v>
          </cell>
          <cell r="DI656">
            <v>14.300000632844487</v>
          </cell>
          <cell r="DJ656">
            <v>22.424555351348332</v>
          </cell>
          <cell r="DU656">
            <v>6.7322251379996798</v>
          </cell>
          <cell r="DV656">
            <v>11.644336226312735</v>
          </cell>
          <cell r="DW656">
            <v>9.8476005987137558</v>
          </cell>
          <cell r="DX656">
            <v>7.1073990168282446</v>
          </cell>
          <cell r="DY656">
            <v>12.587802180599267</v>
          </cell>
        </row>
        <row r="657">
          <cell r="A657">
            <v>40382</v>
          </cell>
          <cell r="DF657">
            <v>15.600342622524847</v>
          </cell>
          <cell r="DG657">
            <v>21.679348620667902</v>
          </cell>
          <cell r="DH657">
            <v>18.362277992096409</v>
          </cell>
          <cell r="DI657">
            <v>14.300000632844487</v>
          </cell>
          <cell r="DJ657">
            <v>22.424555351348332</v>
          </cell>
          <cell r="DU657">
            <v>6.9042117431089203</v>
          </cell>
          <cell r="DV657">
            <v>11.644336226312735</v>
          </cell>
          <cell r="DW657">
            <v>9.8476005987137558</v>
          </cell>
          <cell r="DX657">
            <v>7.1073990168282446</v>
          </cell>
          <cell r="DY657">
            <v>12.587802180599267</v>
          </cell>
        </row>
        <row r="658">
          <cell r="A658">
            <v>40385</v>
          </cell>
          <cell r="DF658">
            <v>15.697835988722902</v>
          </cell>
          <cell r="DG658">
            <v>21.679348620667902</v>
          </cell>
          <cell r="DH658">
            <v>18.362277992096409</v>
          </cell>
          <cell r="DI658">
            <v>14.300000632844487</v>
          </cell>
          <cell r="DJ658">
            <v>22.424555351348332</v>
          </cell>
          <cell r="DU658">
            <v>6.9631474910523563</v>
          </cell>
          <cell r="DV658">
            <v>11.644336226312735</v>
          </cell>
          <cell r="DW658">
            <v>9.8476005987137558</v>
          </cell>
          <cell r="DX658">
            <v>7.1073990168282446</v>
          </cell>
          <cell r="DY658">
            <v>12.587802180599267</v>
          </cell>
        </row>
        <row r="659">
          <cell r="A659">
            <v>40386</v>
          </cell>
          <cell r="DF659">
            <v>15.707581327754911</v>
          </cell>
          <cell r="DG659">
            <v>21.679348620667902</v>
          </cell>
          <cell r="DH659">
            <v>18.362277992096409</v>
          </cell>
          <cell r="DI659">
            <v>14.300000632844487</v>
          </cell>
          <cell r="DJ659">
            <v>22.424555351348332</v>
          </cell>
          <cell r="DU659">
            <v>6.9690386492635419</v>
          </cell>
          <cell r="DV659">
            <v>11.644336226312735</v>
          </cell>
          <cell r="DW659">
            <v>9.8476005987137558</v>
          </cell>
          <cell r="DX659">
            <v>7.1073990168282446</v>
          </cell>
          <cell r="DY659">
            <v>12.587802180599267</v>
          </cell>
        </row>
        <row r="660">
          <cell r="A660">
            <v>40387</v>
          </cell>
          <cell r="DF660">
            <v>15.707581327754911</v>
          </cell>
          <cell r="DG660">
            <v>21.679348620667902</v>
          </cell>
          <cell r="DH660">
            <v>18.362277992096409</v>
          </cell>
          <cell r="DI660">
            <v>14.300000632844487</v>
          </cell>
          <cell r="DJ660">
            <v>22.424555351348332</v>
          </cell>
          <cell r="DU660">
            <v>6.9690386492635419</v>
          </cell>
          <cell r="DV660">
            <v>11.644336226312735</v>
          </cell>
          <cell r="DW660">
            <v>9.8476005987137558</v>
          </cell>
          <cell r="DX660">
            <v>7.1073990168282446</v>
          </cell>
          <cell r="DY660">
            <v>12.587802180599267</v>
          </cell>
        </row>
        <row r="661">
          <cell r="A661">
            <v>40388</v>
          </cell>
          <cell r="DF661">
            <v>15.306025579172902</v>
          </cell>
          <cell r="DG661">
            <v>21.679348620667902</v>
          </cell>
          <cell r="DH661">
            <v>18.362277992096409</v>
          </cell>
          <cell r="DI661">
            <v>14.300000632844487</v>
          </cell>
          <cell r="DJ661">
            <v>22.424555351348332</v>
          </cell>
          <cell r="DU661">
            <v>6.7391767957220328</v>
          </cell>
          <cell r="DV661">
            <v>11.644336226312735</v>
          </cell>
          <cell r="DW661">
            <v>9.8476005987137558</v>
          </cell>
          <cell r="DX661">
            <v>7.1073990168282446</v>
          </cell>
          <cell r="DY661">
            <v>12.587802180599267</v>
          </cell>
        </row>
        <row r="662">
          <cell r="A662">
            <v>40389</v>
          </cell>
          <cell r="DF662">
            <v>15.461812099062701</v>
          </cell>
          <cell r="DG662">
            <v>21.679348620667902</v>
          </cell>
          <cell r="DH662">
            <v>18.362277992096409</v>
          </cell>
          <cell r="DI662">
            <v>14.300000632844487</v>
          </cell>
          <cell r="DJ662">
            <v>22.424555351348332</v>
          </cell>
          <cell r="DU662">
            <v>6.833482479943112</v>
          </cell>
          <cell r="DV662">
            <v>11.644336226312735</v>
          </cell>
          <cell r="DW662">
            <v>9.8476005987137558</v>
          </cell>
          <cell r="DX662">
            <v>7.1073990168282446</v>
          </cell>
          <cell r="DY662">
            <v>12.587802180599267</v>
          </cell>
        </row>
        <row r="663">
          <cell r="A663">
            <v>40392</v>
          </cell>
          <cell r="DF663">
            <v>15.666278985420817</v>
          </cell>
          <cell r="DG663">
            <v>21.679348620667902</v>
          </cell>
          <cell r="DH663">
            <v>18.362277992096409</v>
          </cell>
          <cell r="DI663">
            <v>14.300000632844487</v>
          </cell>
          <cell r="DJ663">
            <v>22.424555351348332</v>
          </cell>
          <cell r="DU663">
            <v>6.9572569222516965</v>
          </cell>
          <cell r="DV663">
            <v>11.644336226312735</v>
          </cell>
          <cell r="DW663">
            <v>9.8476005987137558</v>
          </cell>
          <cell r="DX663">
            <v>7.1073990168282446</v>
          </cell>
          <cell r="DY663">
            <v>12.587802180599267</v>
          </cell>
        </row>
        <row r="664">
          <cell r="A664">
            <v>40393</v>
          </cell>
          <cell r="DF664">
            <v>15.695487984234404</v>
          </cell>
          <cell r="DG664">
            <v>21.679348620667902</v>
          </cell>
          <cell r="DH664">
            <v>18.362277992096409</v>
          </cell>
          <cell r="DI664">
            <v>14.300000632844487</v>
          </cell>
          <cell r="DJ664">
            <v>22.424555351348332</v>
          </cell>
          <cell r="DU664">
            <v>6.9749386486326239</v>
          </cell>
          <cell r="DV664">
            <v>11.644336226312735</v>
          </cell>
          <cell r="DW664">
            <v>9.8476005987137558</v>
          </cell>
          <cell r="DX664">
            <v>7.1073990168282446</v>
          </cell>
          <cell r="DY664">
            <v>12.587802180599267</v>
          </cell>
        </row>
        <row r="665">
          <cell r="A665">
            <v>40394</v>
          </cell>
          <cell r="DF665">
            <v>15.987590630025029</v>
          </cell>
          <cell r="DG665">
            <v>21.679348620667902</v>
          </cell>
          <cell r="DH665">
            <v>18.362277992096409</v>
          </cell>
          <cell r="DI665">
            <v>14.300000632844487</v>
          </cell>
          <cell r="DJ665">
            <v>22.424555351348332</v>
          </cell>
          <cell r="DU665">
            <v>7.151763574778724</v>
          </cell>
          <cell r="DV665">
            <v>11.644336226312735</v>
          </cell>
          <cell r="DW665">
            <v>9.8476005987137558</v>
          </cell>
          <cell r="DX665">
            <v>7.1073990168282446</v>
          </cell>
          <cell r="DY665">
            <v>12.587802180599267</v>
          </cell>
        </row>
        <row r="666">
          <cell r="A666">
            <v>40395</v>
          </cell>
          <cell r="DF666">
            <v>15.987590630025029</v>
          </cell>
          <cell r="DG666">
            <v>21.679348620667902</v>
          </cell>
          <cell r="DH666">
            <v>18.362277992096409</v>
          </cell>
          <cell r="DI666">
            <v>14.300000632844487</v>
          </cell>
          <cell r="DJ666">
            <v>22.424555351348332</v>
          </cell>
          <cell r="DU666">
            <v>7.151763574778724</v>
          </cell>
          <cell r="DV666">
            <v>11.644336226312735</v>
          </cell>
          <cell r="DW666">
            <v>9.8476005987137558</v>
          </cell>
          <cell r="DX666">
            <v>7.1073990168282446</v>
          </cell>
          <cell r="DY666">
            <v>12.587802180599267</v>
          </cell>
        </row>
        <row r="667">
          <cell r="A667">
            <v>40396</v>
          </cell>
          <cell r="DF667">
            <v>16.062293132980589</v>
          </cell>
          <cell r="DG667">
            <v>21.679348620667902</v>
          </cell>
          <cell r="DH667">
            <v>18.362277992096409</v>
          </cell>
          <cell r="DI667">
            <v>14.300000632844487</v>
          </cell>
          <cell r="DJ667">
            <v>22.424555351348332</v>
          </cell>
          <cell r="DU667">
            <v>7.2165987326807155</v>
          </cell>
          <cell r="DV667">
            <v>11.644336226312735</v>
          </cell>
          <cell r="DW667">
            <v>9.8476005987137558</v>
          </cell>
          <cell r="DX667">
            <v>7.1073990168282446</v>
          </cell>
          <cell r="DY667">
            <v>12.587802180599267</v>
          </cell>
        </row>
        <row r="668">
          <cell r="A668">
            <v>40399</v>
          </cell>
          <cell r="DF668">
            <v>15.722190331383201</v>
          </cell>
          <cell r="DG668">
            <v>21.679348620667902</v>
          </cell>
          <cell r="DH668">
            <v>18.362277992096409</v>
          </cell>
          <cell r="DI668">
            <v>14.300000632844487</v>
          </cell>
          <cell r="DJ668">
            <v>22.424555351348332</v>
          </cell>
          <cell r="DU668">
            <v>7.0103015119839478</v>
          </cell>
          <cell r="DV668">
            <v>11.644336226312735</v>
          </cell>
          <cell r="DW668">
            <v>9.8476005987137558</v>
          </cell>
          <cell r="DX668">
            <v>7.1073990168282446</v>
          </cell>
          <cell r="DY668">
            <v>12.587802180599267</v>
          </cell>
        </row>
        <row r="669">
          <cell r="A669">
            <v>40400</v>
          </cell>
          <cell r="DF669">
            <v>15.98455473897193</v>
          </cell>
          <cell r="DG669">
            <v>21.679348620667902</v>
          </cell>
          <cell r="DH669">
            <v>18.362277992096409</v>
          </cell>
          <cell r="DI669">
            <v>14.300000632844487</v>
          </cell>
          <cell r="DJ669">
            <v>22.424555351348332</v>
          </cell>
          <cell r="DU669">
            <v>7.1694447117491231</v>
          </cell>
          <cell r="DV669">
            <v>11.644336226312735</v>
          </cell>
          <cell r="DW669">
            <v>9.8476005987137558</v>
          </cell>
          <cell r="DX669">
            <v>7.1073990168282446</v>
          </cell>
          <cell r="DY669">
            <v>12.587802180599267</v>
          </cell>
        </row>
        <row r="670">
          <cell r="A670">
            <v>40401</v>
          </cell>
          <cell r="DF670">
            <v>16.208043147616902</v>
          </cell>
          <cell r="DG670">
            <v>21.679348620667902</v>
          </cell>
          <cell r="DH670">
            <v>18.362277992096409</v>
          </cell>
          <cell r="DI670">
            <v>14.300000632844487</v>
          </cell>
          <cell r="DJ670">
            <v>22.424555351348332</v>
          </cell>
          <cell r="DU670">
            <v>7.3050067751748191</v>
          </cell>
          <cell r="DV670">
            <v>11.644336226312735</v>
          </cell>
          <cell r="DW670">
            <v>9.8476005987137558</v>
          </cell>
          <cell r="DX670">
            <v>7.1073990168282446</v>
          </cell>
          <cell r="DY670">
            <v>12.587802180599267</v>
          </cell>
        </row>
        <row r="671">
          <cell r="A671">
            <v>40402</v>
          </cell>
          <cell r="DF671">
            <v>15.761051754742468</v>
          </cell>
          <cell r="DG671">
            <v>21.679348620667902</v>
          </cell>
          <cell r="DH671">
            <v>18.362277992096409</v>
          </cell>
          <cell r="DI671">
            <v>14.300000632844487</v>
          </cell>
          <cell r="DJ671">
            <v>22.424555351348332</v>
          </cell>
          <cell r="DU671">
            <v>7.0338738071655325</v>
          </cell>
          <cell r="DV671">
            <v>11.644336226312735</v>
          </cell>
          <cell r="DW671">
            <v>9.8476005987137558</v>
          </cell>
          <cell r="DX671">
            <v>7.1073990168282446</v>
          </cell>
          <cell r="DY671">
            <v>12.587802180599267</v>
          </cell>
        </row>
        <row r="672">
          <cell r="A672">
            <v>40403</v>
          </cell>
          <cell r="DF672">
            <v>15.935966542231663</v>
          </cell>
          <cell r="DG672">
            <v>21.679348620667902</v>
          </cell>
          <cell r="DH672">
            <v>18.362277992096409</v>
          </cell>
          <cell r="DI672">
            <v>14.300000632844487</v>
          </cell>
          <cell r="DJ672">
            <v>22.424555351348332</v>
          </cell>
          <cell r="DU672">
            <v>7.1399724171984582</v>
          </cell>
          <cell r="DV672">
            <v>11.644336226312735</v>
          </cell>
          <cell r="DW672">
            <v>9.8476005987137558</v>
          </cell>
          <cell r="DX672">
            <v>7.1073990168282446</v>
          </cell>
          <cell r="DY672">
            <v>12.587802180599267</v>
          </cell>
        </row>
        <row r="673">
          <cell r="A673">
            <v>40406</v>
          </cell>
          <cell r="DF673">
            <v>15.654164135171055</v>
          </cell>
          <cell r="DG673">
            <v>21.679348620667902</v>
          </cell>
          <cell r="DH673">
            <v>18.362277992096409</v>
          </cell>
          <cell r="DI673">
            <v>14.300000632844487</v>
          </cell>
          <cell r="DJ673">
            <v>22.424555351348332</v>
          </cell>
          <cell r="DU673">
            <v>6.9690386492635419</v>
          </cell>
          <cell r="DV673">
            <v>11.644336226312735</v>
          </cell>
          <cell r="DW673">
            <v>9.8476005987137558</v>
          </cell>
          <cell r="DX673">
            <v>7.1073990168282446</v>
          </cell>
          <cell r="DY673">
            <v>12.587802180599267</v>
          </cell>
        </row>
        <row r="674">
          <cell r="A674">
            <v>40407</v>
          </cell>
          <cell r="DF674">
            <v>15.935966542231663</v>
          </cell>
          <cell r="DG674">
            <v>21.679348620667902</v>
          </cell>
          <cell r="DH674">
            <v>18.362277992096409</v>
          </cell>
          <cell r="DI674">
            <v>14.300000632844487</v>
          </cell>
          <cell r="DJ674">
            <v>22.424555351348332</v>
          </cell>
          <cell r="DU674">
            <v>7.1399724171984582</v>
          </cell>
          <cell r="DV674">
            <v>11.644336226312735</v>
          </cell>
          <cell r="DW674">
            <v>9.8476005987137558</v>
          </cell>
          <cell r="DX674">
            <v>7.1073990168282446</v>
          </cell>
          <cell r="DY674">
            <v>12.587802180599267</v>
          </cell>
        </row>
        <row r="675">
          <cell r="A675">
            <v>40408</v>
          </cell>
          <cell r="DF675">
            <v>15.877667119400517</v>
          </cell>
          <cell r="DG675">
            <v>21.679348620667902</v>
          </cell>
          <cell r="DH675">
            <v>18.362277992096409</v>
          </cell>
          <cell r="DI675">
            <v>14.300000632844487</v>
          </cell>
          <cell r="DJ675">
            <v>22.424555351348332</v>
          </cell>
          <cell r="DU675">
            <v>7.1046095538471317</v>
          </cell>
          <cell r="DV675">
            <v>11.644336226312735</v>
          </cell>
          <cell r="DW675">
            <v>9.8476005987137558</v>
          </cell>
          <cell r="DX675">
            <v>7.1073990168282446</v>
          </cell>
          <cell r="DY675">
            <v>12.587802180599267</v>
          </cell>
        </row>
        <row r="676">
          <cell r="A676">
            <v>40409</v>
          </cell>
          <cell r="DF676">
            <v>15.586152514543397</v>
          </cell>
          <cell r="DG676">
            <v>21.679348620667902</v>
          </cell>
          <cell r="DH676">
            <v>18.362277992096409</v>
          </cell>
          <cell r="DI676">
            <v>14.300000632844487</v>
          </cell>
          <cell r="DJ676">
            <v>22.424555351348332</v>
          </cell>
          <cell r="DU676">
            <v>6.9277846277010315</v>
          </cell>
          <cell r="DV676">
            <v>11.644336226312735</v>
          </cell>
          <cell r="DW676">
            <v>9.8476005987137558</v>
          </cell>
          <cell r="DX676">
            <v>7.1073990168282446</v>
          </cell>
          <cell r="DY676">
            <v>12.587802180599267</v>
          </cell>
        </row>
        <row r="677">
          <cell r="A677">
            <v>40410</v>
          </cell>
          <cell r="DF677">
            <v>15.469553668881103</v>
          </cell>
          <cell r="DG677">
            <v>21.679348620667902</v>
          </cell>
          <cell r="DH677">
            <v>18.362277992096409</v>
          </cell>
          <cell r="DI677">
            <v>14.300000632844487</v>
          </cell>
          <cell r="DJ677">
            <v>22.424555351348332</v>
          </cell>
          <cell r="DU677">
            <v>6.8570589009983802</v>
          </cell>
          <cell r="DV677">
            <v>11.644336226312735</v>
          </cell>
          <cell r="DW677">
            <v>9.8476005987137558</v>
          </cell>
          <cell r="DX677">
            <v>7.1073990168282446</v>
          </cell>
          <cell r="DY677">
            <v>12.587802180599267</v>
          </cell>
        </row>
        <row r="678">
          <cell r="A678">
            <v>40413</v>
          </cell>
          <cell r="DF678">
            <v>15.945678740028175</v>
          </cell>
          <cell r="DG678">
            <v>21.679348620667902</v>
          </cell>
          <cell r="DH678">
            <v>18.362277992096409</v>
          </cell>
          <cell r="DI678">
            <v>14.300000632844487</v>
          </cell>
          <cell r="DJ678">
            <v>22.424555351348332</v>
          </cell>
          <cell r="DU678">
            <v>7.1458635754096429</v>
          </cell>
          <cell r="DV678">
            <v>11.644336226312735</v>
          </cell>
          <cell r="DW678">
            <v>9.8476005987137558</v>
          </cell>
          <cell r="DX678">
            <v>7.1073990168282446</v>
          </cell>
          <cell r="DY678">
            <v>12.587802180599267</v>
          </cell>
        </row>
        <row r="679">
          <cell r="A679">
            <v>40414</v>
          </cell>
          <cell r="DF679">
            <v>15.834992375386175</v>
          </cell>
          <cell r="DG679">
            <v>21.679348620667902</v>
          </cell>
          <cell r="DH679">
            <v>18.362277992096409</v>
          </cell>
          <cell r="DI679">
            <v>14.300000632844487</v>
          </cell>
          <cell r="DJ679">
            <v>22.424555351348332</v>
          </cell>
          <cell r="DU679">
            <v>7.1441022001004644</v>
          </cell>
          <cell r="DV679">
            <v>11.644336226312735</v>
          </cell>
          <cell r="DW679">
            <v>9.8476005987137558</v>
          </cell>
          <cell r="DX679">
            <v>7.1073990168282446</v>
          </cell>
          <cell r="DY679">
            <v>12.587802180599267</v>
          </cell>
        </row>
        <row r="680">
          <cell r="A680">
            <v>40415</v>
          </cell>
          <cell r="DF680">
            <v>15.88636538269601</v>
          </cell>
          <cell r="DG680">
            <v>21.679348620667902</v>
          </cell>
          <cell r="DH680">
            <v>18.362277992096409</v>
          </cell>
          <cell r="DI680">
            <v>14.300000632844487</v>
          </cell>
          <cell r="DJ680">
            <v>22.424555351348332</v>
          </cell>
          <cell r="DU680">
            <v>6.9963327618392661</v>
          </cell>
          <cell r="DV680">
            <v>11.644336226312735</v>
          </cell>
          <cell r="DW680">
            <v>9.8476005987137558</v>
          </cell>
          <cell r="DX680">
            <v>7.1073990168282446</v>
          </cell>
          <cell r="DY680">
            <v>12.587802180599267</v>
          </cell>
        </row>
        <row r="681">
          <cell r="A681">
            <v>40416</v>
          </cell>
          <cell r="DF681">
            <v>16.328192834038038</v>
          </cell>
          <cell r="DG681">
            <v>21.679348620667902</v>
          </cell>
          <cell r="DH681">
            <v>18.362277992096409</v>
          </cell>
          <cell r="DI681">
            <v>14.300000632844487</v>
          </cell>
          <cell r="DJ681">
            <v>22.424555351348332</v>
          </cell>
          <cell r="DU681">
            <v>7.2606975051033587</v>
          </cell>
          <cell r="DV681">
            <v>11.644336226312735</v>
          </cell>
          <cell r="DW681">
            <v>9.8476005987137558</v>
          </cell>
          <cell r="DX681">
            <v>7.1073990168282446</v>
          </cell>
          <cell r="DY681">
            <v>12.587802180599267</v>
          </cell>
        </row>
        <row r="682">
          <cell r="A682">
            <v>40417</v>
          </cell>
          <cell r="DF682">
            <v>15.863529809939916</v>
          </cell>
          <cell r="DG682">
            <v>21.679348620667902</v>
          </cell>
          <cell r="DH682">
            <v>18.362277992096409</v>
          </cell>
          <cell r="DI682">
            <v>14.300000632844487</v>
          </cell>
          <cell r="DJ682">
            <v>22.424555351348332</v>
          </cell>
          <cell r="DU682">
            <v>6.9905886506560968</v>
          </cell>
          <cell r="DV682">
            <v>11.644336226312735</v>
          </cell>
          <cell r="DW682">
            <v>9.8476005987137558</v>
          </cell>
          <cell r="DX682">
            <v>7.1073990168282446</v>
          </cell>
          <cell r="DY682">
            <v>12.587802180599267</v>
          </cell>
        </row>
        <row r="683">
          <cell r="A683">
            <v>40420</v>
          </cell>
          <cell r="DF683">
            <v>15.815542869282119</v>
          </cell>
          <cell r="DG683">
            <v>21.679348620667902</v>
          </cell>
          <cell r="DH683">
            <v>18.362277992096409</v>
          </cell>
          <cell r="DI683">
            <v>14.300000632844487</v>
          </cell>
          <cell r="DJ683">
            <v>22.424555351348332</v>
          </cell>
          <cell r="DU683">
            <v>6.9618520031831617</v>
          </cell>
          <cell r="DV683">
            <v>11.644336226312735</v>
          </cell>
          <cell r="DW683">
            <v>9.8476005987137558</v>
          </cell>
          <cell r="DX683">
            <v>7.1073990168282446</v>
          </cell>
          <cell r="DY683">
            <v>12.587802180599267</v>
          </cell>
        </row>
        <row r="684">
          <cell r="A684">
            <v>40421</v>
          </cell>
          <cell r="DF684">
            <v>16.266594008135883</v>
          </cell>
          <cell r="DG684">
            <v>21.679348620667902</v>
          </cell>
          <cell r="DH684">
            <v>18.362277992096409</v>
          </cell>
          <cell r="DI684">
            <v>14.300000632844487</v>
          </cell>
          <cell r="DJ684">
            <v>22.424555351348332</v>
          </cell>
          <cell r="DU684">
            <v>7.2319608576304253</v>
          </cell>
          <cell r="DV684">
            <v>11.644336226312735</v>
          </cell>
          <cell r="DW684">
            <v>9.8476005987137558</v>
          </cell>
          <cell r="DX684">
            <v>7.1073990168282446</v>
          </cell>
          <cell r="DY684">
            <v>12.587802180599267</v>
          </cell>
        </row>
        <row r="685">
          <cell r="A685">
            <v>40422</v>
          </cell>
          <cell r="DF685">
            <v>16.23780549052989</v>
          </cell>
          <cell r="DG685">
            <v>21.679348620667902</v>
          </cell>
          <cell r="DH685">
            <v>18.362277992096409</v>
          </cell>
          <cell r="DI685">
            <v>14.300000632844487</v>
          </cell>
          <cell r="DJ685">
            <v>22.424555351348332</v>
          </cell>
          <cell r="DU685">
            <v>7.2097261793969762</v>
          </cell>
          <cell r="DV685">
            <v>11.644336226312735</v>
          </cell>
          <cell r="DW685">
            <v>9.8476005987137558</v>
          </cell>
          <cell r="DX685">
            <v>7.1073990168282446</v>
          </cell>
          <cell r="DY685">
            <v>12.587802180599267</v>
          </cell>
        </row>
        <row r="686">
          <cell r="A686">
            <v>40423</v>
          </cell>
          <cell r="DF686">
            <v>17.907641237888214</v>
          </cell>
          <cell r="DG686">
            <v>21.679348620667902</v>
          </cell>
          <cell r="DH686">
            <v>18.362277992096409</v>
          </cell>
          <cell r="DI686">
            <v>14.300000632844487</v>
          </cell>
          <cell r="DJ686">
            <v>22.424555351348332</v>
          </cell>
          <cell r="DU686">
            <v>8.2090034700659285</v>
          </cell>
          <cell r="DV686">
            <v>11.644336226312735</v>
          </cell>
          <cell r="DW686">
            <v>9.8476005987137558</v>
          </cell>
          <cell r="DX686">
            <v>7.1073990168282446</v>
          </cell>
          <cell r="DY686">
            <v>12.587802180599267</v>
          </cell>
        </row>
        <row r="687">
          <cell r="A687">
            <v>40424</v>
          </cell>
          <cell r="DF687">
            <v>19.136032255527915</v>
          </cell>
          <cell r="DG687">
            <v>21.679348620667902</v>
          </cell>
          <cell r="DH687">
            <v>18.362277992096409</v>
          </cell>
          <cell r="DI687">
            <v>14.300000632844487</v>
          </cell>
          <cell r="DJ687">
            <v>22.424555351348332</v>
          </cell>
          <cell r="DU687">
            <v>8.9441076561698534</v>
          </cell>
          <cell r="DV687">
            <v>11.644336226312735</v>
          </cell>
          <cell r="DW687">
            <v>9.8476005987137558</v>
          </cell>
          <cell r="DX687">
            <v>7.1073990168282446</v>
          </cell>
          <cell r="DY687">
            <v>12.587802180599267</v>
          </cell>
        </row>
        <row r="688">
          <cell r="A688">
            <v>40427</v>
          </cell>
          <cell r="DF688">
            <v>18.988580631510047</v>
          </cell>
          <cell r="DG688">
            <v>21.679348620667902</v>
          </cell>
          <cell r="DH688">
            <v>18.362277992096409</v>
          </cell>
          <cell r="DI688">
            <v>14.300000632844487</v>
          </cell>
          <cell r="DJ688">
            <v>22.424555351348332</v>
          </cell>
          <cell r="DU688">
            <v>8.8637055730006082</v>
          </cell>
          <cell r="DV688">
            <v>11.644336226312735</v>
          </cell>
          <cell r="DW688">
            <v>9.8476005987137558</v>
          </cell>
          <cell r="DX688">
            <v>7.1073990168282446</v>
          </cell>
          <cell r="DY688">
            <v>12.587802180599267</v>
          </cell>
        </row>
        <row r="689">
          <cell r="A689">
            <v>40428</v>
          </cell>
          <cell r="DF689">
            <v>18.547440152370921</v>
          </cell>
          <cell r="DG689">
            <v>21.679348620667902</v>
          </cell>
          <cell r="DH689">
            <v>18.362277992096409</v>
          </cell>
          <cell r="DI689">
            <v>14.300000632844487</v>
          </cell>
          <cell r="DJ689">
            <v>22.424555351348332</v>
          </cell>
          <cell r="DU689">
            <v>8.5995324684355818</v>
          </cell>
          <cell r="DV689">
            <v>11.644336226312735</v>
          </cell>
          <cell r="DW689">
            <v>9.8476005987137558</v>
          </cell>
          <cell r="DX689">
            <v>7.1073990168282446</v>
          </cell>
          <cell r="DY689">
            <v>12.587802180599267</v>
          </cell>
        </row>
        <row r="690">
          <cell r="A690">
            <v>40429</v>
          </cell>
          <cell r="DF690">
            <v>18.542640258246706</v>
          </cell>
          <cell r="DG690">
            <v>21.679348620667902</v>
          </cell>
          <cell r="DH690">
            <v>18.362277992096409</v>
          </cell>
          <cell r="DI690">
            <v>14.300000632844487</v>
          </cell>
          <cell r="DJ690">
            <v>22.424555351348332</v>
          </cell>
          <cell r="DU690">
            <v>8.5966580939622794</v>
          </cell>
          <cell r="DV690">
            <v>11.644336226312735</v>
          </cell>
          <cell r="DW690">
            <v>9.8476005987137558</v>
          </cell>
          <cell r="DX690">
            <v>7.1073990168282446</v>
          </cell>
          <cell r="DY690">
            <v>12.587802180599267</v>
          </cell>
        </row>
        <row r="691">
          <cell r="A691">
            <v>40430</v>
          </cell>
          <cell r="DF691">
            <v>18.294068383580715</v>
          </cell>
          <cell r="DG691">
            <v>21.679348620667902</v>
          </cell>
          <cell r="DH691">
            <v>18.362277992096409</v>
          </cell>
          <cell r="DI691">
            <v>14.300000632844487</v>
          </cell>
          <cell r="DJ691">
            <v>22.424555351348332</v>
          </cell>
          <cell r="DU691">
            <v>8.4444690108353768</v>
          </cell>
          <cell r="DV691">
            <v>11.644336226312735</v>
          </cell>
          <cell r="DW691">
            <v>9.8476005987137558</v>
          </cell>
          <cell r="DX691">
            <v>7.1073990168282446</v>
          </cell>
          <cell r="DY691">
            <v>12.587802180599267</v>
          </cell>
        </row>
        <row r="692">
          <cell r="A692">
            <v>40431</v>
          </cell>
          <cell r="DF692">
            <v>18.998180419758473</v>
          </cell>
          <cell r="DG692">
            <v>21.679348620667902</v>
          </cell>
          <cell r="DH692">
            <v>18.362277992096409</v>
          </cell>
          <cell r="DI692">
            <v>14.300000632844487</v>
          </cell>
          <cell r="DJ692">
            <v>22.424555351348332</v>
          </cell>
          <cell r="DU692">
            <v>8.8694543219472077</v>
          </cell>
          <cell r="DV692">
            <v>11.644336226312735</v>
          </cell>
          <cell r="DW692">
            <v>9.8476005987137558</v>
          </cell>
          <cell r="DX692">
            <v>7.1073990168282446</v>
          </cell>
          <cell r="DY692">
            <v>12.587802180599267</v>
          </cell>
        </row>
        <row r="693">
          <cell r="A693">
            <v>40434</v>
          </cell>
          <cell r="DF693">
            <v>18.978996187578499</v>
          </cell>
          <cell r="DG693">
            <v>21.679348620667902</v>
          </cell>
          <cell r="DH693">
            <v>18.362277992096409</v>
          </cell>
          <cell r="DI693">
            <v>14.300000632844487</v>
          </cell>
          <cell r="DJ693">
            <v>22.424555351348332</v>
          </cell>
          <cell r="DU693">
            <v>8.8579660128635123</v>
          </cell>
          <cell r="DV693">
            <v>11.644336226312735</v>
          </cell>
          <cell r="DW693">
            <v>9.8476005987137558</v>
          </cell>
          <cell r="DX693">
            <v>7.1073990168282446</v>
          </cell>
          <cell r="DY693">
            <v>12.587802180599267</v>
          </cell>
        </row>
        <row r="694">
          <cell r="A694">
            <v>40435</v>
          </cell>
          <cell r="DF694">
            <v>18.863918606072993</v>
          </cell>
          <cell r="DG694">
            <v>21.679348620667902</v>
          </cell>
          <cell r="DH694">
            <v>18.362277992096409</v>
          </cell>
          <cell r="DI694">
            <v>14.300000632844487</v>
          </cell>
          <cell r="DJ694">
            <v>22.424555351348332</v>
          </cell>
          <cell r="DU694">
            <v>8.7890528130785608</v>
          </cell>
          <cell r="DV694">
            <v>11.644336226312735</v>
          </cell>
          <cell r="DW694">
            <v>9.8476005987137558</v>
          </cell>
          <cell r="DX694">
            <v>7.1073990168282446</v>
          </cell>
          <cell r="DY694">
            <v>12.587802180599267</v>
          </cell>
        </row>
        <row r="695">
          <cell r="A695">
            <v>40436</v>
          </cell>
          <cell r="DF695">
            <v>19.122843404215335</v>
          </cell>
          <cell r="DG695">
            <v>21.679348620667902</v>
          </cell>
          <cell r="DH695">
            <v>18.362277992096409</v>
          </cell>
          <cell r="DI695">
            <v>14.300000632844487</v>
          </cell>
          <cell r="DJ695">
            <v>22.424555351348332</v>
          </cell>
          <cell r="DU695">
            <v>8.9441076561698534</v>
          </cell>
          <cell r="DV695">
            <v>11.644336226312735</v>
          </cell>
          <cell r="DW695">
            <v>9.8476005987137558</v>
          </cell>
          <cell r="DX695">
            <v>7.1073990168282446</v>
          </cell>
          <cell r="DY695">
            <v>12.587802180599267</v>
          </cell>
        </row>
        <row r="696">
          <cell r="A696">
            <v>40437</v>
          </cell>
          <cell r="DF696">
            <v>19.186946297768849</v>
          </cell>
          <cell r="DG696">
            <v>21.679348620667902</v>
          </cell>
          <cell r="DH696">
            <v>18.362277992096409</v>
          </cell>
          <cell r="DI696">
            <v>14.300000632844487</v>
          </cell>
          <cell r="DJ696">
            <v>22.424555351348332</v>
          </cell>
          <cell r="DU696">
            <v>8.8981624600433822</v>
          </cell>
          <cell r="DV696">
            <v>11.644336226312735</v>
          </cell>
          <cell r="DW696">
            <v>9.8476005987137558</v>
          </cell>
          <cell r="DX696">
            <v>7.1073990168282446</v>
          </cell>
          <cell r="DY696">
            <v>12.587802180599267</v>
          </cell>
        </row>
        <row r="697">
          <cell r="A697">
            <v>40438</v>
          </cell>
          <cell r="DF697">
            <v>19.505764782945846</v>
          </cell>
          <cell r="DG697">
            <v>21.679348620667902</v>
          </cell>
          <cell r="DH697">
            <v>18.362277992096409</v>
          </cell>
          <cell r="DI697">
            <v>14.300000632844487</v>
          </cell>
          <cell r="DJ697">
            <v>22.424555351348332</v>
          </cell>
          <cell r="DU697">
            <v>9.0876828046863594</v>
          </cell>
          <cell r="DV697">
            <v>11.644336226312735</v>
          </cell>
          <cell r="DW697">
            <v>9.8476005987137558</v>
          </cell>
          <cell r="DX697">
            <v>7.1073990168282446</v>
          </cell>
          <cell r="DY697">
            <v>12.587802180599267</v>
          </cell>
        </row>
        <row r="698">
          <cell r="A698">
            <v>40441</v>
          </cell>
          <cell r="DF698">
            <v>19.476782426060659</v>
          </cell>
          <cell r="DG698">
            <v>21.679348620667902</v>
          </cell>
          <cell r="DH698">
            <v>18.362277992096409</v>
          </cell>
          <cell r="DI698">
            <v>14.300000632844487</v>
          </cell>
          <cell r="DJ698">
            <v>22.424555351348332</v>
          </cell>
          <cell r="DU698">
            <v>9.0704543611649733</v>
          </cell>
          <cell r="DV698">
            <v>11.644336226312735</v>
          </cell>
          <cell r="DW698">
            <v>9.8476005987137558</v>
          </cell>
          <cell r="DX698">
            <v>7.1073990168282446</v>
          </cell>
          <cell r="DY698">
            <v>12.587802180599267</v>
          </cell>
        </row>
        <row r="699">
          <cell r="A699">
            <v>40442</v>
          </cell>
          <cell r="DF699">
            <v>19.186946297768849</v>
          </cell>
          <cell r="DG699">
            <v>21.679348620667902</v>
          </cell>
          <cell r="DH699">
            <v>18.362277992096409</v>
          </cell>
          <cell r="DI699">
            <v>14.300000632844487</v>
          </cell>
          <cell r="DJ699">
            <v>22.424555351348332</v>
          </cell>
          <cell r="DU699">
            <v>8.9017587115346828</v>
          </cell>
          <cell r="DV699">
            <v>11.644336226312735</v>
          </cell>
          <cell r="DW699">
            <v>9.8476005987137558</v>
          </cell>
          <cell r="DX699">
            <v>7.1073990168282446</v>
          </cell>
          <cell r="DY699">
            <v>12.587802180599267</v>
          </cell>
        </row>
        <row r="700">
          <cell r="A700">
            <v>40443</v>
          </cell>
          <cell r="DF700">
            <v>18.915808821069021</v>
          </cell>
          <cell r="DG700">
            <v>21.679348620667902</v>
          </cell>
          <cell r="DH700">
            <v>18.362277992096409</v>
          </cell>
          <cell r="DI700">
            <v>14.300000632844487</v>
          </cell>
          <cell r="DJ700">
            <v>22.424555351348332</v>
          </cell>
          <cell r="DU700">
            <v>8.7949205485130868</v>
          </cell>
          <cell r="DV700">
            <v>11.644336226312735</v>
          </cell>
          <cell r="DW700">
            <v>9.8476005987137558</v>
          </cell>
          <cell r="DX700">
            <v>7.1073990168282446</v>
          </cell>
          <cell r="DY700">
            <v>12.587802180599267</v>
          </cell>
        </row>
        <row r="701">
          <cell r="A701">
            <v>40444</v>
          </cell>
          <cell r="DF701">
            <v>18.848839935054759</v>
          </cell>
          <cell r="DG701">
            <v>21.679348620667902</v>
          </cell>
          <cell r="DH701">
            <v>18.362277992096409</v>
          </cell>
          <cell r="DI701">
            <v>14.300000632844487</v>
          </cell>
          <cell r="DJ701">
            <v>22.424555351348332</v>
          </cell>
          <cell r="DU701">
            <v>8.5997897500734979</v>
          </cell>
          <cell r="DV701">
            <v>11.644336226312735</v>
          </cell>
          <cell r="DW701">
            <v>9.8476005987137558</v>
          </cell>
          <cell r="DX701">
            <v>7.1073990168282446</v>
          </cell>
          <cell r="DY701">
            <v>12.587802180599267</v>
          </cell>
        </row>
        <row r="702">
          <cell r="A702">
            <v>40445</v>
          </cell>
          <cell r="DF702">
            <v>19.242680557434184</v>
          </cell>
          <cell r="DG702">
            <v>21.679348620667902</v>
          </cell>
          <cell r="DH702">
            <v>18.362277992096409</v>
          </cell>
          <cell r="DI702">
            <v>14.300000632844487</v>
          </cell>
          <cell r="DJ702">
            <v>22.424555351348332</v>
          </cell>
          <cell r="DU702">
            <v>9.0802156839307173</v>
          </cell>
          <cell r="DV702">
            <v>11.644336226312735</v>
          </cell>
          <cell r="DW702">
            <v>9.8476005987137558</v>
          </cell>
          <cell r="DX702">
            <v>7.1073990168282446</v>
          </cell>
          <cell r="DY702">
            <v>12.587802180599267</v>
          </cell>
        </row>
        <row r="703">
          <cell r="A703">
            <v>40448</v>
          </cell>
          <cell r="DF703">
            <v>19.344357507577296</v>
          </cell>
          <cell r="DG703">
            <v>21.679348620667902</v>
          </cell>
          <cell r="DH703">
            <v>18.362277992096409</v>
          </cell>
          <cell r="DI703">
            <v>14.300000632844487</v>
          </cell>
          <cell r="DJ703">
            <v>22.424555351348332</v>
          </cell>
          <cell r="DU703">
            <v>9.1539330979454991</v>
          </cell>
          <cell r="DV703">
            <v>11.644336226312735</v>
          </cell>
          <cell r="DW703">
            <v>9.8476005987137558</v>
          </cell>
          <cell r="DX703">
            <v>7.1073990168282446</v>
          </cell>
          <cell r="DY703">
            <v>12.587802180599267</v>
          </cell>
        </row>
        <row r="704">
          <cell r="A704">
            <v>40449</v>
          </cell>
          <cell r="DF704">
            <v>19.279187127346145</v>
          </cell>
          <cell r="DG704">
            <v>21.679348620667902</v>
          </cell>
          <cell r="DH704">
            <v>18.362277992096409</v>
          </cell>
          <cell r="DI704">
            <v>14.300000632844487</v>
          </cell>
          <cell r="DJ704">
            <v>22.424555351348332</v>
          </cell>
          <cell r="DU704">
            <v>9.1142366631704306</v>
          </cell>
          <cell r="DV704">
            <v>11.644336226312735</v>
          </cell>
          <cell r="DW704">
            <v>9.8476005987137558</v>
          </cell>
          <cell r="DX704">
            <v>7.1073990168282446</v>
          </cell>
          <cell r="DY704">
            <v>12.587802180599267</v>
          </cell>
        </row>
        <row r="705">
          <cell r="A705">
            <v>40450</v>
          </cell>
          <cell r="DF705">
            <v>19.288490665278495</v>
          </cell>
          <cell r="DG705">
            <v>21.679348620667902</v>
          </cell>
          <cell r="DH705">
            <v>18.362277992096409</v>
          </cell>
          <cell r="DI705">
            <v>14.300000632844487</v>
          </cell>
          <cell r="DJ705">
            <v>22.424555351348332</v>
          </cell>
          <cell r="DU705">
            <v>9.119903613177458</v>
          </cell>
          <cell r="DV705">
            <v>11.644336226312735</v>
          </cell>
          <cell r="DW705">
            <v>9.8476005987137558</v>
          </cell>
          <cell r="DX705">
            <v>7.1073990168282446</v>
          </cell>
          <cell r="DY705">
            <v>12.587802180599267</v>
          </cell>
        </row>
        <row r="706">
          <cell r="A706">
            <v>40451</v>
          </cell>
          <cell r="DF706">
            <v>19.46536680273703</v>
          </cell>
          <cell r="DG706">
            <v>21.679348620667902</v>
          </cell>
          <cell r="DH706">
            <v>18.362277992096409</v>
          </cell>
          <cell r="DI706">
            <v>14.300000632844487</v>
          </cell>
          <cell r="DJ706">
            <v>22.424555351348332</v>
          </cell>
          <cell r="DU706">
            <v>9.2276420064319531</v>
          </cell>
          <cell r="DV706">
            <v>11.644336226312735</v>
          </cell>
          <cell r="DW706">
            <v>9.8476005987137558</v>
          </cell>
          <cell r="DX706">
            <v>7.1073990168282446</v>
          </cell>
          <cell r="DY706">
            <v>12.587802180599267</v>
          </cell>
        </row>
        <row r="707">
          <cell r="A707">
            <v>40452</v>
          </cell>
          <cell r="DF707">
            <v>19.534547959734653</v>
          </cell>
          <cell r="DG707">
            <v>21.679348620667902</v>
          </cell>
          <cell r="DH707">
            <v>18.362277992096409</v>
          </cell>
          <cell r="DI707">
            <v>14.300000632844487</v>
          </cell>
          <cell r="DJ707">
            <v>22.424555351348332</v>
          </cell>
          <cell r="DU707">
            <v>9.2956919034044851</v>
          </cell>
          <cell r="DV707">
            <v>11.644336226312735</v>
          </cell>
          <cell r="DW707">
            <v>9.8476005987137558</v>
          </cell>
          <cell r="DX707">
            <v>7.1073990168282446</v>
          </cell>
          <cell r="DY707">
            <v>12.587802180599267</v>
          </cell>
        </row>
        <row r="708">
          <cell r="A708">
            <v>40455</v>
          </cell>
          <cell r="DF708">
            <v>19.488100691637747</v>
          </cell>
          <cell r="DG708">
            <v>21.679348620667902</v>
          </cell>
          <cell r="DH708">
            <v>18.362277992096409</v>
          </cell>
          <cell r="DI708">
            <v>14.300000632844487</v>
          </cell>
          <cell r="DJ708">
            <v>22.424555351348332</v>
          </cell>
          <cell r="DU708">
            <v>9.2673384412070217</v>
          </cell>
          <cell r="DV708">
            <v>11.644336226312735</v>
          </cell>
          <cell r="DW708">
            <v>9.8476005987137558</v>
          </cell>
          <cell r="DX708">
            <v>7.1073990168282446</v>
          </cell>
          <cell r="DY708">
            <v>12.587802180599267</v>
          </cell>
        </row>
        <row r="709">
          <cell r="A709">
            <v>40456</v>
          </cell>
          <cell r="DF709">
            <v>19.218715268238217</v>
          </cell>
          <cell r="DG709">
            <v>21.679348620667902</v>
          </cell>
          <cell r="DH709">
            <v>18.362277992096409</v>
          </cell>
          <cell r="DI709">
            <v>14.300000632844487</v>
          </cell>
          <cell r="DJ709">
            <v>22.424555351348332</v>
          </cell>
          <cell r="DU709">
            <v>9.1028936905928237</v>
          </cell>
          <cell r="DV709">
            <v>11.644336226312735</v>
          </cell>
          <cell r="DW709">
            <v>9.8476005987137558</v>
          </cell>
          <cell r="DX709">
            <v>7.1073990168282446</v>
          </cell>
          <cell r="DY709">
            <v>12.587802180599267</v>
          </cell>
        </row>
        <row r="710">
          <cell r="A710">
            <v>40457</v>
          </cell>
          <cell r="DF710">
            <v>19.413787663573665</v>
          </cell>
          <cell r="DG710">
            <v>21.679348620667902</v>
          </cell>
          <cell r="DH710">
            <v>18.362277992096409</v>
          </cell>
          <cell r="DI710">
            <v>14.300000632844487</v>
          </cell>
          <cell r="DJ710">
            <v>22.424555351348332</v>
          </cell>
          <cell r="DU710">
            <v>9.2219744893897015</v>
          </cell>
          <cell r="DV710">
            <v>11.644336226312735</v>
          </cell>
          <cell r="DW710">
            <v>9.8476005987137558</v>
          </cell>
          <cell r="DX710">
            <v>7.1073990168282446</v>
          </cell>
          <cell r="DY710">
            <v>12.587802180599267</v>
          </cell>
        </row>
        <row r="711">
          <cell r="A711">
            <v>40458</v>
          </cell>
          <cell r="DF711">
            <v>18.893612258248751</v>
          </cell>
          <cell r="DG711">
            <v>21.679348620667902</v>
          </cell>
          <cell r="DH711">
            <v>18.362277992096409</v>
          </cell>
          <cell r="DI711">
            <v>14.300000632844487</v>
          </cell>
          <cell r="DJ711">
            <v>22.424555351348332</v>
          </cell>
          <cell r="DU711">
            <v>8.9044364662672422</v>
          </cell>
          <cell r="DV711">
            <v>11.644336226312735</v>
          </cell>
          <cell r="DW711">
            <v>9.8476005987137558</v>
          </cell>
          <cell r="DX711">
            <v>7.1073990168282446</v>
          </cell>
          <cell r="DY711">
            <v>12.587802180599267</v>
          </cell>
        </row>
        <row r="712">
          <cell r="A712">
            <v>40459</v>
          </cell>
          <cell r="DF712">
            <v>19.506682199767472</v>
          </cell>
          <cell r="DG712">
            <v>21.679348620667902</v>
          </cell>
          <cell r="DH712">
            <v>18.362277992096409</v>
          </cell>
          <cell r="DI712">
            <v>14.300000632844487</v>
          </cell>
          <cell r="DJ712">
            <v>22.424555351348332</v>
          </cell>
          <cell r="DU712">
            <v>9.2786814137846267</v>
          </cell>
          <cell r="DV712">
            <v>11.644336226312735</v>
          </cell>
          <cell r="DW712">
            <v>9.8476005987137558</v>
          </cell>
          <cell r="DX712">
            <v>7.1073990168282446</v>
          </cell>
          <cell r="DY712">
            <v>12.587802180599267</v>
          </cell>
        </row>
        <row r="713">
          <cell r="A713">
            <v>40462</v>
          </cell>
          <cell r="DF713">
            <v>19.599562802616848</v>
          </cell>
          <cell r="DG713">
            <v>21.679348620667902</v>
          </cell>
          <cell r="DH713">
            <v>18.362277992096409</v>
          </cell>
          <cell r="DI713">
            <v>14.300000632844487</v>
          </cell>
          <cell r="DJ713">
            <v>22.424555351348332</v>
          </cell>
          <cell r="DU713">
            <v>9.3353798326512258</v>
          </cell>
          <cell r="DV713">
            <v>11.644336226312735</v>
          </cell>
          <cell r="DW713">
            <v>9.8476005987137558</v>
          </cell>
          <cell r="DX713">
            <v>7.1073990168282446</v>
          </cell>
          <cell r="DY713">
            <v>12.587802180599267</v>
          </cell>
        </row>
        <row r="714">
          <cell r="A714">
            <v>40463</v>
          </cell>
          <cell r="DF714">
            <v>19.859650969724118</v>
          </cell>
          <cell r="DG714">
            <v>21.679348620667902</v>
          </cell>
          <cell r="DH714">
            <v>18.362277992096409</v>
          </cell>
          <cell r="DI714">
            <v>14.300000632844487</v>
          </cell>
          <cell r="DJ714">
            <v>22.424555351348332</v>
          </cell>
          <cell r="DU714">
            <v>9.4941491277300667</v>
          </cell>
          <cell r="DV714">
            <v>11.644336226312735</v>
          </cell>
          <cell r="DW714">
            <v>9.8476005987137558</v>
          </cell>
          <cell r="DX714">
            <v>7.1073990168282446</v>
          </cell>
          <cell r="DY714">
            <v>12.587802180599267</v>
          </cell>
        </row>
        <row r="715">
          <cell r="A715">
            <v>40464</v>
          </cell>
          <cell r="DF715">
            <v>19.7296073506153</v>
          </cell>
          <cell r="DG715">
            <v>21.679348620667902</v>
          </cell>
          <cell r="DH715">
            <v>18.362277992096409</v>
          </cell>
          <cell r="DI715">
            <v>14.300000632844487</v>
          </cell>
          <cell r="DJ715">
            <v>22.424555351348332</v>
          </cell>
          <cell r="DU715">
            <v>9.4147647637082574</v>
          </cell>
          <cell r="DV715">
            <v>11.644336226312735</v>
          </cell>
          <cell r="DW715">
            <v>9.8476005987137558</v>
          </cell>
          <cell r="DX715">
            <v>7.1073990168282446</v>
          </cell>
          <cell r="DY715">
            <v>12.587802180599267</v>
          </cell>
        </row>
        <row r="716">
          <cell r="A716">
            <v>40465</v>
          </cell>
          <cell r="DF716">
            <v>20.398408812068382</v>
          </cell>
          <cell r="DG716">
            <v>21.679348620667902</v>
          </cell>
          <cell r="DH716">
            <v>18.362277992096409</v>
          </cell>
          <cell r="DI716">
            <v>14.300000632844487</v>
          </cell>
          <cell r="DJ716">
            <v>22.424555351348332</v>
          </cell>
          <cell r="DU716">
            <v>9.8230306904653535</v>
          </cell>
          <cell r="DV716">
            <v>11.644336226312735</v>
          </cell>
          <cell r="DW716">
            <v>9.8476005987137558</v>
          </cell>
          <cell r="DX716">
            <v>7.1073990168282446</v>
          </cell>
          <cell r="DY716">
            <v>12.587802180599267</v>
          </cell>
        </row>
        <row r="717">
          <cell r="A717">
            <v>40466</v>
          </cell>
          <cell r="DF717">
            <v>20.472721840132468</v>
          </cell>
          <cell r="DG717">
            <v>21.679348620667902</v>
          </cell>
          <cell r="DH717">
            <v>18.362277992096409</v>
          </cell>
          <cell r="DI717">
            <v>14.300000632844487</v>
          </cell>
          <cell r="DJ717">
            <v>22.424555351348332</v>
          </cell>
          <cell r="DU717">
            <v>9.8683946422826718</v>
          </cell>
          <cell r="DV717">
            <v>11.644336226312735</v>
          </cell>
          <cell r="DW717">
            <v>9.8476005987137558</v>
          </cell>
          <cell r="DX717">
            <v>7.1073990168282446</v>
          </cell>
          <cell r="DY717">
            <v>12.587802180599267</v>
          </cell>
        </row>
        <row r="718">
          <cell r="A718">
            <v>40469</v>
          </cell>
          <cell r="DF718">
            <v>20.472721840132468</v>
          </cell>
          <cell r="DG718">
            <v>21.679348620667902</v>
          </cell>
          <cell r="DH718">
            <v>18.362277992096409</v>
          </cell>
          <cell r="DI718">
            <v>14.300000632844487</v>
          </cell>
          <cell r="DJ718">
            <v>22.424555351348332</v>
          </cell>
          <cell r="DU718">
            <v>9.8683946422826718</v>
          </cell>
          <cell r="DV718">
            <v>11.644336226312735</v>
          </cell>
          <cell r="DW718">
            <v>9.8476005987137558</v>
          </cell>
          <cell r="DX718">
            <v>7.1073990168282446</v>
          </cell>
          <cell r="DY718">
            <v>12.587802180599267</v>
          </cell>
        </row>
        <row r="719">
          <cell r="A719">
            <v>40470</v>
          </cell>
          <cell r="DF719">
            <v>20.314812461056466</v>
          </cell>
          <cell r="DG719">
            <v>21.679348620667902</v>
          </cell>
          <cell r="DH719">
            <v>18.362277992096409</v>
          </cell>
          <cell r="DI719">
            <v>14.300000632844487</v>
          </cell>
          <cell r="DJ719">
            <v>22.424555351348332</v>
          </cell>
          <cell r="DU719">
            <v>9.7719997886410077</v>
          </cell>
          <cell r="DV719">
            <v>11.644336226312735</v>
          </cell>
          <cell r="DW719">
            <v>9.8476005987137558</v>
          </cell>
          <cell r="DX719">
            <v>7.1073990168282446</v>
          </cell>
          <cell r="DY719">
            <v>12.587802180599267</v>
          </cell>
        </row>
        <row r="720">
          <cell r="A720">
            <v>40471</v>
          </cell>
          <cell r="DF720">
            <v>20.184767913058018</v>
          </cell>
          <cell r="DG720">
            <v>21.679348620667902</v>
          </cell>
          <cell r="DH720">
            <v>18.362277992096409</v>
          </cell>
          <cell r="DI720">
            <v>14.300000632844487</v>
          </cell>
          <cell r="DJ720">
            <v>22.424555351348332</v>
          </cell>
          <cell r="DU720">
            <v>9.6926148575839761</v>
          </cell>
          <cell r="DV720">
            <v>11.644336226312735</v>
          </cell>
          <cell r="DW720">
            <v>9.8476005987137558</v>
          </cell>
          <cell r="DX720">
            <v>7.1073990168282446</v>
          </cell>
          <cell r="DY720">
            <v>12.587802180599267</v>
          </cell>
        </row>
        <row r="721">
          <cell r="A721">
            <v>40472</v>
          </cell>
          <cell r="DF721">
            <v>19.99899277401483</v>
          </cell>
          <cell r="DG721">
            <v>21.679348620667902</v>
          </cell>
          <cell r="DH721">
            <v>18.362277992096409</v>
          </cell>
          <cell r="DI721">
            <v>14.300000632844487</v>
          </cell>
          <cell r="DJ721">
            <v>22.424555351348332</v>
          </cell>
          <cell r="DU721">
            <v>9.5792095143224536</v>
          </cell>
          <cell r="DV721">
            <v>11.644336226312735</v>
          </cell>
          <cell r="DW721">
            <v>9.8476005987137558</v>
          </cell>
          <cell r="DX721">
            <v>7.1073990168282446</v>
          </cell>
          <cell r="DY721">
            <v>12.587802180599267</v>
          </cell>
        </row>
        <row r="722">
          <cell r="A722">
            <v>40473</v>
          </cell>
          <cell r="DF722">
            <v>19.677303996581056</v>
          </cell>
          <cell r="DG722">
            <v>21.679348620667902</v>
          </cell>
          <cell r="DH722">
            <v>18.362277992096409</v>
          </cell>
          <cell r="DI722">
            <v>14.300000632844487</v>
          </cell>
          <cell r="DJ722">
            <v>22.424555351348332</v>
          </cell>
          <cell r="DU722">
            <v>9.4635585125364585</v>
          </cell>
          <cell r="DV722">
            <v>11.644336226312735</v>
          </cell>
          <cell r="DW722">
            <v>9.8476005987137558</v>
          </cell>
          <cell r="DX722">
            <v>7.1073990168282446</v>
          </cell>
          <cell r="DY722">
            <v>12.587802180599267</v>
          </cell>
        </row>
        <row r="723">
          <cell r="A723">
            <v>40476</v>
          </cell>
          <cell r="DF723">
            <v>19.842744162749128</v>
          </cell>
          <cell r="DG723">
            <v>21.679348620667902</v>
          </cell>
          <cell r="DH723">
            <v>18.362277992096409</v>
          </cell>
          <cell r="DI723">
            <v>14.300000632844487</v>
          </cell>
          <cell r="DJ723">
            <v>22.424555351348332</v>
          </cell>
          <cell r="DU723">
            <v>9.5651185481496128</v>
          </cell>
          <cell r="DV723">
            <v>11.644336226312735</v>
          </cell>
          <cell r="DW723">
            <v>9.8476005987137558</v>
          </cell>
          <cell r="DX723">
            <v>7.1073990168282446</v>
          </cell>
          <cell r="DY723">
            <v>12.587802180599267</v>
          </cell>
        </row>
        <row r="724">
          <cell r="A724">
            <v>40477</v>
          </cell>
          <cell r="DF724">
            <v>19.907071793245745</v>
          </cell>
          <cell r="DG724">
            <v>21.679348620667902</v>
          </cell>
          <cell r="DH724">
            <v>18.362277992096409</v>
          </cell>
          <cell r="DI724">
            <v>14.300000632844487</v>
          </cell>
          <cell r="DJ724">
            <v>22.424555351348332</v>
          </cell>
          <cell r="DU724">
            <v>9.604607848695343</v>
          </cell>
          <cell r="DV724">
            <v>11.644336226312735</v>
          </cell>
          <cell r="DW724">
            <v>9.8476005987137558</v>
          </cell>
          <cell r="DX724">
            <v>7.1073990168282446</v>
          </cell>
          <cell r="DY724">
            <v>12.587802180599267</v>
          </cell>
        </row>
        <row r="725">
          <cell r="A725">
            <v>40478</v>
          </cell>
          <cell r="DF725">
            <v>19.87950057671717</v>
          </cell>
          <cell r="DG725">
            <v>21.679348620667902</v>
          </cell>
          <cell r="DH725">
            <v>18.362277992096409</v>
          </cell>
          <cell r="DI725">
            <v>14.300000632844487</v>
          </cell>
          <cell r="DJ725">
            <v>22.424555351348332</v>
          </cell>
          <cell r="DU725">
            <v>9.5876824925536202</v>
          </cell>
          <cell r="DV725">
            <v>11.644336226312735</v>
          </cell>
          <cell r="DW725">
            <v>9.8476005987137558</v>
          </cell>
          <cell r="DX725">
            <v>7.1073990168282446</v>
          </cell>
          <cell r="DY725">
            <v>12.587802180599267</v>
          </cell>
        </row>
        <row r="726">
          <cell r="A726">
            <v>40479</v>
          </cell>
          <cell r="DF726">
            <v>19.658932682630933</v>
          </cell>
          <cell r="DG726">
            <v>21.679348620667902</v>
          </cell>
          <cell r="DH726">
            <v>18.362277992096409</v>
          </cell>
          <cell r="DI726">
            <v>14.300000632844487</v>
          </cell>
          <cell r="DJ726">
            <v>22.424555351348332</v>
          </cell>
          <cell r="DU726">
            <v>9.4522807718145394</v>
          </cell>
          <cell r="DV726">
            <v>11.644336226312735</v>
          </cell>
          <cell r="DW726">
            <v>9.8476005987137558</v>
          </cell>
          <cell r="DX726">
            <v>7.1073990168282446</v>
          </cell>
          <cell r="DY726">
            <v>12.587802180599267</v>
          </cell>
        </row>
        <row r="727">
          <cell r="A727">
            <v>40480</v>
          </cell>
          <cell r="DF727">
            <v>20.256323439532011</v>
          </cell>
          <cell r="DG727">
            <v>21.679348620667902</v>
          </cell>
          <cell r="DH727">
            <v>18.362277992096409</v>
          </cell>
          <cell r="DI727">
            <v>14.300000632844487</v>
          </cell>
          <cell r="DJ727">
            <v>22.424555351348332</v>
          </cell>
          <cell r="DU727">
            <v>9.8190056606435654</v>
          </cell>
          <cell r="DV727">
            <v>11.644336226312735</v>
          </cell>
          <cell r="DW727">
            <v>9.8476005987137558</v>
          </cell>
          <cell r="DX727">
            <v>7.1073990168282446</v>
          </cell>
          <cell r="DY727">
            <v>12.587802180599267</v>
          </cell>
        </row>
        <row r="728">
          <cell r="A728">
            <v>40483</v>
          </cell>
          <cell r="DF728">
            <v>20.180496390347916</v>
          </cell>
          <cell r="DG728">
            <v>21.679348620667902</v>
          </cell>
          <cell r="DH728">
            <v>18.362277992096409</v>
          </cell>
          <cell r="DI728">
            <v>14.300000632844487</v>
          </cell>
          <cell r="DJ728">
            <v>22.424555351348332</v>
          </cell>
          <cell r="DU728">
            <v>9.7724571229217556</v>
          </cell>
          <cell r="DV728">
            <v>11.644336226312735</v>
          </cell>
          <cell r="DW728">
            <v>9.8476005987137558</v>
          </cell>
          <cell r="DX728">
            <v>7.1073990168282446</v>
          </cell>
          <cell r="DY728">
            <v>12.587802180599267</v>
          </cell>
        </row>
        <row r="729">
          <cell r="A729">
            <v>40484</v>
          </cell>
          <cell r="DF729">
            <v>20.995968257619321</v>
          </cell>
          <cell r="DG729">
            <v>21.679348620667902</v>
          </cell>
          <cell r="DH729">
            <v>18.362277992096409</v>
          </cell>
          <cell r="DI729">
            <v>14.300000632844487</v>
          </cell>
          <cell r="DJ729">
            <v>22.424555351348332</v>
          </cell>
          <cell r="DU729">
            <v>10.259079025261935</v>
          </cell>
          <cell r="DV729">
            <v>11.644336226312735</v>
          </cell>
          <cell r="DW729">
            <v>9.8476005987137558</v>
          </cell>
          <cell r="DX729">
            <v>7.1073990168282446</v>
          </cell>
          <cell r="DY729">
            <v>12.587802180599267</v>
          </cell>
        </row>
        <row r="730">
          <cell r="A730">
            <v>40485</v>
          </cell>
          <cell r="DF730">
            <v>21.152378148361127</v>
          </cell>
          <cell r="DG730">
            <v>21.679348620667902</v>
          </cell>
          <cell r="DH730">
            <v>18.362277992096409</v>
          </cell>
          <cell r="DI730">
            <v>14.300000632844487</v>
          </cell>
          <cell r="DJ730">
            <v>22.424555351348332</v>
          </cell>
          <cell r="DU730">
            <v>10.354991445455285</v>
          </cell>
          <cell r="DV730">
            <v>11.644336226312735</v>
          </cell>
          <cell r="DW730">
            <v>9.8476005987137558</v>
          </cell>
          <cell r="DX730">
            <v>7.1073990168282446</v>
          </cell>
          <cell r="DY730">
            <v>12.587802180599267</v>
          </cell>
        </row>
        <row r="731">
          <cell r="A731">
            <v>40486</v>
          </cell>
          <cell r="DF731">
            <v>20.959171017826336</v>
          </cell>
          <cell r="DG731">
            <v>21.679348620667902</v>
          </cell>
          <cell r="DH731">
            <v>18.362277992096409</v>
          </cell>
          <cell r="DI731">
            <v>14.300000632844487</v>
          </cell>
          <cell r="DJ731">
            <v>22.424555351348332</v>
          </cell>
          <cell r="DU731">
            <v>10.236514516660581</v>
          </cell>
          <cell r="DV731">
            <v>11.644336226312735</v>
          </cell>
          <cell r="DW731">
            <v>9.8476005987137558</v>
          </cell>
          <cell r="DX731">
            <v>7.1073990168282446</v>
          </cell>
          <cell r="DY731">
            <v>12.587802180599267</v>
          </cell>
        </row>
        <row r="732">
          <cell r="A732">
            <v>40487</v>
          </cell>
          <cell r="DF732">
            <v>21.087980678550892</v>
          </cell>
          <cell r="DG732">
            <v>21.679348620667902</v>
          </cell>
          <cell r="DH732">
            <v>18.362277992096409</v>
          </cell>
          <cell r="DI732">
            <v>14.300000632844487</v>
          </cell>
          <cell r="DJ732">
            <v>22.424555351348332</v>
          </cell>
          <cell r="DU732">
            <v>10.315502144909555</v>
          </cell>
          <cell r="DV732">
            <v>11.644336226312735</v>
          </cell>
          <cell r="DW732">
            <v>9.8476005987137558</v>
          </cell>
          <cell r="DX732">
            <v>7.1073990168282446</v>
          </cell>
          <cell r="DY732">
            <v>12.587802180599267</v>
          </cell>
        </row>
        <row r="733">
          <cell r="A733">
            <v>40490</v>
          </cell>
          <cell r="DF733">
            <v>21.133972167912592</v>
          </cell>
          <cell r="DG733">
            <v>21.679348620667902</v>
          </cell>
          <cell r="DH733">
            <v>18.362277992096409</v>
          </cell>
          <cell r="DI733">
            <v>14.300000632844487</v>
          </cell>
          <cell r="DJ733">
            <v>22.424555351348332</v>
          </cell>
          <cell r="DU733">
            <v>10.343704677575849</v>
          </cell>
          <cell r="DV733">
            <v>11.644336226312735</v>
          </cell>
          <cell r="DW733">
            <v>9.8476005987137558</v>
          </cell>
          <cell r="DX733">
            <v>7.1073990168282446</v>
          </cell>
          <cell r="DY733">
            <v>12.587802180599267</v>
          </cell>
        </row>
        <row r="734">
          <cell r="A734">
            <v>40491</v>
          </cell>
          <cell r="DF734">
            <v>21.800787991632756</v>
          </cell>
          <cell r="DG734">
            <v>21.679348620667902</v>
          </cell>
          <cell r="DH734">
            <v>18.362277992096409</v>
          </cell>
          <cell r="DI734">
            <v>14.300000632844487</v>
          </cell>
          <cell r="DJ734">
            <v>22.424555351348332</v>
          </cell>
          <cell r="DU734">
            <v>10.670244890568972</v>
          </cell>
          <cell r="DV734">
            <v>11.644336226312735</v>
          </cell>
          <cell r="DW734">
            <v>9.8476005987137558</v>
          </cell>
          <cell r="DX734">
            <v>7.1073990168282446</v>
          </cell>
          <cell r="DY734">
            <v>12.587802180599267</v>
          </cell>
        </row>
        <row r="735">
          <cell r="A735">
            <v>40492</v>
          </cell>
          <cell r="DF735">
            <v>21.019227179734727</v>
          </cell>
          <cell r="DG735">
            <v>21.679348620667902</v>
          </cell>
          <cell r="DH735">
            <v>18.362277992096409</v>
          </cell>
          <cell r="DI735">
            <v>14.300000632844487</v>
          </cell>
          <cell r="DJ735">
            <v>22.424555351348332</v>
          </cell>
          <cell r="DU735">
            <v>10.194727785061039</v>
          </cell>
          <cell r="DV735">
            <v>11.644336226312735</v>
          </cell>
          <cell r="DW735">
            <v>9.8476005987137558</v>
          </cell>
          <cell r="DX735">
            <v>7.1073990168282446</v>
          </cell>
          <cell r="DY735">
            <v>12.587802180599267</v>
          </cell>
        </row>
        <row r="736">
          <cell r="A736">
            <v>40493</v>
          </cell>
          <cell r="DF736">
            <v>21.239906213364591</v>
          </cell>
          <cell r="DG736">
            <v>21.679348620667902</v>
          </cell>
          <cell r="DH736">
            <v>18.362277992096409</v>
          </cell>
          <cell r="DI736">
            <v>14.300000632844487</v>
          </cell>
          <cell r="DJ736">
            <v>22.424555351348332</v>
          </cell>
          <cell r="DU736">
            <v>10.328993287783881</v>
          </cell>
          <cell r="DV736">
            <v>11.644336226312735</v>
          </cell>
          <cell r="DW736">
            <v>9.8476005987137558</v>
          </cell>
          <cell r="DX736">
            <v>7.1073990168282446</v>
          </cell>
          <cell r="DY736">
            <v>12.587802180599267</v>
          </cell>
        </row>
        <row r="737">
          <cell r="A737">
            <v>40494</v>
          </cell>
          <cell r="DF737">
            <v>21.267489598418496</v>
          </cell>
          <cell r="DG737">
            <v>21.679348620667902</v>
          </cell>
          <cell r="DH737">
            <v>18.362277992096409</v>
          </cell>
          <cell r="DI737">
            <v>14.300000632844487</v>
          </cell>
          <cell r="DJ737">
            <v>22.424555351348332</v>
          </cell>
          <cell r="DU737">
            <v>10.345775566553833</v>
          </cell>
          <cell r="DV737">
            <v>11.644336226312735</v>
          </cell>
          <cell r="DW737">
            <v>9.8476005987137558</v>
          </cell>
          <cell r="DX737">
            <v>7.1073990168282446</v>
          </cell>
          <cell r="DY737">
            <v>12.587802180599267</v>
          </cell>
        </row>
        <row r="738">
          <cell r="A738">
            <v>40497</v>
          </cell>
          <cell r="DF738">
            <v>21.239906213364591</v>
          </cell>
          <cell r="DG738">
            <v>21.679348620667902</v>
          </cell>
          <cell r="DH738">
            <v>18.362277992096409</v>
          </cell>
          <cell r="DI738">
            <v>14.300000632844487</v>
          </cell>
          <cell r="DJ738">
            <v>22.424555351348332</v>
          </cell>
          <cell r="DU738">
            <v>10.328993287783881</v>
          </cell>
          <cell r="DV738">
            <v>11.644336226312735</v>
          </cell>
          <cell r="DW738">
            <v>9.8476005987137558</v>
          </cell>
          <cell r="DX738">
            <v>7.1073990168282446</v>
          </cell>
          <cell r="DY738">
            <v>12.587802180599267</v>
          </cell>
        </row>
        <row r="739">
          <cell r="A739">
            <v>40498</v>
          </cell>
          <cell r="DF739">
            <v>21.239906213364591</v>
          </cell>
          <cell r="DG739">
            <v>21.679348620667902</v>
          </cell>
          <cell r="DH739">
            <v>18.362277992096409</v>
          </cell>
          <cell r="DI739">
            <v>14.300000632844487</v>
          </cell>
          <cell r="DJ739">
            <v>22.424555351348332</v>
          </cell>
          <cell r="DU739">
            <v>10.328993287783881</v>
          </cell>
          <cell r="DV739">
            <v>11.644336226312735</v>
          </cell>
          <cell r="DW739">
            <v>9.8476005987137558</v>
          </cell>
          <cell r="DX739">
            <v>7.1073990168282446</v>
          </cell>
          <cell r="DY739">
            <v>12.587802180599267</v>
          </cell>
        </row>
        <row r="740">
          <cell r="A740">
            <v>40499</v>
          </cell>
          <cell r="DF740">
            <v>21.193929614049601</v>
          </cell>
          <cell r="DG740">
            <v>21.679348620667902</v>
          </cell>
          <cell r="DH740">
            <v>18.362277992096409</v>
          </cell>
          <cell r="DI740">
            <v>14.300000632844487</v>
          </cell>
          <cell r="DJ740">
            <v>22.424555351348332</v>
          </cell>
          <cell r="DU740">
            <v>10.301020212503573</v>
          </cell>
          <cell r="DV740">
            <v>11.644336226312735</v>
          </cell>
          <cell r="DW740">
            <v>9.8476005987137558</v>
          </cell>
          <cell r="DX740">
            <v>7.1073990168282446</v>
          </cell>
          <cell r="DY740">
            <v>12.587802180599267</v>
          </cell>
        </row>
        <row r="741">
          <cell r="A741">
            <v>40500</v>
          </cell>
          <cell r="DF741">
            <v>20.927287773257014</v>
          </cell>
          <cell r="DG741">
            <v>21.679348620667902</v>
          </cell>
          <cell r="DH741">
            <v>18.362277992096409</v>
          </cell>
          <cell r="DI741">
            <v>14.300000632844487</v>
          </cell>
          <cell r="DJ741">
            <v>22.424555351348332</v>
          </cell>
          <cell r="DU741">
            <v>10.138790025919524</v>
          </cell>
          <cell r="DV741">
            <v>11.644336226312735</v>
          </cell>
          <cell r="DW741">
            <v>9.8476005987137558</v>
          </cell>
          <cell r="DX741">
            <v>7.1073990168282446</v>
          </cell>
          <cell r="DY741">
            <v>12.587802180599267</v>
          </cell>
        </row>
        <row r="742">
          <cell r="A742">
            <v>40501</v>
          </cell>
          <cell r="DF742">
            <v>20.862917959680939</v>
          </cell>
          <cell r="DG742">
            <v>21.679348620667902</v>
          </cell>
          <cell r="DH742">
            <v>18.362277992096409</v>
          </cell>
          <cell r="DI742">
            <v>14.300000632844487</v>
          </cell>
          <cell r="DJ742">
            <v>22.424555351348332</v>
          </cell>
          <cell r="DU742">
            <v>10.09962615412886</v>
          </cell>
          <cell r="DV742">
            <v>11.644336226312735</v>
          </cell>
          <cell r="DW742">
            <v>9.8476005987137558</v>
          </cell>
          <cell r="DX742">
            <v>7.1073990168282446</v>
          </cell>
          <cell r="DY742">
            <v>12.587802180599267</v>
          </cell>
        </row>
        <row r="743">
          <cell r="A743">
            <v>40504</v>
          </cell>
          <cell r="DF743">
            <v>21.083596993310803</v>
          </cell>
          <cell r="DG743">
            <v>21.679348620667902</v>
          </cell>
          <cell r="DH743">
            <v>18.362277992096409</v>
          </cell>
          <cell r="DI743">
            <v>14.300000632844487</v>
          </cell>
          <cell r="DJ743">
            <v>22.424555351348332</v>
          </cell>
          <cell r="DU743">
            <v>10.233891656851702</v>
          </cell>
          <cell r="DV743">
            <v>11.644336226312735</v>
          </cell>
          <cell r="DW743">
            <v>9.8476005987137558</v>
          </cell>
          <cell r="DX743">
            <v>7.1073990168282446</v>
          </cell>
          <cell r="DY743">
            <v>12.587802180599267</v>
          </cell>
        </row>
        <row r="744">
          <cell r="A744">
            <v>40505</v>
          </cell>
          <cell r="DF744">
            <v>21.000847757625909</v>
          </cell>
          <cell r="DG744">
            <v>21.679348620667902</v>
          </cell>
          <cell r="DH744">
            <v>18.362277992096409</v>
          </cell>
          <cell r="DI744">
            <v>14.300000632844487</v>
          </cell>
          <cell r="DJ744">
            <v>22.424555351348332</v>
          </cell>
          <cell r="DU744">
            <v>10.183545379969786</v>
          </cell>
          <cell r="DV744">
            <v>11.644336226312735</v>
          </cell>
          <cell r="DW744">
            <v>9.8476005987137558</v>
          </cell>
          <cell r="DX744">
            <v>7.1073990168282446</v>
          </cell>
          <cell r="DY744">
            <v>12.587802180599267</v>
          </cell>
        </row>
        <row r="745">
          <cell r="A745">
            <v>40506</v>
          </cell>
          <cell r="DF745">
            <v>20.222798943224824</v>
          </cell>
          <cell r="DG745">
            <v>21.679348620667902</v>
          </cell>
          <cell r="DH745">
            <v>18.362277992096409</v>
          </cell>
          <cell r="DI745">
            <v>14.300000632844487</v>
          </cell>
          <cell r="DJ745">
            <v>22.424555351348332</v>
          </cell>
          <cell r="DU745">
            <v>9.7799819748690897</v>
          </cell>
          <cell r="DV745">
            <v>11.644336226312735</v>
          </cell>
          <cell r="DW745">
            <v>9.8476005987137558</v>
          </cell>
          <cell r="DX745">
            <v>7.1073990168282446</v>
          </cell>
          <cell r="DY745">
            <v>12.587802180599267</v>
          </cell>
        </row>
        <row r="746">
          <cell r="A746">
            <v>40507</v>
          </cell>
          <cell r="DF746">
            <v>19.767945083979306</v>
          </cell>
          <cell r="DG746">
            <v>21.679348620667902</v>
          </cell>
          <cell r="DH746">
            <v>18.362277992096409</v>
          </cell>
          <cell r="DI746">
            <v>14.300000632844487</v>
          </cell>
          <cell r="DJ746">
            <v>22.424555351348332</v>
          </cell>
          <cell r="DU746">
            <v>9.5020388808804768</v>
          </cell>
          <cell r="DV746">
            <v>11.644336226312735</v>
          </cell>
          <cell r="DW746">
            <v>9.8476005987137558</v>
          </cell>
          <cell r="DX746">
            <v>7.1073990168282446</v>
          </cell>
          <cell r="DY746">
            <v>12.587802180599267</v>
          </cell>
        </row>
        <row r="747">
          <cell r="A747">
            <v>40508</v>
          </cell>
          <cell r="DF747">
            <v>19.667877234945294</v>
          </cell>
          <cell r="DG747">
            <v>21.679348620667902</v>
          </cell>
          <cell r="DH747">
            <v>18.362277992096409</v>
          </cell>
          <cell r="DI747">
            <v>14.300000632844487</v>
          </cell>
          <cell r="DJ747">
            <v>22.424555351348332</v>
          </cell>
          <cell r="DU747">
            <v>9.4408914002029807</v>
          </cell>
          <cell r="DV747">
            <v>11.644336226312735</v>
          </cell>
          <cell r="DW747">
            <v>9.8476005987137558</v>
          </cell>
          <cell r="DX747">
            <v>7.1073990168282446</v>
          </cell>
          <cell r="DY747">
            <v>12.587802180599267</v>
          </cell>
        </row>
        <row r="748">
          <cell r="A748">
            <v>40511</v>
          </cell>
          <cell r="DF748">
            <v>19.376763487366414</v>
          </cell>
          <cell r="DG748">
            <v>21.679348620667902</v>
          </cell>
          <cell r="DH748">
            <v>18.362277992096409</v>
          </cell>
          <cell r="DI748">
            <v>14.300000632844487</v>
          </cell>
          <cell r="DJ748">
            <v>22.424555351348332</v>
          </cell>
          <cell r="DU748">
            <v>9.2935499490207221</v>
          </cell>
          <cell r="DV748">
            <v>11.644336226312735</v>
          </cell>
          <cell r="DW748">
            <v>9.8476005987137558</v>
          </cell>
          <cell r="DX748">
            <v>7.1073990168282446</v>
          </cell>
          <cell r="DY748">
            <v>12.587802180599267</v>
          </cell>
        </row>
        <row r="749">
          <cell r="A749">
            <v>40512</v>
          </cell>
          <cell r="DF749">
            <v>18.46705576887538</v>
          </cell>
          <cell r="DG749">
            <v>21.679348620667902</v>
          </cell>
          <cell r="DH749">
            <v>18.362277992096409</v>
          </cell>
          <cell r="DI749">
            <v>14.300000632844487</v>
          </cell>
          <cell r="DJ749">
            <v>22.424555351348332</v>
          </cell>
          <cell r="DU749">
            <v>8.7358306169715316</v>
          </cell>
          <cell r="DV749">
            <v>11.644336226312735</v>
          </cell>
          <cell r="DW749">
            <v>9.8476005987137558</v>
          </cell>
          <cell r="DX749">
            <v>7.1073990168282446</v>
          </cell>
          <cell r="DY749">
            <v>12.587802180599267</v>
          </cell>
        </row>
        <row r="750">
          <cell r="A750">
            <v>40513</v>
          </cell>
          <cell r="DF750">
            <v>18.931015802382991</v>
          </cell>
          <cell r="DG750">
            <v>21.679348620667902</v>
          </cell>
          <cell r="DH750">
            <v>18.362277992096409</v>
          </cell>
          <cell r="DI750">
            <v>14.300000632844487</v>
          </cell>
          <cell r="DJ750">
            <v>22.424555351348332</v>
          </cell>
          <cell r="DU750">
            <v>9.0202730535099409</v>
          </cell>
          <cell r="DV750">
            <v>11.644336226312735</v>
          </cell>
          <cell r="DW750">
            <v>9.8476005987137558</v>
          </cell>
          <cell r="DX750">
            <v>7.1073990168282446</v>
          </cell>
          <cell r="DY750">
            <v>12.587802180599267</v>
          </cell>
        </row>
        <row r="751">
          <cell r="A751">
            <v>40514</v>
          </cell>
          <cell r="DF751">
            <v>19.458648098523231</v>
          </cell>
          <cell r="DG751">
            <v>21.679348620667902</v>
          </cell>
          <cell r="DH751">
            <v>18.362277992096409</v>
          </cell>
          <cell r="DI751">
            <v>14.300000632844487</v>
          </cell>
          <cell r="DJ751">
            <v>22.424555351348332</v>
          </cell>
          <cell r="DU751">
            <v>9.3437513815371336</v>
          </cell>
          <cell r="DV751">
            <v>11.644336226312735</v>
          </cell>
          <cell r="DW751">
            <v>9.8476005987137558</v>
          </cell>
          <cell r="DX751">
            <v>7.1073990168282446</v>
          </cell>
          <cell r="DY751">
            <v>12.587802180599267</v>
          </cell>
        </row>
        <row r="752">
          <cell r="A752">
            <v>40515</v>
          </cell>
          <cell r="DF752">
            <v>20.022662335449077</v>
          </cell>
          <cell r="DG752">
            <v>21.679348620667902</v>
          </cell>
          <cell r="DH752">
            <v>18.362277992096409</v>
          </cell>
          <cell r="DI752">
            <v>14.300000632844487</v>
          </cell>
          <cell r="DJ752">
            <v>22.424555351348332</v>
          </cell>
          <cell r="DU752">
            <v>9.6895345788109726</v>
          </cell>
          <cell r="DV752">
            <v>11.644336226312735</v>
          </cell>
          <cell r="DW752">
            <v>9.8476005987137558</v>
          </cell>
          <cell r="DX752">
            <v>7.1073990168282446</v>
          </cell>
          <cell r="DY752">
            <v>12.587802180599267</v>
          </cell>
        </row>
        <row r="753">
          <cell r="A753">
            <v>40518</v>
          </cell>
          <cell r="DF753">
            <v>19.640586913098282</v>
          </cell>
          <cell r="DG753">
            <v>21.679348620667902</v>
          </cell>
          <cell r="DH753">
            <v>18.362277992096409</v>
          </cell>
          <cell r="DI753">
            <v>14.300000632844487</v>
          </cell>
          <cell r="DJ753">
            <v>22.424555351348332</v>
          </cell>
          <cell r="DU753">
            <v>9.4497029094483427</v>
          </cell>
          <cell r="DV753">
            <v>11.644336226312735</v>
          </cell>
          <cell r="DW753">
            <v>9.8476005987137558</v>
          </cell>
          <cell r="DX753">
            <v>7.1073990168282446</v>
          </cell>
          <cell r="DY753">
            <v>12.587802180599267</v>
          </cell>
        </row>
        <row r="754">
          <cell r="A754">
            <v>40519</v>
          </cell>
          <cell r="DF754">
            <v>19.53141198009445</v>
          </cell>
          <cell r="DG754">
            <v>21.679348620667902</v>
          </cell>
          <cell r="DH754">
            <v>18.362277992096409</v>
          </cell>
          <cell r="DI754">
            <v>14.300000632844487</v>
          </cell>
          <cell r="DJ754">
            <v>22.424555351348332</v>
          </cell>
          <cell r="DU754">
            <v>9.3828100300823447</v>
          </cell>
          <cell r="DV754">
            <v>11.644336226312735</v>
          </cell>
          <cell r="DW754">
            <v>9.8476005987137558</v>
          </cell>
          <cell r="DX754">
            <v>7.1073990168282446</v>
          </cell>
          <cell r="DY754">
            <v>12.587802180599267</v>
          </cell>
        </row>
        <row r="755">
          <cell r="A755">
            <v>40520</v>
          </cell>
          <cell r="DF755">
            <v>19.539944286399841</v>
          </cell>
          <cell r="DG755">
            <v>21.679348620667902</v>
          </cell>
          <cell r="DH755">
            <v>18.362277992096409</v>
          </cell>
          <cell r="DI755">
            <v>14.300000632844487</v>
          </cell>
          <cell r="DJ755">
            <v>22.424555351348332</v>
          </cell>
          <cell r="DU755">
            <v>9.3900333978070751</v>
          </cell>
          <cell r="DV755">
            <v>11.644336226312735</v>
          </cell>
          <cell r="DW755">
            <v>9.8476005987137558</v>
          </cell>
          <cell r="DX755">
            <v>7.1073990168282446</v>
          </cell>
          <cell r="DY755">
            <v>12.587802180599267</v>
          </cell>
        </row>
        <row r="756">
          <cell r="A756">
            <v>40521</v>
          </cell>
          <cell r="DF756">
            <v>18.875572095875334</v>
          </cell>
          <cell r="DG756">
            <v>21.679348620667902</v>
          </cell>
          <cell r="DH756">
            <v>18.362277992096409</v>
          </cell>
          <cell r="DI756">
            <v>14.300000632844487</v>
          </cell>
          <cell r="DJ756">
            <v>22.424555351348332</v>
          </cell>
          <cell r="DU756">
            <v>8.9496085877083384</v>
          </cell>
          <cell r="DV756">
            <v>11.644336226312735</v>
          </cell>
          <cell r="DW756">
            <v>9.8476005987137558</v>
          </cell>
          <cell r="DX756">
            <v>7.1073990168282446</v>
          </cell>
          <cell r="DY756">
            <v>12.587802180599267</v>
          </cell>
        </row>
        <row r="757">
          <cell r="A757">
            <v>40522</v>
          </cell>
          <cell r="DF757">
            <v>18.65715505688717</v>
          </cell>
          <cell r="DG757">
            <v>21.679348620667902</v>
          </cell>
          <cell r="DH757">
            <v>18.362277992096409</v>
          </cell>
          <cell r="DI757">
            <v>14.300000632844487</v>
          </cell>
          <cell r="DJ757">
            <v>22.424555351348332</v>
          </cell>
          <cell r="DU757">
            <v>8.8162322047518789</v>
          </cell>
          <cell r="DV757">
            <v>11.644336226312735</v>
          </cell>
          <cell r="DW757">
            <v>9.8476005987137558</v>
          </cell>
          <cell r="DX757">
            <v>7.1073990168282446</v>
          </cell>
          <cell r="DY757">
            <v>12.587802180599267</v>
          </cell>
        </row>
        <row r="758">
          <cell r="A758">
            <v>40525</v>
          </cell>
          <cell r="DF758">
            <v>18.957477916680194</v>
          </cell>
          <cell r="DG758">
            <v>21.679348620667902</v>
          </cell>
          <cell r="DH758">
            <v>18.362277992096409</v>
          </cell>
          <cell r="DI758">
            <v>14.300000632844487</v>
          </cell>
          <cell r="DJ758">
            <v>22.424555351348332</v>
          </cell>
          <cell r="DU758">
            <v>8.9996243839696533</v>
          </cell>
          <cell r="DV758">
            <v>11.644336226312735</v>
          </cell>
          <cell r="DW758">
            <v>9.8476005987137558</v>
          </cell>
          <cell r="DX758">
            <v>7.1073990168282446</v>
          </cell>
          <cell r="DY758">
            <v>12.587802180599267</v>
          </cell>
        </row>
        <row r="759">
          <cell r="A759">
            <v>40526</v>
          </cell>
          <cell r="DF759">
            <v>18.957477916680194</v>
          </cell>
          <cell r="DG759">
            <v>21.679348620667902</v>
          </cell>
          <cell r="DH759">
            <v>18.362277992096409</v>
          </cell>
          <cell r="DI759">
            <v>14.300000632844487</v>
          </cell>
          <cell r="DJ759">
            <v>22.424555351348332</v>
          </cell>
          <cell r="DU759">
            <v>8.9996243839696533</v>
          </cell>
          <cell r="DV759">
            <v>11.644336226312735</v>
          </cell>
          <cell r="DW759">
            <v>9.8476005987137558</v>
          </cell>
          <cell r="DX759">
            <v>7.1073990168282446</v>
          </cell>
          <cell r="DY759">
            <v>12.587802180599267</v>
          </cell>
        </row>
        <row r="760">
          <cell r="A760">
            <v>40527</v>
          </cell>
          <cell r="DF760">
            <v>19.294225913880137</v>
          </cell>
          <cell r="DG760">
            <v>21.679348620667902</v>
          </cell>
          <cell r="DH760">
            <v>18.362277992096409</v>
          </cell>
          <cell r="DI760">
            <v>14.300000632844487</v>
          </cell>
          <cell r="DJ760">
            <v>22.424555351348332</v>
          </cell>
          <cell r="DU760">
            <v>9.2052595763631988</v>
          </cell>
          <cell r="DV760">
            <v>11.644336226312735</v>
          </cell>
          <cell r="DW760">
            <v>9.8476005987137558</v>
          </cell>
          <cell r="DX760">
            <v>7.1073990168282446</v>
          </cell>
          <cell r="DY760">
            <v>12.587802180599267</v>
          </cell>
        </row>
        <row r="761">
          <cell r="A761">
            <v>40528</v>
          </cell>
          <cell r="DF761">
            <v>19.610232708464999</v>
          </cell>
          <cell r="DG761">
            <v>21.679348620667902</v>
          </cell>
          <cell r="DH761">
            <v>18.362277992096409</v>
          </cell>
          <cell r="DI761">
            <v>14.300000632844487</v>
          </cell>
          <cell r="DJ761">
            <v>22.424555351348332</v>
          </cell>
          <cell r="DU761">
            <v>9.3924491728481811</v>
          </cell>
          <cell r="DV761">
            <v>11.644336226312735</v>
          </cell>
          <cell r="DW761">
            <v>9.8476005987137558</v>
          </cell>
          <cell r="DX761">
            <v>7.1073990168282446</v>
          </cell>
          <cell r="DY761">
            <v>12.587802180599267</v>
          </cell>
        </row>
        <row r="762">
          <cell r="A762">
            <v>40529</v>
          </cell>
          <cell r="DF762">
            <v>19.919768573700022</v>
          </cell>
          <cell r="DG762">
            <v>21.679348620667902</v>
          </cell>
          <cell r="DH762">
            <v>18.362277992096409</v>
          </cell>
          <cell r="DI762">
            <v>14.300000632844487</v>
          </cell>
          <cell r="DJ762">
            <v>22.424555351348332</v>
          </cell>
          <cell r="DU762">
            <v>9.58136839641063</v>
          </cell>
          <cell r="DV762">
            <v>11.644336226312735</v>
          </cell>
          <cell r="DW762">
            <v>9.8476005987137558</v>
          </cell>
          <cell r="DX762">
            <v>7.1073990168282446</v>
          </cell>
          <cell r="DY762">
            <v>12.587802180599267</v>
          </cell>
        </row>
        <row r="763">
          <cell r="A763">
            <v>40532</v>
          </cell>
          <cell r="DF763">
            <v>20.402285129890974</v>
          </cell>
          <cell r="DG763">
            <v>21.679348620667902</v>
          </cell>
          <cell r="DH763">
            <v>18.362277992096409</v>
          </cell>
          <cell r="DI763">
            <v>14.300000632844487</v>
          </cell>
          <cell r="DJ763">
            <v>22.424555351348332</v>
          </cell>
          <cell r="DU763">
            <v>10.098637375415679</v>
          </cell>
          <cell r="DV763">
            <v>11.644336226312735</v>
          </cell>
          <cell r="DW763">
            <v>9.8476005987137558</v>
          </cell>
          <cell r="DX763">
            <v>7.1073990168282446</v>
          </cell>
          <cell r="DY763">
            <v>12.587802180599267</v>
          </cell>
        </row>
        <row r="764">
          <cell r="A764">
            <v>40533</v>
          </cell>
          <cell r="DF764">
            <v>17.526721910688007</v>
          </cell>
          <cell r="DG764">
            <v>21.679348620667902</v>
          </cell>
          <cell r="DH764">
            <v>18.362277992096409</v>
          </cell>
          <cell r="DI764">
            <v>14.300000632844487</v>
          </cell>
          <cell r="DJ764">
            <v>22.424555351348332</v>
          </cell>
          <cell r="DU764">
            <v>8.0827229187392238</v>
          </cell>
          <cell r="DV764">
            <v>11.644336226312735</v>
          </cell>
          <cell r="DW764">
            <v>9.8476005987137558</v>
          </cell>
          <cell r="DX764">
            <v>7.1073990168282446</v>
          </cell>
          <cell r="DY764">
            <v>12.587802180599267</v>
          </cell>
        </row>
        <row r="765">
          <cell r="A765">
            <v>40534</v>
          </cell>
          <cell r="DF765">
            <v>18.065793546637035</v>
          </cell>
          <cell r="DG765">
            <v>21.679348620667902</v>
          </cell>
          <cell r="DH765">
            <v>18.362277992096409</v>
          </cell>
          <cell r="DI765">
            <v>14.300000632844487</v>
          </cell>
          <cell r="DJ765">
            <v>22.424555351348332</v>
          </cell>
          <cell r="DU765">
            <v>8.4396390849590102</v>
          </cell>
          <cell r="DV765">
            <v>11.644336226312735</v>
          </cell>
          <cell r="DW765">
            <v>9.8476005987137558</v>
          </cell>
          <cell r="DX765">
            <v>7.1073990168282446</v>
          </cell>
          <cell r="DY765">
            <v>12.587802180599267</v>
          </cell>
        </row>
        <row r="766">
          <cell r="A766">
            <v>40535</v>
          </cell>
          <cell r="DF766">
            <v>17.674200473926973</v>
          </cell>
          <cell r="DG766">
            <v>21.679348620667902</v>
          </cell>
          <cell r="DH766">
            <v>18.362277992096409</v>
          </cell>
          <cell r="DI766">
            <v>14.300000632844487</v>
          </cell>
          <cell r="DJ766">
            <v>22.424555351348332</v>
          </cell>
          <cell r="DU766">
            <v>8.2633806772383966</v>
          </cell>
          <cell r="DV766">
            <v>11.644336226312735</v>
          </cell>
          <cell r="DW766">
            <v>9.8476005987137558</v>
          </cell>
          <cell r="DX766">
            <v>7.1073990168282446</v>
          </cell>
          <cell r="DY766">
            <v>12.587802180599267</v>
          </cell>
        </row>
        <row r="767">
          <cell r="A767">
            <v>40536</v>
          </cell>
          <cell r="DF767">
            <v>17.65192153509183</v>
          </cell>
          <cell r="DG767">
            <v>21.679348620667902</v>
          </cell>
          <cell r="DH767">
            <v>18.362277992096409</v>
          </cell>
          <cell r="DI767">
            <v>14.300000632844487</v>
          </cell>
          <cell r="DJ767">
            <v>22.424555351348332</v>
          </cell>
          <cell r="DU767">
            <v>8.250036187454608</v>
          </cell>
          <cell r="DV767">
            <v>11.644336226312735</v>
          </cell>
          <cell r="DW767">
            <v>9.8476005987137558</v>
          </cell>
          <cell r="DX767">
            <v>7.1073990168282446</v>
          </cell>
          <cell r="DY767">
            <v>12.587802180599267</v>
          </cell>
        </row>
        <row r="768">
          <cell r="A768">
            <v>40539</v>
          </cell>
          <cell r="DF768">
            <v>17.754372227272071</v>
          </cell>
          <cell r="DG768">
            <v>21.679348620667902</v>
          </cell>
          <cell r="DH768">
            <v>18.362277992096409</v>
          </cell>
          <cell r="DI768">
            <v>14.300000632844487</v>
          </cell>
          <cell r="DJ768">
            <v>22.424555351348332</v>
          </cell>
          <cell r="DU768">
            <v>8.3114014178750448</v>
          </cell>
          <cell r="DV768">
            <v>11.644336226312735</v>
          </cell>
          <cell r="DW768">
            <v>9.8476005987137558</v>
          </cell>
          <cell r="DX768">
            <v>7.1073990168282446</v>
          </cell>
          <cell r="DY768">
            <v>12.587802180599267</v>
          </cell>
        </row>
        <row r="769">
          <cell r="A769">
            <v>40540</v>
          </cell>
          <cell r="DF769">
            <v>17.551713079268421</v>
          </cell>
          <cell r="DG769">
            <v>21.679348620667902</v>
          </cell>
          <cell r="DH769">
            <v>18.362277992096409</v>
          </cell>
          <cell r="DI769">
            <v>14.300000632844487</v>
          </cell>
          <cell r="DJ769">
            <v>22.424555351348332</v>
          </cell>
          <cell r="DU769">
            <v>8.190013996771297</v>
          </cell>
          <cell r="DV769">
            <v>11.644336226312735</v>
          </cell>
          <cell r="DW769">
            <v>9.8476005987137558</v>
          </cell>
          <cell r="DX769">
            <v>7.1073990168282446</v>
          </cell>
          <cell r="DY769">
            <v>12.587802180599267</v>
          </cell>
        </row>
        <row r="770">
          <cell r="A770">
            <v>40541</v>
          </cell>
          <cell r="DF770">
            <v>17.353498316320085</v>
          </cell>
          <cell r="DG770">
            <v>21.679348620667902</v>
          </cell>
          <cell r="DH770">
            <v>18.362277992096409</v>
          </cell>
          <cell r="DI770">
            <v>14.300000632844487</v>
          </cell>
          <cell r="DJ770">
            <v>22.424555351348332</v>
          </cell>
          <cell r="DU770">
            <v>8.0712886437043068</v>
          </cell>
          <cell r="DV770">
            <v>11.644336226312735</v>
          </cell>
          <cell r="DW770">
            <v>9.8476005987137558</v>
          </cell>
          <cell r="DX770">
            <v>7.1073990168282446</v>
          </cell>
          <cell r="DY770">
            <v>12.587802180599267</v>
          </cell>
        </row>
        <row r="771">
          <cell r="A771">
            <v>40542</v>
          </cell>
          <cell r="DF771">
            <v>17.353498316320085</v>
          </cell>
          <cell r="DG771">
            <v>21.679348620667902</v>
          </cell>
          <cell r="DH771">
            <v>18.362277992096409</v>
          </cell>
          <cell r="DI771">
            <v>14.300000632844487</v>
          </cell>
          <cell r="DJ771">
            <v>22.424555351348332</v>
          </cell>
          <cell r="DU771">
            <v>8.0712886437043068</v>
          </cell>
          <cell r="DV771">
            <v>11.644336226312735</v>
          </cell>
          <cell r="DW771">
            <v>9.8476005987137558</v>
          </cell>
          <cell r="DX771">
            <v>7.1073990168282446</v>
          </cell>
          <cell r="DY771">
            <v>12.587802180599267</v>
          </cell>
        </row>
        <row r="772">
          <cell r="A772">
            <v>40543</v>
          </cell>
          <cell r="DF772">
            <v>16.885800951415447</v>
          </cell>
          <cell r="DG772">
            <v>21.679348620667902</v>
          </cell>
          <cell r="DH772">
            <v>18.362277992096409</v>
          </cell>
          <cell r="DI772">
            <v>14.300000632844487</v>
          </cell>
          <cell r="DJ772">
            <v>22.424555351348332</v>
          </cell>
          <cell r="DU772">
            <v>7.7911504039946982</v>
          </cell>
          <cell r="DV772">
            <v>11.644336226312735</v>
          </cell>
          <cell r="DW772">
            <v>9.8476005987137558</v>
          </cell>
          <cell r="DX772">
            <v>7.1073990168282446</v>
          </cell>
          <cell r="DY772">
            <v>12.587802180599267</v>
          </cell>
        </row>
        <row r="773">
          <cell r="A773">
            <v>40546</v>
          </cell>
          <cell r="DF773">
            <v>16.997155557932821</v>
          </cell>
          <cell r="DG773">
            <v>21.679348620667902</v>
          </cell>
          <cell r="DH773">
            <v>18.362277992096409</v>
          </cell>
          <cell r="DI773">
            <v>14.300000632844487</v>
          </cell>
          <cell r="DJ773">
            <v>22.424555351348332</v>
          </cell>
          <cell r="DU773">
            <v>7.8578488414761534</v>
          </cell>
          <cell r="DV773">
            <v>11.644336226312735</v>
          </cell>
          <cell r="DW773">
            <v>9.8476005987137558</v>
          </cell>
          <cell r="DX773">
            <v>7.1073990168282446</v>
          </cell>
          <cell r="DY773">
            <v>12.587802180599267</v>
          </cell>
        </row>
        <row r="774">
          <cell r="A774">
            <v>40547</v>
          </cell>
          <cell r="DF774">
            <v>16.934804104977907</v>
          </cell>
          <cell r="DG774">
            <v>21.679348620667902</v>
          </cell>
          <cell r="DH774">
            <v>18.362277992096409</v>
          </cell>
          <cell r="DI774">
            <v>14.300000632844487</v>
          </cell>
          <cell r="DJ774">
            <v>22.424555351348332</v>
          </cell>
          <cell r="DU774">
            <v>7.8205019851865378</v>
          </cell>
          <cell r="DV774">
            <v>11.644336226312735</v>
          </cell>
          <cell r="DW774">
            <v>9.8476005987137558</v>
          </cell>
          <cell r="DX774">
            <v>7.1073990168282446</v>
          </cell>
          <cell r="DY774">
            <v>12.587802180599267</v>
          </cell>
        </row>
        <row r="775">
          <cell r="A775">
            <v>40548</v>
          </cell>
          <cell r="DF775">
            <v>17.139693017622466</v>
          </cell>
          <cell r="DG775">
            <v>21.679348620667902</v>
          </cell>
          <cell r="DH775">
            <v>18.362277992096409</v>
          </cell>
          <cell r="DI775">
            <v>14.300000632844487</v>
          </cell>
          <cell r="DJ775">
            <v>22.424555351348332</v>
          </cell>
          <cell r="DU775">
            <v>7.9432249758024156</v>
          </cell>
          <cell r="DV775">
            <v>11.644336226312735</v>
          </cell>
          <cell r="DW775">
            <v>9.8476005987137558</v>
          </cell>
          <cell r="DX775">
            <v>7.1073990168282446</v>
          </cell>
          <cell r="DY775">
            <v>12.587802180599267</v>
          </cell>
        </row>
        <row r="776">
          <cell r="A776">
            <v>40549</v>
          </cell>
          <cell r="DF776">
            <v>17.273326562974987</v>
          </cell>
          <cell r="DG776">
            <v>21.679348620667902</v>
          </cell>
          <cell r="DH776">
            <v>18.362277992096409</v>
          </cell>
          <cell r="DI776">
            <v>14.300000632844487</v>
          </cell>
          <cell r="DJ776">
            <v>22.424555351348332</v>
          </cell>
          <cell r="DU776">
            <v>8.0232679030676604</v>
          </cell>
          <cell r="DV776">
            <v>11.644336226312735</v>
          </cell>
          <cell r="DW776">
            <v>9.8476005987137558</v>
          </cell>
          <cell r="DX776">
            <v>7.1073990168282446</v>
          </cell>
          <cell r="DY776">
            <v>12.587802180599267</v>
          </cell>
        </row>
        <row r="777">
          <cell r="A777">
            <v>40550</v>
          </cell>
          <cell r="DF777">
            <v>17.291133500812389</v>
          </cell>
          <cell r="DG777">
            <v>21.679348620667902</v>
          </cell>
          <cell r="DH777">
            <v>18.362277992096409</v>
          </cell>
          <cell r="DI777">
            <v>14.300000632844487</v>
          </cell>
          <cell r="DJ777">
            <v>22.424555351348332</v>
          </cell>
          <cell r="DU777">
            <v>8.033933783602194</v>
          </cell>
          <cell r="DV777">
            <v>11.644336226312735</v>
          </cell>
          <cell r="DW777">
            <v>9.8476005987137558</v>
          </cell>
          <cell r="DX777">
            <v>7.1073990168282446</v>
          </cell>
          <cell r="DY777">
            <v>12.587802180599267</v>
          </cell>
        </row>
        <row r="778">
          <cell r="A778">
            <v>40553</v>
          </cell>
          <cell r="DF778">
            <v>17.014975858323009</v>
          </cell>
          <cell r="DG778">
            <v>21.679348620667902</v>
          </cell>
          <cell r="DH778">
            <v>18.362277992096409</v>
          </cell>
          <cell r="DI778">
            <v>14.300000632844487</v>
          </cell>
          <cell r="DJ778">
            <v>22.424555351348332</v>
          </cell>
          <cell r="DU778">
            <v>7.868522725823186</v>
          </cell>
          <cell r="DV778">
            <v>11.644336226312735</v>
          </cell>
          <cell r="DW778">
            <v>9.8476005987137558</v>
          </cell>
          <cell r="DX778">
            <v>7.1073990168282446</v>
          </cell>
          <cell r="DY778">
            <v>12.587802180599267</v>
          </cell>
        </row>
        <row r="779">
          <cell r="A779">
            <v>40554</v>
          </cell>
          <cell r="DF779">
            <v>16.988252534432544</v>
          </cell>
          <cell r="DG779">
            <v>21.679348620667902</v>
          </cell>
          <cell r="DH779">
            <v>18.362277992096409</v>
          </cell>
          <cell r="DI779">
            <v>14.300000632844487</v>
          </cell>
          <cell r="DJ779">
            <v>22.424555351348332</v>
          </cell>
          <cell r="DU779">
            <v>7.8525161680026372</v>
          </cell>
          <cell r="DV779">
            <v>11.644336226312735</v>
          </cell>
          <cell r="DW779">
            <v>9.8476005987137558</v>
          </cell>
          <cell r="DX779">
            <v>7.1073990168282446</v>
          </cell>
          <cell r="DY779">
            <v>12.587802180599267</v>
          </cell>
        </row>
        <row r="780">
          <cell r="A780">
            <v>40555</v>
          </cell>
          <cell r="DF780">
            <v>16.988252534432544</v>
          </cell>
          <cell r="DG780">
            <v>21.679348620667902</v>
          </cell>
          <cell r="DH780">
            <v>18.362277992096409</v>
          </cell>
          <cell r="DI780">
            <v>14.300000632844487</v>
          </cell>
          <cell r="DJ780">
            <v>22.424555351348332</v>
          </cell>
          <cell r="DU780">
            <v>7.8525161680026372</v>
          </cell>
          <cell r="DV780">
            <v>11.644336226312735</v>
          </cell>
          <cell r="DW780">
            <v>9.8476005987137558</v>
          </cell>
          <cell r="DX780">
            <v>7.1073990168282446</v>
          </cell>
          <cell r="DY780">
            <v>12.587802180599267</v>
          </cell>
        </row>
        <row r="781">
          <cell r="A781">
            <v>40556</v>
          </cell>
          <cell r="DF781">
            <v>16.667550376825655</v>
          </cell>
          <cell r="DG781">
            <v>21.679348620667902</v>
          </cell>
          <cell r="DH781">
            <v>18.362277992096409</v>
          </cell>
          <cell r="DI781">
            <v>14.300000632844487</v>
          </cell>
          <cell r="DJ781">
            <v>22.424555351348332</v>
          </cell>
          <cell r="DU781">
            <v>7.6604241344685482</v>
          </cell>
          <cell r="DV781">
            <v>11.644336226312735</v>
          </cell>
          <cell r="DW781">
            <v>9.8476005987137558</v>
          </cell>
          <cell r="DX781">
            <v>7.1073990168282446</v>
          </cell>
          <cell r="DY781">
            <v>12.587802180599267</v>
          </cell>
        </row>
        <row r="782">
          <cell r="A782">
            <v>40557</v>
          </cell>
          <cell r="DF782">
            <v>16.063874725577076</v>
          </cell>
          <cell r="DG782">
            <v>21.679348620667902</v>
          </cell>
          <cell r="DH782">
            <v>18.362277992096409</v>
          </cell>
          <cell r="DI782">
            <v>14.300000632844487</v>
          </cell>
          <cell r="DJ782">
            <v>22.424555351348332</v>
          </cell>
          <cell r="DU782">
            <v>7.3053765396320909</v>
          </cell>
          <cell r="DV782">
            <v>11.644336226312735</v>
          </cell>
          <cell r="DW782">
            <v>9.8476005987137558</v>
          </cell>
          <cell r="DX782">
            <v>7.1073990168282446</v>
          </cell>
          <cell r="DY782">
            <v>12.587802180599267</v>
          </cell>
        </row>
        <row r="783">
          <cell r="A783">
            <v>40560</v>
          </cell>
          <cell r="DF783">
            <v>16.572557844824626</v>
          </cell>
          <cell r="DG783">
            <v>21.679348620667902</v>
          </cell>
          <cell r="DH783">
            <v>18.362277992096409</v>
          </cell>
          <cell r="DI783">
            <v>14.300000632844487</v>
          </cell>
          <cell r="DJ783">
            <v>22.424555351348332</v>
          </cell>
          <cell r="DU783">
            <v>7.610511573156022</v>
          </cell>
          <cell r="DV783">
            <v>11.644336226312735</v>
          </cell>
          <cell r="DW783">
            <v>9.8476005987137558</v>
          </cell>
          <cell r="DX783">
            <v>7.1073990168282446</v>
          </cell>
          <cell r="DY783">
            <v>12.587802180599267</v>
          </cell>
        </row>
        <row r="784">
          <cell r="A784">
            <v>40561</v>
          </cell>
          <cell r="DF784">
            <v>16.483307849286803</v>
          </cell>
          <cell r="DG784">
            <v>21.679348620667902</v>
          </cell>
          <cell r="DH784">
            <v>18.362277992096409</v>
          </cell>
          <cell r="DI784">
            <v>14.300000632844487</v>
          </cell>
          <cell r="DJ784">
            <v>22.424555351348332</v>
          </cell>
          <cell r="DU784">
            <v>7.5569747063916433</v>
          </cell>
          <cell r="DV784">
            <v>11.644336226312735</v>
          </cell>
          <cell r="DW784">
            <v>9.8476005987137558</v>
          </cell>
          <cell r="DX784">
            <v>7.1073990168282446</v>
          </cell>
          <cell r="DY784">
            <v>12.587802180599267</v>
          </cell>
        </row>
        <row r="785">
          <cell r="A785">
            <v>40562</v>
          </cell>
          <cell r="DF785">
            <v>16.527933293274458</v>
          </cell>
          <cell r="DG785">
            <v>21.679348620667902</v>
          </cell>
          <cell r="DH785">
            <v>18.362277992096409</v>
          </cell>
          <cell r="DI785">
            <v>14.300000632844487</v>
          </cell>
          <cell r="DJ785">
            <v>22.424555351348332</v>
          </cell>
          <cell r="DU785">
            <v>7.5837434074394299</v>
          </cell>
          <cell r="DV785">
            <v>11.644336226312735</v>
          </cell>
          <cell r="DW785">
            <v>9.8476005987137558</v>
          </cell>
          <cell r="DX785">
            <v>7.1073990168282446</v>
          </cell>
          <cell r="DY785">
            <v>12.587802180599267</v>
          </cell>
        </row>
        <row r="786">
          <cell r="A786">
            <v>40563</v>
          </cell>
          <cell r="DF786">
            <v>16.321273235758586</v>
          </cell>
          <cell r="DG786">
            <v>21.679348620667902</v>
          </cell>
          <cell r="DH786">
            <v>18.362277992096409</v>
          </cell>
          <cell r="DI786">
            <v>14.300000632844487</v>
          </cell>
          <cell r="DJ786">
            <v>22.424555351348332</v>
          </cell>
          <cell r="DU786">
            <v>7.5163144749637194</v>
          </cell>
          <cell r="DV786">
            <v>11.644336226312735</v>
          </cell>
          <cell r="DW786">
            <v>9.8476005987137558</v>
          </cell>
          <cell r="DX786">
            <v>7.1073990168282446</v>
          </cell>
          <cell r="DY786">
            <v>12.587802180599267</v>
          </cell>
        </row>
        <row r="787">
          <cell r="A787">
            <v>40564</v>
          </cell>
          <cell r="DF787">
            <v>16.857677506781009</v>
          </cell>
          <cell r="DG787">
            <v>21.679348620667902</v>
          </cell>
          <cell r="DH787">
            <v>18.362277992096409</v>
          </cell>
          <cell r="DI787">
            <v>14.300000632844487</v>
          </cell>
          <cell r="DJ787">
            <v>22.424555351348332</v>
          </cell>
          <cell r="DU787">
            <v>7.8988582786014794</v>
          </cell>
          <cell r="DV787">
            <v>11.644336226312735</v>
          </cell>
          <cell r="DW787">
            <v>9.8476005987137558</v>
          </cell>
          <cell r="DX787">
            <v>7.1073990168282446</v>
          </cell>
          <cell r="DY787">
            <v>12.587802180599267</v>
          </cell>
        </row>
        <row r="788">
          <cell r="A788">
            <v>40567</v>
          </cell>
          <cell r="DF788">
            <v>17.217288341486626</v>
          </cell>
          <cell r="DG788">
            <v>21.679348620667902</v>
          </cell>
          <cell r="DH788">
            <v>18.362277992096409</v>
          </cell>
          <cell r="DI788">
            <v>14.300000632844487</v>
          </cell>
          <cell r="DJ788">
            <v>22.424555351348332</v>
          </cell>
          <cell r="DU788">
            <v>8.1167020834347632</v>
          </cell>
          <cell r="DV788">
            <v>11.644336226312735</v>
          </cell>
          <cell r="DW788">
            <v>9.8476005987137558</v>
          </cell>
          <cell r="DX788">
            <v>7.1073990168282446</v>
          </cell>
          <cell r="DY788">
            <v>12.587802180599267</v>
          </cell>
        </row>
        <row r="789">
          <cell r="A789">
            <v>40568</v>
          </cell>
          <cell r="DF789">
            <v>17.120808327102331</v>
          </cell>
          <cell r="DG789">
            <v>21.679348620667902</v>
          </cell>
          <cell r="DH789">
            <v>18.362277992096409</v>
          </cell>
          <cell r="DI789">
            <v>14.300000632844487</v>
          </cell>
          <cell r="DJ789">
            <v>22.424555351348332</v>
          </cell>
          <cell r="DU789">
            <v>8.0582567547753818</v>
          </cell>
          <cell r="DV789">
            <v>11.644336226312735</v>
          </cell>
          <cell r="DW789">
            <v>9.8476005987137558</v>
          </cell>
          <cell r="DX789">
            <v>7.1073990168282446</v>
          </cell>
          <cell r="DY789">
            <v>12.587802180599267</v>
          </cell>
        </row>
        <row r="790">
          <cell r="A790">
            <v>40569</v>
          </cell>
          <cell r="DF790">
            <v>16.691041611391658</v>
          </cell>
          <cell r="DG790">
            <v>21.679348620667902</v>
          </cell>
          <cell r="DH790">
            <v>18.362277992096409</v>
          </cell>
          <cell r="DI790">
            <v>14.300000632844487</v>
          </cell>
          <cell r="DJ790">
            <v>22.424555351348332</v>
          </cell>
          <cell r="DU790">
            <v>7.7979141635468432</v>
          </cell>
          <cell r="DV790">
            <v>11.644336226312735</v>
          </cell>
          <cell r="DW790">
            <v>9.8476005987137558</v>
          </cell>
          <cell r="DX790">
            <v>7.1073990168282446</v>
          </cell>
          <cell r="DY790">
            <v>12.587802180599267</v>
          </cell>
        </row>
        <row r="791">
          <cell r="A791">
            <v>40570</v>
          </cell>
          <cell r="DF791">
            <v>16.561545218947639</v>
          </cell>
          <cell r="DG791">
            <v>21.679348620667902</v>
          </cell>
          <cell r="DH791">
            <v>18.362277992096409</v>
          </cell>
          <cell r="DI791">
            <v>14.300000632844487</v>
          </cell>
          <cell r="DJ791">
            <v>22.424555351348332</v>
          </cell>
          <cell r="DU791">
            <v>7.7288397548889982</v>
          </cell>
          <cell r="DV791">
            <v>11.644336226312735</v>
          </cell>
          <cell r="DW791">
            <v>9.8476005987137558</v>
          </cell>
          <cell r="DX791">
            <v>7.1073990168282446</v>
          </cell>
          <cell r="DY791">
            <v>12.587802180599267</v>
          </cell>
        </row>
        <row r="792">
          <cell r="A792">
            <v>40571</v>
          </cell>
          <cell r="DF792">
            <v>16.630138963612264</v>
          </cell>
          <cell r="DG792">
            <v>21.679348620667902</v>
          </cell>
          <cell r="DH792">
            <v>18.362277992096409</v>
          </cell>
          <cell r="DI792">
            <v>14.300000632844487</v>
          </cell>
          <cell r="DJ792">
            <v>22.424555351348332</v>
          </cell>
          <cell r="DU792">
            <v>7.7872856148695497</v>
          </cell>
          <cell r="DV792">
            <v>11.644336226312735</v>
          </cell>
          <cell r="DW792">
            <v>9.8476005987137558</v>
          </cell>
          <cell r="DX792">
            <v>7.1073990168282446</v>
          </cell>
          <cell r="DY792">
            <v>12.587802180599267</v>
          </cell>
        </row>
        <row r="793">
          <cell r="A793">
            <v>40574</v>
          </cell>
          <cell r="DF793">
            <v>16.217381206988172</v>
          </cell>
          <cell r="DG793">
            <v>21.679348620667902</v>
          </cell>
          <cell r="DH793">
            <v>18.362277992096409</v>
          </cell>
          <cell r="DI793">
            <v>14.300000632844487</v>
          </cell>
          <cell r="DJ793">
            <v>22.424555351348332</v>
          </cell>
          <cell r="DU793">
            <v>7.5375641338219301</v>
          </cell>
          <cell r="DV793">
            <v>11.644336226312735</v>
          </cell>
          <cell r="DW793">
            <v>9.8476005987137558</v>
          </cell>
          <cell r="DX793">
            <v>7.1073990168282446</v>
          </cell>
          <cell r="DY793">
            <v>12.587802180599267</v>
          </cell>
        </row>
        <row r="794">
          <cell r="A794">
            <v>40575</v>
          </cell>
          <cell r="DF794">
            <v>16.433723349446982</v>
          </cell>
          <cell r="DG794">
            <v>21.679348620667902</v>
          </cell>
          <cell r="DH794">
            <v>18.362277992096409</v>
          </cell>
          <cell r="DI794">
            <v>14.300000632844487</v>
          </cell>
          <cell r="DJ794">
            <v>22.424555351348332</v>
          </cell>
          <cell r="DU794">
            <v>7.6916482198636329</v>
          </cell>
          <cell r="DV794">
            <v>11.644336226312735</v>
          </cell>
          <cell r="DW794">
            <v>9.8476005987137558</v>
          </cell>
          <cell r="DX794">
            <v>7.1073990168282446</v>
          </cell>
          <cell r="DY794">
            <v>12.587802180599267</v>
          </cell>
        </row>
        <row r="795">
          <cell r="A795">
            <v>40576</v>
          </cell>
          <cell r="DF795">
            <v>16.521421947449767</v>
          </cell>
          <cell r="DG795">
            <v>21.679348620667902</v>
          </cell>
          <cell r="DH795">
            <v>18.362277992096409</v>
          </cell>
          <cell r="DI795">
            <v>14.300000632844487</v>
          </cell>
          <cell r="DJ795">
            <v>22.424555351348332</v>
          </cell>
          <cell r="DU795">
            <v>7.7451159508006375</v>
          </cell>
          <cell r="DV795">
            <v>11.644336226312735</v>
          </cell>
          <cell r="DW795">
            <v>9.8476005987137558</v>
          </cell>
          <cell r="DX795">
            <v>7.1073990168282446</v>
          </cell>
          <cell r="DY795">
            <v>12.587802180599267</v>
          </cell>
        </row>
        <row r="796">
          <cell r="A796">
            <v>40577</v>
          </cell>
          <cell r="DF796">
            <v>16.398651276486127</v>
          </cell>
          <cell r="DG796">
            <v>21.679348620667902</v>
          </cell>
          <cell r="DH796">
            <v>18.362277992096409</v>
          </cell>
          <cell r="DI796">
            <v>14.300000632844487</v>
          </cell>
          <cell r="DJ796">
            <v>22.424555351348332</v>
          </cell>
          <cell r="DU796">
            <v>7.6702656185087674</v>
          </cell>
          <cell r="DV796">
            <v>11.644336226312735</v>
          </cell>
          <cell r="DW796">
            <v>9.8476005987137558</v>
          </cell>
          <cell r="DX796">
            <v>7.1073990168282446</v>
          </cell>
          <cell r="DY796">
            <v>12.587802180599267</v>
          </cell>
        </row>
        <row r="797">
          <cell r="A797">
            <v>40578</v>
          </cell>
          <cell r="DF797">
            <v>16.346037905444661</v>
          </cell>
          <cell r="DG797">
            <v>21.679348620667902</v>
          </cell>
          <cell r="DH797">
            <v>18.362277992096409</v>
          </cell>
          <cell r="DI797">
            <v>14.300000632844487</v>
          </cell>
          <cell r="DJ797">
            <v>22.424555351348332</v>
          </cell>
          <cell r="DU797">
            <v>7.6381885086050882</v>
          </cell>
          <cell r="DV797">
            <v>11.644336226312735</v>
          </cell>
          <cell r="DW797">
            <v>9.8476005987137558</v>
          </cell>
          <cell r="DX797">
            <v>7.1073990168282446</v>
          </cell>
          <cell r="DY797">
            <v>12.587802180599267</v>
          </cell>
        </row>
        <row r="798">
          <cell r="A798">
            <v>40581</v>
          </cell>
          <cell r="DF798">
            <v>16.547729071437185</v>
          </cell>
          <cell r="DG798">
            <v>21.679348620667902</v>
          </cell>
          <cell r="DH798">
            <v>18.362277992096409</v>
          </cell>
          <cell r="DI798">
            <v>14.300000632844487</v>
          </cell>
          <cell r="DJ798">
            <v>22.424555351348332</v>
          </cell>
          <cell r="DU798">
            <v>7.761154773075094</v>
          </cell>
          <cell r="DV798">
            <v>11.644336226312735</v>
          </cell>
          <cell r="DW798">
            <v>9.8476005987137558</v>
          </cell>
          <cell r="DX798">
            <v>7.1073990168282446</v>
          </cell>
          <cell r="DY798">
            <v>12.587802180599267</v>
          </cell>
        </row>
        <row r="799">
          <cell r="A799">
            <v>40582</v>
          </cell>
          <cell r="DF799">
            <v>16.863425082486543</v>
          </cell>
          <cell r="DG799">
            <v>21.679348620667902</v>
          </cell>
          <cell r="DH799">
            <v>18.362277992096409</v>
          </cell>
          <cell r="DI799">
            <v>14.300000632844487</v>
          </cell>
          <cell r="DJ799">
            <v>22.424555351348332</v>
          </cell>
          <cell r="DU799">
            <v>7.9536270561113307</v>
          </cell>
          <cell r="DV799">
            <v>11.644336226312735</v>
          </cell>
          <cell r="DW799">
            <v>9.8476005987137558</v>
          </cell>
          <cell r="DX799">
            <v>7.1073990168282446</v>
          </cell>
          <cell r="DY799">
            <v>12.587802180599267</v>
          </cell>
        </row>
        <row r="800">
          <cell r="A800">
            <v>40583</v>
          </cell>
          <cell r="DF800">
            <v>16.897192652135082</v>
          </cell>
          <cell r="DG800">
            <v>21.679348620667902</v>
          </cell>
          <cell r="DH800">
            <v>18.362277992096409</v>
          </cell>
          <cell r="DI800">
            <v>14.300000632844487</v>
          </cell>
          <cell r="DJ800">
            <v>22.424555351348332</v>
          </cell>
          <cell r="DU800">
            <v>7.9643220993053765</v>
          </cell>
          <cell r="DV800">
            <v>11.644336226312735</v>
          </cell>
          <cell r="DW800">
            <v>9.8476005987137558</v>
          </cell>
          <cell r="DX800">
            <v>7.1073990168282446</v>
          </cell>
          <cell r="DY800">
            <v>12.587802180599267</v>
          </cell>
        </row>
        <row r="801">
          <cell r="A801">
            <v>40584</v>
          </cell>
          <cell r="DF801">
            <v>16.862074580258373</v>
          </cell>
          <cell r="DG801">
            <v>21.679348620667902</v>
          </cell>
          <cell r="DH801">
            <v>18.362277992096409</v>
          </cell>
          <cell r="DI801">
            <v>14.300000632844487</v>
          </cell>
          <cell r="DJ801">
            <v>22.424555351348332</v>
          </cell>
          <cell r="DU801">
            <v>7.9429320129172831</v>
          </cell>
          <cell r="DV801">
            <v>11.644336226312735</v>
          </cell>
          <cell r="DW801">
            <v>9.8476005987137558</v>
          </cell>
          <cell r="DX801">
            <v>7.1073990168282446</v>
          </cell>
          <cell r="DY801">
            <v>12.587802180599267</v>
          </cell>
        </row>
        <row r="802">
          <cell r="A802">
            <v>40585</v>
          </cell>
          <cell r="DF802">
            <v>16.9761898805566</v>
          </cell>
          <cell r="DG802">
            <v>21.679348620667902</v>
          </cell>
          <cell r="DH802">
            <v>18.362277992096409</v>
          </cell>
          <cell r="DI802">
            <v>14.300000632844487</v>
          </cell>
          <cell r="DJ802">
            <v>22.424555351348332</v>
          </cell>
          <cell r="DU802">
            <v>8.0124385661287434</v>
          </cell>
          <cell r="DV802">
            <v>11.644336226312735</v>
          </cell>
          <cell r="DW802">
            <v>9.8476005987137558</v>
          </cell>
          <cell r="DX802">
            <v>7.1073990168282446</v>
          </cell>
          <cell r="DY802">
            <v>12.587802180599267</v>
          </cell>
        </row>
        <row r="803">
          <cell r="A803">
            <v>40588</v>
          </cell>
          <cell r="DF803">
            <v>17.028853821728035</v>
          </cell>
          <cell r="DG803">
            <v>21.679348620667902</v>
          </cell>
          <cell r="DH803">
            <v>18.362277992096409</v>
          </cell>
          <cell r="DI803">
            <v>14.300000632844487</v>
          </cell>
          <cell r="DJ803">
            <v>22.424555351348332</v>
          </cell>
          <cell r="DU803">
            <v>8.0445156760324252</v>
          </cell>
          <cell r="DV803">
            <v>11.644336226312735</v>
          </cell>
          <cell r="DW803">
            <v>9.8476005987137558</v>
          </cell>
          <cell r="DX803">
            <v>7.1073990168282446</v>
          </cell>
          <cell r="DY803">
            <v>12.587802180599267</v>
          </cell>
        </row>
        <row r="804">
          <cell r="A804">
            <v>40589</v>
          </cell>
          <cell r="DF804">
            <v>17.283403665154697</v>
          </cell>
          <cell r="DG804">
            <v>21.679348620667902</v>
          </cell>
          <cell r="DH804">
            <v>18.362277992096409</v>
          </cell>
          <cell r="DI804">
            <v>14.300000632844487</v>
          </cell>
          <cell r="DJ804">
            <v>22.424555351348332</v>
          </cell>
          <cell r="DU804">
            <v>8.1995595850513414</v>
          </cell>
          <cell r="DV804">
            <v>11.644336226312735</v>
          </cell>
          <cell r="DW804">
            <v>9.8476005987137558</v>
          </cell>
          <cell r="DX804">
            <v>7.1073990168282446</v>
          </cell>
          <cell r="DY804">
            <v>12.587802180599267</v>
          </cell>
        </row>
        <row r="805">
          <cell r="A805">
            <v>40590</v>
          </cell>
          <cell r="DF805">
            <v>17.3624131824436</v>
          </cell>
          <cell r="DG805">
            <v>21.679348620667902</v>
          </cell>
          <cell r="DH805">
            <v>18.362277992096409</v>
          </cell>
          <cell r="DI805">
            <v>14.300000632844487</v>
          </cell>
          <cell r="DJ805">
            <v>22.424555351348332</v>
          </cell>
          <cell r="DU805">
            <v>8.2476835369079371</v>
          </cell>
          <cell r="DV805">
            <v>11.644336226312735</v>
          </cell>
          <cell r="DW805">
            <v>9.8476005987137558</v>
          </cell>
          <cell r="DX805">
            <v>7.1073990168282446</v>
          </cell>
          <cell r="DY805">
            <v>12.587802180599267</v>
          </cell>
        </row>
        <row r="806">
          <cell r="A806">
            <v>40591</v>
          </cell>
          <cell r="DF806">
            <v>17.397518965452921</v>
          </cell>
          <cell r="DG806">
            <v>21.679348620667902</v>
          </cell>
          <cell r="DH806">
            <v>18.362277992096409</v>
          </cell>
          <cell r="DI806">
            <v>14.300000632844487</v>
          </cell>
          <cell r="DJ806">
            <v>22.424555351348332</v>
          </cell>
          <cell r="DU806">
            <v>8.2690661382628026</v>
          </cell>
          <cell r="DV806">
            <v>11.644336226312735</v>
          </cell>
          <cell r="DW806">
            <v>9.8476005987137558</v>
          </cell>
          <cell r="DX806">
            <v>7.1073990168282446</v>
          </cell>
          <cell r="DY806">
            <v>12.587802180599267</v>
          </cell>
        </row>
        <row r="807">
          <cell r="A807">
            <v>40592</v>
          </cell>
          <cell r="DF807">
            <v>17.511633387974904</v>
          </cell>
          <cell r="DG807">
            <v>21.679348620667902</v>
          </cell>
          <cell r="DH807">
            <v>18.362277992096409</v>
          </cell>
          <cell r="DI807">
            <v>14.300000632844487</v>
          </cell>
          <cell r="DJ807">
            <v>22.424555351348332</v>
          </cell>
          <cell r="DU807">
            <v>8.3385721568290325</v>
          </cell>
          <cell r="DV807">
            <v>11.644336226312735</v>
          </cell>
          <cell r="DW807">
            <v>9.8476005987137558</v>
          </cell>
          <cell r="DX807">
            <v>7.1073990168282446</v>
          </cell>
          <cell r="DY807">
            <v>12.587802180599267</v>
          </cell>
        </row>
        <row r="808">
          <cell r="A808">
            <v>40595</v>
          </cell>
          <cell r="DF808">
            <v>17.688777498814893</v>
          </cell>
          <cell r="DG808">
            <v>21.679348620667902</v>
          </cell>
          <cell r="DH808">
            <v>18.362277992096409</v>
          </cell>
          <cell r="DI808">
            <v>14.300000632844487</v>
          </cell>
          <cell r="DJ808">
            <v>22.424555351348332</v>
          </cell>
          <cell r="DU808">
            <v>8.4454995990245827</v>
          </cell>
          <cell r="DV808">
            <v>11.644336226312735</v>
          </cell>
          <cell r="DW808">
            <v>9.8476005987137558</v>
          </cell>
          <cell r="DX808">
            <v>7.1073990168282446</v>
          </cell>
          <cell r="DY808">
            <v>12.587802180599267</v>
          </cell>
        </row>
        <row r="809">
          <cell r="A809">
            <v>40596</v>
          </cell>
          <cell r="DF809">
            <v>17.562271469107124</v>
          </cell>
          <cell r="DG809">
            <v>21.679348620667902</v>
          </cell>
          <cell r="DH809">
            <v>18.362277992096409</v>
          </cell>
          <cell r="DI809">
            <v>14.300000632844487</v>
          </cell>
          <cell r="DJ809">
            <v>22.424555351348332</v>
          </cell>
          <cell r="DU809">
            <v>8.4348085186250223</v>
          </cell>
          <cell r="DV809">
            <v>11.644336226312735</v>
          </cell>
          <cell r="DW809">
            <v>9.8476005987137558</v>
          </cell>
          <cell r="DX809">
            <v>7.1073990168282446</v>
          </cell>
          <cell r="DY809">
            <v>12.587802180599267</v>
          </cell>
        </row>
        <row r="810">
          <cell r="A810">
            <v>40597</v>
          </cell>
          <cell r="DF810">
            <v>17.354030907530664</v>
          </cell>
          <cell r="DG810">
            <v>21.679348620667902</v>
          </cell>
          <cell r="DH810">
            <v>18.362277992096409</v>
          </cell>
          <cell r="DI810">
            <v>14.300000632844487</v>
          </cell>
          <cell r="DJ810">
            <v>22.424555351348332</v>
          </cell>
          <cell r="DU810">
            <v>8.3073868598198981</v>
          </cell>
          <cell r="DV810">
            <v>11.644336226312735</v>
          </cell>
          <cell r="DW810">
            <v>9.8476005987137558</v>
          </cell>
          <cell r="DX810">
            <v>7.1073990168282446</v>
          </cell>
          <cell r="DY810">
            <v>12.587802180599267</v>
          </cell>
        </row>
        <row r="811">
          <cell r="A811">
            <v>40598</v>
          </cell>
          <cell r="DF811">
            <v>17.449465929700445</v>
          </cell>
          <cell r="DG811">
            <v>21.679348620667902</v>
          </cell>
          <cell r="DH811">
            <v>18.362277992096409</v>
          </cell>
          <cell r="DI811">
            <v>14.300000632844487</v>
          </cell>
          <cell r="DJ811">
            <v>22.424555351348332</v>
          </cell>
          <cell r="DU811">
            <v>8.365783210371962</v>
          </cell>
          <cell r="DV811">
            <v>11.644336226312735</v>
          </cell>
          <cell r="DW811">
            <v>9.8476005987137558</v>
          </cell>
          <cell r="DX811">
            <v>7.1073990168282446</v>
          </cell>
          <cell r="DY811">
            <v>12.587802180599267</v>
          </cell>
        </row>
        <row r="812">
          <cell r="A812">
            <v>40599</v>
          </cell>
          <cell r="DF812">
            <v>17.467852026776413</v>
          </cell>
          <cell r="DG812">
            <v>21.679348620667902</v>
          </cell>
          <cell r="DH812">
            <v>18.362277992096409</v>
          </cell>
          <cell r="DI812">
            <v>14.300000632844487</v>
          </cell>
          <cell r="DJ812">
            <v>22.424555351348332</v>
          </cell>
          <cell r="DU812">
            <v>8.3749980619919864</v>
          </cell>
          <cell r="DV812">
            <v>11.644336226312735</v>
          </cell>
          <cell r="DW812">
            <v>9.8476005987137558</v>
          </cell>
          <cell r="DX812">
            <v>7.1073990168282446</v>
          </cell>
          <cell r="DY812">
            <v>12.587802180599267</v>
          </cell>
        </row>
        <row r="813">
          <cell r="A813">
            <v>40602</v>
          </cell>
          <cell r="DF813">
            <v>17.354983808376115</v>
          </cell>
          <cell r="DG813">
            <v>21.679348620667902</v>
          </cell>
          <cell r="DH813">
            <v>18.362277992096409</v>
          </cell>
          <cell r="DI813">
            <v>14.300000632844487</v>
          </cell>
          <cell r="DJ813">
            <v>22.424555351348332</v>
          </cell>
          <cell r="DU813">
            <v>8.3059405947425908</v>
          </cell>
          <cell r="DV813">
            <v>11.644336226312735</v>
          </cell>
          <cell r="DW813">
            <v>9.8476005987137558</v>
          </cell>
          <cell r="DX813">
            <v>7.1073990168282446</v>
          </cell>
          <cell r="DY813">
            <v>12.587802180599267</v>
          </cell>
        </row>
        <row r="814">
          <cell r="A814">
            <v>40603</v>
          </cell>
          <cell r="DF814">
            <v>17.615441514808513</v>
          </cell>
          <cell r="DG814">
            <v>21.679348620667902</v>
          </cell>
          <cell r="DH814">
            <v>18.362277992096409</v>
          </cell>
          <cell r="DI814">
            <v>14.300000632844487</v>
          </cell>
          <cell r="DJ814">
            <v>22.424555351348332</v>
          </cell>
          <cell r="DU814">
            <v>8.4652994451500394</v>
          </cell>
          <cell r="DV814">
            <v>11.644336226312735</v>
          </cell>
          <cell r="DW814">
            <v>9.8476005987137558</v>
          </cell>
          <cell r="DX814">
            <v>7.1073990168282446</v>
          </cell>
          <cell r="DY814">
            <v>12.587802180599267</v>
          </cell>
        </row>
        <row r="815">
          <cell r="A815">
            <v>40604</v>
          </cell>
          <cell r="DF815">
            <v>17.710935983778242</v>
          </cell>
          <cell r="DG815">
            <v>21.679348620667902</v>
          </cell>
          <cell r="DH815">
            <v>18.362277992096409</v>
          </cell>
          <cell r="DI815">
            <v>14.300000632844487</v>
          </cell>
          <cell r="DJ815">
            <v>22.424555351348332</v>
          </cell>
          <cell r="DU815">
            <v>8.4812346396426701</v>
          </cell>
          <cell r="DV815">
            <v>11.644336226312735</v>
          </cell>
          <cell r="DW815">
            <v>9.8476005987137558</v>
          </cell>
          <cell r="DX815">
            <v>7.1073990168282446</v>
          </cell>
          <cell r="DY815">
            <v>12.587802180599267</v>
          </cell>
        </row>
        <row r="816">
          <cell r="A816">
            <v>40605</v>
          </cell>
          <cell r="DF816">
            <v>17.859106492270559</v>
          </cell>
          <cell r="DG816">
            <v>21.679348620667902</v>
          </cell>
          <cell r="DH816">
            <v>18.362277992096409</v>
          </cell>
          <cell r="DI816">
            <v>14.300000632844487</v>
          </cell>
          <cell r="DJ816">
            <v>22.424555351348332</v>
          </cell>
          <cell r="DU816">
            <v>8.5704892310551113</v>
          </cell>
          <cell r="DV816">
            <v>11.644336226312735</v>
          </cell>
          <cell r="DW816">
            <v>9.8476005987137558</v>
          </cell>
          <cell r="DX816">
            <v>7.1073990168282446</v>
          </cell>
          <cell r="DY816">
            <v>12.587802180599267</v>
          </cell>
        </row>
        <row r="817">
          <cell r="A817">
            <v>40606</v>
          </cell>
          <cell r="DF817">
            <v>17.428532223539481</v>
          </cell>
          <cell r="DG817">
            <v>21.679348620667902</v>
          </cell>
          <cell r="DH817">
            <v>18.362277992096409</v>
          </cell>
          <cell r="DI817">
            <v>14.300000632844487</v>
          </cell>
          <cell r="DJ817">
            <v>22.424555351348332</v>
          </cell>
          <cell r="DU817">
            <v>8.3075483072834775</v>
          </cell>
          <cell r="DV817">
            <v>11.644336226312735</v>
          </cell>
          <cell r="DW817">
            <v>9.8476005987137558</v>
          </cell>
          <cell r="DX817">
            <v>7.1073990168282446</v>
          </cell>
          <cell r="DY817">
            <v>12.587802180599267</v>
          </cell>
        </row>
        <row r="818">
          <cell r="A818">
            <v>40609</v>
          </cell>
          <cell r="DF818">
            <v>17.586011968994253</v>
          </cell>
          <cell r="DG818">
            <v>21.679348620667902</v>
          </cell>
          <cell r="DH818">
            <v>18.362277992096409</v>
          </cell>
          <cell r="DI818">
            <v>14.300000632844487</v>
          </cell>
          <cell r="DJ818">
            <v>22.424555351348332</v>
          </cell>
          <cell r="DU818">
            <v>8.4036068964588626</v>
          </cell>
          <cell r="DV818">
            <v>11.644336226312735</v>
          </cell>
          <cell r="DW818">
            <v>9.8476005987137558</v>
          </cell>
          <cell r="DX818">
            <v>7.1073990168282446</v>
          </cell>
          <cell r="DY818">
            <v>12.587802180599267</v>
          </cell>
        </row>
        <row r="819">
          <cell r="A819">
            <v>40610</v>
          </cell>
          <cell r="DF819">
            <v>17.977247484805478</v>
          </cell>
          <cell r="DG819">
            <v>21.679348620667902</v>
          </cell>
          <cell r="DH819">
            <v>18.362277992096409</v>
          </cell>
          <cell r="DI819">
            <v>14.300000632844487</v>
          </cell>
          <cell r="DJ819">
            <v>22.424555351348332</v>
          </cell>
          <cell r="DU819">
            <v>8.6442886515361383</v>
          </cell>
          <cell r="DV819">
            <v>11.644336226312735</v>
          </cell>
          <cell r="DW819">
            <v>9.8476005987137558</v>
          </cell>
          <cell r="DX819">
            <v>7.1073990168282446</v>
          </cell>
          <cell r="DY819">
            <v>12.587802180599267</v>
          </cell>
        </row>
        <row r="820">
          <cell r="A820">
            <v>40611</v>
          </cell>
          <cell r="DF820">
            <v>17.679671438138115</v>
          </cell>
          <cell r="DG820">
            <v>21.679348620667902</v>
          </cell>
          <cell r="DH820">
            <v>18.362277992096409</v>
          </cell>
          <cell r="DI820">
            <v>14.300000632844487</v>
          </cell>
          <cell r="DJ820">
            <v>22.424555351348332</v>
          </cell>
          <cell r="DU820">
            <v>8.4627151002995422</v>
          </cell>
          <cell r="DV820">
            <v>11.644336226312735</v>
          </cell>
          <cell r="DW820">
            <v>9.8476005987137558</v>
          </cell>
          <cell r="DX820">
            <v>7.1073990168282446</v>
          </cell>
          <cell r="DY820">
            <v>12.587802180599267</v>
          </cell>
        </row>
        <row r="821">
          <cell r="A821">
            <v>40612</v>
          </cell>
          <cell r="DF821">
            <v>17.530883852420125</v>
          </cell>
          <cell r="DG821">
            <v>21.679348620667902</v>
          </cell>
          <cell r="DH821">
            <v>18.362277992096409</v>
          </cell>
          <cell r="DI821">
            <v>14.300000632844487</v>
          </cell>
          <cell r="DJ821">
            <v>22.424555351348332</v>
          </cell>
          <cell r="DU821">
            <v>8.3719285917035275</v>
          </cell>
          <cell r="DV821">
            <v>11.644336226312735</v>
          </cell>
          <cell r="DW821">
            <v>9.8476005987137558</v>
          </cell>
          <cell r="DX821">
            <v>7.1073990168282446</v>
          </cell>
          <cell r="DY821">
            <v>12.587802180599267</v>
          </cell>
        </row>
        <row r="822">
          <cell r="A822">
            <v>40613</v>
          </cell>
          <cell r="DF822">
            <v>17.854715090303671</v>
          </cell>
          <cell r="DG822">
            <v>21.679348620667902</v>
          </cell>
          <cell r="DH822">
            <v>18.362277992096409</v>
          </cell>
          <cell r="DI822">
            <v>14.300000632844487</v>
          </cell>
          <cell r="DJ822">
            <v>22.424555351348332</v>
          </cell>
          <cell r="DU822">
            <v>8.5695224119130717</v>
          </cell>
          <cell r="DV822">
            <v>11.644336226312735</v>
          </cell>
          <cell r="DW822">
            <v>9.8476005987137558</v>
          </cell>
          <cell r="DX822">
            <v>7.1073990168282446</v>
          </cell>
          <cell r="DY822">
            <v>12.587802180599267</v>
          </cell>
        </row>
        <row r="823">
          <cell r="A823">
            <v>40616</v>
          </cell>
          <cell r="DF823">
            <v>17.977247484805478</v>
          </cell>
          <cell r="DG823">
            <v>21.679348620667902</v>
          </cell>
          <cell r="DH823">
            <v>18.362277992096409</v>
          </cell>
          <cell r="DI823">
            <v>14.300000632844487</v>
          </cell>
          <cell r="DJ823">
            <v>22.424555351348332</v>
          </cell>
          <cell r="DU823">
            <v>8.6442886515361383</v>
          </cell>
          <cell r="DV823">
            <v>11.644336226312735</v>
          </cell>
          <cell r="DW823">
            <v>9.8476005987137558</v>
          </cell>
          <cell r="DX823">
            <v>7.1073990168282446</v>
          </cell>
          <cell r="DY823">
            <v>12.587802180599267</v>
          </cell>
        </row>
        <row r="824">
          <cell r="A824">
            <v>40617</v>
          </cell>
          <cell r="DF824">
            <v>17.977247484805478</v>
          </cell>
          <cell r="DG824">
            <v>21.679348620667902</v>
          </cell>
          <cell r="DH824">
            <v>18.362277992096409</v>
          </cell>
          <cell r="DI824">
            <v>14.300000632844487</v>
          </cell>
          <cell r="DJ824">
            <v>22.424555351348332</v>
          </cell>
          <cell r="DU824">
            <v>8.6442886515361383</v>
          </cell>
          <cell r="DV824">
            <v>11.644336226312735</v>
          </cell>
          <cell r="DW824">
            <v>9.8476005987137558</v>
          </cell>
          <cell r="DX824">
            <v>7.1073990168282446</v>
          </cell>
          <cell r="DY824">
            <v>12.587802180599267</v>
          </cell>
        </row>
        <row r="825">
          <cell r="A825">
            <v>40618</v>
          </cell>
          <cell r="DF825">
            <v>17.714675442321724</v>
          </cell>
          <cell r="DG825">
            <v>21.679348620667902</v>
          </cell>
          <cell r="DH825">
            <v>18.362277992096409</v>
          </cell>
          <cell r="DI825">
            <v>14.300000632844487</v>
          </cell>
          <cell r="DJ825">
            <v>22.424555351348332</v>
          </cell>
          <cell r="DU825">
            <v>8.4840736787815771</v>
          </cell>
          <cell r="DV825">
            <v>11.644336226312735</v>
          </cell>
          <cell r="DW825">
            <v>9.8476005987137558</v>
          </cell>
          <cell r="DX825">
            <v>7.1073990168282446</v>
          </cell>
          <cell r="DY825">
            <v>12.587802180599267</v>
          </cell>
        </row>
        <row r="826">
          <cell r="A826">
            <v>40619</v>
          </cell>
          <cell r="DF826">
            <v>17.994755613517007</v>
          </cell>
          <cell r="DG826">
            <v>21.679348620667902</v>
          </cell>
          <cell r="DH826">
            <v>18.362277992096409</v>
          </cell>
          <cell r="DI826">
            <v>14.300000632844487</v>
          </cell>
          <cell r="DJ826">
            <v>22.424555351348332</v>
          </cell>
          <cell r="DU826">
            <v>8.6549716790891349</v>
          </cell>
          <cell r="DV826">
            <v>11.644336226312735</v>
          </cell>
          <cell r="DW826">
            <v>9.8476005987137558</v>
          </cell>
          <cell r="DX826">
            <v>7.1073990168282446</v>
          </cell>
          <cell r="DY826">
            <v>12.587802180599267</v>
          </cell>
        </row>
        <row r="827">
          <cell r="A827">
            <v>40620</v>
          </cell>
          <cell r="DF827">
            <v>17.968499547069438</v>
          </cell>
          <cell r="DG827">
            <v>21.679348620667902</v>
          </cell>
          <cell r="DH827">
            <v>18.362277992096409</v>
          </cell>
          <cell r="DI827">
            <v>14.300000632844487</v>
          </cell>
          <cell r="DJ827">
            <v>22.424555351348332</v>
          </cell>
          <cell r="DU827">
            <v>8.6389508760716183</v>
          </cell>
          <cell r="DV827">
            <v>11.644336226312735</v>
          </cell>
          <cell r="DW827">
            <v>9.8476005987137558</v>
          </cell>
          <cell r="DX827">
            <v>7.1073990168282446</v>
          </cell>
          <cell r="DY827">
            <v>12.587802180599267</v>
          </cell>
        </row>
        <row r="828">
          <cell r="A828">
            <v>40623</v>
          </cell>
          <cell r="DF828">
            <v>18.757242284774076</v>
          </cell>
          <cell r="DG828">
            <v>21.679348620667902</v>
          </cell>
          <cell r="DH828">
            <v>18.362277992096409</v>
          </cell>
          <cell r="DI828">
            <v>14.300000632844487</v>
          </cell>
          <cell r="DJ828">
            <v>22.424555351348332</v>
          </cell>
          <cell r="DU828">
            <v>9.119587783666768</v>
          </cell>
          <cell r="DV828">
            <v>11.644336226312735</v>
          </cell>
          <cell r="DW828">
            <v>9.8476005987137558</v>
          </cell>
          <cell r="DX828">
            <v>7.1073990168282446</v>
          </cell>
          <cell r="DY828">
            <v>12.587802180599267</v>
          </cell>
        </row>
        <row r="829">
          <cell r="A829">
            <v>40624</v>
          </cell>
          <cell r="DF829">
            <v>18.799503706855603</v>
          </cell>
          <cell r="DG829">
            <v>21.679348620667902</v>
          </cell>
          <cell r="DH829">
            <v>18.362277992096409</v>
          </cell>
          <cell r="DI829">
            <v>14.300000632844487</v>
          </cell>
          <cell r="DJ829">
            <v>22.424555351348332</v>
          </cell>
          <cell r="DU829">
            <v>8.5969101400385952</v>
          </cell>
          <cell r="DV829">
            <v>11.644336226312735</v>
          </cell>
          <cell r="DW829">
            <v>9.8476005987137558</v>
          </cell>
          <cell r="DX829">
            <v>7.1073990168282446</v>
          </cell>
          <cell r="DY829">
            <v>12.587802180599267</v>
          </cell>
        </row>
        <row r="830">
          <cell r="A830">
            <v>40625</v>
          </cell>
          <cell r="DF830">
            <v>18.668244523467607</v>
          </cell>
          <cell r="DG830">
            <v>21.679348620667902</v>
          </cell>
          <cell r="DH830">
            <v>18.362277992096409</v>
          </cell>
          <cell r="DI830">
            <v>14.300000632844487</v>
          </cell>
          <cell r="DJ830">
            <v>22.424555351348332</v>
          </cell>
          <cell r="DU830">
            <v>8.5791412733578163</v>
          </cell>
          <cell r="DV830">
            <v>11.644336226312735</v>
          </cell>
          <cell r="DW830">
            <v>9.8476005987137558</v>
          </cell>
          <cell r="DX830">
            <v>7.1073990168282446</v>
          </cell>
          <cell r="DY830">
            <v>12.587802180599267</v>
          </cell>
        </row>
        <row r="831">
          <cell r="A831">
            <v>40626</v>
          </cell>
          <cell r="DF831">
            <v>18.512103496612461</v>
          </cell>
          <cell r="DG831">
            <v>21.679348620667902</v>
          </cell>
          <cell r="DH831">
            <v>18.362277992096409</v>
          </cell>
          <cell r="DI831">
            <v>14.300000632844487</v>
          </cell>
          <cell r="DJ831">
            <v>22.424555351348332</v>
          </cell>
          <cell r="DU831">
            <v>8.4880710270402062</v>
          </cell>
          <cell r="DV831">
            <v>11.644336226312735</v>
          </cell>
          <cell r="DW831">
            <v>9.8476005987137558</v>
          </cell>
          <cell r="DX831">
            <v>7.1073990168282446</v>
          </cell>
          <cell r="DY831">
            <v>12.587802180599267</v>
          </cell>
        </row>
        <row r="832">
          <cell r="A832">
            <v>40627</v>
          </cell>
          <cell r="DF832">
            <v>18.522584583129646</v>
          </cell>
          <cell r="DG832">
            <v>21.679348620667902</v>
          </cell>
          <cell r="DH832">
            <v>18.362277992096409</v>
          </cell>
          <cell r="DI832">
            <v>14.300000632844487</v>
          </cell>
          <cell r="DJ832">
            <v>22.424555351348332</v>
          </cell>
          <cell r="DU832">
            <v>8.7105888529435642</v>
          </cell>
          <cell r="DV832">
            <v>11.644336226312735</v>
          </cell>
          <cell r="DW832">
            <v>9.8476005987137558</v>
          </cell>
          <cell r="DX832">
            <v>7.1073990168282446</v>
          </cell>
          <cell r="DY832">
            <v>12.587802180599267</v>
          </cell>
        </row>
        <row r="833">
          <cell r="A833">
            <v>40630</v>
          </cell>
          <cell r="DF833">
            <v>18.260319414051686</v>
          </cell>
          <cell r="DG833">
            <v>21.679348620667902</v>
          </cell>
          <cell r="DH833">
            <v>18.362277992096409</v>
          </cell>
          <cell r="DI833">
            <v>14.300000632844487</v>
          </cell>
          <cell r="DJ833">
            <v>22.424555351348332</v>
          </cell>
          <cell r="DU833">
            <v>8.7537346244769783</v>
          </cell>
          <cell r="DV833">
            <v>11.644336226312735</v>
          </cell>
          <cell r="DW833">
            <v>9.8476005987137558</v>
          </cell>
          <cell r="DX833">
            <v>7.1073990168282446</v>
          </cell>
          <cell r="DY833">
            <v>12.587802180599267</v>
          </cell>
        </row>
        <row r="834">
          <cell r="A834">
            <v>40631</v>
          </cell>
          <cell r="DF834">
            <v>18.373687311097452</v>
          </cell>
          <cell r="DG834">
            <v>21.679348620667902</v>
          </cell>
          <cell r="DH834">
            <v>18.362277992096409</v>
          </cell>
          <cell r="DI834">
            <v>14.300000632844487</v>
          </cell>
          <cell r="DJ834">
            <v>22.424555351348332</v>
          </cell>
          <cell r="DU834">
            <v>8.8205688114181733</v>
          </cell>
          <cell r="DV834">
            <v>11.644336226312735</v>
          </cell>
          <cell r="DW834">
            <v>9.8476005987137558</v>
          </cell>
          <cell r="DX834">
            <v>7.1073990168282446</v>
          </cell>
          <cell r="DY834">
            <v>12.587802180599267</v>
          </cell>
        </row>
        <row r="835">
          <cell r="A835">
            <v>40632</v>
          </cell>
          <cell r="DF835">
            <v>18.789948995812551</v>
          </cell>
          <cell r="DG835">
            <v>21.679348620667902</v>
          </cell>
          <cell r="DH835">
            <v>18.362277992096409</v>
          </cell>
          <cell r="DI835">
            <v>14.300000632844487</v>
          </cell>
          <cell r="DJ835">
            <v>22.424555351348332</v>
          </cell>
          <cell r="DU835">
            <v>9.0981936582894214</v>
          </cell>
          <cell r="DV835">
            <v>11.644336226312735</v>
          </cell>
          <cell r="DW835">
            <v>9.8476005987137558</v>
          </cell>
          <cell r="DX835">
            <v>7.1073990168282446</v>
          </cell>
          <cell r="DY835">
            <v>12.587802180599267</v>
          </cell>
        </row>
        <row r="836">
          <cell r="A836">
            <v>40633</v>
          </cell>
          <cell r="DF836">
            <v>19.227296454005966</v>
          </cell>
          <cell r="DG836">
            <v>21.679348620667902</v>
          </cell>
          <cell r="DH836">
            <v>18.362277992096409</v>
          </cell>
          <cell r="DI836">
            <v>14.300000632844487</v>
          </cell>
          <cell r="DJ836">
            <v>22.424555351348332</v>
          </cell>
          <cell r="DU836">
            <v>9.3569511346727978</v>
          </cell>
          <cell r="DV836">
            <v>11.644336226312735</v>
          </cell>
          <cell r="DW836">
            <v>9.8476005987137558</v>
          </cell>
          <cell r="DX836">
            <v>7.1073990168282446</v>
          </cell>
          <cell r="DY836">
            <v>12.587802180599267</v>
          </cell>
        </row>
        <row r="837">
          <cell r="A837">
            <v>40634</v>
          </cell>
          <cell r="DF837">
            <v>19.616050020148453</v>
          </cell>
          <cell r="DG837">
            <v>21.679348620667902</v>
          </cell>
          <cell r="DH837">
            <v>18.362277992096409</v>
          </cell>
          <cell r="DI837">
            <v>14.300000632844487</v>
          </cell>
          <cell r="DJ837">
            <v>22.424555351348332</v>
          </cell>
          <cell r="DU837">
            <v>9.5869579400755214</v>
          </cell>
          <cell r="DV837">
            <v>11.644336226312735</v>
          </cell>
          <cell r="DW837">
            <v>9.8476005987137558</v>
          </cell>
          <cell r="DX837">
            <v>7.1073990168282446</v>
          </cell>
          <cell r="DY837">
            <v>12.587802180599267</v>
          </cell>
        </row>
        <row r="838">
          <cell r="A838">
            <v>40637</v>
          </cell>
          <cell r="DF838">
            <v>19.826635161103482</v>
          </cell>
          <cell r="DG838">
            <v>21.679348620667902</v>
          </cell>
          <cell r="DH838">
            <v>18.362277992096409</v>
          </cell>
          <cell r="DI838">
            <v>14.300000632844487</v>
          </cell>
          <cell r="DJ838">
            <v>22.424555351348332</v>
          </cell>
          <cell r="DU838">
            <v>9.7115510493219972</v>
          </cell>
          <cell r="DV838">
            <v>11.644336226312735</v>
          </cell>
          <cell r="DW838">
            <v>9.8476005987137558</v>
          </cell>
          <cell r="DX838">
            <v>7.1073990168282446</v>
          </cell>
          <cell r="DY838">
            <v>12.587802180599267</v>
          </cell>
        </row>
        <row r="839">
          <cell r="A839">
            <v>40638</v>
          </cell>
          <cell r="DF839">
            <v>19.591198939047647</v>
          </cell>
          <cell r="DG839">
            <v>21.679348620667902</v>
          </cell>
          <cell r="DH839">
            <v>18.362277992096409</v>
          </cell>
          <cell r="DI839">
            <v>14.300000632844487</v>
          </cell>
          <cell r="DJ839">
            <v>22.424555351348332</v>
          </cell>
          <cell r="DU839">
            <v>9.5725833233639506</v>
          </cell>
          <cell r="DV839">
            <v>11.644336226312735</v>
          </cell>
          <cell r="DW839">
            <v>9.8476005987137558</v>
          </cell>
          <cell r="DX839">
            <v>7.1073990168282446</v>
          </cell>
          <cell r="DY839">
            <v>12.587802180599267</v>
          </cell>
        </row>
        <row r="840">
          <cell r="A840">
            <v>40639</v>
          </cell>
          <cell r="DF840">
            <v>19.542607234333076</v>
          </cell>
          <cell r="DG840">
            <v>21.679348620667902</v>
          </cell>
          <cell r="DH840">
            <v>18.362277992096409</v>
          </cell>
          <cell r="DI840">
            <v>14.300000632844487</v>
          </cell>
          <cell r="DJ840">
            <v>22.424555351348332</v>
          </cell>
          <cell r="DU840">
            <v>9.5438331315691354</v>
          </cell>
          <cell r="DV840">
            <v>11.644336226312735</v>
          </cell>
          <cell r="DW840">
            <v>9.8476005987137558</v>
          </cell>
          <cell r="DX840">
            <v>7.1073990168282446</v>
          </cell>
          <cell r="DY840">
            <v>12.587802180599267</v>
          </cell>
        </row>
        <row r="841">
          <cell r="A841">
            <v>40640</v>
          </cell>
          <cell r="DF841">
            <v>19.57501007299312</v>
          </cell>
          <cell r="DG841">
            <v>21.679348620667902</v>
          </cell>
          <cell r="DH841">
            <v>18.362277992096409</v>
          </cell>
          <cell r="DI841">
            <v>14.300000632844487</v>
          </cell>
          <cell r="DJ841">
            <v>22.424555351348332</v>
          </cell>
          <cell r="DU841">
            <v>9.5630048776859855</v>
          </cell>
          <cell r="DV841">
            <v>11.644336226312735</v>
          </cell>
          <cell r="DW841">
            <v>9.8476005987137558</v>
          </cell>
          <cell r="DX841">
            <v>7.1073990168282446</v>
          </cell>
          <cell r="DY841">
            <v>12.587802180599267</v>
          </cell>
        </row>
        <row r="842">
          <cell r="A842">
            <v>40641</v>
          </cell>
          <cell r="DF842">
            <v>20.158130776786493</v>
          </cell>
          <cell r="DG842">
            <v>21.679348620667902</v>
          </cell>
          <cell r="DH842">
            <v>18.362277992096409</v>
          </cell>
          <cell r="DI842">
            <v>14.300000632844487</v>
          </cell>
          <cell r="DJ842">
            <v>22.424555351348332</v>
          </cell>
          <cell r="DU842">
            <v>9.9080191588696778</v>
          </cell>
          <cell r="DV842">
            <v>11.644336226312735</v>
          </cell>
          <cell r="DW842">
            <v>9.8476005987137558</v>
          </cell>
          <cell r="DX842">
            <v>7.1073990168282446</v>
          </cell>
          <cell r="DY842">
            <v>12.587802180599267</v>
          </cell>
        </row>
        <row r="843">
          <cell r="A843">
            <v>40644</v>
          </cell>
          <cell r="DF843">
            <v>20.376791828224572</v>
          </cell>
          <cell r="DG843">
            <v>21.679348620667902</v>
          </cell>
          <cell r="DH843">
            <v>18.362277992096409</v>
          </cell>
          <cell r="DI843">
            <v>14.300000632844487</v>
          </cell>
          <cell r="DJ843">
            <v>22.424555351348332</v>
          </cell>
          <cell r="DU843">
            <v>10.037394063574677</v>
          </cell>
          <cell r="DV843">
            <v>11.644336226312735</v>
          </cell>
          <cell r="DW843">
            <v>9.8476005987137558</v>
          </cell>
          <cell r="DX843">
            <v>7.1073990168282446</v>
          </cell>
          <cell r="DY843">
            <v>12.587802180599267</v>
          </cell>
        </row>
        <row r="844">
          <cell r="A844">
            <v>40645</v>
          </cell>
          <cell r="DF844">
            <v>20.231017523969605</v>
          </cell>
          <cell r="DG844">
            <v>21.679348620667902</v>
          </cell>
          <cell r="DH844">
            <v>18.362277992096409</v>
          </cell>
          <cell r="DI844">
            <v>14.300000632844487</v>
          </cell>
          <cell r="DJ844">
            <v>22.424555351348332</v>
          </cell>
          <cell r="DU844">
            <v>9.9511439673760655</v>
          </cell>
          <cell r="DV844">
            <v>11.644336226312735</v>
          </cell>
          <cell r="DW844">
            <v>9.8476005987137558</v>
          </cell>
          <cell r="DX844">
            <v>7.1073990168282446</v>
          </cell>
          <cell r="DY844">
            <v>12.587802180599267</v>
          </cell>
        </row>
        <row r="845">
          <cell r="A845">
            <v>40646</v>
          </cell>
          <cell r="DF845">
            <v>19.882758885999962</v>
          </cell>
          <cell r="DG845">
            <v>21.679348620667902</v>
          </cell>
          <cell r="DH845">
            <v>18.362277992096409</v>
          </cell>
          <cell r="DI845">
            <v>14.300000632844487</v>
          </cell>
          <cell r="DJ845">
            <v>22.424555351348332</v>
          </cell>
          <cell r="DU845">
            <v>9.7450902243628779</v>
          </cell>
          <cell r="DV845">
            <v>11.644336226312735</v>
          </cell>
          <cell r="DW845">
            <v>9.8476005987137558</v>
          </cell>
          <cell r="DX845">
            <v>7.1073990168282446</v>
          </cell>
          <cell r="DY845">
            <v>12.587802180599267</v>
          </cell>
        </row>
        <row r="846">
          <cell r="A846">
            <v>40647</v>
          </cell>
          <cell r="DF846">
            <v>19.912785768604188</v>
          </cell>
          <cell r="DG846">
            <v>21.679348620667902</v>
          </cell>
          <cell r="DH846">
            <v>18.362277992096409</v>
          </cell>
          <cell r="DI846">
            <v>14.300000632844487</v>
          </cell>
          <cell r="DJ846">
            <v>22.424555351348332</v>
          </cell>
          <cell r="DU846">
            <v>9.7762387412674148</v>
          </cell>
          <cell r="DV846">
            <v>11.644336226312735</v>
          </cell>
          <cell r="DW846">
            <v>9.8476005987137558</v>
          </cell>
          <cell r="DX846">
            <v>7.1073990168282446</v>
          </cell>
          <cell r="DY846">
            <v>12.587802180599267</v>
          </cell>
        </row>
        <row r="847">
          <cell r="A847">
            <v>40648</v>
          </cell>
          <cell r="DF847">
            <v>20.135259760223285</v>
          </cell>
          <cell r="DG847">
            <v>21.679348620667902</v>
          </cell>
          <cell r="DH847">
            <v>18.362277992096409</v>
          </cell>
          <cell r="DI847">
            <v>14.300000632844487</v>
          </cell>
          <cell r="DJ847">
            <v>22.424555351348332</v>
          </cell>
          <cell r="DU847">
            <v>9.9080191588696778</v>
          </cell>
          <cell r="DV847">
            <v>11.644336226312735</v>
          </cell>
          <cell r="DW847">
            <v>9.8476005987137558</v>
          </cell>
          <cell r="DX847">
            <v>7.1073990168282446</v>
          </cell>
          <cell r="DY847">
            <v>12.587802180599267</v>
          </cell>
        </row>
        <row r="848">
          <cell r="A848">
            <v>40651</v>
          </cell>
          <cell r="DF848">
            <v>20.444198312025836</v>
          </cell>
          <cell r="DG848">
            <v>21.679348620667902</v>
          </cell>
          <cell r="DH848">
            <v>18.362277992096409</v>
          </cell>
          <cell r="DI848">
            <v>14.300000632844487</v>
          </cell>
          <cell r="DJ848">
            <v>22.424555351348332</v>
          </cell>
          <cell r="DU848">
            <v>10.142815426704301</v>
          </cell>
          <cell r="DV848">
            <v>11.644336226312735</v>
          </cell>
          <cell r="DW848">
            <v>9.8476005987137558</v>
          </cell>
          <cell r="DX848">
            <v>7.1073990168282446</v>
          </cell>
          <cell r="DY848">
            <v>12.587802180599267</v>
          </cell>
        </row>
        <row r="849">
          <cell r="A849">
            <v>40652</v>
          </cell>
          <cell r="DF849">
            <v>20.565034204576964</v>
          </cell>
          <cell r="DG849">
            <v>21.679348620667902</v>
          </cell>
          <cell r="DH849">
            <v>18.362277992096409</v>
          </cell>
          <cell r="DI849">
            <v>14.300000632844487</v>
          </cell>
          <cell r="DJ849">
            <v>22.424555351348332</v>
          </cell>
          <cell r="DU849">
            <v>10.215849078636953</v>
          </cell>
          <cell r="DV849">
            <v>11.644336226312735</v>
          </cell>
          <cell r="DW849">
            <v>9.8476005987137558</v>
          </cell>
          <cell r="DX849">
            <v>7.1073990168282446</v>
          </cell>
          <cell r="DY849">
            <v>12.587802180599267</v>
          </cell>
        </row>
        <row r="850">
          <cell r="A850">
            <v>40653</v>
          </cell>
          <cell r="DF850">
            <v>20.565034204576964</v>
          </cell>
          <cell r="DG850">
            <v>21.679348620667902</v>
          </cell>
          <cell r="DH850">
            <v>18.362277992096409</v>
          </cell>
          <cell r="DI850">
            <v>14.300000632844487</v>
          </cell>
          <cell r="DJ850">
            <v>22.424555351348332</v>
          </cell>
          <cell r="DU850">
            <v>10.215849078636953</v>
          </cell>
          <cell r="DV850">
            <v>11.644336226312735</v>
          </cell>
          <cell r="DW850">
            <v>9.8476005987137558</v>
          </cell>
          <cell r="DX850">
            <v>7.1073990168282446</v>
          </cell>
          <cell r="DY850">
            <v>12.587802180599267</v>
          </cell>
        </row>
        <row r="851">
          <cell r="A851">
            <v>40654</v>
          </cell>
          <cell r="DF851">
            <v>20.468363235068061</v>
          </cell>
          <cell r="DG851">
            <v>21.679348620667902</v>
          </cell>
          <cell r="DH851">
            <v>18.362277992096409</v>
          </cell>
          <cell r="DI851">
            <v>14.300000632844487</v>
          </cell>
          <cell r="DJ851">
            <v>22.424555351348332</v>
          </cell>
          <cell r="DU851">
            <v>10.158335503890781</v>
          </cell>
          <cell r="DV851">
            <v>11.644336226312735</v>
          </cell>
          <cell r="DW851">
            <v>9.8476005987137558</v>
          </cell>
          <cell r="DX851">
            <v>7.1073990168282446</v>
          </cell>
          <cell r="DY851">
            <v>12.587802180599267</v>
          </cell>
        </row>
        <row r="852">
          <cell r="A852">
            <v>40655</v>
          </cell>
          <cell r="DF852">
            <v>20.077279209656215</v>
          </cell>
          <cell r="DG852">
            <v>21.679348620667902</v>
          </cell>
          <cell r="DH852">
            <v>18.362277992096409</v>
          </cell>
          <cell r="DI852">
            <v>14.300000632844487</v>
          </cell>
          <cell r="DJ852">
            <v>22.424555351348332</v>
          </cell>
          <cell r="DU852">
            <v>9.9748215204759241</v>
          </cell>
          <cell r="DV852">
            <v>11.644336226312735</v>
          </cell>
          <cell r="DW852">
            <v>9.8476005987137558</v>
          </cell>
          <cell r="DX852">
            <v>7.1073990168282446</v>
          </cell>
          <cell r="DY852">
            <v>12.587802180599267</v>
          </cell>
        </row>
        <row r="853">
          <cell r="A853">
            <v>40658</v>
          </cell>
          <cell r="DF853">
            <v>19.941838824044936</v>
          </cell>
          <cell r="DG853">
            <v>21.679348620667902</v>
          </cell>
          <cell r="DH853">
            <v>18.362277992096409</v>
          </cell>
          <cell r="DI853">
            <v>14.300000632844487</v>
          </cell>
          <cell r="DJ853">
            <v>22.424555351348332</v>
          </cell>
          <cell r="DU853">
            <v>9.8940230315223463</v>
          </cell>
          <cell r="DV853">
            <v>11.644336226312735</v>
          </cell>
          <cell r="DW853">
            <v>9.8476005987137558</v>
          </cell>
          <cell r="DX853">
            <v>7.1073990168282446</v>
          </cell>
          <cell r="DY853">
            <v>12.587802180599267</v>
          </cell>
        </row>
        <row r="854">
          <cell r="A854">
            <v>40659</v>
          </cell>
          <cell r="DF854">
            <v>19.87012548301</v>
          </cell>
          <cell r="DG854">
            <v>21.679348620667902</v>
          </cell>
          <cell r="DH854">
            <v>18.362277992096409</v>
          </cell>
          <cell r="DI854">
            <v>14.300000632844487</v>
          </cell>
          <cell r="DJ854">
            <v>22.424555351348332</v>
          </cell>
          <cell r="DU854">
            <v>9.8512416294517315</v>
          </cell>
          <cell r="DV854">
            <v>11.644336226312735</v>
          </cell>
          <cell r="DW854">
            <v>9.8476005987137558</v>
          </cell>
          <cell r="DX854">
            <v>7.1073990168282446</v>
          </cell>
          <cell r="DY854">
            <v>12.587802180599267</v>
          </cell>
        </row>
        <row r="855">
          <cell r="A855">
            <v>40660</v>
          </cell>
          <cell r="DF855">
            <v>19.519579333147433</v>
          </cell>
          <cell r="DG855">
            <v>21.679348620667902</v>
          </cell>
          <cell r="DH855">
            <v>18.362277992096409</v>
          </cell>
          <cell r="DI855">
            <v>14.300000632844487</v>
          </cell>
          <cell r="DJ855">
            <v>22.424555351348332</v>
          </cell>
          <cell r="DU855">
            <v>9.6421193717916029</v>
          </cell>
          <cell r="DV855">
            <v>11.644336226312735</v>
          </cell>
          <cell r="DW855">
            <v>9.8476005987137558</v>
          </cell>
          <cell r="DX855">
            <v>7.1073990168282446</v>
          </cell>
          <cell r="DY855">
            <v>12.587802180599267</v>
          </cell>
        </row>
        <row r="856">
          <cell r="A856">
            <v>40661</v>
          </cell>
          <cell r="DF856">
            <v>19.575343982790901</v>
          </cell>
          <cell r="DG856">
            <v>21.679348620667902</v>
          </cell>
          <cell r="DH856">
            <v>18.362277992096409</v>
          </cell>
          <cell r="DI856">
            <v>14.300000632844487</v>
          </cell>
          <cell r="DJ856">
            <v>22.424555351348332</v>
          </cell>
          <cell r="DU856">
            <v>9.6753864022115366</v>
          </cell>
          <cell r="DV856">
            <v>11.644336226312735</v>
          </cell>
          <cell r="DW856">
            <v>9.8476005987137558</v>
          </cell>
          <cell r="DX856">
            <v>7.1073990168282446</v>
          </cell>
          <cell r="DY856">
            <v>12.587802180599267</v>
          </cell>
        </row>
        <row r="857">
          <cell r="A857">
            <v>40662</v>
          </cell>
          <cell r="DF857">
            <v>19.663051004291571</v>
          </cell>
          <cell r="DG857">
            <v>21.679348620667902</v>
          </cell>
          <cell r="DH857">
            <v>18.362277992096409</v>
          </cell>
          <cell r="DI857">
            <v>14.300000632844487</v>
          </cell>
          <cell r="DJ857">
            <v>22.424555351348332</v>
          </cell>
          <cell r="DU857">
            <v>9.7134101431659889</v>
          </cell>
          <cell r="DV857">
            <v>11.644336226312735</v>
          </cell>
          <cell r="DW857">
            <v>9.8476005987137558</v>
          </cell>
          <cell r="DX857">
            <v>7.1073990168282446</v>
          </cell>
          <cell r="DY857">
            <v>12.587802180599267</v>
          </cell>
        </row>
        <row r="858">
          <cell r="A858">
            <v>40665</v>
          </cell>
          <cell r="DF858">
            <v>19.838544375488585</v>
          </cell>
          <cell r="DG858">
            <v>21.679348620667902</v>
          </cell>
          <cell r="DH858">
            <v>18.362277992096409</v>
          </cell>
          <cell r="DI858">
            <v>14.300000632844487</v>
          </cell>
          <cell r="DJ858">
            <v>22.424555351348332</v>
          </cell>
          <cell r="DU858">
            <v>9.8179750743226197</v>
          </cell>
          <cell r="DV858">
            <v>11.644336226312735</v>
          </cell>
          <cell r="DW858">
            <v>9.8476005987137558</v>
          </cell>
          <cell r="DX858">
            <v>7.1073990168282446</v>
          </cell>
          <cell r="DY858">
            <v>12.587802180599267</v>
          </cell>
        </row>
        <row r="859">
          <cell r="A859">
            <v>40666</v>
          </cell>
          <cell r="DF859">
            <v>19.2961088687162</v>
          </cell>
          <cell r="DG859">
            <v>21.679348620667902</v>
          </cell>
          <cell r="DH859">
            <v>18.362277992096409</v>
          </cell>
          <cell r="DI859">
            <v>14.300000632844487</v>
          </cell>
          <cell r="DJ859">
            <v>22.424555351348332</v>
          </cell>
          <cell r="DU859">
            <v>9.4947735138551774</v>
          </cell>
          <cell r="DV859">
            <v>11.644336226312735</v>
          </cell>
          <cell r="DW859">
            <v>9.8476005987137558</v>
          </cell>
          <cell r="DX859">
            <v>7.1073990168282446</v>
          </cell>
          <cell r="DY859">
            <v>12.587802180599267</v>
          </cell>
        </row>
        <row r="860">
          <cell r="A860">
            <v>40667</v>
          </cell>
          <cell r="DF860">
            <v>19.391839632424499</v>
          </cell>
          <cell r="DG860">
            <v>21.679348620667902</v>
          </cell>
          <cell r="DH860">
            <v>18.362277992096409</v>
          </cell>
          <cell r="DI860">
            <v>14.300000632844487</v>
          </cell>
          <cell r="DJ860">
            <v>22.424555351348332</v>
          </cell>
          <cell r="DU860">
            <v>9.5518131652588352</v>
          </cell>
          <cell r="DV860">
            <v>11.644336226312735</v>
          </cell>
          <cell r="DW860">
            <v>9.8476005987137558</v>
          </cell>
          <cell r="DX860">
            <v>7.1073990168282446</v>
          </cell>
          <cell r="DY860">
            <v>12.587802180599267</v>
          </cell>
        </row>
        <row r="861">
          <cell r="A861">
            <v>40668</v>
          </cell>
          <cell r="DF861">
            <v>19.2961088687162</v>
          </cell>
          <cell r="DG861">
            <v>21.679348620667902</v>
          </cell>
          <cell r="DH861">
            <v>18.362277992096409</v>
          </cell>
          <cell r="DI861">
            <v>14.300000632844487</v>
          </cell>
          <cell r="DJ861">
            <v>22.424555351348332</v>
          </cell>
          <cell r="DU861">
            <v>9.4947735138551774</v>
          </cell>
          <cell r="DV861">
            <v>11.644336226312735</v>
          </cell>
          <cell r="DW861">
            <v>9.8476005987137558</v>
          </cell>
          <cell r="DX861">
            <v>7.1073990168282446</v>
          </cell>
          <cell r="DY861">
            <v>12.587802180599267</v>
          </cell>
        </row>
        <row r="862">
          <cell r="A862">
            <v>40669</v>
          </cell>
          <cell r="DF862">
            <v>18.362474019121926</v>
          </cell>
          <cell r="DG862">
            <v>21.679348620667902</v>
          </cell>
          <cell r="DH862">
            <v>18.362277992096409</v>
          </cell>
          <cell r="DI862">
            <v>14.300000632844487</v>
          </cell>
          <cell r="DJ862">
            <v>22.424555351348332</v>
          </cell>
          <cell r="DU862">
            <v>9.0417832245293077</v>
          </cell>
          <cell r="DV862">
            <v>11.644336226312735</v>
          </cell>
          <cell r="DW862">
            <v>9.8476005987137558</v>
          </cell>
          <cell r="DX862">
            <v>7.1073990168282446</v>
          </cell>
          <cell r="DY862">
            <v>12.587802180599267</v>
          </cell>
        </row>
        <row r="863">
          <cell r="A863">
            <v>40672</v>
          </cell>
          <cell r="DF863">
            <v>18.402447798420361</v>
          </cell>
          <cell r="DG863">
            <v>21.679348620667902</v>
          </cell>
          <cell r="DH863">
            <v>18.362277992096409</v>
          </cell>
          <cell r="DI863">
            <v>14.300000632844487</v>
          </cell>
          <cell r="DJ863">
            <v>22.424555351348332</v>
          </cell>
          <cell r="DU863">
            <v>9.0658878796879492</v>
          </cell>
          <cell r="DV863">
            <v>11.644336226312735</v>
          </cell>
          <cell r="DW863">
            <v>9.8476005987137558</v>
          </cell>
          <cell r="DX863">
            <v>7.1073990168282446</v>
          </cell>
          <cell r="DY863">
            <v>12.587802180599267</v>
          </cell>
        </row>
        <row r="864">
          <cell r="A864">
            <v>40673</v>
          </cell>
          <cell r="DF864">
            <v>18.146641671729608</v>
          </cell>
          <cell r="DG864">
            <v>21.679348620667902</v>
          </cell>
          <cell r="DH864">
            <v>18.362277992096409</v>
          </cell>
          <cell r="DI864">
            <v>14.300000632844487</v>
          </cell>
          <cell r="DJ864">
            <v>22.424555351348332</v>
          </cell>
          <cell r="DU864">
            <v>8.9116338016506145</v>
          </cell>
          <cell r="DV864">
            <v>11.644336226312735</v>
          </cell>
          <cell r="DW864">
            <v>9.8476005987137558</v>
          </cell>
          <cell r="DX864">
            <v>7.1073990168282446</v>
          </cell>
          <cell r="DY864">
            <v>12.587802180599267</v>
          </cell>
        </row>
        <row r="865">
          <cell r="A865">
            <v>40674</v>
          </cell>
          <cell r="DF865">
            <v>18.194604770888624</v>
          </cell>
          <cell r="DG865">
            <v>21.679348620667902</v>
          </cell>
          <cell r="DH865">
            <v>18.362277992096409</v>
          </cell>
          <cell r="DI865">
            <v>14.300000632844487</v>
          </cell>
          <cell r="DJ865">
            <v>22.424555351348332</v>
          </cell>
          <cell r="DU865">
            <v>8.9405561098701192</v>
          </cell>
          <cell r="DV865">
            <v>11.644336226312735</v>
          </cell>
          <cell r="DW865">
            <v>9.8476005987137558</v>
          </cell>
          <cell r="DX865">
            <v>7.1073990168282446</v>
          </cell>
          <cell r="DY865">
            <v>12.587802180599267</v>
          </cell>
        </row>
        <row r="866">
          <cell r="A866">
            <v>40675</v>
          </cell>
          <cell r="DF866">
            <v>18.386467559875932</v>
          </cell>
          <cell r="DG866">
            <v>21.679348620667902</v>
          </cell>
          <cell r="DH866">
            <v>18.362277992096409</v>
          </cell>
          <cell r="DI866">
            <v>14.300000632844487</v>
          </cell>
          <cell r="DJ866">
            <v>22.424555351348332</v>
          </cell>
          <cell r="DU866">
            <v>9.0562516094571421</v>
          </cell>
          <cell r="DV866">
            <v>11.644336226312735</v>
          </cell>
          <cell r="DW866">
            <v>9.8476005987137558</v>
          </cell>
          <cell r="DX866">
            <v>7.1073990168282446</v>
          </cell>
          <cell r="DY866">
            <v>12.587802180599267</v>
          </cell>
        </row>
        <row r="867">
          <cell r="A867">
            <v>40676</v>
          </cell>
          <cell r="DF867">
            <v>18.281956257594167</v>
          </cell>
          <cell r="DG867">
            <v>21.679348620667902</v>
          </cell>
          <cell r="DH867">
            <v>18.362277992096409</v>
          </cell>
          <cell r="DI867">
            <v>14.300000632844487</v>
          </cell>
          <cell r="DJ867">
            <v>22.424555351348332</v>
          </cell>
          <cell r="DU867">
            <v>9.0114682187060424</v>
          </cell>
          <cell r="DV867">
            <v>11.644336226312735</v>
          </cell>
          <cell r="DW867">
            <v>9.8476005987137558</v>
          </cell>
          <cell r="DX867">
            <v>7.1073990168282446</v>
          </cell>
          <cell r="DY867">
            <v>12.587802180599267</v>
          </cell>
        </row>
        <row r="868">
          <cell r="A868">
            <v>40679</v>
          </cell>
          <cell r="DF868">
            <v>18.377878589243458</v>
          </cell>
          <cell r="DG868">
            <v>21.679348620667902</v>
          </cell>
          <cell r="DH868">
            <v>18.362277992096409</v>
          </cell>
          <cell r="DI868">
            <v>14.300000632844487</v>
          </cell>
          <cell r="DJ868">
            <v>22.424555351348332</v>
          </cell>
          <cell r="DU868">
            <v>9.0694273882982159</v>
          </cell>
          <cell r="DV868">
            <v>11.644336226312735</v>
          </cell>
          <cell r="DW868">
            <v>9.8476005987137558</v>
          </cell>
          <cell r="DX868">
            <v>7.1073990168282446</v>
          </cell>
          <cell r="DY868">
            <v>12.587802180599267</v>
          </cell>
        </row>
        <row r="869">
          <cell r="A869">
            <v>40680</v>
          </cell>
          <cell r="DF869">
            <v>18.002166336253755</v>
          </cell>
          <cell r="DG869">
            <v>21.679348620667902</v>
          </cell>
          <cell r="DH869">
            <v>18.362277992096409</v>
          </cell>
          <cell r="DI869">
            <v>14.300000632844487</v>
          </cell>
          <cell r="DJ869">
            <v>22.424555351348332</v>
          </cell>
          <cell r="DU869">
            <v>8.8424106987070559</v>
          </cell>
          <cell r="DV869">
            <v>11.644336226312735</v>
          </cell>
          <cell r="DW869">
            <v>9.8476005987137558</v>
          </cell>
          <cell r="DX869">
            <v>7.1073990168282446</v>
          </cell>
          <cell r="DY869">
            <v>12.587802180599267</v>
          </cell>
        </row>
        <row r="870">
          <cell r="A870">
            <v>40681</v>
          </cell>
          <cell r="DF870">
            <v>18.265964539233867</v>
          </cell>
          <cell r="DG870">
            <v>21.679348620667902</v>
          </cell>
          <cell r="DH870">
            <v>18.362277992096409</v>
          </cell>
          <cell r="DI870">
            <v>14.300000632844487</v>
          </cell>
          <cell r="DJ870">
            <v>22.424555351348332</v>
          </cell>
          <cell r="DU870">
            <v>9.0018055395303129</v>
          </cell>
          <cell r="DV870">
            <v>11.644336226312735</v>
          </cell>
          <cell r="DW870">
            <v>9.8476005987137558</v>
          </cell>
          <cell r="DX870">
            <v>7.1073990168282446</v>
          </cell>
          <cell r="DY870">
            <v>12.587802180599267</v>
          </cell>
        </row>
        <row r="871">
          <cell r="A871">
            <v>40682</v>
          </cell>
          <cell r="DF871">
            <v>18.218003773102257</v>
          </cell>
          <cell r="DG871">
            <v>21.679348620667902</v>
          </cell>
          <cell r="DH871">
            <v>18.362277992096409</v>
          </cell>
          <cell r="DI871">
            <v>14.300000632844487</v>
          </cell>
          <cell r="DJ871">
            <v>22.424555351348332</v>
          </cell>
          <cell r="DU871">
            <v>8.9728261962408311</v>
          </cell>
          <cell r="DV871">
            <v>11.644336226312735</v>
          </cell>
          <cell r="DW871">
            <v>9.8476005987137558</v>
          </cell>
          <cell r="DX871">
            <v>7.1073990168282446</v>
          </cell>
          <cell r="DY871">
            <v>12.587802180599267</v>
          </cell>
        </row>
        <row r="872">
          <cell r="A872">
            <v>40683</v>
          </cell>
          <cell r="DF872">
            <v>18.249973620259638</v>
          </cell>
          <cell r="DG872">
            <v>21.679348620667902</v>
          </cell>
          <cell r="DH872">
            <v>18.362277992096409</v>
          </cell>
          <cell r="DI872">
            <v>14.300000632844487</v>
          </cell>
          <cell r="DJ872">
            <v>22.424555351348332</v>
          </cell>
          <cell r="DU872">
            <v>8.9921433433677915</v>
          </cell>
          <cell r="DV872">
            <v>11.644336226312735</v>
          </cell>
          <cell r="DW872">
            <v>9.8476005987137558</v>
          </cell>
          <cell r="DX872">
            <v>7.1073990168282446</v>
          </cell>
          <cell r="DY872">
            <v>12.587802180599267</v>
          </cell>
        </row>
        <row r="873">
          <cell r="A873">
            <v>40686</v>
          </cell>
          <cell r="DF873">
            <v>18.154051288610347</v>
          </cell>
          <cell r="DG873">
            <v>21.679348620667902</v>
          </cell>
          <cell r="DH873">
            <v>18.362277992096409</v>
          </cell>
          <cell r="DI873">
            <v>14.300000632844487</v>
          </cell>
          <cell r="DJ873">
            <v>22.424555351348332</v>
          </cell>
          <cell r="DU873">
            <v>8.9341841737756198</v>
          </cell>
          <cell r="DV873">
            <v>11.644336226312735</v>
          </cell>
          <cell r="DW873">
            <v>9.8476005987137558</v>
          </cell>
          <cell r="DX873">
            <v>7.1073990168282446</v>
          </cell>
          <cell r="DY873">
            <v>12.587802180599267</v>
          </cell>
        </row>
        <row r="874">
          <cell r="A874">
            <v>40687</v>
          </cell>
          <cell r="DF874">
            <v>18.309001137883445</v>
          </cell>
          <cell r="DG874">
            <v>21.679348620667902</v>
          </cell>
          <cell r="DH874">
            <v>18.362277992096409</v>
          </cell>
          <cell r="DI874">
            <v>14.300000632844487</v>
          </cell>
          <cell r="DJ874">
            <v>22.424555351348332</v>
          </cell>
          <cell r="DU874">
            <v>9.088305266018498</v>
          </cell>
          <cell r="DV874">
            <v>11.644336226312735</v>
          </cell>
          <cell r="DW874">
            <v>9.8476005987137558</v>
          </cell>
          <cell r="DX874">
            <v>7.1073990168282446</v>
          </cell>
          <cell r="DY874">
            <v>12.587802180599267</v>
          </cell>
        </row>
        <row r="875">
          <cell r="A875">
            <v>40688</v>
          </cell>
          <cell r="DF875">
            <v>18.309001137883445</v>
          </cell>
          <cell r="DG875">
            <v>21.679348620667902</v>
          </cell>
          <cell r="DH875">
            <v>18.362277992096409</v>
          </cell>
          <cell r="DI875">
            <v>14.300000632844487</v>
          </cell>
          <cell r="DJ875">
            <v>22.424555351348332</v>
          </cell>
          <cell r="DU875">
            <v>9.088305266018498</v>
          </cell>
          <cell r="DV875">
            <v>11.644336226312735</v>
          </cell>
          <cell r="DW875">
            <v>9.8476005987137558</v>
          </cell>
          <cell r="DX875">
            <v>7.1073990168282446</v>
          </cell>
          <cell r="DY875">
            <v>12.587802180599267</v>
          </cell>
        </row>
        <row r="876">
          <cell r="A876">
            <v>40689</v>
          </cell>
          <cell r="DF876">
            <v>18.253597585714044</v>
          </cell>
          <cell r="DG876">
            <v>21.679348620667902</v>
          </cell>
          <cell r="DH876">
            <v>18.362277992096409</v>
          </cell>
          <cell r="DI876">
            <v>14.300000632844487</v>
          </cell>
          <cell r="DJ876">
            <v>22.424555351348332</v>
          </cell>
          <cell r="DU876">
            <v>9.0546785565386276</v>
          </cell>
          <cell r="DV876">
            <v>11.644336226312735</v>
          </cell>
          <cell r="DW876">
            <v>9.8476005987137558</v>
          </cell>
          <cell r="DX876">
            <v>7.1073990168282446</v>
          </cell>
          <cell r="DY876">
            <v>12.587802180599267</v>
          </cell>
        </row>
        <row r="877">
          <cell r="A877">
            <v>40690</v>
          </cell>
          <cell r="DF877">
            <v>18.403997427400103</v>
          </cell>
          <cell r="DG877">
            <v>21.679348620667902</v>
          </cell>
          <cell r="DH877">
            <v>18.362277992096409</v>
          </cell>
          <cell r="DI877">
            <v>14.300000632844487</v>
          </cell>
          <cell r="DJ877">
            <v>22.424555351348332</v>
          </cell>
          <cell r="DU877">
            <v>9.1459624469060152</v>
          </cell>
          <cell r="DV877">
            <v>11.644336226312735</v>
          </cell>
          <cell r="DW877">
            <v>9.8476005987137558</v>
          </cell>
          <cell r="DX877">
            <v>7.1073990168282446</v>
          </cell>
          <cell r="DY877">
            <v>12.587802180599267</v>
          </cell>
        </row>
        <row r="878">
          <cell r="A878">
            <v>40693</v>
          </cell>
          <cell r="DF878">
            <v>18.6261911125649</v>
          </cell>
          <cell r="DG878">
            <v>21.679348620667902</v>
          </cell>
          <cell r="DH878">
            <v>18.362277992096409</v>
          </cell>
          <cell r="DI878">
            <v>14.300000632844487</v>
          </cell>
          <cell r="DJ878">
            <v>22.424555351348332</v>
          </cell>
          <cell r="DU878">
            <v>9.3188439120221815</v>
          </cell>
          <cell r="DV878">
            <v>11.644336226312735</v>
          </cell>
          <cell r="DW878">
            <v>9.8476005987137558</v>
          </cell>
          <cell r="DX878">
            <v>7.1073990168282446</v>
          </cell>
          <cell r="DY878">
            <v>12.587802180599267</v>
          </cell>
        </row>
        <row r="879">
          <cell r="A879">
            <v>40694</v>
          </cell>
          <cell r="DF879">
            <v>18.420293212169906</v>
          </cell>
          <cell r="DG879">
            <v>21.679348620667902</v>
          </cell>
          <cell r="DH879">
            <v>18.362277992096409</v>
          </cell>
          <cell r="DI879">
            <v>14.300000632844487</v>
          </cell>
          <cell r="DJ879">
            <v>22.424555351348332</v>
          </cell>
          <cell r="DU879">
            <v>9.1933515032659141</v>
          </cell>
          <cell r="DV879">
            <v>11.644336226312735</v>
          </cell>
          <cell r="DW879">
            <v>9.8476005987137558</v>
          </cell>
          <cell r="DX879">
            <v>7.1073990168282446</v>
          </cell>
          <cell r="DY879">
            <v>12.587802180599267</v>
          </cell>
        </row>
        <row r="880">
          <cell r="A880">
            <v>40695</v>
          </cell>
          <cell r="DF880">
            <v>18.412377869511591</v>
          </cell>
          <cell r="DG880">
            <v>21.679348620667902</v>
          </cell>
          <cell r="DH880">
            <v>18.362277992096409</v>
          </cell>
          <cell r="DI880">
            <v>14.300000632844487</v>
          </cell>
          <cell r="DJ880">
            <v>22.424555351348332</v>
          </cell>
          <cell r="DU880">
            <v>9.1885271927002545</v>
          </cell>
          <cell r="DV880">
            <v>11.644336226312735</v>
          </cell>
          <cell r="DW880">
            <v>9.8476005987137558</v>
          </cell>
          <cell r="DX880">
            <v>7.1073990168282446</v>
          </cell>
          <cell r="DY880">
            <v>12.587802180599267</v>
          </cell>
        </row>
        <row r="881">
          <cell r="A881">
            <v>40696</v>
          </cell>
          <cell r="DF881">
            <v>18.776659440305242</v>
          </cell>
          <cell r="DG881">
            <v>21.679348620667902</v>
          </cell>
          <cell r="DH881">
            <v>18.362277992096409</v>
          </cell>
          <cell r="DI881">
            <v>14.300000632844487</v>
          </cell>
          <cell r="DJ881">
            <v>22.424555351348332</v>
          </cell>
          <cell r="DU881">
            <v>9.4105526319918269</v>
          </cell>
          <cell r="DV881">
            <v>11.644336226312735</v>
          </cell>
          <cell r="DW881">
            <v>9.8476005987137558</v>
          </cell>
          <cell r="DX881">
            <v>7.1073990168282446</v>
          </cell>
          <cell r="DY881">
            <v>12.587802180599267</v>
          </cell>
        </row>
        <row r="882">
          <cell r="A882">
            <v>40697</v>
          </cell>
          <cell r="DF882">
            <v>18.6261911125649</v>
          </cell>
          <cell r="DG882">
            <v>21.679348620667902</v>
          </cell>
          <cell r="DH882">
            <v>18.362277992096409</v>
          </cell>
          <cell r="DI882">
            <v>14.300000632844487</v>
          </cell>
          <cell r="DJ882">
            <v>22.424555351348332</v>
          </cell>
          <cell r="DU882">
            <v>9.3188439120221815</v>
          </cell>
          <cell r="DV882">
            <v>11.644336226312735</v>
          </cell>
          <cell r="DW882">
            <v>9.8476005987137558</v>
          </cell>
          <cell r="DX882">
            <v>7.1073990168282446</v>
          </cell>
          <cell r="DY882">
            <v>12.587802180599267</v>
          </cell>
        </row>
        <row r="883">
          <cell r="A883">
            <v>40700</v>
          </cell>
          <cell r="DF883">
            <v>18.428208554828217</v>
          </cell>
          <cell r="DG883">
            <v>21.679348620667902</v>
          </cell>
          <cell r="DH883">
            <v>18.362277992096409</v>
          </cell>
          <cell r="DI883">
            <v>14.300000632844487</v>
          </cell>
          <cell r="DJ883">
            <v>22.424555351348332</v>
          </cell>
          <cell r="DU883">
            <v>9.1981758138315755</v>
          </cell>
          <cell r="DV883">
            <v>11.644336226312735</v>
          </cell>
          <cell r="DW883">
            <v>9.8476005987137558</v>
          </cell>
          <cell r="DX883">
            <v>7.1073990168282446</v>
          </cell>
          <cell r="DY883">
            <v>12.587802180599267</v>
          </cell>
        </row>
        <row r="884">
          <cell r="A884">
            <v>40701</v>
          </cell>
          <cell r="DF884">
            <v>18.657874657244619</v>
          </cell>
          <cell r="DG884">
            <v>21.679348620667902</v>
          </cell>
          <cell r="DH884">
            <v>18.362277992096409</v>
          </cell>
          <cell r="DI884">
            <v>14.300000632844487</v>
          </cell>
          <cell r="DJ884">
            <v>22.424555351348332</v>
          </cell>
          <cell r="DU884">
            <v>9.3381546691118213</v>
          </cell>
          <cell r="DV884">
            <v>11.644336226312735</v>
          </cell>
          <cell r="DW884">
            <v>9.8476005987137558</v>
          </cell>
          <cell r="DX884">
            <v>7.1073990168282446</v>
          </cell>
          <cell r="DY884">
            <v>12.587802180599267</v>
          </cell>
        </row>
        <row r="885">
          <cell r="A885">
            <v>40702</v>
          </cell>
          <cell r="DF885">
            <v>18.414364475176427</v>
          </cell>
          <cell r="DG885">
            <v>21.679348620667902</v>
          </cell>
          <cell r="DH885">
            <v>18.362277992096409</v>
          </cell>
          <cell r="DI885">
            <v>14.300000632844487</v>
          </cell>
          <cell r="DJ885">
            <v>22.424555351348332</v>
          </cell>
          <cell r="DU885">
            <v>9.1926460278873261</v>
          </cell>
          <cell r="DV885">
            <v>11.644336226312735</v>
          </cell>
          <cell r="DW885">
            <v>9.8476005987137558</v>
          </cell>
          <cell r="DX885">
            <v>7.1073990168282446</v>
          </cell>
          <cell r="DY885">
            <v>12.587802180599267</v>
          </cell>
        </row>
        <row r="886">
          <cell r="A886">
            <v>40703</v>
          </cell>
          <cell r="DF886">
            <v>18.836831052633514</v>
          </cell>
          <cell r="DG886">
            <v>21.679348620667902</v>
          </cell>
          <cell r="DH886">
            <v>18.362277992096409</v>
          </cell>
          <cell r="DI886">
            <v>14.300000632844487</v>
          </cell>
          <cell r="DJ886">
            <v>22.424555351348332</v>
          </cell>
          <cell r="DU886">
            <v>9.4475057386971262</v>
          </cell>
          <cell r="DV886">
            <v>11.644336226312735</v>
          </cell>
          <cell r="DW886">
            <v>9.8476005987137558</v>
          </cell>
          <cell r="DX886">
            <v>7.1073990168282446</v>
          </cell>
          <cell r="DY886">
            <v>12.587802180599267</v>
          </cell>
        </row>
        <row r="887">
          <cell r="A887">
            <v>40704</v>
          </cell>
          <cell r="DF887">
            <v>18.462132546707888</v>
          </cell>
          <cell r="DG887">
            <v>21.679348620667902</v>
          </cell>
          <cell r="DH887">
            <v>18.362277992096409</v>
          </cell>
          <cell r="DI887">
            <v>14.300000632844487</v>
          </cell>
          <cell r="DJ887">
            <v>22.424555351348332</v>
          </cell>
          <cell r="DU887">
            <v>9.2599671070849485</v>
          </cell>
          <cell r="DV887">
            <v>11.644336226312735</v>
          </cell>
          <cell r="DW887">
            <v>9.8476005987137558</v>
          </cell>
          <cell r="DX887">
            <v>7.1073990168282446</v>
          </cell>
          <cell r="DY887">
            <v>12.587802180599267</v>
          </cell>
        </row>
        <row r="888">
          <cell r="A888">
            <v>40707</v>
          </cell>
          <cell r="DF888">
            <v>18.501467059982232</v>
          </cell>
          <cell r="DG888">
            <v>21.679348620667902</v>
          </cell>
          <cell r="DH888">
            <v>18.362277992096409</v>
          </cell>
          <cell r="DI888">
            <v>14.300000632844487</v>
          </cell>
          <cell r="DJ888">
            <v>22.424555351348332</v>
          </cell>
          <cell r="DU888">
            <v>9.2840124448673489</v>
          </cell>
          <cell r="DV888">
            <v>11.644336226312735</v>
          </cell>
          <cell r="DW888">
            <v>9.8476005987137558</v>
          </cell>
          <cell r="DX888">
            <v>7.1073990168282446</v>
          </cell>
          <cell r="DY888">
            <v>12.587802180599267</v>
          </cell>
        </row>
        <row r="889">
          <cell r="A889">
            <v>40708</v>
          </cell>
          <cell r="DF889">
            <v>18.35200550639323</v>
          </cell>
          <cell r="DG889">
            <v>21.679348620667902</v>
          </cell>
          <cell r="DH889">
            <v>18.362277992096409</v>
          </cell>
          <cell r="DI889">
            <v>14.300000632844487</v>
          </cell>
          <cell r="DJ889">
            <v>22.424555351348332</v>
          </cell>
          <cell r="DU889">
            <v>9.1926460278873261</v>
          </cell>
          <cell r="DV889">
            <v>11.644336226312735</v>
          </cell>
          <cell r="DW889">
            <v>9.8476005987137558</v>
          </cell>
          <cell r="DX889">
            <v>7.1073990168282446</v>
          </cell>
          <cell r="DY889">
            <v>12.587802180599267</v>
          </cell>
        </row>
        <row r="890">
          <cell r="A890">
            <v>40709</v>
          </cell>
          <cell r="DF890">
            <v>18.242597424753782</v>
          </cell>
          <cell r="DG890">
            <v>21.679348620667902</v>
          </cell>
          <cell r="DH890">
            <v>18.362277992096409</v>
          </cell>
          <cell r="DI890">
            <v>14.300000632844487</v>
          </cell>
          <cell r="DJ890">
            <v>22.424555351348332</v>
          </cell>
          <cell r="DU890">
            <v>9.1157128725171486</v>
          </cell>
          <cell r="DV890">
            <v>11.644336226312735</v>
          </cell>
          <cell r="DW890">
            <v>9.8476005987137558</v>
          </cell>
          <cell r="DX890">
            <v>7.1073990168282446</v>
          </cell>
          <cell r="DY890">
            <v>12.587802180599267</v>
          </cell>
        </row>
        <row r="891">
          <cell r="A891">
            <v>40710</v>
          </cell>
          <cell r="DF891">
            <v>17.12832197570448</v>
          </cell>
          <cell r="DG891">
            <v>21.679348620667902</v>
          </cell>
          <cell r="DH891">
            <v>18.362277992096409</v>
          </cell>
          <cell r="DI891">
            <v>14.300000632844487</v>
          </cell>
          <cell r="DJ891">
            <v>22.424555351348332</v>
          </cell>
          <cell r="DU891">
            <v>8.4328803870026423</v>
          </cell>
          <cell r="DV891">
            <v>11.644336226312735</v>
          </cell>
          <cell r="DW891">
            <v>9.8476005987137558</v>
          </cell>
          <cell r="DX891">
            <v>7.1073990168282446</v>
          </cell>
          <cell r="DY891">
            <v>12.587802180599267</v>
          </cell>
        </row>
        <row r="892">
          <cell r="A892">
            <v>40711</v>
          </cell>
          <cell r="DF892">
            <v>16.789687568908764</v>
          </cell>
          <cell r="DG892">
            <v>21.679348620667902</v>
          </cell>
          <cell r="DH892">
            <v>18.362277992096409</v>
          </cell>
          <cell r="DI892">
            <v>14.300000632844487</v>
          </cell>
          <cell r="DJ892">
            <v>22.424555351348332</v>
          </cell>
          <cell r="DU892">
            <v>8.2261036578650604</v>
          </cell>
          <cell r="DV892">
            <v>11.644336226312735</v>
          </cell>
          <cell r="DW892">
            <v>9.8476005987137558</v>
          </cell>
          <cell r="DX892">
            <v>7.1073990168282446</v>
          </cell>
          <cell r="DY892">
            <v>12.587802180599267</v>
          </cell>
        </row>
        <row r="893">
          <cell r="A893">
            <v>40714</v>
          </cell>
          <cell r="DF893">
            <v>16.79755793441797</v>
          </cell>
          <cell r="DG893">
            <v>21.679348620667902</v>
          </cell>
          <cell r="DH893">
            <v>18.362277992096409</v>
          </cell>
          <cell r="DI893">
            <v>14.300000632844487</v>
          </cell>
          <cell r="DJ893">
            <v>22.424555351348332</v>
          </cell>
          <cell r="DU893">
            <v>8.2309094555171942</v>
          </cell>
          <cell r="DV893">
            <v>11.644336226312735</v>
          </cell>
          <cell r="DW893">
            <v>9.8476005987137558</v>
          </cell>
          <cell r="DX893">
            <v>7.1073990168282446</v>
          </cell>
          <cell r="DY893">
            <v>12.587802180599267</v>
          </cell>
        </row>
        <row r="894">
          <cell r="A894">
            <v>40715</v>
          </cell>
          <cell r="DF894">
            <v>16.750309753563887</v>
          </cell>
          <cell r="DG894">
            <v>21.679348620667902</v>
          </cell>
          <cell r="DH894">
            <v>18.362277992096409</v>
          </cell>
          <cell r="DI894">
            <v>14.300000632844487</v>
          </cell>
          <cell r="DJ894">
            <v>22.424555351348332</v>
          </cell>
          <cell r="DU894">
            <v>8.2020588009509492</v>
          </cell>
          <cell r="DV894">
            <v>11.644336226312735</v>
          </cell>
          <cell r="DW894">
            <v>9.8476005987137558</v>
          </cell>
          <cell r="DX894">
            <v>7.1073990168282446</v>
          </cell>
          <cell r="DY894">
            <v>12.587802180599267</v>
          </cell>
        </row>
        <row r="895">
          <cell r="A895">
            <v>40716</v>
          </cell>
          <cell r="DF895">
            <v>16.287532663579874</v>
          </cell>
          <cell r="DG895">
            <v>21.679348620667902</v>
          </cell>
          <cell r="DH895">
            <v>18.362277992096409</v>
          </cell>
          <cell r="DI895">
            <v>14.300000632844487</v>
          </cell>
          <cell r="DJ895">
            <v>22.424555351348332</v>
          </cell>
          <cell r="DU895">
            <v>7.9702672234301772</v>
          </cell>
          <cell r="DV895">
            <v>11.644336226312735</v>
          </cell>
          <cell r="DW895">
            <v>9.8476005987137558</v>
          </cell>
          <cell r="DX895">
            <v>7.1073990168282446</v>
          </cell>
          <cell r="DY895">
            <v>12.587802180599267</v>
          </cell>
        </row>
        <row r="896">
          <cell r="A896">
            <v>40717</v>
          </cell>
          <cell r="DF896">
            <v>15.928369684036864</v>
          </cell>
          <cell r="DG896">
            <v>21.679348620667902</v>
          </cell>
          <cell r="DH896">
            <v>18.362277992096409</v>
          </cell>
          <cell r="DI896">
            <v>14.300000632844487</v>
          </cell>
          <cell r="DJ896">
            <v>22.424555351348332</v>
          </cell>
          <cell r="DU896">
            <v>7.7500286738610225</v>
          </cell>
          <cell r="DV896">
            <v>11.644336226312735</v>
          </cell>
          <cell r="DW896">
            <v>9.8476005987137558</v>
          </cell>
          <cell r="DX896">
            <v>7.1073990168282446</v>
          </cell>
          <cell r="DY896">
            <v>12.587802180599267</v>
          </cell>
        </row>
        <row r="897">
          <cell r="A897">
            <v>40718</v>
          </cell>
          <cell r="DF897">
            <v>15.522349174953485</v>
          </cell>
          <cell r="DG897">
            <v>21.679348620667902</v>
          </cell>
          <cell r="DH897">
            <v>18.362277992096409</v>
          </cell>
          <cell r="DI897">
            <v>14.300000632844487</v>
          </cell>
          <cell r="DJ897">
            <v>22.424555351348332</v>
          </cell>
          <cell r="DU897">
            <v>7.5010571118987315</v>
          </cell>
          <cell r="DV897">
            <v>11.644336226312735</v>
          </cell>
          <cell r="DW897">
            <v>9.8476005987137558</v>
          </cell>
          <cell r="DX897">
            <v>7.1073990168282446</v>
          </cell>
          <cell r="DY897">
            <v>12.587802180599267</v>
          </cell>
        </row>
        <row r="898">
          <cell r="A898">
            <v>40721</v>
          </cell>
          <cell r="DF898">
            <v>15.264682733852004</v>
          </cell>
          <cell r="DG898">
            <v>21.679348620667902</v>
          </cell>
          <cell r="DH898">
            <v>18.362277992096409</v>
          </cell>
          <cell r="DI898">
            <v>14.300000632844487</v>
          </cell>
          <cell r="DJ898">
            <v>22.424555351348332</v>
          </cell>
          <cell r="DU898">
            <v>7.3430561861545449</v>
          </cell>
          <cell r="DV898">
            <v>11.644336226312735</v>
          </cell>
          <cell r="DW898">
            <v>9.8476005987137558</v>
          </cell>
          <cell r="DX898">
            <v>7.1073990168282446</v>
          </cell>
          <cell r="DY898">
            <v>12.587802180599267</v>
          </cell>
        </row>
        <row r="899">
          <cell r="A899">
            <v>40722</v>
          </cell>
          <cell r="DF899">
            <v>15.100721201396624</v>
          </cell>
          <cell r="DG899">
            <v>21.679348620667902</v>
          </cell>
          <cell r="DH899">
            <v>18.362277992096409</v>
          </cell>
          <cell r="DI899">
            <v>14.300000632844487</v>
          </cell>
          <cell r="DJ899">
            <v>22.424555351348332</v>
          </cell>
          <cell r="DU899">
            <v>7.2425150609554612</v>
          </cell>
          <cell r="DV899">
            <v>11.644336226312735</v>
          </cell>
          <cell r="DW899">
            <v>9.8476005987137558</v>
          </cell>
          <cell r="DX899">
            <v>7.1073990168282446</v>
          </cell>
          <cell r="DY899">
            <v>12.587802180599267</v>
          </cell>
        </row>
        <row r="900">
          <cell r="A900">
            <v>40723</v>
          </cell>
          <cell r="DF900">
            <v>13.984167143825323</v>
          </cell>
          <cell r="DG900">
            <v>21.679348620667902</v>
          </cell>
          <cell r="DH900">
            <v>18.362277992096409</v>
          </cell>
          <cell r="DI900">
            <v>14.300000632844487</v>
          </cell>
          <cell r="DJ900">
            <v>22.424555351348332</v>
          </cell>
          <cell r="DU900">
            <v>6.5578447019225079</v>
          </cell>
          <cell r="DV900">
            <v>11.644336226312735</v>
          </cell>
          <cell r="DW900">
            <v>9.8476005987137558</v>
          </cell>
          <cell r="DX900">
            <v>7.1073990168282446</v>
          </cell>
          <cell r="DY900">
            <v>12.587802180599267</v>
          </cell>
        </row>
        <row r="901">
          <cell r="A901">
            <v>40724</v>
          </cell>
          <cell r="DF901">
            <v>14.819631461143613</v>
          </cell>
          <cell r="DG901">
            <v>21.679348620667902</v>
          </cell>
          <cell r="DH901">
            <v>18.362277992096409</v>
          </cell>
          <cell r="DI901">
            <v>14.300000632844487</v>
          </cell>
          <cell r="DJ901">
            <v>22.424555351348332</v>
          </cell>
          <cell r="DU901">
            <v>7.0836947227339833</v>
          </cell>
          <cell r="DV901">
            <v>11.644336226312735</v>
          </cell>
          <cell r="DW901">
            <v>9.8476005987137558</v>
          </cell>
          <cell r="DX901">
            <v>7.1073990168282446</v>
          </cell>
          <cell r="DY901">
            <v>12.587802180599267</v>
          </cell>
        </row>
        <row r="902">
          <cell r="A902">
            <v>40725</v>
          </cell>
          <cell r="DF902">
            <v>14.172100691225699</v>
          </cell>
          <cell r="DG902">
            <v>21.679348620667902</v>
          </cell>
          <cell r="DH902">
            <v>18.362277992096409</v>
          </cell>
          <cell r="DI902">
            <v>14.300000632844487</v>
          </cell>
          <cell r="DJ902">
            <v>22.424555351348332</v>
          </cell>
          <cell r="DU902">
            <v>6.6844687596028276</v>
          </cell>
          <cell r="DV902">
            <v>11.644336226312735</v>
          </cell>
          <cell r="DW902">
            <v>9.8476005987137558</v>
          </cell>
          <cell r="DX902">
            <v>7.1073990168282446</v>
          </cell>
          <cell r="DY902">
            <v>12.587802180599267</v>
          </cell>
        </row>
        <row r="903">
          <cell r="A903">
            <v>40728</v>
          </cell>
          <cell r="DF903">
            <v>14.231574837346255</v>
          </cell>
          <cell r="DG903">
            <v>21.679348620667902</v>
          </cell>
          <cell r="DH903">
            <v>18.362277992096409</v>
          </cell>
          <cell r="DI903">
            <v>14.300000632844487</v>
          </cell>
          <cell r="DJ903">
            <v>22.424555351348332</v>
          </cell>
          <cell r="DU903">
            <v>6.5334481756829863</v>
          </cell>
          <cell r="DV903">
            <v>11.644336226312735</v>
          </cell>
          <cell r="DW903">
            <v>9.8476005987137558</v>
          </cell>
          <cell r="DX903">
            <v>7.1073990168282446</v>
          </cell>
          <cell r="DY903">
            <v>12.587802180599267</v>
          </cell>
        </row>
        <row r="904">
          <cell r="A904">
            <v>40729</v>
          </cell>
          <cell r="DF904">
            <v>14.813277766933433</v>
          </cell>
          <cell r="DG904">
            <v>21.679348620667902</v>
          </cell>
          <cell r="DH904">
            <v>18.362277992096409</v>
          </cell>
          <cell r="DI904">
            <v>14.300000632844487</v>
          </cell>
          <cell r="DJ904">
            <v>22.424555351348332</v>
          </cell>
          <cell r="DU904">
            <v>6.8793611094864096</v>
          </cell>
          <cell r="DV904">
            <v>11.644336226312735</v>
          </cell>
          <cell r="DW904">
            <v>9.8476005987137558</v>
          </cell>
          <cell r="DX904">
            <v>7.1073990168282446</v>
          </cell>
          <cell r="DY904">
            <v>12.587802180599267</v>
          </cell>
        </row>
        <row r="905">
          <cell r="A905">
            <v>40730</v>
          </cell>
          <cell r="DF905">
            <v>15.323255415534433</v>
          </cell>
          <cell r="DG905">
            <v>21.679348620667902</v>
          </cell>
          <cell r="DH905">
            <v>18.362277992096409</v>
          </cell>
          <cell r="DI905">
            <v>14.300000632844487</v>
          </cell>
          <cell r="DJ905">
            <v>22.424555351348332</v>
          </cell>
          <cell r="DU905">
            <v>7.182622199690881</v>
          </cell>
          <cell r="DV905">
            <v>11.644336226312735</v>
          </cell>
          <cell r="DW905">
            <v>9.8476005987137558</v>
          </cell>
          <cell r="DX905">
            <v>7.1073990168282446</v>
          </cell>
          <cell r="DY905">
            <v>12.587802180599267</v>
          </cell>
        </row>
        <row r="906">
          <cell r="A906">
            <v>40731</v>
          </cell>
          <cell r="DF906">
            <v>15.506525731999982</v>
          </cell>
          <cell r="DG906">
            <v>21.679348620667902</v>
          </cell>
          <cell r="DH906">
            <v>18.362277992096409</v>
          </cell>
          <cell r="DI906">
            <v>14.300000632844487</v>
          </cell>
          <cell r="DJ906">
            <v>22.424555351348332</v>
          </cell>
          <cell r="DU906">
            <v>7.2908470037827886</v>
          </cell>
          <cell r="DV906">
            <v>11.644336226312735</v>
          </cell>
          <cell r="DW906">
            <v>9.8476005987137558</v>
          </cell>
          <cell r="DX906">
            <v>7.1073990168282446</v>
          </cell>
          <cell r="DY906">
            <v>12.587802180599267</v>
          </cell>
        </row>
        <row r="907">
          <cell r="A907">
            <v>40732</v>
          </cell>
          <cell r="DF907">
            <v>15.857265727980105</v>
          </cell>
          <cell r="DG907">
            <v>21.679348620667902</v>
          </cell>
          <cell r="DH907">
            <v>18.362277992096409</v>
          </cell>
          <cell r="DI907">
            <v>14.300000632844487</v>
          </cell>
          <cell r="DJ907">
            <v>22.424555351348332</v>
          </cell>
          <cell r="DU907">
            <v>7.5072266305952784</v>
          </cell>
          <cell r="DV907">
            <v>11.644336226312735</v>
          </cell>
          <cell r="DW907">
            <v>9.8476005987137558</v>
          </cell>
          <cell r="DX907">
            <v>7.1073990168282446</v>
          </cell>
          <cell r="DY907">
            <v>12.587802180599267</v>
          </cell>
        </row>
        <row r="908">
          <cell r="A908">
            <v>40735</v>
          </cell>
          <cell r="DF908">
            <v>15.141187001229538</v>
          </cell>
          <cell r="DG908">
            <v>21.679348620667902</v>
          </cell>
          <cell r="DH908">
            <v>18.362277992096409</v>
          </cell>
          <cell r="DI908">
            <v>14.300000632844487</v>
          </cell>
          <cell r="DJ908">
            <v>22.424555351348332</v>
          </cell>
          <cell r="DU908">
            <v>7.0811700773901221</v>
          </cell>
          <cell r="DV908">
            <v>11.644336226312735</v>
          </cell>
          <cell r="DW908">
            <v>9.8476005987137558</v>
          </cell>
          <cell r="DX908">
            <v>7.1073990168282446</v>
          </cell>
          <cell r="DY908">
            <v>12.587802180599267</v>
          </cell>
        </row>
        <row r="909">
          <cell r="A909">
            <v>40736</v>
          </cell>
          <cell r="DF909">
            <v>14.974096077190067</v>
          </cell>
          <cell r="DG909">
            <v>21.679348620667902</v>
          </cell>
          <cell r="DH909">
            <v>18.362277992096409</v>
          </cell>
          <cell r="DI909">
            <v>14.300000632844487</v>
          </cell>
          <cell r="DJ909">
            <v>22.424555351348332</v>
          </cell>
          <cell r="DU909">
            <v>6.9817533784872374</v>
          </cell>
          <cell r="DV909">
            <v>11.644336226312735</v>
          </cell>
          <cell r="DW909">
            <v>9.8476005987137558</v>
          </cell>
          <cell r="DX909">
            <v>7.1073990168282446</v>
          </cell>
          <cell r="DY909">
            <v>12.587802180599267</v>
          </cell>
        </row>
        <row r="910">
          <cell r="A910">
            <v>40737</v>
          </cell>
          <cell r="DF910">
            <v>14.79905185240348</v>
          </cell>
          <cell r="DG910">
            <v>21.679348620667902</v>
          </cell>
          <cell r="DH910">
            <v>18.362277992096409</v>
          </cell>
          <cell r="DI910">
            <v>14.300000632844487</v>
          </cell>
          <cell r="DJ910">
            <v>22.424555351348332</v>
          </cell>
          <cell r="DU910">
            <v>6.8776045799194243</v>
          </cell>
          <cell r="DV910">
            <v>11.644336226312735</v>
          </cell>
          <cell r="DW910">
            <v>9.8476005987137558</v>
          </cell>
          <cell r="DX910">
            <v>7.1073990168282446</v>
          </cell>
          <cell r="DY910">
            <v>12.587802180599267</v>
          </cell>
        </row>
        <row r="911">
          <cell r="A911">
            <v>40738</v>
          </cell>
          <cell r="DF911">
            <v>15.411705047859863</v>
          </cell>
          <cell r="DG911">
            <v>21.679348620667902</v>
          </cell>
          <cell r="DH911">
            <v>18.362277992096409</v>
          </cell>
          <cell r="DI911">
            <v>14.300000632844487</v>
          </cell>
          <cell r="DJ911">
            <v>22.424555351348332</v>
          </cell>
          <cell r="DU911">
            <v>7.2421244281081183</v>
          </cell>
          <cell r="DV911">
            <v>11.644336226312735</v>
          </cell>
          <cell r="DW911">
            <v>9.8476005987137558</v>
          </cell>
          <cell r="DX911">
            <v>7.1073990168282446</v>
          </cell>
          <cell r="DY911">
            <v>12.587802180599267</v>
          </cell>
        </row>
        <row r="912">
          <cell r="A912">
            <v>40739</v>
          </cell>
          <cell r="DF912">
            <v>15.58034093935354</v>
          </cell>
          <cell r="DG912">
            <v>21.679348620667902</v>
          </cell>
          <cell r="DH912">
            <v>18.362277992096409</v>
          </cell>
          <cell r="DI912">
            <v>14.300000632844487</v>
          </cell>
          <cell r="DJ912">
            <v>22.424555351348332</v>
          </cell>
          <cell r="DU912">
            <v>7.3224852982319231</v>
          </cell>
          <cell r="DV912">
            <v>11.644336226312735</v>
          </cell>
          <cell r="DW912">
            <v>9.8476005987137558</v>
          </cell>
          <cell r="DX912">
            <v>7.1073990168282446</v>
          </cell>
          <cell r="DY912">
            <v>12.587802180599267</v>
          </cell>
        </row>
        <row r="913">
          <cell r="A913">
            <v>40742</v>
          </cell>
          <cell r="DF913">
            <v>15.270324603835482</v>
          </cell>
          <cell r="DG913">
            <v>21.679348620667902</v>
          </cell>
          <cell r="DH913">
            <v>18.362277992096409</v>
          </cell>
          <cell r="DI913">
            <v>14.300000632844487</v>
          </cell>
          <cell r="DJ913">
            <v>22.424555351348332</v>
          </cell>
          <cell r="DU913">
            <v>7.1385762978664493</v>
          </cell>
          <cell r="DV913">
            <v>11.644336226312735</v>
          </cell>
          <cell r="DW913">
            <v>9.8476005987137558</v>
          </cell>
          <cell r="DX913">
            <v>7.1073990168282446</v>
          </cell>
          <cell r="DY913">
            <v>12.587802180599267</v>
          </cell>
        </row>
        <row r="914">
          <cell r="A914">
            <v>40743</v>
          </cell>
          <cell r="DF914">
            <v>15.325974268579785</v>
          </cell>
          <cell r="DG914">
            <v>21.679348620667902</v>
          </cell>
          <cell r="DH914">
            <v>18.362277992096409</v>
          </cell>
          <cell r="DI914">
            <v>14.300000632844487</v>
          </cell>
          <cell r="DJ914">
            <v>22.424555351348332</v>
          </cell>
          <cell r="DU914">
            <v>7.1715889912030635</v>
          </cell>
          <cell r="DV914">
            <v>11.644336226312735</v>
          </cell>
          <cell r="DW914">
            <v>9.8476005987137558</v>
          </cell>
          <cell r="DX914">
            <v>7.1073990168282446</v>
          </cell>
          <cell r="DY914">
            <v>12.587802180599267</v>
          </cell>
        </row>
        <row r="915">
          <cell r="A915">
            <v>40744</v>
          </cell>
          <cell r="DF915">
            <v>15.983984246280622</v>
          </cell>
          <cell r="DG915">
            <v>21.679348620667902</v>
          </cell>
          <cell r="DH915">
            <v>18.362277992096409</v>
          </cell>
          <cell r="DI915">
            <v>14.300000632844487</v>
          </cell>
          <cell r="DJ915">
            <v>22.424555351348332</v>
          </cell>
          <cell r="DU915">
            <v>7.5588816533389398</v>
          </cell>
          <cell r="DV915">
            <v>11.644336226312735</v>
          </cell>
          <cell r="DW915">
            <v>9.8476005987137558</v>
          </cell>
          <cell r="DX915">
            <v>7.1073990168282446</v>
          </cell>
          <cell r="DY915">
            <v>12.587802180599267</v>
          </cell>
        </row>
        <row r="916">
          <cell r="A916">
            <v>40745</v>
          </cell>
          <cell r="DF916">
            <v>15.84899931315849</v>
          </cell>
          <cell r="DG916">
            <v>21.679348620667902</v>
          </cell>
          <cell r="DH916">
            <v>18.362277992096409</v>
          </cell>
          <cell r="DI916">
            <v>14.300000632844487</v>
          </cell>
          <cell r="DJ916">
            <v>22.424555351348332</v>
          </cell>
          <cell r="DU916">
            <v>7.4971236409207593</v>
          </cell>
          <cell r="DV916">
            <v>11.644336226312735</v>
          </cell>
          <cell r="DW916">
            <v>9.8476005987137558</v>
          </cell>
          <cell r="DX916">
            <v>7.1073990168282446</v>
          </cell>
          <cell r="DY916">
            <v>12.587802180599267</v>
          </cell>
        </row>
        <row r="917">
          <cell r="A917">
            <v>40746</v>
          </cell>
          <cell r="DF917">
            <v>15.707107015134509</v>
          </cell>
          <cell r="DG917">
            <v>21.679348620667902</v>
          </cell>
          <cell r="DH917">
            <v>18.362277992096409</v>
          </cell>
          <cell r="DI917">
            <v>14.300000632844487</v>
          </cell>
          <cell r="DJ917">
            <v>22.424555351348332</v>
          </cell>
          <cell r="DU917">
            <v>7.4357782336799385</v>
          </cell>
          <cell r="DV917">
            <v>11.644336226312735</v>
          </cell>
          <cell r="DW917">
            <v>9.8476005987137558</v>
          </cell>
          <cell r="DX917">
            <v>7.1073990168282446</v>
          </cell>
          <cell r="DY917">
            <v>12.587802180599267</v>
          </cell>
        </row>
        <row r="918">
          <cell r="A918">
            <v>40749</v>
          </cell>
          <cell r="DF918">
            <v>15.245212025819519</v>
          </cell>
          <cell r="DG918">
            <v>21.679348620667902</v>
          </cell>
          <cell r="DH918">
            <v>18.362277992096409</v>
          </cell>
          <cell r="DI918">
            <v>14.300000632844487</v>
          </cell>
          <cell r="DJ918">
            <v>22.424555351348332</v>
          </cell>
          <cell r="DU918">
            <v>7.1929755407970415</v>
          </cell>
          <cell r="DV918">
            <v>11.644336226312735</v>
          </cell>
          <cell r="DW918">
            <v>9.8476005987137558</v>
          </cell>
          <cell r="DX918">
            <v>7.1073990168282446</v>
          </cell>
          <cell r="DY918">
            <v>12.587802180599267</v>
          </cell>
        </row>
        <row r="919">
          <cell r="A919">
            <v>40750</v>
          </cell>
          <cell r="DF919">
            <v>14.617188545679706</v>
          </cell>
          <cell r="DG919">
            <v>21.679348620667902</v>
          </cell>
          <cell r="DH919">
            <v>18.362277992096409</v>
          </cell>
          <cell r="DI919">
            <v>14.300000632844487</v>
          </cell>
          <cell r="DJ919">
            <v>22.424555351348332</v>
          </cell>
          <cell r="DU919">
            <v>6.8180503289416432</v>
          </cell>
          <cell r="DV919">
            <v>11.644336226312735</v>
          </cell>
          <cell r="DW919">
            <v>9.8476005987137558</v>
          </cell>
          <cell r="DX919">
            <v>7.1073990168282446</v>
          </cell>
          <cell r="DY919">
            <v>12.587802180599267</v>
          </cell>
        </row>
        <row r="920">
          <cell r="A920">
            <v>40751</v>
          </cell>
          <cell r="DF920">
            <v>14.617188545679706</v>
          </cell>
          <cell r="DG920">
            <v>21.679348620667902</v>
          </cell>
          <cell r="DH920">
            <v>18.362277992096409</v>
          </cell>
          <cell r="DI920">
            <v>14.300000632844487</v>
          </cell>
          <cell r="DJ920">
            <v>22.424555351348332</v>
          </cell>
          <cell r="DU920">
            <v>6.8180503289416432</v>
          </cell>
          <cell r="DV920">
            <v>11.644336226312735</v>
          </cell>
          <cell r="DW920">
            <v>9.8476005987137558</v>
          </cell>
          <cell r="DX920">
            <v>7.1073990168282446</v>
          </cell>
          <cell r="DY920">
            <v>12.587802180599267</v>
          </cell>
        </row>
        <row r="921">
          <cell r="A921">
            <v>40752</v>
          </cell>
          <cell r="DF921">
            <v>14.522988517026242</v>
          </cell>
          <cell r="DG921">
            <v>21.679348620667902</v>
          </cell>
          <cell r="DH921">
            <v>18.362277992096409</v>
          </cell>
          <cell r="DI921">
            <v>14.300000632844487</v>
          </cell>
          <cell r="DJ921">
            <v>22.424555351348332</v>
          </cell>
          <cell r="DU921">
            <v>6.7618136326770051</v>
          </cell>
          <cell r="DV921">
            <v>11.644336226312735</v>
          </cell>
          <cell r="DW921">
            <v>9.8476005987137558</v>
          </cell>
          <cell r="DX921">
            <v>7.1073990168282446</v>
          </cell>
          <cell r="DY921">
            <v>12.587802180599267</v>
          </cell>
        </row>
        <row r="922">
          <cell r="A922">
            <v>40753</v>
          </cell>
          <cell r="DF922">
            <v>15.064647317074128</v>
          </cell>
          <cell r="DG922">
            <v>21.679348620667902</v>
          </cell>
          <cell r="DH922">
            <v>18.362277992096409</v>
          </cell>
          <cell r="DI922">
            <v>14.300000632844487</v>
          </cell>
          <cell r="DJ922">
            <v>22.424555351348332</v>
          </cell>
          <cell r="DU922">
            <v>7.0851797914010115</v>
          </cell>
          <cell r="DV922">
            <v>11.644336226312735</v>
          </cell>
          <cell r="DW922">
            <v>9.8476005987137558</v>
          </cell>
          <cell r="DX922">
            <v>7.1073990168282446</v>
          </cell>
          <cell r="DY922">
            <v>12.587802180599267</v>
          </cell>
        </row>
        <row r="923">
          <cell r="A923">
            <v>40756</v>
          </cell>
          <cell r="DF923">
            <v>14.884094383724833</v>
          </cell>
          <cell r="DG923">
            <v>21.679348620667902</v>
          </cell>
          <cell r="DH923">
            <v>18.362277992096409</v>
          </cell>
          <cell r="DI923">
            <v>14.300000632844487</v>
          </cell>
          <cell r="DJ923">
            <v>22.424555351348332</v>
          </cell>
          <cell r="DU923">
            <v>6.9773910718263421</v>
          </cell>
          <cell r="DV923">
            <v>11.644336226312735</v>
          </cell>
          <cell r="DW923">
            <v>9.8476005987137558</v>
          </cell>
          <cell r="DX923">
            <v>7.1073990168282446</v>
          </cell>
          <cell r="DY923">
            <v>12.587802180599267</v>
          </cell>
        </row>
        <row r="924">
          <cell r="A924">
            <v>40757</v>
          </cell>
          <cell r="DF924">
            <v>14.2874782400493</v>
          </cell>
          <cell r="DG924">
            <v>21.679348620667902</v>
          </cell>
          <cell r="DH924">
            <v>18.362277992096409</v>
          </cell>
          <cell r="DI924">
            <v>14.300000632844487</v>
          </cell>
          <cell r="DJ924">
            <v>22.424555351348332</v>
          </cell>
          <cell r="DU924">
            <v>6.6212157995035605</v>
          </cell>
          <cell r="DV924">
            <v>11.644336226312735</v>
          </cell>
          <cell r="DW924">
            <v>9.8476005987137558</v>
          </cell>
          <cell r="DX924">
            <v>7.1073990168282446</v>
          </cell>
          <cell r="DY924">
            <v>12.587802180599267</v>
          </cell>
        </row>
        <row r="925">
          <cell r="A925">
            <v>40758</v>
          </cell>
          <cell r="DF925">
            <v>14.546538524189607</v>
          </cell>
          <cell r="DG925">
            <v>21.679348620667902</v>
          </cell>
          <cell r="DH925">
            <v>18.362277992096409</v>
          </cell>
          <cell r="DI925">
            <v>14.300000632844487</v>
          </cell>
          <cell r="DJ925">
            <v>22.424555351348332</v>
          </cell>
          <cell r="DU925">
            <v>6.7758728067431653</v>
          </cell>
          <cell r="DV925">
            <v>11.644336226312735</v>
          </cell>
          <cell r="DW925">
            <v>9.8476005987137558</v>
          </cell>
          <cell r="DX925">
            <v>7.1073990168282446</v>
          </cell>
          <cell r="DY925">
            <v>12.587802180599267</v>
          </cell>
        </row>
        <row r="926">
          <cell r="A926">
            <v>40759</v>
          </cell>
          <cell r="DF926">
            <v>15.284453140792522</v>
          </cell>
          <cell r="DG926">
            <v>21.679348620667902</v>
          </cell>
          <cell r="DH926">
            <v>18.362277992096409</v>
          </cell>
          <cell r="DI926">
            <v>14.300000632844487</v>
          </cell>
          <cell r="DJ926">
            <v>22.424555351348332</v>
          </cell>
          <cell r="DU926">
            <v>7.21640218615339</v>
          </cell>
          <cell r="DV926">
            <v>11.644336226312735</v>
          </cell>
          <cell r="DW926">
            <v>9.8476005987137558</v>
          </cell>
          <cell r="DX926">
            <v>7.1073990168282446</v>
          </cell>
          <cell r="DY926">
            <v>12.587802180599267</v>
          </cell>
        </row>
        <row r="927">
          <cell r="A927">
            <v>40760</v>
          </cell>
          <cell r="DF927">
            <v>15.627658852178826</v>
          </cell>
          <cell r="DG927">
            <v>21.679348620667902</v>
          </cell>
          <cell r="DH927">
            <v>18.362277992096409</v>
          </cell>
          <cell r="DI927">
            <v>14.300000632844487</v>
          </cell>
          <cell r="DJ927">
            <v>22.424555351348332</v>
          </cell>
          <cell r="DU927">
            <v>7.400396565354816</v>
          </cell>
          <cell r="DV927">
            <v>11.644336226312735</v>
          </cell>
          <cell r="DW927">
            <v>9.8476005987137558</v>
          </cell>
          <cell r="DX927">
            <v>7.1073990168282446</v>
          </cell>
          <cell r="DY927">
            <v>12.587802180599267</v>
          </cell>
        </row>
        <row r="928">
          <cell r="A928">
            <v>40763</v>
          </cell>
          <cell r="DF928">
            <v>15.61981362181594</v>
          </cell>
          <cell r="DG928">
            <v>21.679348620667902</v>
          </cell>
          <cell r="DH928">
            <v>18.362277992096409</v>
          </cell>
          <cell r="DI928">
            <v>14.300000632844487</v>
          </cell>
          <cell r="DJ928">
            <v>22.424555351348332</v>
          </cell>
          <cell r="DU928">
            <v>7.3957263804008564</v>
          </cell>
          <cell r="DV928">
            <v>11.644336226312735</v>
          </cell>
          <cell r="DW928">
            <v>9.8476005987137558</v>
          </cell>
          <cell r="DX928">
            <v>7.1073990168282446</v>
          </cell>
          <cell r="DY928">
            <v>12.587802180599267</v>
          </cell>
        </row>
        <row r="929">
          <cell r="A929">
            <v>40764</v>
          </cell>
          <cell r="DF929">
            <v>15.870980300583387</v>
          </cell>
          <cell r="DG929">
            <v>21.679348620667902</v>
          </cell>
          <cell r="DH929">
            <v>18.362277992096409</v>
          </cell>
          <cell r="DI929">
            <v>14.300000632844487</v>
          </cell>
          <cell r="DJ929">
            <v>22.424555351348332</v>
          </cell>
          <cell r="DU929">
            <v>7.5452433212500418</v>
          </cell>
          <cell r="DV929">
            <v>11.644336226312735</v>
          </cell>
          <cell r="DW929">
            <v>9.8476005987137558</v>
          </cell>
          <cell r="DX929">
            <v>7.1073990168282446</v>
          </cell>
          <cell r="DY929">
            <v>12.587802180599267</v>
          </cell>
        </row>
        <row r="930">
          <cell r="A930">
            <v>40765</v>
          </cell>
          <cell r="DF930">
            <v>15.156716619996899</v>
          </cell>
          <cell r="DG930">
            <v>21.679348620667902</v>
          </cell>
          <cell r="DH930">
            <v>18.362277992096409</v>
          </cell>
          <cell r="DI930">
            <v>14.300000632844487</v>
          </cell>
          <cell r="DJ930">
            <v>22.424555351348332</v>
          </cell>
          <cell r="DU930">
            <v>7.1200494977498625</v>
          </cell>
          <cell r="DV930">
            <v>11.644336226312735</v>
          </cell>
          <cell r="DW930">
            <v>9.8476005987137558</v>
          </cell>
          <cell r="DX930">
            <v>7.1073990168282446</v>
          </cell>
          <cell r="DY930">
            <v>12.587802180599267</v>
          </cell>
        </row>
        <row r="931">
          <cell r="A931">
            <v>40766</v>
          </cell>
          <cell r="DF931">
            <v>15.486379557660873</v>
          </cell>
          <cell r="DG931">
            <v>21.679348620667902</v>
          </cell>
          <cell r="DH931">
            <v>18.362277992096409</v>
          </cell>
          <cell r="DI931">
            <v>14.300000632844487</v>
          </cell>
          <cell r="DJ931">
            <v>22.424555351348332</v>
          </cell>
          <cell r="DU931">
            <v>7.3162944542574539</v>
          </cell>
          <cell r="DV931">
            <v>11.644336226312735</v>
          </cell>
          <cell r="DW931">
            <v>9.8476005987137558</v>
          </cell>
          <cell r="DX931">
            <v>7.1073990168282446</v>
          </cell>
          <cell r="DY931">
            <v>12.587802180599267</v>
          </cell>
        </row>
        <row r="932">
          <cell r="A932">
            <v>40767</v>
          </cell>
          <cell r="DF932">
            <v>14.897692937134154</v>
          </cell>
          <cell r="DG932">
            <v>21.679348620667902</v>
          </cell>
          <cell r="DH932">
            <v>18.362277992096409</v>
          </cell>
          <cell r="DI932">
            <v>14.300000632844487</v>
          </cell>
          <cell r="DJ932">
            <v>22.424555351348332</v>
          </cell>
          <cell r="DU932">
            <v>6.9658553631648941</v>
          </cell>
          <cell r="DV932">
            <v>11.644336226312735</v>
          </cell>
          <cell r="DW932">
            <v>9.8476005987137558</v>
          </cell>
          <cell r="DX932">
            <v>7.1073990168282446</v>
          </cell>
          <cell r="DY932">
            <v>12.587802180599267</v>
          </cell>
        </row>
        <row r="933">
          <cell r="A933">
            <v>40770</v>
          </cell>
          <cell r="DF933">
            <v>14.46598706066808</v>
          </cell>
          <cell r="DG933">
            <v>21.679348620667902</v>
          </cell>
          <cell r="DH933">
            <v>18.362277992096409</v>
          </cell>
          <cell r="DI933">
            <v>14.300000632844487</v>
          </cell>
          <cell r="DJ933">
            <v>22.424555351348332</v>
          </cell>
          <cell r="DU933">
            <v>6.7088652946073202</v>
          </cell>
          <cell r="DV933">
            <v>11.644336226312735</v>
          </cell>
          <cell r="DW933">
            <v>9.8476005987137558</v>
          </cell>
          <cell r="DX933">
            <v>7.1073990168282446</v>
          </cell>
          <cell r="DY933">
            <v>12.587802180599267</v>
          </cell>
        </row>
        <row r="934">
          <cell r="A934">
            <v>40771</v>
          </cell>
          <cell r="DF934">
            <v>14.497378186021045</v>
          </cell>
          <cell r="DG934">
            <v>21.679348620667902</v>
          </cell>
          <cell r="DH934">
            <v>18.362277992096409</v>
          </cell>
          <cell r="DI934">
            <v>14.300000632844487</v>
          </cell>
          <cell r="DJ934">
            <v>22.424555351348332</v>
          </cell>
          <cell r="DU934">
            <v>6.7275521087007393</v>
          </cell>
          <cell r="DV934">
            <v>11.644336226312735</v>
          </cell>
          <cell r="DW934">
            <v>9.8476005987137558</v>
          </cell>
          <cell r="DX934">
            <v>7.1073990168282446</v>
          </cell>
          <cell r="DY934">
            <v>12.587802180599267</v>
          </cell>
        </row>
        <row r="935">
          <cell r="A935">
            <v>40772</v>
          </cell>
          <cell r="DF935">
            <v>14.480026541497592</v>
          </cell>
          <cell r="DG935">
            <v>21.679348620667902</v>
          </cell>
          <cell r="DH935">
            <v>18.362277992096409</v>
          </cell>
          <cell r="DI935">
            <v>14.300000632844487</v>
          </cell>
          <cell r="DJ935">
            <v>22.424555351348332</v>
          </cell>
          <cell r="DU935">
            <v>6.7135354795612798</v>
          </cell>
          <cell r="DV935">
            <v>11.644336226312735</v>
          </cell>
          <cell r="DW935">
            <v>9.8476005987137558</v>
          </cell>
          <cell r="DX935">
            <v>7.1073990168282446</v>
          </cell>
          <cell r="DY935">
            <v>12.587802180599267</v>
          </cell>
        </row>
        <row r="936">
          <cell r="A936">
            <v>40773</v>
          </cell>
          <cell r="DF936">
            <v>14.864803657701058</v>
          </cell>
          <cell r="DG936">
            <v>21.679348620667902</v>
          </cell>
          <cell r="DH936">
            <v>18.362277992096409</v>
          </cell>
          <cell r="DI936">
            <v>14.300000632844487</v>
          </cell>
          <cell r="DJ936">
            <v>22.424555351348332</v>
          </cell>
          <cell r="DU936">
            <v>6.9424913553356928</v>
          </cell>
          <cell r="DV936">
            <v>11.644336226312735</v>
          </cell>
          <cell r="DW936">
            <v>9.8476005987137558</v>
          </cell>
          <cell r="DX936">
            <v>7.1073990168282446</v>
          </cell>
          <cell r="DY936">
            <v>12.587802180599267</v>
          </cell>
        </row>
        <row r="937">
          <cell r="A937">
            <v>40774</v>
          </cell>
          <cell r="DF937">
            <v>14.464335296220492</v>
          </cell>
          <cell r="DG937">
            <v>21.679348620667902</v>
          </cell>
          <cell r="DH937">
            <v>18.362277992096409</v>
          </cell>
          <cell r="DI937">
            <v>14.300000632844487</v>
          </cell>
          <cell r="DJ937">
            <v>22.424555351348332</v>
          </cell>
          <cell r="DU937">
            <v>6.6995183831696981</v>
          </cell>
          <cell r="DV937">
            <v>11.644336226312735</v>
          </cell>
          <cell r="DW937">
            <v>9.8476005987137558</v>
          </cell>
          <cell r="DX937">
            <v>7.1073990168282446</v>
          </cell>
          <cell r="DY937">
            <v>12.587802180599267</v>
          </cell>
        </row>
        <row r="938">
          <cell r="A938">
            <v>40777</v>
          </cell>
          <cell r="DF938">
            <v>14.629333312381902</v>
          </cell>
          <cell r="DG938">
            <v>21.679348620667902</v>
          </cell>
          <cell r="DH938">
            <v>18.362277992096409</v>
          </cell>
          <cell r="DI938">
            <v>14.300000632844487</v>
          </cell>
          <cell r="DJ938">
            <v>22.424555351348332</v>
          </cell>
          <cell r="DU938">
            <v>6.7976445994404662</v>
          </cell>
          <cell r="DV938">
            <v>11.644336226312735</v>
          </cell>
          <cell r="DW938">
            <v>9.8476005987137558</v>
          </cell>
          <cell r="DX938">
            <v>7.1073990168282446</v>
          </cell>
          <cell r="DY938">
            <v>12.587802180599267</v>
          </cell>
        </row>
        <row r="939">
          <cell r="A939">
            <v>40778</v>
          </cell>
          <cell r="DF939">
            <v>14.731510236006924</v>
          </cell>
          <cell r="DG939">
            <v>21.679348620667902</v>
          </cell>
          <cell r="DH939">
            <v>18.362277992096409</v>
          </cell>
          <cell r="DI939">
            <v>14.300000632844487</v>
          </cell>
          <cell r="DJ939">
            <v>22.424555351348332</v>
          </cell>
          <cell r="DU939">
            <v>6.8537125177546674</v>
          </cell>
          <cell r="DV939">
            <v>11.644336226312735</v>
          </cell>
          <cell r="DW939">
            <v>9.8476005987137558</v>
          </cell>
          <cell r="DX939">
            <v>7.1073990168282446</v>
          </cell>
          <cell r="DY939">
            <v>12.587802180599267</v>
          </cell>
        </row>
        <row r="940">
          <cell r="A940">
            <v>40779</v>
          </cell>
          <cell r="DF940">
            <v>14.219080317677751</v>
          </cell>
          <cell r="DG940">
            <v>21.679348620667902</v>
          </cell>
          <cell r="DH940">
            <v>18.362277992096409</v>
          </cell>
          <cell r="DI940">
            <v>14.300000632844487</v>
          </cell>
          <cell r="DJ940">
            <v>22.424555351348332</v>
          </cell>
          <cell r="DU940">
            <v>6.5174296137135181</v>
          </cell>
          <cell r="DV940">
            <v>11.644336226312735</v>
          </cell>
          <cell r="DW940">
            <v>9.8476005987137558</v>
          </cell>
          <cell r="DX940">
            <v>7.1073990168282446</v>
          </cell>
          <cell r="DY940">
            <v>12.587802180599267</v>
          </cell>
        </row>
        <row r="941">
          <cell r="A941">
            <v>40780</v>
          </cell>
          <cell r="DF941">
            <v>14.826799135689166</v>
          </cell>
          <cell r="DG941">
            <v>21.679348620667902</v>
          </cell>
          <cell r="DH941">
            <v>18.362277992096409</v>
          </cell>
          <cell r="DI941">
            <v>14.300000632844487</v>
          </cell>
          <cell r="DJ941">
            <v>22.424555351348332</v>
          </cell>
          <cell r="DU941">
            <v>6.8766356926217425</v>
          </cell>
          <cell r="DV941">
            <v>11.644336226312735</v>
          </cell>
          <cell r="DW941">
            <v>9.8476005987137558</v>
          </cell>
          <cell r="DX941">
            <v>7.1073990168282446</v>
          </cell>
          <cell r="DY941">
            <v>12.587802180599267</v>
          </cell>
        </row>
        <row r="942">
          <cell r="A942">
            <v>40781</v>
          </cell>
          <cell r="DF942">
            <v>15.278683066440342</v>
          </cell>
          <cell r="DG942">
            <v>21.679348620667902</v>
          </cell>
          <cell r="DH942">
            <v>18.362277992096409</v>
          </cell>
          <cell r="DI942">
            <v>14.300000632844487</v>
          </cell>
          <cell r="DJ942">
            <v>22.424555351348332</v>
          </cell>
          <cell r="DU942">
            <v>7.143732004396175</v>
          </cell>
          <cell r="DV942">
            <v>11.644336226312735</v>
          </cell>
          <cell r="DW942">
            <v>9.8476005987137558</v>
          </cell>
          <cell r="DX942">
            <v>7.1073990168282446</v>
          </cell>
          <cell r="DY942">
            <v>12.587802180599267</v>
          </cell>
        </row>
        <row r="943">
          <cell r="A943">
            <v>40784</v>
          </cell>
          <cell r="DF943">
            <v>15.513498430507031</v>
          </cell>
          <cell r="DG943">
            <v>21.679348620667902</v>
          </cell>
          <cell r="DH943">
            <v>18.362277992096409</v>
          </cell>
          <cell r="DI943">
            <v>14.300000632844487</v>
          </cell>
          <cell r="DJ943">
            <v>22.424555351348332</v>
          </cell>
          <cell r="DU943">
            <v>7.2516654424981235</v>
          </cell>
          <cell r="DV943">
            <v>11.644336226312735</v>
          </cell>
          <cell r="DW943">
            <v>9.8476005987137558</v>
          </cell>
          <cell r="DX943">
            <v>7.1073990168282446</v>
          </cell>
          <cell r="DY943">
            <v>12.587802180599267</v>
          </cell>
        </row>
        <row r="944">
          <cell r="A944">
            <v>40785</v>
          </cell>
          <cell r="DF944">
            <v>15.202443797582088</v>
          </cell>
          <cell r="DG944">
            <v>21.679348620667902</v>
          </cell>
          <cell r="DH944">
            <v>18.362277992096409</v>
          </cell>
          <cell r="DI944">
            <v>14.300000632844487</v>
          </cell>
          <cell r="DJ944">
            <v>22.424555351348332</v>
          </cell>
          <cell r="DU944">
            <v>7.0686803974536581</v>
          </cell>
          <cell r="DV944">
            <v>11.644336226312735</v>
          </cell>
          <cell r="DW944">
            <v>9.8476005987137558</v>
          </cell>
          <cell r="DX944">
            <v>7.1073990168282446</v>
          </cell>
          <cell r="DY944">
            <v>12.587802180599267</v>
          </cell>
        </row>
        <row r="945">
          <cell r="A945">
            <v>40786</v>
          </cell>
          <cell r="DF945">
            <v>15.723447029885474</v>
          </cell>
          <cell r="DG945">
            <v>21.679348620667902</v>
          </cell>
          <cell r="DH945">
            <v>18.362277992096409</v>
          </cell>
          <cell r="DI945">
            <v>14.300000632844487</v>
          </cell>
          <cell r="DJ945">
            <v>22.424555351348332</v>
          </cell>
          <cell r="DU945">
            <v>7.3751725369047749</v>
          </cell>
          <cell r="DV945">
            <v>11.644336226312735</v>
          </cell>
          <cell r="DW945">
            <v>9.8476005987137558</v>
          </cell>
          <cell r="DX945">
            <v>7.1073990168282446</v>
          </cell>
          <cell r="DY945">
            <v>12.587802180599267</v>
          </cell>
        </row>
        <row r="946">
          <cell r="A946">
            <v>40787</v>
          </cell>
          <cell r="DF946">
            <v>15.847869194103085</v>
          </cell>
          <cell r="DG946">
            <v>21.679348620667902</v>
          </cell>
          <cell r="DH946">
            <v>18.362277992096409</v>
          </cell>
          <cell r="DI946">
            <v>14.300000632844487</v>
          </cell>
          <cell r="DJ946">
            <v>22.424555351348332</v>
          </cell>
          <cell r="DU946">
            <v>7.4483667379034886</v>
          </cell>
          <cell r="DV946">
            <v>11.644336226312735</v>
          </cell>
          <cell r="DW946">
            <v>9.8476005987137558</v>
          </cell>
          <cell r="DX946">
            <v>7.1073990168282446</v>
          </cell>
          <cell r="DY946">
            <v>12.587802180599267</v>
          </cell>
        </row>
        <row r="947">
          <cell r="A947">
            <v>40788</v>
          </cell>
          <cell r="DF947">
            <v>15.801214381807368</v>
          </cell>
          <cell r="DG947">
            <v>21.679348620667902</v>
          </cell>
          <cell r="DH947">
            <v>18.362277992096409</v>
          </cell>
          <cell r="DI947">
            <v>14.300000632844487</v>
          </cell>
          <cell r="DJ947">
            <v>22.424555351348332</v>
          </cell>
          <cell r="DU947">
            <v>7.4209209710644117</v>
          </cell>
          <cell r="DV947">
            <v>11.644336226312735</v>
          </cell>
          <cell r="DW947">
            <v>9.8476005987137558</v>
          </cell>
          <cell r="DX947">
            <v>7.1073990168282446</v>
          </cell>
          <cell r="DY947">
            <v>12.587802180599267</v>
          </cell>
        </row>
        <row r="948">
          <cell r="A948">
            <v>40791</v>
          </cell>
          <cell r="DF948">
            <v>15.910080276211891</v>
          </cell>
          <cell r="DG948">
            <v>21.679348620667902</v>
          </cell>
          <cell r="DH948">
            <v>18.362277992096409</v>
          </cell>
          <cell r="DI948">
            <v>14.300000632844487</v>
          </cell>
          <cell r="DJ948">
            <v>22.424555351348332</v>
          </cell>
          <cell r="DU948">
            <v>7.4849638384028463</v>
          </cell>
          <cell r="DV948">
            <v>11.644336226312735</v>
          </cell>
          <cell r="DW948">
            <v>9.8476005987137558</v>
          </cell>
          <cell r="DX948">
            <v>7.1073990168282446</v>
          </cell>
          <cell r="DY948">
            <v>12.587802180599267</v>
          </cell>
        </row>
        <row r="949">
          <cell r="A949">
            <v>40792</v>
          </cell>
          <cell r="DF949">
            <v>15.88675248125449</v>
          </cell>
          <cell r="DG949">
            <v>21.679348620667902</v>
          </cell>
          <cell r="DH949">
            <v>18.362277992096409</v>
          </cell>
          <cell r="DI949">
            <v>14.300000632844487</v>
          </cell>
          <cell r="DJ949">
            <v>22.424555351348332</v>
          </cell>
          <cell r="DU949">
            <v>7.4712407262571467</v>
          </cell>
          <cell r="DV949">
            <v>11.644336226312735</v>
          </cell>
          <cell r="DW949">
            <v>9.8476005987137558</v>
          </cell>
          <cell r="DX949">
            <v>7.1073990168282446</v>
          </cell>
          <cell r="DY949">
            <v>12.587802180599267</v>
          </cell>
        </row>
        <row r="950">
          <cell r="A950">
            <v>40793</v>
          </cell>
          <cell r="DF950">
            <v>15.435731856204223</v>
          </cell>
          <cell r="DG950">
            <v>21.679348620667902</v>
          </cell>
          <cell r="DH950">
            <v>18.362277992096409</v>
          </cell>
          <cell r="DI950">
            <v>14.300000632844487</v>
          </cell>
          <cell r="DJ950">
            <v>22.424555351348332</v>
          </cell>
          <cell r="DU950">
            <v>7.2059174657908081</v>
          </cell>
          <cell r="DV950">
            <v>11.644336226312735</v>
          </cell>
          <cell r="DW950">
            <v>9.8476005987137558</v>
          </cell>
          <cell r="DX950">
            <v>7.1073990168282446</v>
          </cell>
          <cell r="DY950">
            <v>12.587802180599267</v>
          </cell>
        </row>
        <row r="951">
          <cell r="A951">
            <v>40794</v>
          </cell>
          <cell r="DF951">
            <v>15.583481815379237</v>
          </cell>
          <cell r="DG951">
            <v>21.679348620667902</v>
          </cell>
          <cell r="DH951">
            <v>18.362277992096409</v>
          </cell>
          <cell r="DI951">
            <v>14.300000632844487</v>
          </cell>
          <cell r="DJ951">
            <v>22.424555351348332</v>
          </cell>
          <cell r="DU951">
            <v>7.2928347789352204</v>
          </cell>
          <cell r="DV951">
            <v>11.644336226312735</v>
          </cell>
          <cell r="DW951">
            <v>9.8476005987137558</v>
          </cell>
          <cell r="DX951">
            <v>7.1073990168282446</v>
          </cell>
          <cell r="DY951">
            <v>12.587802180599267</v>
          </cell>
        </row>
        <row r="952">
          <cell r="A952">
            <v>40795</v>
          </cell>
          <cell r="DF952">
            <v>14.945827944002552</v>
          </cell>
          <cell r="DG952">
            <v>21.679348620667902</v>
          </cell>
          <cell r="DH952">
            <v>18.362277992096409</v>
          </cell>
          <cell r="DI952">
            <v>14.300000632844487</v>
          </cell>
          <cell r="DJ952">
            <v>22.424555351348332</v>
          </cell>
          <cell r="DU952">
            <v>6.9177202169708103</v>
          </cell>
          <cell r="DV952">
            <v>11.644336226312735</v>
          </cell>
          <cell r="DW952">
            <v>9.8476005987137558</v>
          </cell>
          <cell r="DX952">
            <v>7.1073990168282446</v>
          </cell>
          <cell r="DY952">
            <v>12.587802180599267</v>
          </cell>
        </row>
        <row r="953">
          <cell r="A953">
            <v>40798</v>
          </cell>
          <cell r="DF953">
            <v>15.163572174716974</v>
          </cell>
          <cell r="DG953">
            <v>21.679348620667902</v>
          </cell>
          <cell r="DH953">
            <v>18.362277992096409</v>
          </cell>
          <cell r="DI953">
            <v>14.300000632844487</v>
          </cell>
          <cell r="DJ953">
            <v>22.424555351348332</v>
          </cell>
          <cell r="DU953">
            <v>6.9817971677804405</v>
          </cell>
          <cell r="DV953">
            <v>11.644336226312735</v>
          </cell>
          <cell r="DW953">
            <v>9.8476005987137558</v>
          </cell>
          <cell r="DX953">
            <v>7.1073990168282446</v>
          </cell>
          <cell r="DY953">
            <v>12.587802180599267</v>
          </cell>
        </row>
        <row r="954">
          <cell r="A954">
            <v>40799</v>
          </cell>
          <cell r="DF954">
            <v>15.618114372193178</v>
          </cell>
          <cell r="DG954">
            <v>21.679348620667902</v>
          </cell>
          <cell r="DH954">
            <v>18.362277992096409</v>
          </cell>
          <cell r="DI954">
            <v>14.300000632844487</v>
          </cell>
          <cell r="DJ954">
            <v>22.424555351348332</v>
          </cell>
          <cell r="DU954">
            <v>7.2492404763020222</v>
          </cell>
          <cell r="DV954">
            <v>11.644336226312735</v>
          </cell>
          <cell r="DW954">
            <v>9.8476005987137558</v>
          </cell>
          <cell r="DX954">
            <v>7.1073990168282446</v>
          </cell>
          <cell r="DY954">
            <v>12.587802180599267</v>
          </cell>
        </row>
        <row r="955">
          <cell r="A955">
            <v>40800</v>
          </cell>
          <cell r="DF955">
            <v>15.866878553401706</v>
          </cell>
          <cell r="DG955">
            <v>21.679348620667902</v>
          </cell>
          <cell r="DH955">
            <v>18.362277992096409</v>
          </cell>
          <cell r="DI955">
            <v>14.300000632844487</v>
          </cell>
          <cell r="DJ955">
            <v>22.424555351348332</v>
          </cell>
          <cell r="DU955">
            <v>7.3942915853423026</v>
          </cell>
          <cell r="DV955">
            <v>11.644336226312735</v>
          </cell>
          <cell r="DW955">
            <v>9.8476005987137558</v>
          </cell>
          <cell r="DX955">
            <v>7.1073990168282446</v>
          </cell>
          <cell r="DY955">
            <v>12.587802180599267</v>
          </cell>
        </row>
        <row r="956">
          <cell r="A956">
            <v>40801</v>
          </cell>
          <cell r="DF956">
            <v>15.897981072720286</v>
          </cell>
          <cell r="DG956">
            <v>21.679348620667902</v>
          </cell>
          <cell r="DH956">
            <v>18.362277992096409</v>
          </cell>
          <cell r="DI956">
            <v>14.300000632844487</v>
          </cell>
          <cell r="DJ956">
            <v>22.424555351348332</v>
          </cell>
          <cell r="DU956">
            <v>7.4124270536367698</v>
          </cell>
          <cell r="DV956">
            <v>11.644336226312735</v>
          </cell>
          <cell r="DW956">
            <v>9.8476005987137558</v>
          </cell>
          <cell r="DX956">
            <v>7.1073990168282446</v>
          </cell>
          <cell r="DY956">
            <v>12.587802180599267</v>
          </cell>
        </row>
        <row r="957">
          <cell r="A957">
            <v>40802</v>
          </cell>
          <cell r="DF957">
            <v>16.224491445927747</v>
          </cell>
          <cell r="DG957">
            <v>21.679348620667902</v>
          </cell>
          <cell r="DH957">
            <v>18.362277992096409</v>
          </cell>
          <cell r="DI957">
            <v>14.300000632844487</v>
          </cell>
          <cell r="DJ957">
            <v>22.424555351348332</v>
          </cell>
          <cell r="DU957">
            <v>7.6028109405645949</v>
          </cell>
          <cell r="DV957">
            <v>11.644336226312735</v>
          </cell>
          <cell r="DW957">
            <v>9.8476005987137558</v>
          </cell>
          <cell r="DX957">
            <v>7.1073990168282446</v>
          </cell>
          <cell r="DY957">
            <v>12.587802180599267</v>
          </cell>
        </row>
        <row r="958">
          <cell r="A958">
            <v>40805</v>
          </cell>
          <cell r="DF958">
            <v>16.91638334482338</v>
          </cell>
          <cell r="DG958">
            <v>21.679348620667902</v>
          </cell>
          <cell r="DH958">
            <v>18.362277992096409</v>
          </cell>
          <cell r="DI958">
            <v>14.300000632844487</v>
          </cell>
          <cell r="DJ958">
            <v>22.424555351348332</v>
          </cell>
          <cell r="DU958">
            <v>8.0062439701238972</v>
          </cell>
          <cell r="DV958">
            <v>11.644336226312735</v>
          </cell>
          <cell r="DW958">
            <v>9.8476005987137558</v>
          </cell>
          <cell r="DX958">
            <v>7.1073990168282446</v>
          </cell>
          <cell r="DY958">
            <v>12.587802180599267</v>
          </cell>
        </row>
        <row r="959">
          <cell r="A959">
            <v>40806</v>
          </cell>
          <cell r="DF959">
            <v>16.861959377868377</v>
          </cell>
          <cell r="DG959">
            <v>21.679348620667902</v>
          </cell>
          <cell r="DH959">
            <v>18.362277992096409</v>
          </cell>
          <cell r="DI959">
            <v>14.300000632844487</v>
          </cell>
          <cell r="DJ959">
            <v>22.424555351348332</v>
          </cell>
          <cell r="DU959">
            <v>8.0283540789432006</v>
          </cell>
          <cell r="DV959">
            <v>11.644336226312735</v>
          </cell>
          <cell r="DW959">
            <v>9.8476005987137558</v>
          </cell>
          <cell r="DX959">
            <v>7.1073990168282446</v>
          </cell>
          <cell r="DY959">
            <v>12.587802180599267</v>
          </cell>
        </row>
        <row r="960">
          <cell r="A960">
            <v>40807</v>
          </cell>
          <cell r="DF960">
            <v>16.543230853750572</v>
          </cell>
          <cell r="DG960">
            <v>21.679348620667902</v>
          </cell>
          <cell r="DH960">
            <v>18.362277992096409</v>
          </cell>
          <cell r="DI960">
            <v>14.300000632844487</v>
          </cell>
          <cell r="DJ960">
            <v>22.424555351348332</v>
          </cell>
          <cell r="DU960">
            <v>7.8413450017422655</v>
          </cell>
          <cell r="DV960">
            <v>11.644336226312735</v>
          </cell>
          <cell r="DW960">
            <v>9.8476005987137558</v>
          </cell>
          <cell r="DX960">
            <v>7.1073990168282446</v>
          </cell>
          <cell r="DY960">
            <v>12.587802180599267</v>
          </cell>
        </row>
        <row r="961">
          <cell r="A961">
            <v>40808</v>
          </cell>
          <cell r="DF961">
            <v>15.660366012184042</v>
          </cell>
          <cell r="DG961">
            <v>21.679348620667902</v>
          </cell>
          <cell r="DH961">
            <v>18.362277992096409</v>
          </cell>
          <cell r="DI961">
            <v>14.300000632844487</v>
          </cell>
          <cell r="DJ961">
            <v>22.424555351348332</v>
          </cell>
          <cell r="DU961">
            <v>7.321081886702725</v>
          </cell>
          <cell r="DV961">
            <v>11.644336226312735</v>
          </cell>
          <cell r="DW961">
            <v>9.8476005987137558</v>
          </cell>
          <cell r="DX961">
            <v>7.1073990168282446</v>
          </cell>
          <cell r="DY961">
            <v>12.587802180599267</v>
          </cell>
        </row>
        <row r="962">
          <cell r="A962">
            <v>40809</v>
          </cell>
          <cell r="DF962">
            <v>16.239947659331509</v>
          </cell>
          <cell r="DG962">
            <v>21.679348620667902</v>
          </cell>
          <cell r="DH962">
            <v>18.362277992096409</v>
          </cell>
          <cell r="DI962">
            <v>14.300000632844487</v>
          </cell>
          <cell r="DJ962">
            <v>22.424555351348332</v>
          </cell>
          <cell r="DU962">
            <v>7.5648130408211216</v>
          </cell>
          <cell r="DV962">
            <v>11.644336226312735</v>
          </cell>
          <cell r="DW962">
            <v>9.8476005987137558</v>
          </cell>
          <cell r="DX962">
            <v>7.1073990168282446</v>
          </cell>
          <cell r="DY962">
            <v>12.587802180599267</v>
          </cell>
        </row>
        <row r="963">
          <cell r="A963">
            <v>40812</v>
          </cell>
          <cell r="DF963">
            <v>16.065813432154648</v>
          </cell>
          <cell r="DG963">
            <v>21.679348620667902</v>
          </cell>
          <cell r="DH963">
            <v>18.362277992096409</v>
          </cell>
          <cell r="DI963">
            <v>14.300000632844487</v>
          </cell>
          <cell r="DJ963">
            <v>22.424555351348332</v>
          </cell>
          <cell r="DU963">
            <v>7.5650648508406242</v>
          </cell>
          <cell r="DV963">
            <v>11.644336226312735</v>
          </cell>
          <cell r="DW963">
            <v>9.8476005987137558</v>
          </cell>
          <cell r="DX963">
            <v>7.1073990168282446</v>
          </cell>
          <cell r="DY963">
            <v>12.587802180599267</v>
          </cell>
        </row>
        <row r="964">
          <cell r="A964">
            <v>40813</v>
          </cell>
          <cell r="DF964">
            <v>15.607566001838025</v>
          </cell>
          <cell r="DG964">
            <v>21.679348620667902</v>
          </cell>
          <cell r="DH964">
            <v>18.362277992096409</v>
          </cell>
          <cell r="DI964">
            <v>14.300000632844487</v>
          </cell>
          <cell r="DJ964">
            <v>22.424555351348332</v>
          </cell>
          <cell r="DU964">
            <v>7.366068137328079</v>
          </cell>
          <cell r="DV964">
            <v>11.644336226312735</v>
          </cell>
          <cell r="DW964">
            <v>9.8476005987137558</v>
          </cell>
          <cell r="DX964">
            <v>7.1073990168282446</v>
          </cell>
          <cell r="DY964">
            <v>12.587802180599267</v>
          </cell>
        </row>
        <row r="965">
          <cell r="A965">
            <v>40814</v>
          </cell>
          <cell r="DF965">
            <v>15.5453880856528</v>
          </cell>
          <cell r="DG965">
            <v>21.679348620667902</v>
          </cell>
          <cell r="DH965">
            <v>18.362277992096409</v>
          </cell>
          <cell r="DI965">
            <v>14.300000632844487</v>
          </cell>
          <cell r="DJ965">
            <v>22.424555351348332</v>
          </cell>
          <cell r="DU965">
            <v>7.3258542809817193</v>
          </cell>
          <cell r="DV965">
            <v>11.644336226312735</v>
          </cell>
          <cell r="DW965">
            <v>9.8476005987137558</v>
          </cell>
          <cell r="DX965">
            <v>7.1073990168282446</v>
          </cell>
          <cell r="DY965">
            <v>12.587802180599267</v>
          </cell>
        </row>
        <row r="966">
          <cell r="A966">
            <v>40815</v>
          </cell>
          <cell r="DF966">
            <v>15.787816712817117</v>
          </cell>
          <cell r="DG966">
            <v>21.679348620667902</v>
          </cell>
          <cell r="DH966">
            <v>18.362277992096409</v>
          </cell>
          <cell r="DI966">
            <v>14.300000632844487</v>
          </cell>
          <cell r="DJ966">
            <v>22.424555351348332</v>
          </cell>
          <cell r="DU966">
            <v>7.4688463642724168</v>
          </cell>
          <cell r="DV966">
            <v>11.644336226312735</v>
          </cell>
          <cell r="DW966">
            <v>9.8476005987137558</v>
          </cell>
          <cell r="DX966">
            <v>7.1073990168282446</v>
          </cell>
          <cell r="DY966">
            <v>12.587802180599267</v>
          </cell>
        </row>
        <row r="967">
          <cell r="A967">
            <v>40816</v>
          </cell>
          <cell r="DF967">
            <v>15.477208798453123</v>
          </cell>
          <cell r="DG967">
            <v>21.679348620667902</v>
          </cell>
          <cell r="DH967">
            <v>18.362277992096409</v>
          </cell>
          <cell r="DI967">
            <v>14.300000632844487</v>
          </cell>
          <cell r="DJ967">
            <v>22.424555351348332</v>
          </cell>
          <cell r="DU967">
            <v>7.2856399777948724</v>
          </cell>
          <cell r="DV967">
            <v>11.644336226312735</v>
          </cell>
          <cell r="DW967">
            <v>9.8476005987137558</v>
          </cell>
          <cell r="DX967">
            <v>7.1073990168282446</v>
          </cell>
          <cell r="DY967">
            <v>12.587802180599267</v>
          </cell>
        </row>
        <row r="968">
          <cell r="A968">
            <v>40819</v>
          </cell>
          <cell r="DF968">
            <v>15.401446964217639</v>
          </cell>
          <cell r="DG968">
            <v>21.679348620667902</v>
          </cell>
          <cell r="DH968">
            <v>18.362277992096409</v>
          </cell>
          <cell r="DI968">
            <v>14.300000632844487</v>
          </cell>
          <cell r="DJ968">
            <v>22.424555351348332</v>
          </cell>
          <cell r="DU968">
            <v>7.2409532481871794</v>
          </cell>
          <cell r="DV968">
            <v>11.644336226312735</v>
          </cell>
          <cell r="DW968">
            <v>9.8476005987137558</v>
          </cell>
          <cell r="DX968">
            <v>7.1073990168282446</v>
          </cell>
          <cell r="DY968">
            <v>12.587802180599267</v>
          </cell>
        </row>
        <row r="969">
          <cell r="A969">
            <v>40820</v>
          </cell>
          <cell r="DF969">
            <v>15.67417396146389</v>
          </cell>
          <cell r="DG969">
            <v>21.679348620667902</v>
          </cell>
          <cell r="DH969">
            <v>18.362277992096409</v>
          </cell>
          <cell r="DI969">
            <v>14.300000632844487</v>
          </cell>
          <cell r="DJ969">
            <v>22.424555351348332</v>
          </cell>
          <cell r="DU969">
            <v>7.4018162698608743</v>
          </cell>
          <cell r="DV969">
            <v>11.644336226312735</v>
          </cell>
          <cell r="DW969">
            <v>9.8476005987137558</v>
          </cell>
          <cell r="DX969">
            <v>7.1073990168282446</v>
          </cell>
          <cell r="DY969">
            <v>12.587802180599267</v>
          </cell>
        </row>
        <row r="970">
          <cell r="A970">
            <v>40821</v>
          </cell>
          <cell r="DF970">
            <v>15.537816144637425</v>
          </cell>
          <cell r="DG970">
            <v>21.679348620667902</v>
          </cell>
          <cell r="DH970">
            <v>18.362277992096409</v>
          </cell>
          <cell r="DI970">
            <v>14.300000632844487</v>
          </cell>
          <cell r="DJ970">
            <v>22.424555351348332</v>
          </cell>
          <cell r="DU970">
            <v>7.32512891293013</v>
          </cell>
          <cell r="DV970">
            <v>11.644336226312735</v>
          </cell>
          <cell r="DW970">
            <v>9.8476005987137558</v>
          </cell>
          <cell r="DX970">
            <v>7.1073990168282446</v>
          </cell>
          <cell r="DY970">
            <v>12.587802180599267</v>
          </cell>
        </row>
        <row r="971">
          <cell r="A971">
            <v>40822</v>
          </cell>
          <cell r="DF971">
            <v>15.623517110483849</v>
          </cell>
          <cell r="DG971">
            <v>21.679348620667902</v>
          </cell>
          <cell r="DH971">
            <v>18.362277992096409</v>
          </cell>
          <cell r="DI971">
            <v>14.300000632844487</v>
          </cell>
          <cell r="DJ971">
            <v>22.424555351348332</v>
          </cell>
          <cell r="DU971">
            <v>7.3743069274590658</v>
          </cell>
          <cell r="DV971">
            <v>11.644336226312735</v>
          </cell>
          <cell r="DW971">
            <v>9.8476005987137558</v>
          </cell>
          <cell r="DX971">
            <v>7.1073990168282446</v>
          </cell>
          <cell r="DY971">
            <v>12.587802180599267</v>
          </cell>
        </row>
        <row r="972">
          <cell r="A972">
            <v>40823</v>
          </cell>
          <cell r="DF972">
            <v>15.388635442358609</v>
          </cell>
          <cell r="DG972">
            <v>21.679348620667902</v>
          </cell>
          <cell r="DH972">
            <v>18.362277992096409</v>
          </cell>
          <cell r="DI972">
            <v>14.300000632844487</v>
          </cell>
          <cell r="DJ972">
            <v>22.424555351348332</v>
          </cell>
          <cell r="DU972">
            <v>7.2357164951180772</v>
          </cell>
          <cell r="DV972">
            <v>11.644336226312735</v>
          </cell>
          <cell r="DW972">
            <v>9.8476005987137558</v>
          </cell>
          <cell r="DX972">
            <v>7.1073990168282446</v>
          </cell>
          <cell r="DY972">
            <v>12.587802180599267</v>
          </cell>
        </row>
        <row r="973">
          <cell r="A973">
            <v>40826</v>
          </cell>
          <cell r="DF973">
            <v>15.098915333890748</v>
          </cell>
          <cell r="DG973">
            <v>21.679348620667902</v>
          </cell>
          <cell r="DH973">
            <v>18.362277992096409</v>
          </cell>
          <cell r="DI973">
            <v>14.300000632844487</v>
          </cell>
          <cell r="DJ973">
            <v>22.424555351348332</v>
          </cell>
          <cell r="DU973">
            <v>7.0613601121009166</v>
          </cell>
          <cell r="DV973">
            <v>11.644336226312735</v>
          </cell>
          <cell r="DW973">
            <v>9.8476005987137558</v>
          </cell>
          <cell r="DX973">
            <v>7.1073990168282446</v>
          </cell>
          <cell r="DY973">
            <v>12.587802180599267</v>
          </cell>
        </row>
        <row r="974">
          <cell r="A974">
            <v>40827</v>
          </cell>
          <cell r="DF974">
            <v>15.144391722884915</v>
          </cell>
          <cell r="DG974">
            <v>21.679348620667902</v>
          </cell>
          <cell r="DH974">
            <v>18.362277992096409</v>
          </cell>
          <cell r="DI974">
            <v>14.300000632844487</v>
          </cell>
          <cell r="DJ974">
            <v>22.424555351348332</v>
          </cell>
          <cell r="DU974">
            <v>7.0881828986000626</v>
          </cell>
          <cell r="DV974">
            <v>11.644336226312735</v>
          </cell>
          <cell r="DW974">
            <v>9.8476005987137558</v>
          </cell>
          <cell r="DX974">
            <v>7.1073990168282446</v>
          </cell>
          <cell r="DY974">
            <v>12.587802180599267</v>
          </cell>
        </row>
        <row r="975">
          <cell r="A975">
            <v>40828</v>
          </cell>
          <cell r="DF975">
            <v>14.833618585615119</v>
          </cell>
          <cell r="DG975">
            <v>21.679348620667902</v>
          </cell>
          <cell r="DH975">
            <v>18.362277992096409</v>
          </cell>
          <cell r="DI975">
            <v>14.300000632844487</v>
          </cell>
          <cell r="DJ975">
            <v>22.424555351348332</v>
          </cell>
          <cell r="DU975">
            <v>6.9135015473008457</v>
          </cell>
          <cell r="DV975">
            <v>11.644336226312735</v>
          </cell>
          <cell r="DW975">
            <v>9.8476005987137558</v>
          </cell>
          <cell r="DX975">
            <v>7.1073990168282446</v>
          </cell>
          <cell r="DY975">
            <v>12.587802180599267</v>
          </cell>
        </row>
        <row r="976">
          <cell r="A976">
            <v>40829</v>
          </cell>
          <cell r="DF976">
            <v>15.068589403473098</v>
          </cell>
          <cell r="DG976">
            <v>21.679348620667902</v>
          </cell>
          <cell r="DH976">
            <v>18.362277992096409</v>
          </cell>
          <cell r="DI976">
            <v>14.300000632844487</v>
          </cell>
          <cell r="DJ976">
            <v>22.424555351348332</v>
          </cell>
          <cell r="DU976">
            <v>7.0522645109683832</v>
          </cell>
          <cell r="DV976">
            <v>11.644336226312735</v>
          </cell>
          <cell r="DW976">
            <v>9.8476005987137558</v>
          </cell>
          <cell r="DX976">
            <v>7.1073990168282446</v>
          </cell>
          <cell r="DY976">
            <v>12.587802180599267</v>
          </cell>
        </row>
        <row r="977">
          <cell r="A977">
            <v>40830</v>
          </cell>
          <cell r="DF977">
            <v>15.053242053964517</v>
          </cell>
          <cell r="DG977">
            <v>21.679348620667902</v>
          </cell>
          <cell r="DH977">
            <v>18.362277992096409</v>
          </cell>
          <cell r="DI977">
            <v>14.300000632844487</v>
          </cell>
          <cell r="DJ977">
            <v>22.424555351348332</v>
          </cell>
          <cell r="DU977">
            <v>7.0298818283222033</v>
          </cell>
          <cell r="DV977">
            <v>11.644336226312735</v>
          </cell>
          <cell r="DW977">
            <v>9.8476005987137558</v>
          </cell>
          <cell r="DX977">
            <v>7.1073990168282446</v>
          </cell>
          <cell r="DY977">
            <v>12.587802180599267</v>
          </cell>
        </row>
        <row r="978">
          <cell r="A978">
            <v>40833</v>
          </cell>
          <cell r="DF978">
            <v>15.053242053964517</v>
          </cell>
          <cell r="DG978">
            <v>21.679348620667902</v>
          </cell>
          <cell r="DH978">
            <v>18.362277992096409</v>
          </cell>
          <cell r="DI978">
            <v>14.300000632844487</v>
          </cell>
          <cell r="DJ978">
            <v>22.424555351348332</v>
          </cell>
          <cell r="DU978">
            <v>7.0298818283222033</v>
          </cell>
          <cell r="DV978">
            <v>11.644336226312735</v>
          </cell>
          <cell r="DW978">
            <v>9.8476005987137558</v>
          </cell>
          <cell r="DX978">
            <v>7.1073990168282446</v>
          </cell>
          <cell r="DY978">
            <v>12.587802180599267</v>
          </cell>
        </row>
        <row r="979">
          <cell r="A979">
            <v>40834</v>
          </cell>
          <cell r="DF979">
            <v>14.817918658290942</v>
          </cell>
          <cell r="DG979">
            <v>21.679348620667902</v>
          </cell>
          <cell r="DH979">
            <v>18.362277992096409</v>
          </cell>
          <cell r="DI979">
            <v>14.300000632844487</v>
          </cell>
          <cell r="DJ979">
            <v>22.424555351348332</v>
          </cell>
          <cell r="DU979">
            <v>6.8911188646546666</v>
          </cell>
          <cell r="DV979">
            <v>11.644336226312735</v>
          </cell>
          <cell r="DW979">
            <v>9.8476005987137558</v>
          </cell>
          <cell r="DX979">
            <v>7.1073990168282446</v>
          </cell>
          <cell r="DY979">
            <v>12.587802180599267</v>
          </cell>
        </row>
        <row r="980">
          <cell r="A980">
            <v>40835</v>
          </cell>
          <cell r="DF980">
            <v>15.865500497222014</v>
          </cell>
          <cell r="DG980">
            <v>21.679348620667902</v>
          </cell>
          <cell r="DH980">
            <v>18.362277992096409</v>
          </cell>
          <cell r="DI980">
            <v>14.300000632844487</v>
          </cell>
          <cell r="DJ980">
            <v>22.424555351348332</v>
          </cell>
          <cell r="DU980">
            <v>7.5088456326977626</v>
          </cell>
          <cell r="DV980">
            <v>11.644336226312735</v>
          </cell>
          <cell r="DW980">
            <v>9.8476005987137558</v>
          </cell>
          <cell r="DX980">
            <v>7.1073990168282446</v>
          </cell>
          <cell r="DY980">
            <v>12.587802180599267</v>
          </cell>
        </row>
        <row r="981">
          <cell r="A981">
            <v>40836</v>
          </cell>
          <cell r="DF981">
            <v>16.017321234727628</v>
          </cell>
          <cell r="DG981">
            <v>21.679348620667902</v>
          </cell>
          <cell r="DH981">
            <v>18.362277992096409</v>
          </cell>
          <cell r="DI981">
            <v>14.300000632844487</v>
          </cell>
          <cell r="DJ981">
            <v>22.424555351348332</v>
          </cell>
          <cell r="DU981">
            <v>7.5983696488805528</v>
          </cell>
          <cell r="DV981">
            <v>11.644336226312735</v>
          </cell>
          <cell r="DW981">
            <v>9.8476005987137558</v>
          </cell>
          <cell r="DX981">
            <v>7.1073990168282446</v>
          </cell>
          <cell r="DY981">
            <v>12.587802180599267</v>
          </cell>
        </row>
        <row r="982">
          <cell r="A982">
            <v>40837</v>
          </cell>
          <cell r="DF982">
            <v>16.131195327901423</v>
          </cell>
          <cell r="DG982">
            <v>21.679348620667902</v>
          </cell>
          <cell r="DH982">
            <v>18.362277992096409</v>
          </cell>
          <cell r="DI982">
            <v>14.300000632844487</v>
          </cell>
          <cell r="DJ982">
            <v>22.424555351348332</v>
          </cell>
          <cell r="DU982">
            <v>7.6655176968190926</v>
          </cell>
          <cell r="DV982">
            <v>11.644336226312735</v>
          </cell>
          <cell r="DW982">
            <v>9.8476005987137558</v>
          </cell>
          <cell r="DX982">
            <v>7.1073990168282446</v>
          </cell>
          <cell r="DY982">
            <v>12.587802180599267</v>
          </cell>
        </row>
        <row r="983">
          <cell r="A983">
            <v>40840</v>
          </cell>
          <cell r="DF983">
            <v>16.009176949172897</v>
          </cell>
          <cell r="DG983">
            <v>21.679348620667902</v>
          </cell>
          <cell r="DH983">
            <v>18.362277992096409</v>
          </cell>
          <cell r="DI983">
            <v>14.300000632844487</v>
          </cell>
          <cell r="DJ983">
            <v>22.424555351348332</v>
          </cell>
          <cell r="DU983">
            <v>7.6240908257753501</v>
          </cell>
          <cell r="DV983">
            <v>11.644336226312735</v>
          </cell>
          <cell r="DW983">
            <v>9.8476005987137558</v>
          </cell>
          <cell r="DX983">
            <v>7.1073990168282446</v>
          </cell>
          <cell r="DY983">
            <v>12.587802180599267</v>
          </cell>
        </row>
        <row r="984">
          <cell r="A984">
            <v>40841</v>
          </cell>
          <cell r="DF984">
            <v>15.979160287009517</v>
          </cell>
          <cell r="DG984">
            <v>21.679348620667902</v>
          </cell>
          <cell r="DH984">
            <v>18.362277992096409</v>
          </cell>
          <cell r="DI984">
            <v>14.300000632844487</v>
          </cell>
          <cell r="DJ984">
            <v>22.424555351348332</v>
          </cell>
          <cell r="DU984">
            <v>7.5864090962440995</v>
          </cell>
          <cell r="DV984">
            <v>11.644336226312735</v>
          </cell>
          <cell r="DW984">
            <v>9.8476005987137558</v>
          </cell>
          <cell r="DX984">
            <v>7.1073990168282446</v>
          </cell>
          <cell r="DY984">
            <v>12.587802180599267</v>
          </cell>
        </row>
        <row r="985">
          <cell r="A985">
            <v>40842</v>
          </cell>
          <cell r="DF985">
            <v>16.046706595814946</v>
          </cell>
          <cell r="DG985">
            <v>21.679348620667902</v>
          </cell>
          <cell r="DH985">
            <v>18.362277992096409</v>
          </cell>
          <cell r="DI985">
            <v>14.300000632844487</v>
          </cell>
          <cell r="DJ985">
            <v>22.424555351348332</v>
          </cell>
          <cell r="DU985">
            <v>7.6262053598745814</v>
          </cell>
          <cell r="DV985">
            <v>11.644336226312735</v>
          </cell>
          <cell r="DW985">
            <v>9.8476005987137558</v>
          </cell>
          <cell r="DX985">
            <v>7.1073990168282446</v>
          </cell>
          <cell r="DY985">
            <v>12.587802180599267</v>
          </cell>
        </row>
        <row r="986">
          <cell r="A986">
            <v>40843</v>
          </cell>
          <cell r="DF986">
            <v>15.911613227656188</v>
          </cell>
          <cell r="DG986">
            <v>21.679348620667902</v>
          </cell>
          <cell r="DH986">
            <v>18.362277992096409</v>
          </cell>
          <cell r="DI986">
            <v>14.300000632844487</v>
          </cell>
          <cell r="DJ986">
            <v>22.424555351348332</v>
          </cell>
          <cell r="DU986">
            <v>7.5466123904132569</v>
          </cell>
          <cell r="DV986">
            <v>11.644336226312735</v>
          </cell>
          <cell r="DW986">
            <v>9.8476005987137558</v>
          </cell>
          <cell r="DX986">
            <v>7.1073990168282446</v>
          </cell>
          <cell r="DY986">
            <v>12.587802180599267</v>
          </cell>
        </row>
        <row r="987">
          <cell r="A987">
            <v>40844</v>
          </cell>
          <cell r="DF987">
            <v>15.461279984388604</v>
          </cell>
          <cell r="DG987">
            <v>21.679348620667902</v>
          </cell>
          <cell r="DH987">
            <v>18.362277992096409</v>
          </cell>
          <cell r="DI987">
            <v>14.300000632844487</v>
          </cell>
          <cell r="DJ987">
            <v>22.424555351348332</v>
          </cell>
          <cell r="DU987">
            <v>7.2812895209982704</v>
          </cell>
          <cell r="DV987">
            <v>11.644336226312735</v>
          </cell>
          <cell r="DW987">
            <v>9.8476005987137558</v>
          </cell>
          <cell r="DX987">
            <v>7.1073990168282446</v>
          </cell>
          <cell r="DY987">
            <v>12.587802180599267</v>
          </cell>
        </row>
        <row r="988">
          <cell r="A988">
            <v>40847</v>
          </cell>
          <cell r="DF988">
            <v>14.950913416794261</v>
          </cell>
          <cell r="DG988">
            <v>21.679348620667902</v>
          </cell>
          <cell r="DH988">
            <v>18.362277992096409</v>
          </cell>
          <cell r="DI988">
            <v>14.300000632844487</v>
          </cell>
          <cell r="DJ988">
            <v>22.424555351348332</v>
          </cell>
          <cell r="DU988">
            <v>6.980596813559953</v>
          </cell>
          <cell r="DV988">
            <v>11.644336226312735</v>
          </cell>
          <cell r="DW988">
            <v>9.8476005987137558</v>
          </cell>
          <cell r="DX988">
            <v>7.1073990168282446</v>
          </cell>
          <cell r="DY988">
            <v>12.587802180599267</v>
          </cell>
        </row>
        <row r="989">
          <cell r="A989">
            <v>40848</v>
          </cell>
          <cell r="DF989">
            <v>15.296158695847968</v>
          </cell>
          <cell r="DG989">
            <v>21.679348620667902</v>
          </cell>
          <cell r="DH989">
            <v>18.362277992096409</v>
          </cell>
          <cell r="DI989">
            <v>14.300000632844487</v>
          </cell>
          <cell r="DJ989">
            <v>22.424555351348332</v>
          </cell>
          <cell r="DU989">
            <v>7.1840049995198738</v>
          </cell>
          <cell r="DV989">
            <v>11.644336226312735</v>
          </cell>
          <cell r="DW989">
            <v>9.8476005987137558</v>
          </cell>
          <cell r="DX989">
            <v>7.1073990168282446</v>
          </cell>
          <cell r="DY989">
            <v>12.587802180599267</v>
          </cell>
        </row>
        <row r="990">
          <cell r="A990">
            <v>40849</v>
          </cell>
          <cell r="DF990">
            <v>15.018459725599687</v>
          </cell>
          <cell r="DG990">
            <v>21.679348620667902</v>
          </cell>
          <cell r="DH990">
            <v>18.362277992096409</v>
          </cell>
          <cell r="DI990">
            <v>14.300000632844487</v>
          </cell>
          <cell r="DJ990">
            <v>22.424555351348332</v>
          </cell>
          <cell r="DU990">
            <v>7.0203930771904357</v>
          </cell>
          <cell r="DV990">
            <v>11.644336226312735</v>
          </cell>
          <cell r="DW990">
            <v>9.8476005987137558</v>
          </cell>
          <cell r="DX990">
            <v>7.1073990168282446</v>
          </cell>
          <cell r="DY990">
            <v>12.587802180599267</v>
          </cell>
        </row>
        <row r="991">
          <cell r="A991">
            <v>40850</v>
          </cell>
          <cell r="DF991">
            <v>14.928397730343152</v>
          </cell>
          <cell r="DG991">
            <v>21.679348620667902</v>
          </cell>
          <cell r="DH991">
            <v>18.362277992096409</v>
          </cell>
          <cell r="DI991">
            <v>14.300000632844487</v>
          </cell>
          <cell r="DJ991">
            <v>22.424555351348332</v>
          </cell>
          <cell r="DU991">
            <v>6.9672765854959682</v>
          </cell>
          <cell r="DV991">
            <v>11.644336226312735</v>
          </cell>
          <cell r="DW991">
            <v>9.8476005987137558</v>
          </cell>
          <cell r="DX991">
            <v>7.1073990168282446</v>
          </cell>
          <cell r="DY991">
            <v>12.587802180599267</v>
          </cell>
        </row>
        <row r="992">
          <cell r="A992">
            <v>40851</v>
          </cell>
          <cell r="DF992">
            <v>14.433033114173346</v>
          </cell>
          <cell r="DG992">
            <v>21.679348620667902</v>
          </cell>
          <cell r="DH992">
            <v>18.362277992096409</v>
          </cell>
          <cell r="DI992">
            <v>14.300000632844487</v>
          </cell>
          <cell r="DJ992">
            <v>22.424555351348332</v>
          </cell>
          <cell r="DU992">
            <v>6.6754248684861039</v>
          </cell>
          <cell r="DV992">
            <v>11.644336226312735</v>
          </cell>
          <cell r="DW992">
            <v>9.8476005987137558</v>
          </cell>
          <cell r="DX992">
            <v>7.1073990168282446</v>
          </cell>
          <cell r="DY992">
            <v>12.587802180599267</v>
          </cell>
        </row>
        <row r="993">
          <cell r="A993">
            <v>40854</v>
          </cell>
          <cell r="DF993">
            <v>14.590642168783212</v>
          </cell>
          <cell r="DG993">
            <v>21.679348620667902</v>
          </cell>
          <cell r="DH993">
            <v>18.362277992096409</v>
          </cell>
          <cell r="DI993">
            <v>14.300000632844487</v>
          </cell>
          <cell r="DJ993">
            <v>22.424555351348332</v>
          </cell>
          <cell r="DU993">
            <v>6.7682826780726142</v>
          </cell>
          <cell r="DV993">
            <v>11.644336226312735</v>
          </cell>
          <cell r="DW993">
            <v>9.8476005987137558</v>
          </cell>
          <cell r="DX993">
            <v>7.1073990168282446</v>
          </cell>
          <cell r="DY993">
            <v>12.587802180599267</v>
          </cell>
        </row>
        <row r="994">
          <cell r="A994">
            <v>40855</v>
          </cell>
          <cell r="DF994">
            <v>14.980930078957639</v>
          </cell>
          <cell r="DG994">
            <v>21.679348620667902</v>
          </cell>
          <cell r="DH994">
            <v>18.362277992096409</v>
          </cell>
          <cell r="DI994">
            <v>14.300000632844487</v>
          </cell>
          <cell r="DJ994">
            <v>22.424555351348332</v>
          </cell>
          <cell r="DU994">
            <v>6.9982268303080506</v>
          </cell>
          <cell r="DV994">
            <v>11.644336226312735</v>
          </cell>
          <cell r="DW994">
            <v>9.8476005987137558</v>
          </cell>
          <cell r="DX994">
            <v>7.1073990168282446</v>
          </cell>
          <cell r="DY994">
            <v>12.587802180599267</v>
          </cell>
        </row>
        <row r="995">
          <cell r="A995">
            <v>40856</v>
          </cell>
          <cell r="DF995">
            <v>15.063491098501906</v>
          </cell>
          <cell r="DG995">
            <v>21.679348620667902</v>
          </cell>
          <cell r="DH995">
            <v>18.362277992096409</v>
          </cell>
          <cell r="DI995">
            <v>14.300000632844487</v>
          </cell>
          <cell r="DJ995">
            <v>22.424555351348332</v>
          </cell>
          <cell r="DU995">
            <v>7.0468689305419918</v>
          </cell>
          <cell r="DV995">
            <v>11.644336226312735</v>
          </cell>
          <cell r="DW995">
            <v>9.8476005987137558</v>
          </cell>
          <cell r="DX995">
            <v>7.1073990168282446</v>
          </cell>
          <cell r="DY995">
            <v>12.587802180599267</v>
          </cell>
        </row>
        <row r="996">
          <cell r="A996">
            <v>40857</v>
          </cell>
          <cell r="DF996">
            <v>15.468781710648773</v>
          </cell>
          <cell r="DG996">
            <v>21.679348620667902</v>
          </cell>
          <cell r="DH996">
            <v>18.362277992096409</v>
          </cell>
          <cell r="DI996">
            <v>14.300000632844487</v>
          </cell>
          <cell r="DJ996">
            <v>22.424555351348332</v>
          </cell>
          <cell r="DU996">
            <v>7.2856521564365435</v>
          </cell>
          <cell r="DV996">
            <v>11.644336226312735</v>
          </cell>
          <cell r="DW996">
            <v>9.8476005987137558</v>
          </cell>
          <cell r="DX996">
            <v>7.1073990168282446</v>
          </cell>
          <cell r="DY996">
            <v>12.587802180599267</v>
          </cell>
        </row>
        <row r="997">
          <cell r="A997">
            <v>40858</v>
          </cell>
          <cell r="DF997">
            <v>15.221110660782371</v>
          </cell>
          <cell r="DG997">
            <v>21.679348620667902</v>
          </cell>
          <cell r="DH997">
            <v>18.362277992096409</v>
          </cell>
          <cell r="DI997">
            <v>14.300000632844487</v>
          </cell>
          <cell r="DJ997">
            <v>22.424555351348332</v>
          </cell>
          <cell r="DU997">
            <v>7.1397329308849802</v>
          </cell>
          <cell r="DV997">
            <v>11.644336226312735</v>
          </cell>
          <cell r="DW997">
            <v>9.8476005987137558</v>
          </cell>
          <cell r="DX997">
            <v>7.1073990168282446</v>
          </cell>
          <cell r="DY997">
            <v>12.587802180599267</v>
          </cell>
        </row>
        <row r="998">
          <cell r="A998">
            <v>40861</v>
          </cell>
          <cell r="DF998">
            <v>15.25862904920592</v>
          </cell>
          <cell r="DG998">
            <v>21.679348620667902</v>
          </cell>
          <cell r="DH998">
            <v>18.362277992096409</v>
          </cell>
          <cell r="DI998">
            <v>14.300000632844487</v>
          </cell>
          <cell r="DJ998">
            <v>22.424555351348332</v>
          </cell>
          <cell r="DU998">
            <v>7.1618374690845803</v>
          </cell>
          <cell r="DV998">
            <v>11.644336226312735</v>
          </cell>
          <cell r="DW998">
            <v>9.8476005987137558</v>
          </cell>
          <cell r="DX998">
            <v>7.1073990168282446</v>
          </cell>
          <cell r="DY998">
            <v>12.587802180599267</v>
          </cell>
        </row>
        <row r="999">
          <cell r="A999">
            <v>40862</v>
          </cell>
          <cell r="DF999">
            <v>15.24362634723348</v>
          </cell>
          <cell r="DG999">
            <v>21.679348620667902</v>
          </cell>
          <cell r="DH999">
            <v>18.362277992096409</v>
          </cell>
          <cell r="DI999">
            <v>14.300000632844487</v>
          </cell>
          <cell r="DJ999">
            <v>22.424555351348332</v>
          </cell>
          <cell r="DU999">
            <v>7.1529983954254668</v>
          </cell>
          <cell r="DV999">
            <v>11.644336226312735</v>
          </cell>
          <cell r="DW999">
            <v>9.8476005987137558</v>
          </cell>
          <cell r="DX999">
            <v>7.1073990168282446</v>
          </cell>
          <cell r="DY999">
            <v>12.587802180599267</v>
          </cell>
        </row>
        <row r="1000">
          <cell r="A1000">
            <v>40863</v>
          </cell>
          <cell r="DF1000">
            <v>15.24362634723348</v>
          </cell>
          <cell r="DG1000">
            <v>21.679348620667902</v>
          </cell>
          <cell r="DH1000">
            <v>18.362277992096409</v>
          </cell>
          <cell r="DI1000">
            <v>14.300000632844487</v>
          </cell>
          <cell r="DJ1000">
            <v>22.424555351348332</v>
          </cell>
          <cell r="DU1000">
            <v>7.1529983954254668</v>
          </cell>
          <cell r="DV1000">
            <v>11.644336226312735</v>
          </cell>
          <cell r="DW1000">
            <v>9.8476005987137558</v>
          </cell>
          <cell r="DX1000">
            <v>7.1073990168282446</v>
          </cell>
          <cell r="DY1000">
            <v>12.587802180599267</v>
          </cell>
        </row>
        <row r="1001">
          <cell r="A1001">
            <v>40864</v>
          </cell>
          <cell r="DF1001">
            <v>15.663931670119187</v>
          </cell>
          <cell r="DG1001">
            <v>21.679348620667902</v>
          </cell>
          <cell r="DH1001">
            <v>18.362277992096409</v>
          </cell>
          <cell r="DI1001">
            <v>14.300000632844487</v>
          </cell>
          <cell r="DJ1001">
            <v>22.424555351348332</v>
          </cell>
          <cell r="DU1001">
            <v>7.4006277701293914</v>
          </cell>
          <cell r="DV1001">
            <v>11.644336226312735</v>
          </cell>
          <cell r="DW1001">
            <v>9.8476005987137558</v>
          </cell>
          <cell r="DX1001">
            <v>7.1073990168282446</v>
          </cell>
          <cell r="DY1001">
            <v>12.587802180599267</v>
          </cell>
        </row>
        <row r="1002">
          <cell r="A1002">
            <v>40865</v>
          </cell>
          <cell r="DF1002">
            <v>15.408747635774116</v>
          </cell>
          <cell r="DG1002">
            <v>21.679348620667902</v>
          </cell>
          <cell r="DH1002">
            <v>18.362277992096409</v>
          </cell>
          <cell r="DI1002">
            <v>14.300000632844487</v>
          </cell>
          <cell r="DJ1002">
            <v>22.424555351348332</v>
          </cell>
          <cell r="DU1002">
            <v>7.2502821536964568</v>
          </cell>
          <cell r="DV1002">
            <v>11.644336226312735</v>
          </cell>
          <cell r="DW1002">
            <v>9.8476005987137558</v>
          </cell>
          <cell r="DX1002">
            <v>7.1073990168282446</v>
          </cell>
          <cell r="DY1002">
            <v>12.587802180599267</v>
          </cell>
        </row>
        <row r="1003">
          <cell r="A1003">
            <v>40868</v>
          </cell>
          <cell r="DF1003">
            <v>15.686446606022397</v>
          </cell>
          <cell r="DG1003">
            <v>21.679348620667902</v>
          </cell>
          <cell r="DH1003">
            <v>18.362277992096409</v>
          </cell>
          <cell r="DI1003">
            <v>14.300000632844487</v>
          </cell>
          <cell r="DJ1003">
            <v>22.424555351348332</v>
          </cell>
          <cell r="DU1003">
            <v>7.4138927924729865</v>
          </cell>
          <cell r="DV1003">
            <v>11.644336226312735</v>
          </cell>
          <cell r="DW1003">
            <v>9.8476005987137558</v>
          </cell>
          <cell r="DX1003">
            <v>7.1073990168282446</v>
          </cell>
          <cell r="DY1003">
            <v>12.587802180599267</v>
          </cell>
        </row>
        <row r="1004">
          <cell r="A1004">
            <v>40869</v>
          </cell>
          <cell r="DF1004">
            <v>15.716464018733676</v>
          </cell>
          <cell r="DG1004">
            <v>21.679348620667902</v>
          </cell>
          <cell r="DH1004">
            <v>18.362277992096409</v>
          </cell>
          <cell r="DI1004">
            <v>14.300000632844487</v>
          </cell>
          <cell r="DJ1004">
            <v>22.424555351348332</v>
          </cell>
          <cell r="DU1004">
            <v>7.4315780149414747</v>
          </cell>
          <cell r="DV1004">
            <v>11.644336226312735</v>
          </cell>
          <cell r="DW1004">
            <v>9.8476005987137558</v>
          </cell>
          <cell r="DX1004">
            <v>7.1073990168282446</v>
          </cell>
          <cell r="DY1004">
            <v>12.587802180599267</v>
          </cell>
        </row>
        <row r="1005">
          <cell r="A1005">
            <v>40870</v>
          </cell>
          <cell r="DF1005">
            <v>15.56099345680065</v>
          </cell>
          <cell r="DG1005">
            <v>21.679348620667902</v>
          </cell>
          <cell r="DH1005">
            <v>18.362277992096409</v>
          </cell>
          <cell r="DI1005">
            <v>14.300000632844487</v>
          </cell>
          <cell r="DJ1005">
            <v>22.424555351348332</v>
          </cell>
          <cell r="DU1005">
            <v>7.3997880273090564</v>
          </cell>
          <cell r="DV1005">
            <v>11.644336226312735</v>
          </cell>
          <cell r="DW1005">
            <v>9.8476005987137558</v>
          </cell>
          <cell r="DX1005">
            <v>7.1073990168282446</v>
          </cell>
          <cell r="DY1005">
            <v>12.587802180599267</v>
          </cell>
        </row>
        <row r="1006">
          <cell r="A1006">
            <v>40871</v>
          </cell>
          <cell r="DF1006">
            <v>15.60558977363376</v>
          </cell>
          <cell r="DG1006">
            <v>21.679348620667902</v>
          </cell>
          <cell r="DH1006">
            <v>18.362277992096409</v>
          </cell>
          <cell r="DI1006">
            <v>14.300000632844487</v>
          </cell>
          <cell r="DJ1006">
            <v>22.424555351348332</v>
          </cell>
          <cell r="DU1006">
            <v>7.4262116295719443</v>
          </cell>
          <cell r="DV1006">
            <v>11.644336226312735</v>
          </cell>
          <cell r="DW1006">
            <v>9.8476005987137558</v>
          </cell>
          <cell r="DX1006">
            <v>7.1073990168282446</v>
          </cell>
          <cell r="DY1006">
            <v>12.587802180599267</v>
          </cell>
        </row>
        <row r="1007">
          <cell r="A1007">
            <v>40872</v>
          </cell>
          <cell r="DF1007">
            <v>15.129980443472691</v>
          </cell>
          <cell r="DG1007">
            <v>21.679348620667902</v>
          </cell>
          <cell r="DH1007">
            <v>18.362277992096409</v>
          </cell>
          <cell r="DI1007">
            <v>14.300000632844487</v>
          </cell>
          <cell r="DJ1007">
            <v>22.424555351348332</v>
          </cell>
          <cell r="DU1007">
            <v>7.1444100669064943</v>
          </cell>
          <cell r="DV1007">
            <v>11.644336226312735</v>
          </cell>
          <cell r="DW1007">
            <v>9.8476005987137558</v>
          </cell>
          <cell r="DX1007">
            <v>7.1073990168282446</v>
          </cell>
          <cell r="DY1007">
            <v>12.587802180599267</v>
          </cell>
        </row>
        <row r="1008">
          <cell r="A1008">
            <v>40875</v>
          </cell>
          <cell r="DF1008">
            <v>15.338065377514324</v>
          </cell>
          <cell r="DG1008">
            <v>21.679348620667902</v>
          </cell>
          <cell r="DH1008">
            <v>18.362277992096409</v>
          </cell>
          <cell r="DI1008">
            <v>14.300000632844487</v>
          </cell>
          <cell r="DJ1008">
            <v>22.424555351348332</v>
          </cell>
          <cell r="DU1008">
            <v>7.2677017179769443</v>
          </cell>
          <cell r="DV1008">
            <v>11.644336226312735</v>
          </cell>
          <cell r="DW1008">
            <v>9.8476005987137558</v>
          </cell>
          <cell r="DX1008">
            <v>7.1073990168282446</v>
          </cell>
          <cell r="DY1008">
            <v>12.587802180599267</v>
          </cell>
        </row>
        <row r="1009">
          <cell r="A1009">
            <v>40876</v>
          </cell>
          <cell r="DF1009">
            <v>15.746364735258339</v>
          </cell>
          <cell r="DG1009">
            <v>21.679348620667902</v>
          </cell>
          <cell r="DH1009">
            <v>18.362277992096409</v>
          </cell>
          <cell r="DI1009">
            <v>14.300000632844487</v>
          </cell>
          <cell r="DJ1009">
            <v>22.424555351348332</v>
          </cell>
          <cell r="DU1009">
            <v>7.5098643548055835</v>
          </cell>
          <cell r="DV1009">
            <v>11.644336226312735</v>
          </cell>
          <cell r="DW1009">
            <v>9.8476005987137558</v>
          </cell>
          <cell r="DX1009">
            <v>7.1073990168282446</v>
          </cell>
          <cell r="DY1009">
            <v>12.587802180599267</v>
          </cell>
        </row>
        <row r="1010">
          <cell r="A1010">
            <v>40877</v>
          </cell>
          <cell r="DF1010">
            <v>15.753802463143566</v>
          </cell>
          <cell r="DG1010">
            <v>21.679348620667902</v>
          </cell>
          <cell r="DH1010">
            <v>18.362277992096409</v>
          </cell>
          <cell r="DI1010">
            <v>14.300000632844487</v>
          </cell>
          <cell r="DJ1010">
            <v>22.424555351348332</v>
          </cell>
          <cell r="DU1010">
            <v>7.5142713706532351</v>
          </cell>
          <cell r="DV1010">
            <v>11.644336226312735</v>
          </cell>
          <cell r="DW1010">
            <v>9.8476005987137558</v>
          </cell>
          <cell r="DX1010">
            <v>7.1073990168282446</v>
          </cell>
          <cell r="DY1010">
            <v>12.587802180599267</v>
          </cell>
        </row>
        <row r="1011">
          <cell r="A1011">
            <v>40878</v>
          </cell>
          <cell r="DF1011">
            <v>15.605183893470121</v>
          </cell>
          <cell r="DG1011">
            <v>21.679348620667902</v>
          </cell>
          <cell r="DH1011">
            <v>18.362277992096409</v>
          </cell>
          <cell r="DI1011">
            <v>14.300000632844487</v>
          </cell>
          <cell r="DJ1011">
            <v>22.424555351348332</v>
          </cell>
          <cell r="DU1011">
            <v>7.4262116295719443</v>
          </cell>
          <cell r="DV1011">
            <v>11.644336226312735</v>
          </cell>
          <cell r="DW1011">
            <v>9.8476005987137558</v>
          </cell>
          <cell r="DX1011">
            <v>7.1073990168282446</v>
          </cell>
          <cell r="DY1011">
            <v>12.587802180599267</v>
          </cell>
        </row>
        <row r="1012">
          <cell r="A1012">
            <v>40879</v>
          </cell>
          <cell r="DF1012">
            <v>15.590318841155598</v>
          </cell>
          <cell r="DG1012">
            <v>21.679348620667902</v>
          </cell>
          <cell r="DH1012">
            <v>18.362277992096409</v>
          </cell>
          <cell r="DI1012">
            <v>14.300000632844487</v>
          </cell>
          <cell r="DJ1012">
            <v>22.424555351348332</v>
          </cell>
          <cell r="DU1012">
            <v>7.4174037621509807</v>
          </cell>
          <cell r="DV1012">
            <v>11.644336226312735</v>
          </cell>
          <cell r="DW1012">
            <v>9.8476005987137558</v>
          </cell>
          <cell r="DX1012">
            <v>7.1073990168282446</v>
          </cell>
          <cell r="DY1012">
            <v>12.587802180599267</v>
          </cell>
        </row>
        <row r="1013">
          <cell r="A1013">
            <v>40882</v>
          </cell>
          <cell r="DF1013">
            <v>15.419407894738333</v>
          </cell>
          <cell r="DG1013">
            <v>21.679348620667902</v>
          </cell>
          <cell r="DH1013">
            <v>18.362277992096409</v>
          </cell>
          <cell r="DI1013">
            <v>14.300000632844487</v>
          </cell>
          <cell r="DJ1013">
            <v>22.424555351348332</v>
          </cell>
          <cell r="DU1013">
            <v>7.3161353020754154</v>
          </cell>
          <cell r="DV1013">
            <v>11.644336226312735</v>
          </cell>
          <cell r="DW1013">
            <v>9.8476005987137558</v>
          </cell>
          <cell r="DX1013">
            <v>7.1073990168282446</v>
          </cell>
          <cell r="DY1013">
            <v>12.587802180599267</v>
          </cell>
        </row>
        <row r="1014">
          <cell r="A1014">
            <v>40883</v>
          </cell>
          <cell r="DF1014">
            <v>15.367385413365469</v>
          </cell>
          <cell r="DG1014">
            <v>21.679348620667902</v>
          </cell>
          <cell r="DH1014">
            <v>18.362277992096409</v>
          </cell>
          <cell r="DI1014">
            <v>14.300000632844487</v>
          </cell>
          <cell r="DJ1014">
            <v>22.424555351348332</v>
          </cell>
          <cell r="DU1014">
            <v>7.2853108482392175</v>
          </cell>
          <cell r="DV1014">
            <v>11.644336226312735</v>
          </cell>
          <cell r="DW1014">
            <v>9.8476005987137558</v>
          </cell>
          <cell r="DX1014">
            <v>7.1073990168282446</v>
          </cell>
          <cell r="DY1014">
            <v>12.587802180599267</v>
          </cell>
        </row>
        <row r="1015">
          <cell r="A1015">
            <v>40884</v>
          </cell>
          <cell r="DF1015">
            <v>15.373230646859378</v>
          </cell>
          <cell r="DG1015">
            <v>21.679348620667902</v>
          </cell>
          <cell r="DH1015">
            <v>18.362277992096409</v>
          </cell>
          <cell r="DI1015">
            <v>14.300000632844487</v>
          </cell>
          <cell r="DJ1015">
            <v>22.424555351348332</v>
          </cell>
          <cell r="DU1015">
            <v>7.2853108482392175</v>
          </cell>
          <cell r="DV1015">
            <v>11.644336226312735</v>
          </cell>
          <cell r="DW1015">
            <v>9.8476005987137558</v>
          </cell>
          <cell r="DX1015">
            <v>7.1073990168282446</v>
          </cell>
          <cell r="DY1015">
            <v>12.587802180599267</v>
          </cell>
        </row>
        <row r="1016">
          <cell r="A1016">
            <v>40885</v>
          </cell>
          <cell r="DF1016">
            <v>15.573948014973315</v>
          </cell>
          <cell r="DG1016">
            <v>21.679348620667902</v>
          </cell>
          <cell r="DH1016">
            <v>18.362277992096409</v>
          </cell>
          <cell r="DI1016">
            <v>14.300000632844487</v>
          </cell>
          <cell r="DJ1016">
            <v>22.424555351348332</v>
          </cell>
          <cell r="DU1016">
            <v>7.4041950431567081</v>
          </cell>
          <cell r="DV1016">
            <v>11.644336226312735</v>
          </cell>
          <cell r="DW1016">
            <v>9.8476005987137558</v>
          </cell>
          <cell r="DX1016">
            <v>7.1073990168282446</v>
          </cell>
          <cell r="DY1016">
            <v>12.587802180599267</v>
          </cell>
        </row>
        <row r="1017">
          <cell r="A1017">
            <v>40886</v>
          </cell>
          <cell r="DF1017">
            <v>15.85642750679423</v>
          </cell>
          <cell r="DG1017">
            <v>21.679348620667902</v>
          </cell>
          <cell r="DH1017">
            <v>18.362277992096409</v>
          </cell>
          <cell r="DI1017">
            <v>14.300000632844487</v>
          </cell>
          <cell r="DJ1017">
            <v>22.424555351348332</v>
          </cell>
          <cell r="DU1017">
            <v>7.5715066578983281</v>
          </cell>
          <cell r="DV1017">
            <v>11.644336226312735</v>
          </cell>
          <cell r="DW1017">
            <v>9.8476005987137558</v>
          </cell>
          <cell r="DX1017">
            <v>7.1073990168282446</v>
          </cell>
          <cell r="DY1017">
            <v>12.587802180599267</v>
          </cell>
        </row>
        <row r="1018">
          <cell r="A1018">
            <v>40889</v>
          </cell>
          <cell r="DF1018">
            <v>16.250421686076827</v>
          </cell>
          <cell r="DG1018">
            <v>21.679348620667902</v>
          </cell>
          <cell r="DH1018">
            <v>18.362277992096409</v>
          </cell>
          <cell r="DI1018">
            <v>14.300000632844487</v>
          </cell>
          <cell r="DJ1018">
            <v>22.424555351348332</v>
          </cell>
          <cell r="DU1018">
            <v>7.8755410259057816</v>
          </cell>
          <cell r="DV1018">
            <v>11.644336226312735</v>
          </cell>
          <cell r="DW1018">
            <v>9.8476005987137558</v>
          </cell>
          <cell r="DX1018">
            <v>7.1073990168282446</v>
          </cell>
          <cell r="DY1018">
            <v>12.587802180599267</v>
          </cell>
        </row>
        <row r="1019">
          <cell r="A1019">
            <v>40890</v>
          </cell>
          <cell r="DF1019">
            <v>16.51804087883329</v>
          </cell>
          <cell r="DG1019">
            <v>21.679348620667902</v>
          </cell>
          <cell r="DH1019">
            <v>18.362277992096409</v>
          </cell>
          <cell r="DI1019">
            <v>14.300000632844487</v>
          </cell>
          <cell r="DJ1019">
            <v>22.424555351348332</v>
          </cell>
          <cell r="DU1019">
            <v>8.0354862430035148</v>
          </cell>
          <cell r="DV1019">
            <v>11.644336226312735</v>
          </cell>
          <cell r="DW1019">
            <v>9.8476005987137558</v>
          </cell>
          <cell r="DX1019">
            <v>7.1073990168282446</v>
          </cell>
          <cell r="DY1019">
            <v>12.587802180599267</v>
          </cell>
        </row>
        <row r="1020">
          <cell r="A1020">
            <v>40891</v>
          </cell>
          <cell r="DF1020">
            <v>16.443709648045186</v>
          </cell>
          <cell r="DG1020">
            <v>21.679348620667902</v>
          </cell>
          <cell r="DH1020">
            <v>18.362277992096409</v>
          </cell>
          <cell r="DI1020">
            <v>14.300000632844487</v>
          </cell>
          <cell r="DJ1020">
            <v>22.424555351348332</v>
          </cell>
          <cell r="DU1020">
            <v>7.9910614589546185</v>
          </cell>
          <cell r="DV1020">
            <v>11.644336226312735</v>
          </cell>
          <cell r="DW1020">
            <v>9.8476005987137558</v>
          </cell>
          <cell r="DX1020">
            <v>7.1073990168282446</v>
          </cell>
          <cell r="DY1020">
            <v>12.587802180599267</v>
          </cell>
        </row>
        <row r="1021">
          <cell r="A1021">
            <v>40892</v>
          </cell>
          <cell r="DF1021">
            <v>16.689027984791924</v>
          </cell>
          <cell r="DG1021">
            <v>21.679348620667902</v>
          </cell>
          <cell r="DH1021">
            <v>18.362277992096409</v>
          </cell>
          <cell r="DI1021">
            <v>14.300000632844487</v>
          </cell>
          <cell r="DJ1021">
            <v>22.424555351348332</v>
          </cell>
          <cell r="DU1021">
            <v>8.1376783522531433</v>
          </cell>
          <cell r="DV1021">
            <v>11.644336226312735</v>
          </cell>
          <cell r="DW1021">
            <v>9.8476005987137558</v>
          </cell>
          <cell r="DX1021">
            <v>7.1073990168282446</v>
          </cell>
          <cell r="DY1021">
            <v>12.587802180599267</v>
          </cell>
        </row>
        <row r="1022">
          <cell r="A1022">
            <v>40893</v>
          </cell>
          <cell r="DF1022">
            <v>16.971507476612839</v>
          </cell>
          <cell r="DG1022">
            <v>21.679348620667902</v>
          </cell>
          <cell r="DH1022">
            <v>18.362277992096409</v>
          </cell>
          <cell r="DI1022">
            <v>14.300000632844487</v>
          </cell>
          <cell r="DJ1022">
            <v>22.424555351348332</v>
          </cell>
          <cell r="DU1022">
            <v>8.3065049718224984</v>
          </cell>
          <cell r="DV1022">
            <v>11.644336226312735</v>
          </cell>
          <cell r="DW1022">
            <v>9.8476005987137558</v>
          </cell>
          <cell r="DX1022">
            <v>7.1073990168282446</v>
          </cell>
          <cell r="DY1022">
            <v>12.587802180599267</v>
          </cell>
        </row>
        <row r="1023">
          <cell r="A1023">
            <v>40896</v>
          </cell>
          <cell r="DF1023">
            <v>17.157354138249275</v>
          </cell>
          <cell r="DG1023">
            <v>21.679348620667902</v>
          </cell>
          <cell r="DH1023">
            <v>18.362277992096409</v>
          </cell>
          <cell r="DI1023">
            <v>14.300000632844487</v>
          </cell>
          <cell r="DJ1023">
            <v>22.424555351348332</v>
          </cell>
          <cell r="DU1023">
            <v>8.417578039251481</v>
          </cell>
          <cell r="DV1023">
            <v>11.644336226312735</v>
          </cell>
          <cell r="DW1023">
            <v>9.8476005987137558</v>
          </cell>
          <cell r="DX1023">
            <v>7.1073990168282446</v>
          </cell>
          <cell r="DY1023">
            <v>12.587802180599267</v>
          </cell>
        </row>
        <row r="1024">
          <cell r="A1024">
            <v>40897</v>
          </cell>
          <cell r="DF1024">
            <v>17.313470537730407</v>
          </cell>
          <cell r="DG1024">
            <v>21.679348620667902</v>
          </cell>
          <cell r="DH1024">
            <v>18.362277992096409</v>
          </cell>
          <cell r="DI1024">
            <v>14.300000632844487</v>
          </cell>
          <cell r="DJ1024">
            <v>22.424555351348332</v>
          </cell>
          <cell r="DU1024">
            <v>8.4789252203993311</v>
          </cell>
          <cell r="DV1024">
            <v>11.644336226312735</v>
          </cell>
          <cell r="DW1024">
            <v>9.8476005987137558</v>
          </cell>
          <cell r="DX1024">
            <v>7.1073990168282446</v>
          </cell>
          <cell r="DY1024">
            <v>12.587802180599267</v>
          </cell>
        </row>
        <row r="1025">
          <cell r="A1025">
            <v>40898</v>
          </cell>
          <cell r="DF1025">
            <v>17.291169681720682</v>
          </cell>
          <cell r="DG1025">
            <v>21.679348620667902</v>
          </cell>
          <cell r="DH1025">
            <v>18.362277992096409</v>
          </cell>
          <cell r="DI1025">
            <v>14.300000632844487</v>
          </cell>
          <cell r="DJ1025">
            <v>22.424555351348332</v>
          </cell>
          <cell r="DU1025">
            <v>8.4656380596510381</v>
          </cell>
          <cell r="DV1025">
            <v>11.644336226312735</v>
          </cell>
          <cell r="DW1025">
            <v>9.8476005987137558</v>
          </cell>
          <cell r="DX1025">
            <v>7.1073990168282446</v>
          </cell>
          <cell r="DY1025">
            <v>12.587802180599267</v>
          </cell>
        </row>
        <row r="1026">
          <cell r="A1026">
            <v>40899</v>
          </cell>
          <cell r="DF1026">
            <v>17.588519880019096</v>
          </cell>
          <cell r="DG1026">
            <v>21.679348620667902</v>
          </cell>
          <cell r="DH1026">
            <v>18.362277992096409</v>
          </cell>
          <cell r="DI1026">
            <v>14.300000632844487</v>
          </cell>
          <cell r="DJ1026">
            <v>22.424555351348332</v>
          </cell>
          <cell r="DU1026">
            <v>8.6369758181308267</v>
          </cell>
          <cell r="DV1026">
            <v>11.644336226312735</v>
          </cell>
          <cell r="DW1026">
            <v>9.8476005987137558</v>
          </cell>
          <cell r="DX1026">
            <v>7.1073990168282446</v>
          </cell>
          <cell r="DY1026">
            <v>12.587802180599267</v>
          </cell>
        </row>
        <row r="1027">
          <cell r="A1027">
            <v>40900</v>
          </cell>
          <cell r="DF1027">
            <v>17.413888983064901</v>
          </cell>
          <cell r="DG1027">
            <v>21.679348620667902</v>
          </cell>
          <cell r="DH1027">
            <v>18.362277992096409</v>
          </cell>
          <cell r="DI1027">
            <v>14.300000632844487</v>
          </cell>
          <cell r="DJ1027">
            <v>22.424555351348332</v>
          </cell>
          <cell r="DU1027">
            <v>8.5671578168958948</v>
          </cell>
          <cell r="DV1027">
            <v>11.644336226312735</v>
          </cell>
          <cell r="DW1027">
            <v>9.8476005987137558</v>
          </cell>
          <cell r="DX1027">
            <v>7.1073990168282446</v>
          </cell>
          <cell r="DY1027">
            <v>12.587802180599267</v>
          </cell>
        </row>
        <row r="1028">
          <cell r="A1028">
            <v>40903</v>
          </cell>
          <cell r="DF1028">
            <v>16.99728134369273</v>
          </cell>
          <cell r="DG1028">
            <v>21.679348620667902</v>
          </cell>
          <cell r="DH1028">
            <v>18.362277992096409</v>
          </cell>
          <cell r="DI1028">
            <v>14.300000632844487</v>
          </cell>
          <cell r="DJ1028">
            <v>22.424555351348332</v>
          </cell>
          <cell r="DU1028">
            <v>8.3381769319529475</v>
          </cell>
          <cell r="DV1028">
            <v>11.644336226312735</v>
          </cell>
          <cell r="DW1028">
            <v>9.8476005987137558</v>
          </cell>
          <cell r="DX1028">
            <v>7.1073990168282446</v>
          </cell>
          <cell r="DY1028">
            <v>12.587802180599267</v>
          </cell>
        </row>
        <row r="1029">
          <cell r="A1029">
            <v>40904</v>
          </cell>
          <cell r="DF1029">
            <v>17.126598674318515</v>
          </cell>
          <cell r="DG1029">
            <v>21.679348620667902</v>
          </cell>
          <cell r="DH1029">
            <v>18.362277992096409</v>
          </cell>
          <cell r="DI1029">
            <v>14.300000632844487</v>
          </cell>
          <cell r="DJ1029">
            <v>22.424555351348332</v>
          </cell>
          <cell r="DU1029">
            <v>8.415147841852761</v>
          </cell>
          <cell r="DV1029">
            <v>11.644336226312735</v>
          </cell>
          <cell r="DW1029">
            <v>9.8476005987137558</v>
          </cell>
          <cell r="DX1029">
            <v>7.1073990168282446</v>
          </cell>
          <cell r="DY1029">
            <v>12.587802180599267</v>
          </cell>
        </row>
        <row r="1030">
          <cell r="A1030">
            <v>40905</v>
          </cell>
          <cell r="DF1030">
            <v>17.24154445923984</v>
          </cell>
          <cell r="DG1030">
            <v>21.679348620667902</v>
          </cell>
          <cell r="DH1030">
            <v>18.362277992096409</v>
          </cell>
          <cell r="DI1030">
            <v>14.300000632844487</v>
          </cell>
          <cell r="DJ1030">
            <v>22.424555351348332</v>
          </cell>
          <cell r="DU1030">
            <v>8.4835646705309316</v>
          </cell>
          <cell r="DV1030">
            <v>11.644336226312735</v>
          </cell>
          <cell r="DW1030">
            <v>9.8476005987137558</v>
          </cell>
          <cell r="DX1030">
            <v>7.1073990168282446</v>
          </cell>
          <cell r="DY1030">
            <v>12.587802180599267</v>
          </cell>
        </row>
        <row r="1031">
          <cell r="A1031">
            <v>40906</v>
          </cell>
          <cell r="DF1031">
            <v>17.198431977319508</v>
          </cell>
          <cell r="DG1031">
            <v>21.679348620667902</v>
          </cell>
          <cell r="DH1031">
            <v>18.362277992096409</v>
          </cell>
          <cell r="DI1031">
            <v>14.300000632844487</v>
          </cell>
          <cell r="DJ1031">
            <v>22.424555351348332</v>
          </cell>
          <cell r="DU1031">
            <v>8.4579037096574847</v>
          </cell>
          <cell r="DV1031">
            <v>11.644336226312735</v>
          </cell>
          <cell r="DW1031">
            <v>9.8476005987137558</v>
          </cell>
          <cell r="DX1031">
            <v>7.1073990168282446</v>
          </cell>
          <cell r="DY1031">
            <v>12.587802180599267</v>
          </cell>
        </row>
        <row r="1032">
          <cell r="A1032">
            <v>40907</v>
          </cell>
          <cell r="DF1032">
            <v>16.939808092033225</v>
          </cell>
          <cell r="DG1032">
            <v>21.679348620667902</v>
          </cell>
          <cell r="DH1032">
            <v>18.362277992096409</v>
          </cell>
          <cell r="DI1032">
            <v>14.300000632844487</v>
          </cell>
          <cell r="DJ1032">
            <v>22.424555351348332</v>
          </cell>
          <cell r="DU1032">
            <v>8.3039683038152816</v>
          </cell>
          <cell r="DV1032">
            <v>11.644336226312735</v>
          </cell>
          <cell r="DW1032">
            <v>9.8476005987137558</v>
          </cell>
          <cell r="DX1032">
            <v>7.1073990168282446</v>
          </cell>
          <cell r="DY1032">
            <v>12.587802180599267</v>
          </cell>
        </row>
        <row r="1033">
          <cell r="A1033">
            <v>40910</v>
          </cell>
          <cell r="DF1033">
            <v>16.78895104359405</v>
          </cell>
          <cell r="DG1033">
            <v>21.679348620667902</v>
          </cell>
          <cell r="DH1033">
            <v>18.362277992096409</v>
          </cell>
          <cell r="DI1033">
            <v>14.300000632844487</v>
          </cell>
          <cell r="DJ1033">
            <v>22.424555351348332</v>
          </cell>
          <cell r="DU1033">
            <v>8.2141767482134629</v>
          </cell>
          <cell r="DV1033">
            <v>11.644336226312735</v>
          </cell>
          <cell r="DW1033">
            <v>9.8476005987137558</v>
          </cell>
          <cell r="DX1033">
            <v>7.1073990168282446</v>
          </cell>
          <cell r="DY1033">
            <v>12.587802180599267</v>
          </cell>
        </row>
        <row r="1034">
          <cell r="A1034">
            <v>40911</v>
          </cell>
          <cell r="DF1034">
            <v>16.724297407064959</v>
          </cell>
          <cell r="DG1034">
            <v>21.679348620667902</v>
          </cell>
          <cell r="DH1034">
            <v>18.362277992096409</v>
          </cell>
          <cell r="DI1034">
            <v>14.300000632844487</v>
          </cell>
          <cell r="DJ1034">
            <v>22.424555351348332</v>
          </cell>
          <cell r="DU1034">
            <v>8.1756942864436901</v>
          </cell>
          <cell r="DV1034">
            <v>11.644336226312735</v>
          </cell>
          <cell r="DW1034">
            <v>9.8476005987137558</v>
          </cell>
          <cell r="DX1034">
            <v>7.1073990168282446</v>
          </cell>
          <cell r="DY1034">
            <v>12.587802180599267</v>
          </cell>
        </row>
        <row r="1035">
          <cell r="A1035">
            <v>40912</v>
          </cell>
          <cell r="DF1035">
            <v>16.860783628197357</v>
          </cell>
          <cell r="DG1035">
            <v>21.679348620667902</v>
          </cell>
          <cell r="DH1035">
            <v>18.362277992096409</v>
          </cell>
          <cell r="DI1035">
            <v>14.300000632844487</v>
          </cell>
          <cell r="DJ1035">
            <v>22.424555351348332</v>
          </cell>
          <cell r="DU1035">
            <v>8.2569321884210236</v>
          </cell>
          <cell r="DV1035">
            <v>11.644336226312735</v>
          </cell>
          <cell r="DW1035">
            <v>9.8476005987137558</v>
          </cell>
          <cell r="DX1035">
            <v>7.1073990168282446</v>
          </cell>
          <cell r="DY1035">
            <v>12.587802180599267</v>
          </cell>
        </row>
        <row r="1036">
          <cell r="A1036">
            <v>40913</v>
          </cell>
          <cell r="DF1036">
            <v>16.523146773438178</v>
          </cell>
          <cell r="DG1036">
            <v>21.679348620667902</v>
          </cell>
          <cell r="DH1036">
            <v>18.362277992096409</v>
          </cell>
          <cell r="DI1036">
            <v>14.300000632844487</v>
          </cell>
          <cell r="DJ1036">
            <v>22.424555351348332</v>
          </cell>
          <cell r="DU1036">
            <v>8.0559675087391529</v>
          </cell>
          <cell r="DV1036">
            <v>11.644336226312735</v>
          </cell>
          <cell r="DW1036">
            <v>9.8476005987137558</v>
          </cell>
          <cell r="DX1036">
            <v>7.1073990168282446</v>
          </cell>
          <cell r="DY1036">
            <v>12.587802180599267</v>
          </cell>
        </row>
        <row r="1037">
          <cell r="A1037">
            <v>40914</v>
          </cell>
          <cell r="DF1037">
            <v>16.803321870900827</v>
          </cell>
          <cell r="DG1037">
            <v>21.679348620667902</v>
          </cell>
          <cell r="DH1037">
            <v>18.362277992096409</v>
          </cell>
          <cell r="DI1037">
            <v>14.300000632844487</v>
          </cell>
          <cell r="DJ1037">
            <v>22.424555351348332</v>
          </cell>
          <cell r="DU1037">
            <v>8.2227304018379463</v>
          </cell>
          <cell r="DV1037">
            <v>11.644336226312735</v>
          </cell>
          <cell r="DW1037">
            <v>9.8476005987137558</v>
          </cell>
          <cell r="DX1037">
            <v>7.1073990168282446</v>
          </cell>
          <cell r="DY1037">
            <v>12.587802180599267</v>
          </cell>
        </row>
        <row r="1038">
          <cell r="A1038">
            <v>40917</v>
          </cell>
          <cell r="DF1038">
            <v>17.16196253699697</v>
          </cell>
          <cell r="DG1038">
            <v>21.679348620667902</v>
          </cell>
          <cell r="DH1038">
            <v>18.362277992096409</v>
          </cell>
          <cell r="DI1038">
            <v>14.300000632844487</v>
          </cell>
          <cell r="DJ1038">
            <v>22.424555351348332</v>
          </cell>
          <cell r="DU1038">
            <v>8.4450762224008926</v>
          </cell>
          <cell r="DV1038">
            <v>11.644336226312735</v>
          </cell>
          <cell r="DW1038">
            <v>9.8476005987137558</v>
          </cell>
          <cell r="DX1038">
            <v>7.1073990168282446</v>
          </cell>
          <cell r="DY1038">
            <v>12.587802180599267</v>
          </cell>
        </row>
        <row r="1039">
          <cell r="A1039">
            <v>40918</v>
          </cell>
          <cell r="DF1039">
            <v>17.083006706401139</v>
          </cell>
          <cell r="DG1039">
            <v>21.679348620667902</v>
          </cell>
          <cell r="DH1039">
            <v>18.362277992096409</v>
          </cell>
          <cell r="DI1039">
            <v>14.300000632844487</v>
          </cell>
          <cell r="DJ1039">
            <v>22.424555351348332</v>
          </cell>
          <cell r="DU1039">
            <v>8.3980401070066346</v>
          </cell>
          <cell r="DV1039">
            <v>11.644336226312735</v>
          </cell>
          <cell r="DW1039">
            <v>9.8476005987137558</v>
          </cell>
          <cell r="DX1039">
            <v>7.1073990168282446</v>
          </cell>
          <cell r="DY1039">
            <v>12.587802180599267</v>
          </cell>
        </row>
        <row r="1040">
          <cell r="A1040">
            <v>40919</v>
          </cell>
          <cell r="DF1040">
            <v>17.083006706401139</v>
          </cell>
          <cell r="DG1040">
            <v>21.679348620667902</v>
          </cell>
          <cell r="DH1040">
            <v>18.362277992096409</v>
          </cell>
          <cell r="DI1040">
            <v>14.300000632844487</v>
          </cell>
          <cell r="DJ1040">
            <v>22.424555351348332</v>
          </cell>
          <cell r="DU1040">
            <v>8.3980401070066346</v>
          </cell>
          <cell r="DV1040">
            <v>11.644336226312735</v>
          </cell>
          <cell r="DW1040">
            <v>9.8476005987137558</v>
          </cell>
          <cell r="DX1040">
            <v>7.1073990168282446</v>
          </cell>
          <cell r="DY1040">
            <v>12.587802180599267</v>
          </cell>
        </row>
        <row r="1041">
          <cell r="A1041">
            <v>40920</v>
          </cell>
          <cell r="DF1041">
            <v>16.770451954399071</v>
          </cell>
          <cell r="DG1041">
            <v>21.679348620667902</v>
          </cell>
          <cell r="DH1041">
            <v>18.362277992096409</v>
          </cell>
          <cell r="DI1041">
            <v>14.300000632844487</v>
          </cell>
          <cell r="DJ1041">
            <v>22.424555351348332</v>
          </cell>
          <cell r="DU1041">
            <v>8.2058451658703717</v>
          </cell>
          <cell r="DV1041">
            <v>11.644336226312735</v>
          </cell>
          <cell r="DW1041">
            <v>9.8476005987137558</v>
          </cell>
          <cell r="DX1041">
            <v>7.1073990168282446</v>
          </cell>
          <cell r="DY1041">
            <v>12.587802180599267</v>
          </cell>
        </row>
        <row r="1042">
          <cell r="A1042">
            <v>40921</v>
          </cell>
          <cell r="DF1042">
            <v>16.583627371145553</v>
          </cell>
          <cell r="DG1042">
            <v>21.679348620667902</v>
          </cell>
          <cell r="DH1042">
            <v>18.362277992096409</v>
          </cell>
          <cell r="DI1042">
            <v>14.300000632844487</v>
          </cell>
          <cell r="DJ1042">
            <v>22.424555351348332</v>
          </cell>
          <cell r="DU1042">
            <v>8.0946046802234868</v>
          </cell>
          <cell r="DV1042">
            <v>11.644336226312735</v>
          </cell>
          <cell r="DW1042">
            <v>9.8476005987137558</v>
          </cell>
          <cell r="DX1042">
            <v>7.1073990168282446</v>
          </cell>
          <cell r="DY1042">
            <v>12.587802180599267</v>
          </cell>
        </row>
        <row r="1043">
          <cell r="A1043">
            <v>40924</v>
          </cell>
          <cell r="DF1043">
            <v>17.223116976433985</v>
          </cell>
          <cell r="DG1043">
            <v>21.679348620667902</v>
          </cell>
          <cell r="DH1043">
            <v>18.362277992096409</v>
          </cell>
          <cell r="DI1043">
            <v>14.300000632844487</v>
          </cell>
          <cell r="DJ1043">
            <v>22.424555351348332</v>
          </cell>
          <cell r="DU1043">
            <v>8.4753743467180129</v>
          </cell>
          <cell r="DV1043">
            <v>11.644336226312735</v>
          </cell>
          <cell r="DW1043">
            <v>9.8476005987137558</v>
          </cell>
          <cell r="DX1043">
            <v>7.1073990168282446</v>
          </cell>
          <cell r="DY1043">
            <v>12.587802180599267</v>
          </cell>
        </row>
        <row r="1044">
          <cell r="A1044">
            <v>40925</v>
          </cell>
          <cell r="DF1044">
            <v>17.151271316345841</v>
          </cell>
          <cell r="DG1044">
            <v>21.679348620667902</v>
          </cell>
          <cell r="DH1044">
            <v>18.362277992096409</v>
          </cell>
          <cell r="DI1044">
            <v>14.300000632844487</v>
          </cell>
          <cell r="DJ1044">
            <v>22.424555351348332</v>
          </cell>
          <cell r="DU1044">
            <v>8.4325954683678273</v>
          </cell>
          <cell r="DV1044">
            <v>11.644336226312735</v>
          </cell>
          <cell r="DW1044">
            <v>9.8476005987137558</v>
          </cell>
          <cell r="DX1044">
            <v>7.1073990168282446</v>
          </cell>
          <cell r="DY1044">
            <v>12.587802180599267</v>
          </cell>
        </row>
        <row r="1045">
          <cell r="A1045">
            <v>40926</v>
          </cell>
          <cell r="DF1045">
            <v>17.28060068978904</v>
          </cell>
          <cell r="DG1045">
            <v>21.679348620667902</v>
          </cell>
          <cell r="DH1045">
            <v>18.362277992096409</v>
          </cell>
          <cell r="DI1045">
            <v>14.300000632844487</v>
          </cell>
          <cell r="DJ1045">
            <v>22.424555351348332</v>
          </cell>
          <cell r="DU1045">
            <v>8.5096017277138287</v>
          </cell>
          <cell r="DV1045">
            <v>11.644336226312735</v>
          </cell>
          <cell r="DW1045">
            <v>9.8476005987137558</v>
          </cell>
          <cell r="DX1045">
            <v>7.1073990168282446</v>
          </cell>
          <cell r="DY1045">
            <v>12.587802180599267</v>
          </cell>
        </row>
        <row r="1046">
          <cell r="A1046">
            <v>40927</v>
          </cell>
          <cell r="DF1046">
            <v>17.568018538035862</v>
          </cell>
          <cell r="DG1046">
            <v>21.679348620667902</v>
          </cell>
          <cell r="DH1046">
            <v>18.362277992096409</v>
          </cell>
          <cell r="DI1046">
            <v>14.300000632844487</v>
          </cell>
          <cell r="DJ1046">
            <v>22.424555351348332</v>
          </cell>
          <cell r="DU1046">
            <v>8.680738204861342</v>
          </cell>
          <cell r="DV1046">
            <v>11.644336226312735</v>
          </cell>
          <cell r="DW1046">
            <v>9.8476005987137558</v>
          </cell>
          <cell r="DX1046">
            <v>7.1073990168282446</v>
          </cell>
          <cell r="DY1046">
            <v>12.587802180599267</v>
          </cell>
        </row>
        <row r="1047">
          <cell r="A1047">
            <v>40928</v>
          </cell>
          <cell r="DF1047">
            <v>17.388386424604153</v>
          </cell>
          <cell r="DG1047">
            <v>21.679348620667902</v>
          </cell>
          <cell r="DH1047">
            <v>18.362277992096409</v>
          </cell>
          <cell r="DI1047">
            <v>14.300000632844487</v>
          </cell>
          <cell r="DJ1047">
            <v>22.424555351348332</v>
          </cell>
          <cell r="DU1047">
            <v>8.5737803131967087</v>
          </cell>
          <cell r="DV1047">
            <v>11.644336226312735</v>
          </cell>
          <cell r="DW1047">
            <v>9.8476005987137558</v>
          </cell>
          <cell r="DX1047">
            <v>7.1073990168282446</v>
          </cell>
          <cell r="DY1047">
            <v>12.587802180599267</v>
          </cell>
        </row>
        <row r="1048">
          <cell r="A1048">
            <v>40931</v>
          </cell>
          <cell r="DF1048">
            <v>17.39859106919668</v>
          </cell>
          <cell r="DG1048">
            <v>21.679348620667902</v>
          </cell>
          <cell r="DH1048">
            <v>18.362277992096409</v>
          </cell>
          <cell r="DI1048">
            <v>14.300000632844487</v>
          </cell>
          <cell r="DJ1048">
            <v>22.424555351348332</v>
          </cell>
          <cell r="DU1048">
            <v>8.6193840464950249</v>
          </cell>
          <cell r="DV1048">
            <v>11.644336226312735</v>
          </cell>
          <cell r="DW1048">
            <v>9.8476005987137558</v>
          </cell>
          <cell r="DX1048">
            <v>7.1073990168282446</v>
          </cell>
          <cell r="DY1048">
            <v>12.587802180599267</v>
          </cell>
        </row>
        <row r="1049">
          <cell r="A1049">
            <v>40932</v>
          </cell>
          <cell r="DF1049">
            <v>17.306269173957503</v>
          </cell>
          <cell r="DG1049">
            <v>21.679348620667902</v>
          </cell>
          <cell r="DH1049">
            <v>18.362277992096409</v>
          </cell>
          <cell r="DI1049">
            <v>14.300000632844487</v>
          </cell>
          <cell r="DJ1049">
            <v>22.424555351348332</v>
          </cell>
          <cell r="DU1049">
            <v>8.5642931104546438</v>
          </cell>
          <cell r="DV1049">
            <v>11.644336226312735</v>
          </cell>
          <cell r="DW1049">
            <v>9.8476005987137558</v>
          </cell>
          <cell r="DX1049">
            <v>7.1073990168282446</v>
          </cell>
          <cell r="DY1049">
            <v>12.587802180599267</v>
          </cell>
        </row>
        <row r="1050">
          <cell r="A1050">
            <v>40933</v>
          </cell>
          <cell r="DF1050">
            <v>17.201046403078156</v>
          </cell>
          <cell r="DG1050">
            <v>21.679348620667902</v>
          </cell>
          <cell r="DH1050">
            <v>18.362277992096409</v>
          </cell>
          <cell r="DI1050">
            <v>14.300000632844487</v>
          </cell>
          <cell r="DJ1050">
            <v>22.424555351348332</v>
          </cell>
          <cell r="DU1050">
            <v>8.5049662355457691</v>
          </cell>
          <cell r="DV1050">
            <v>11.644336226312735</v>
          </cell>
          <cell r="DW1050">
            <v>9.8476005987137558</v>
          </cell>
          <cell r="DX1050">
            <v>7.1073990168282446</v>
          </cell>
          <cell r="DY1050">
            <v>12.587802180599267</v>
          </cell>
        </row>
        <row r="1051">
          <cell r="A1051">
            <v>40934</v>
          </cell>
          <cell r="DF1051">
            <v>16.867389352103277</v>
          </cell>
          <cell r="DG1051">
            <v>21.679348620667902</v>
          </cell>
          <cell r="DH1051">
            <v>18.362277992096409</v>
          </cell>
          <cell r="DI1051">
            <v>14.300000632844487</v>
          </cell>
          <cell r="DJ1051">
            <v>22.424555351348332</v>
          </cell>
          <cell r="DU1051">
            <v>8.305797017445439</v>
          </cell>
          <cell r="DV1051">
            <v>11.644336226312735</v>
          </cell>
          <cell r="DW1051">
            <v>9.8476005987137558</v>
          </cell>
          <cell r="DX1051">
            <v>7.1073990168282446</v>
          </cell>
          <cell r="DY1051">
            <v>12.587802180599267</v>
          </cell>
        </row>
        <row r="1052">
          <cell r="A1052">
            <v>40935</v>
          </cell>
          <cell r="DF1052">
            <v>17.023569625914448</v>
          </cell>
          <cell r="DG1052">
            <v>21.679348620667902</v>
          </cell>
          <cell r="DH1052">
            <v>18.362277992096409</v>
          </cell>
          <cell r="DI1052">
            <v>14.300000632844487</v>
          </cell>
          <cell r="DJ1052">
            <v>22.424555351348332</v>
          </cell>
          <cell r="DU1052">
            <v>8.3990253874942056</v>
          </cell>
          <cell r="DV1052">
            <v>11.644336226312735</v>
          </cell>
          <cell r="DW1052">
            <v>9.8476005987137558</v>
          </cell>
          <cell r="DX1052">
            <v>7.1073990168282446</v>
          </cell>
          <cell r="DY1052">
            <v>12.587802180599267</v>
          </cell>
        </row>
        <row r="1053">
          <cell r="A1053">
            <v>40938</v>
          </cell>
          <cell r="DF1053">
            <v>17.385618701792868</v>
          </cell>
          <cell r="DG1053">
            <v>21.679348620667902</v>
          </cell>
          <cell r="DH1053">
            <v>18.362277992096409</v>
          </cell>
          <cell r="DI1053">
            <v>14.300000632844487</v>
          </cell>
          <cell r="DJ1053">
            <v>22.424555351348332</v>
          </cell>
          <cell r="DU1053">
            <v>8.6151425987024339</v>
          </cell>
          <cell r="DV1053">
            <v>11.644336226312735</v>
          </cell>
          <cell r="DW1053">
            <v>9.8476005987137558</v>
          </cell>
          <cell r="DX1053">
            <v>7.1073990168282446</v>
          </cell>
          <cell r="DY1053">
            <v>12.587802180599267</v>
          </cell>
        </row>
        <row r="1054">
          <cell r="A1054">
            <v>40939</v>
          </cell>
          <cell r="DF1054">
            <v>17.520502472251504</v>
          </cell>
          <cell r="DG1054">
            <v>21.679348620667902</v>
          </cell>
          <cell r="DH1054">
            <v>18.362277992096409</v>
          </cell>
          <cell r="DI1054">
            <v>14.300000632844487</v>
          </cell>
          <cell r="DJ1054">
            <v>22.424555351348332</v>
          </cell>
          <cell r="DU1054">
            <v>8.6956584907484054</v>
          </cell>
          <cell r="DV1054">
            <v>11.644336226312735</v>
          </cell>
          <cell r="DW1054">
            <v>9.8476005987137558</v>
          </cell>
          <cell r="DX1054">
            <v>7.1073990168282446</v>
          </cell>
          <cell r="DY1054">
            <v>12.587802180599267</v>
          </cell>
        </row>
        <row r="1055">
          <cell r="A1055">
            <v>40940</v>
          </cell>
          <cell r="DF1055">
            <v>17.578526795377211</v>
          </cell>
          <cell r="DG1055">
            <v>21.679348620667902</v>
          </cell>
          <cell r="DH1055">
            <v>18.362277992096409</v>
          </cell>
          <cell r="DI1055">
            <v>14.300000632844487</v>
          </cell>
          <cell r="DJ1055">
            <v>22.424555351348332</v>
          </cell>
          <cell r="DU1055">
            <v>8.7337959247567909</v>
          </cell>
          <cell r="DV1055">
            <v>11.644336226312735</v>
          </cell>
          <cell r="DW1055">
            <v>9.8476005987137558</v>
          </cell>
          <cell r="DX1055">
            <v>7.1073990168282446</v>
          </cell>
          <cell r="DY1055">
            <v>12.587802180599267</v>
          </cell>
        </row>
        <row r="1056">
          <cell r="A1056">
            <v>40941</v>
          </cell>
          <cell r="DF1056">
            <v>17.642394285734564</v>
          </cell>
          <cell r="DG1056">
            <v>21.679348620667902</v>
          </cell>
          <cell r="DH1056">
            <v>18.362277992096409</v>
          </cell>
          <cell r="DI1056">
            <v>14.300000632844487</v>
          </cell>
          <cell r="DJ1056">
            <v>22.424555351348332</v>
          </cell>
          <cell r="DU1056">
            <v>8.7719329350017841</v>
          </cell>
          <cell r="DV1056">
            <v>11.644336226312735</v>
          </cell>
          <cell r="DW1056">
            <v>9.8476005987137558</v>
          </cell>
          <cell r="DX1056">
            <v>7.1073990168282446</v>
          </cell>
          <cell r="DY1056">
            <v>12.587802180599267</v>
          </cell>
        </row>
        <row r="1057">
          <cell r="A1057">
            <v>40942</v>
          </cell>
          <cell r="DF1057">
            <v>17.684983730807854</v>
          </cell>
          <cell r="DG1057">
            <v>21.679348620667902</v>
          </cell>
          <cell r="DH1057">
            <v>18.362277992096409</v>
          </cell>
          <cell r="DI1057">
            <v>14.300000632844487</v>
          </cell>
          <cell r="DJ1057">
            <v>22.424555351348332</v>
          </cell>
          <cell r="DU1057">
            <v>8.7973642474582583</v>
          </cell>
          <cell r="DV1057">
            <v>11.644336226312735</v>
          </cell>
          <cell r="DW1057">
            <v>9.8476005987137558</v>
          </cell>
          <cell r="DX1057">
            <v>7.1073990168282446</v>
          </cell>
          <cell r="DY1057">
            <v>12.587802180599267</v>
          </cell>
        </row>
        <row r="1058">
          <cell r="A1058">
            <v>40945</v>
          </cell>
          <cell r="DF1058">
            <v>17.706272421146757</v>
          </cell>
          <cell r="DG1058">
            <v>21.679348620667902</v>
          </cell>
          <cell r="DH1058">
            <v>18.362277992096409</v>
          </cell>
          <cell r="DI1058">
            <v>14.300000632844487</v>
          </cell>
          <cell r="DJ1058">
            <v>22.424555351348332</v>
          </cell>
          <cell r="DU1058">
            <v>8.8100763016976611</v>
          </cell>
          <cell r="DV1058">
            <v>11.644336226312735</v>
          </cell>
          <cell r="DW1058">
            <v>9.8476005987137558</v>
          </cell>
          <cell r="DX1058">
            <v>7.1073990168282446</v>
          </cell>
          <cell r="DY1058">
            <v>12.587802180599267</v>
          </cell>
        </row>
        <row r="1059">
          <cell r="A1059">
            <v>40946</v>
          </cell>
          <cell r="DF1059">
            <v>18.004333246990115</v>
          </cell>
          <cell r="DG1059">
            <v>21.679348620667902</v>
          </cell>
          <cell r="DH1059">
            <v>18.362277992096409</v>
          </cell>
          <cell r="DI1059">
            <v>14.300000632844487</v>
          </cell>
          <cell r="DJ1059">
            <v>22.424555351348332</v>
          </cell>
          <cell r="DU1059">
            <v>8.9880565026608945</v>
          </cell>
          <cell r="DV1059">
            <v>11.644336226312735</v>
          </cell>
          <cell r="DW1059">
            <v>9.8476005987137558</v>
          </cell>
          <cell r="DX1059">
            <v>7.1073990168282446</v>
          </cell>
          <cell r="DY1059">
            <v>12.587802180599267</v>
          </cell>
        </row>
        <row r="1060">
          <cell r="A1060">
            <v>40947</v>
          </cell>
          <cell r="DF1060">
            <v>18.195947072787341</v>
          </cell>
          <cell r="DG1060">
            <v>21.679348620667902</v>
          </cell>
          <cell r="DH1060">
            <v>18.362277992096409</v>
          </cell>
          <cell r="DI1060">
            <v>14.300000632844487</v>
          </cell>
          <cell r="DJ1060">
            <v>22.424555351348332</v>
          </cell>
          <cell r="DU1060">
            <v>9.102474313610152</v>
          </cell>
          <cell r="DV1060">
            <v>11.644336226312735</v>
          </cell>
          <cell r="DW1060">
            <v>9.8476005987137558</v>
          </cell>
          <cell r="DX1060">
            <v>7.1073990168282446</v>
          </cell>
          <cell r="DY1060">
            <v>12.587802180599267</v>
          </cell>
        </row>
        <row r="1061">
          <cell r="A1061">
            <v>40948</v>
          </cell>
          <cell r="DF1061">
            <v>17.252084124320049</v>
          </cell>
          <cell r="DG1061">
            <v>21.679348620667902</v>
          </cell>
          <cell r="DH1061">
            <v>18.362277992096409</v>
          </cell>
          <cell r="DI1061">
            <v>14.300000632844487</v>
          </cell>
          <cell r="DJ1061">
            <v>22.424555351348332</v>
          </cell>
          <cell r="DU1061">
            <v>8.5388681544490534</v>
          </cell>
          <cell r="DV1061">
            <v>11.644336226312735</v>
          </cell>
          <cell r="DW1061">
            <v>9.8476005987137558</v>
          </cell>
          <cell r="DX1061">
            <v>7.1073990168282446</v>
          </cell>
          <cell r="DY1061">
            <v>12.587802180599267</v>
          </cell>
        </row>
        <row r="1062">
          <cell r="A1062">
            <v>40949</v>
          </cell>
          <cell r="DF1062">
            <v>16.54950695654334</v>
          </cell>
          <cell r="DG1062">
            <v>21.679348620667902</v>
          </cell>
          <cell r="DH1062">
            <v>18.362277992096409</v>
          </cell>
          <cell r="DI1062">
            <v>14.300000632844487</v>
          </cell>
          <cell r="DJ1062">
            <v>22.424555351348332</v>
          </cell>
          <cell r="DU1062">
            <v>8.119340277347904</v>
          </cell>
          <cell r="DV1062">
            <v>11.644336226312735</v>
          </cell>
          <cell r="DW1062">
            <v>9.8476005987137558</v>
          </cell>
          <cell r="DX1062">
            <v>7.1073990168282446</v>
          </cell>
          <cell r="DY1062">
            <v>12.587802180599267</v>
          </cell>
        </row>
        <row r="1063">
          <cell r="A1063">
            <v>40952</v>
          </cell>
          <cell r="DF1063">
            <v>16.301117375923017</v>
          </cell>
          <cell r="DG1063">
            <v>21.679348620667902</v>
          </cell>
          <cell r="DH1063">
            <v>18.362277992096409</v>
          </cell>
          <cell r="DI1063">
            <v>14.300000632844487</v>
          </cell>
          <cell r="DJ1063">
            <v>22.424555351348332</v>
          </cell>
          <cell r="DU1063">
            <v>7.9710201237319689</v>
          </cell>
          <cell r="DV1063">
            <v>11.644336226312735</v>
          </cell>
          <cell r="DW1063">
            <v>9.8476005987137558</v>
          </cell>
          <cell r="DX1063">
            <v>7.1073990168282446</v>
          </cell>
          <cell r="DY1063">
            <v>12.587802180599267</v>
          </cell>
        </row>
        <row r="1064">
          <cell r="A1064">
            <v>40953</v>
          </cell>
          <cell r="DF1064">
            <v>16.166289240333406</v>
          </cell>
          <cell r="DG1064">
            <v>21.679348620667902</v>
          </cell>
          <cell r="DH1064">
            <v>18.362277992096409</v>
          </cell>
          <cell r="DI1064">
            <v>14.300000632844487</v>
          </cell>
          <cell r="DJ1064">
            <v>22.424555351348332</v>
          </cell>
          <cell r="DU1064">
            <v>7.8905105881368813</v>
          </cell>
          <cell r="DV1064">
            <v>11.644336226312735</v>
          </cell>
          <cell r="DW1064">
            <v>9.8476005987137558</v>
          </cell>
          <cell r="DX1064">
            <v>7.1073990168282446</v>
          </cell>
          <cell r="DY1064">
            <v>12.587802180599267</v>
          </cell>
        </row>
        <row r="1065">
          <cell r="A1065">
            <v>40954</v>
          </cell>
          <cell r="DF1065">
            <v>16.563703201677662</v>
          </cell>
          <cell r="DG1065">
            <v>21.679348620667902</v>
          </cell>
          <cell r="DH1065">
            <v>18.362277992096409</v>
          </cell>
          <cell r="DI1065">
            <v>14.300000632844487</v>
          </cell>
          <cell r="DJ1065">
            <v>22.424555351348332</v>
          </cell>
          <cell r="DU1065">
            <v>8.2079143821476741</v>
          </cell>
          <cell r="DV1065">
            <v>11.644336226312735</v>
          </cell>
          <cell r="DW1065">
            <v>9.8476005987137558</v>
          </cell>
          <cell r="DX1065">
            <v>7.1073990168282446</v>
          </cell>
          <cell r="DY1065">
            <v>12.587802180599267</v>
          </cell>
        </row>
        <row r="1066">
          <cell r="A1066">
            <v>40955</v>
          </cell>
          <cell r="DF1066">
            <v>16.613374446900693</v>
          </cell>
          <cell r="DG1066">
            <v>21.679348620667902</v>
          </cell>
          <cell r="DH1066">
            <v>18.362277992096409</v>
          </cell>
          <cell r="DI1066">
            <v>14.300000632844487</v>
          </cell>
          <cell r="DJ1066">
            <v>22.424555351348332</v>
          </cell>
          <cell r="DU1066">
            <v>8.2378667201495208</v>
          </cell>
          <cell r="DV1066">
            <v>11.644336226312735</v>
          </cell>
          <cell r="DW1066">
            <v>9.8476005987137558</v>
          </cell>
          <cell r="DX1066">
            <v>7.1073990168282446</v>
          </cell>
          <cell r="DY1066">
            <v>12.587802180599267</v>
          </cell>
        </row>
        <row r="1067">
          <cell r="A1067">
            <v>40956</v>
          </cell>
          <cell r="DF1067">
            <v>16.719831382331339</v>
          </cell>
          <cell r="DG1067">
            <v>21.679348620667902</v>
          </cell>
          <cell r="DH1067">
            <v>18.362277992096409</v>
          </cell>
          <cell r="DI1067">
            <v>14.300000632844487</v>
          </cell>
          <cell r="DJ1067">
            <v>22.424555351348332</v>
          </cell>
          <cell r="DU1067">
            <v>8.302061489141968</v>
          </cell>
          <cell r="DV1067">
            <v>11.644336226312735</v>
          </cell>
          <cell r="DW1067">
            <v>9.8476005987137558</v>
          </cell>
          <cell r="DX1067">
            <v>7.1073990168282446</v>
          </cell>
          <cell r="DY1067">
            <v>12.587802180599267</v>
          </cell>
        </row>
        <row r="1068">
          <cell r="A1068">
            <v>40959</v>
          </cell>
          <cell r="DF1068">
            <v>16.726924537206244</v>
          </cell>
          <cell r="DG1068">
            <v>21.679348620667902</v>
          </cell>
          <cell r="DH1068">
            <v>18.362277992096409</v>
          </cell>
          <cell r="DI1068">
            <v>14.300000632844487</v>
          </cell>
          <cell r="DJ1068">
            <v>22.424555351348332</v>
          </cell>
          <cell r="DU1068">
            <v>8.3063387439472081</v>
          </cell>
          <cell r="DV1068">
            <v>11.644336226312735</v>
          </cell>
          <cell r="DW1068">
            <v>9.8476005987137558</v>
          </cell>
          <cell r="DX1068">
            <v>7.1073990168282446</v>
          </cell>
          <cell r="DY1068">
            <v>12.587802180599267</v>
          </cell>
        </row>
        <row r="1069">
          <cell r="A1069">
            <v>40960</v>
          </cell>
          <cell r="DF1069">
            <v>16.790792027563597</v>
          </cell>
          <cell r="DG1069">
            <v>21.679348620667902</v>
          </cell>
          <cell r="DH1069">
            <v>18.362277992096409</v>
          </cell>
          <cell r="DI1069">
            <v>14.300000632844487</v>
          </cell>
          <cell r="DJ1069">
            <v>22.424555351348332</v>
          </cell>
          <cell r="DU1069">
            <v>8.3448515827118435</v>
          </cell>
          <cell r="DV1069">
            <v>11.644336226312735</v>
          </cell>
          <cell r="DW1069">
            <v>9.8476005987137558</v>
          </cell>
          <cell r="DX1069">
            <v>7.1073990168282446</v>
          </cell>
          <cell r="DY1069">
            <v>12.587802180599267</v>
          </cell>
        </row>
        <row r="1070">
          <cell r="A1070">
            <v>40961</v>
          </cell>
          <cell r="DF1070">
            <v>16.675974753346225</v>
          </cell>
          <cell r="DG1070">
            <v>21.679348620667902</v>
          </cell>
          <cell r="DH1070">
            <v>18.362277992096409</v>
          </cell>
          <cell r="DI1070">
            <v>14.300000632844487</v>
          </cell>
          <cell r="DJ1070">
            <v>22.424555351348332</v>
          </cell>
          <cell r="DU1070">
            <v>8.3211327869440179</v>
          </cell>
          <cell r="DV1070">
            <v>11.644336226312735</v>
          </cell>
          <cell r="DW1070">
            <v>9.8476005987137558</v>
          </cell>
          <cell r="DX1070">
            <v>7.1073990168282446</v>
          </cell>
          <cell r="DY1070">
            <v>12.587802180599267</v>
          </cell>
        </row>
        <row r="1071">
          <cell r="A1071">
            <v>40962</v>
          </cell>
          <cell r="DF1071">
            <v>16.93555742117594</v>
          </cell>
          <cell r="DG1071">
            <v>21.679348620667902</v>
          </cell>
          <cell r="DH1071">
            <v>18.362277992096409</v>
          </cell>
          <cell r="DI1071">
            <v>14.300000632844487</v>
          </cell>
          <cell r="DJ1071">
            <v>22.424555351348332</v>
          </cell>
          <cell r="DU1071">
            <v>8.4781389233000137</v>
          </cell>
          <cell r="DV1071">
            <v>11.644336226312735</v>
          </cell>
          <cell r="DW1071">
            <v>9.8476005987137558</v>
          </cell>
          <cell r="DX1071">
            <v>7.1073990168282446</v>
          </cell>
          <cell r="DY1071">
            <v>12.587802180599267</v>
          </cell>
        </row>
        <row r="1072">
          <cell r="A1072">
            <v>40963</v>
          </cell>
          <cell r="DF1072">
            <v>16.577756938973206</v>
          </cell>
          <cell r="DG1072">
            <v>21.679348620667902</v>
          </cell>
          <cell r="DH1072">
            <v>18.362277992096409</v>
          </cell>
          <cell r="DI1072">
            <v>14.300000632844487</v>
          </cell>
          <cell r="DJ1072">
            <v>22.424555351348332</v>
          </cell>
          <cell r="DU1072">
            <v>8.2617266652450407</v>
          </cell>
          <cell r="DV1072">
            <v>11.644336226312735</v>
          </cell>
          <cell r="DW1072">
            <v>9.8476005987137558</v>
          </cell>
          <cell r="DX1072">
            <v>7.1073990168282446</v>
          </cell>
          <cell r="DY1072">
            <v>12.587802180599267</v>
          </cell>
        </row>
        <row r="1073">
          <cell r="A1073">
            <v>40966</v>
          </cell>
          <cell r="DF1073">
            <v>16.605825485653565</v>
          </cell>
          <cell r="DG1073">
            <v>21.679348620667902</v>
          </cell>
          <cell r="DH1073">
            <v>18.362277992096409</v>
          </cell>
          <cell r="DI1073">
            <v>14.300000632844487</v>
          </cell>
          <cell r="DJ1073">
            <v>22.424555351348332</v>
          </cell>
          <cell r="DU1073">
            <v>8.2787036618382857</v>
          </cell>
          <cell r="DV1073">
            <v>11.644336226312735</v>
          </cell>
          <cell r="DW1073">
            <v>9.8476005987137558</v>
          </cell>
          <cell r="DX1073">
            <v>7.1073990168282446</v>
          </cell>
          <cell r="DY1073">
            <v>12.587802180599267</v>
          </cell>
        </row>
        <row r="1074">
          <cell r="A1074">
            <v>40967</v>
          </cell>
          <cell r="DF1074">
            <v>16.605825485653565</v>
          </cell>
          <cell r="DG1074">
            <v>21.679348620667902</v>
          </cell>
          <cell r="DH1074">
            <v>18.362277992096409</v>
          </cell>
          <cell r="DI1074">
            <v>14.300000632844487</v>
          </cell>
          <cell r="DJ1074">
            <v>22.424555351348332</v>
          </cell>
          <cell r="DU1074">
            <v>8.2787036618382857</v>
          </cell>
          <cell r="DV1074">
            <v>11.644336226312735</v>
          </cell>
          <cell r="DW1074">
            <v>9.8476005987137558</v>
          </cell>
          <cell r="DX1074">
            <v>7.1073990168282446</v>
          </cell>
          <cell r="DY1074">
            <v>12.587802180599267</v>
          </cell>
        </row>
        <row r="1075">
          <cell r="A1075">
            <v>40968</v>
          </cell>
          <cell r="DF1075">
            <v>16.458493853203318</v>
          </cell>
          <cell r="DG1075">
            <v>21.679348620667902</v>
          </cell>
          <cell r="DH1075">
            <v>18.362277992096409</v>
          </cell>
          <cell r="DI1075">
            <v>14.300000632844487</v>
          </cell>
          <cell r="DJ1075">
            <v>22.424555351348332</v>
          </cell>
          <cell r="DU1075">
            <v>8.1895915089837334</v>
          </cell>
          <cell r="DV1075">
            <v>11.644336226312735</v>
          </cell>
          <cell r="DW1075">
            <v>9.8476005987137558</v>
          </cell>
          <cell r="DX1075">
            <v>7.1073990168282446</v>
          </cell>
          <cell r="DY1075">
            <v>12.587802180599267</v>
          </cell>
        </row>
        <row r="1076">
          <cell r="A1076">
            <v>40969</v>
          </cell>
          <cell r="DF1076">
            <v>16.205933057545458</v>
          </cell>
          <cell r="DG1076">
            <v>21.679348620667902</v>
          </cell>
          <cell r="DH1076">
            <v>18.362277992096409</v>
          </cell>
          <cell r="DI1076">
            <v>14.300000632844487</v>
          </cell>
          <cell r="DJ1076">
            <v>22.424555351348332</v>
          </cell>
          <cell r="DU1076">
            <v>8.036832485999776</v>
          </cell>
          <cell r="DV1076">
            <v>11.644336226312735</v>
          </cell>
          <cell r="DW1076">
            <v>9.8476005987137558</v>
          </cell>
          <cell r="DX1076">
            <v>7.1073990168282446</v>
          </cell>
          <cell r="DY1076">
            <v>12.587802180599267</v>
          </cell>
        </row>
        <row r="1077">
          <cell r="A1077">
            <v>40970</v>
          </cell>
          <cell r="DF1077">
            <v>16.521631070505563</v>
          </cell>
          <cell r="DG1077">
            <v>21.679348620667902</v>
          </cell>
          <cell r="DH1077">
            <v>18.362277992096409</v>
          </cell>
          <cell r="DI1077">
            <v>14.300000632844487</v>
          </cell>
          <cell r="DJ1077">
            <v>22.424555351348332</v>
          </cell>
          <cell r="DU1077">
            <v>8.2277794613295985</v>
          </cell>
          <cell r="DV1077">
            <v>11.644336226312735</v>
          </cell>
          <cell r="DW1077">
            <v>9.8476005987137558</v>
          </cell>
          <cell r="DX1077">
            <v>7.1073990168282446</v>
          </cell>
          <cell r="DY1077">
            <v>12.587802180599267</v>
          </cell>
        </row>
        <row r="1078">
          <cell r="A1078">
            <v>40973</v>
          </cell>
          <cell r="DF1078">
            <v>16.844351657193336</v>
          </cell>
          <cell r="DG1078">
            <v>21.679348620667902</v>
          </cell>
          <cell r="DH1078">
            <v>18.362277992096409</v>
          </cell>
          <cell r="DI1078">
            <v>14.300000632844487</v>
          </cell>
          <cell r="DJ1078">
            <v>22.424555351348332</v>
          </cell>
          <cell r="DU1078">
            <v>8.4229739743609002</v>
          </cell>
          <cell r="DV1078">
            <v>11.644336226312735</v>
          </cell>
          <cell r="DW1078">
            <v>9.8476005987137558</v>
          </cell>
          <cell r="DX1078">
            <v>7.1073990168282446</v>
          </cell>
          <cell r="DY1078">
            <v>12.587802180599267</v>
          </cell>
        </row>
        <row r="1079">
          <cell r="A1079">
            <v>40974</v>
          </cell>
          <cell r="DF1079">
            <v>16.619848884878579</v>
          </cell>
          <cell r="DG1079">
            <v>21.679348620667902</v>
          </cell>
          <cell r="DH1079">
            <v>18.362277992096409</v>
          </cell>
          <cell r="DI1079">
            <v>14.300000632844487</v>
          </cell>
          <cell r="DJ1079">
            <v>22.424555351348332</v>
          </cell>
          <cell r="DU1079">
            <v>8.2871855830285774</v>
          </cell>
          <cell r="DV1079">
            <v>11.644336226312735</v>
          </cell>
          <cell r="DW1079">
            <v>9.8476005987137558</v>
          </cell>
          <cell r="DX1079">
            <v>7.1073990168282446</v>
          </cell>
          <cell r="DY1079">
            <v>12.587802180599267</v>
          </cell>
        </row>
        <row r="1080">
          <cell r="A1080">
            <v>40975</v>
          </cell>
          <cell r="DF1080">
            <v>16.746134544376137</v>
          </cell>
          <cell r="DG1080">
            <v>21.679348620667902</v>
          </cell>
          <cell r="DH1080">
            <v>18.362277992096409</v>
          </cell>
          <cell r="DI1080">
            <v>14.300000632844487</v>
          </cell>
          <cell r="DJ1080">
            <v>22.424555351348332</v>
          </cell>
          <cell r="DU1080">
            <v>8.3635682769913622</v>
          </cell>
          <cell r="DV1080">
            <v>11.644336226312735</v>
          </cell>
          <cell r="DW1080">
            <v>9.8476005987137558</v>
          </cell>
          <cell r="DX1080">
            <v>7.1073990168282446</v>
          </cell>
          <cell r="DY1080">
            <v>12.587802180599267</v>
          </cell>
        </row>
        <row r="1081">
          <cell r="A1081">
            <v>40976</v>
          </cell>
          <cell r="DF1081">
            <v>16.893454951933311</v>
          </cell>
          <cell r="DG1081">
            <v>21.679348620667902</v>
          </cell>
          <cell r="DH1081">
            <v>18.362277992096409</v>
          </cell>
          <cell r="DI1081">
            <v>14.300000632844487</v>
          </cell>
          <cell r="DJ1081">
            <v>22.424555351348332</v>
          </cell>
          <cell r="DU1081">
            <v>8.4526736405748633</v>
          </cell>
          <cell r="DV1081">
            <v>11.644336226312735</v>
          </cell>
          <cell r="DW1081">
            <v>9.8476005987137558</v>
          </cell>
          <cell r="DX1081">
            <v>7.1073990168282446</v>
          </cell>
          <cell r="DY1081">
            <v>12.587802180599267</v>
          </cell>
        </row>
        <row r="1082">
          <cell r="A1082">
            <v>40977</v>
          </cell>
          <cell r="DF1082">
            <v>16.675974753346225</v>
          </cell>
          <cell r="DG1082">
            <v>21.679348620667902</v>
          </cell>
          <cell r="DH1082">
            <v>18.362277992096409</v>
          </cell>
          <cell r="DI1082">
            <v>14.300000632844487</v>
          </cell>
          <cell r="DJ1082">
            <v>22.424555351348332</v>
          </cell>
          <cell r="DU1082">
            <v>8.3211327869440179</v>
          </cell>
          <cell r="DV1082">
            <v>11.644336226312735</v>
          </cell>
          <cell r="DW1082">
            <v>9.8476005987137558</v>
          </cell>
          <cell r="DX1082">
            <v>7.1073990168282446</v>
          </cell>
          <cell r="DY1082">
            <v>12.587802180599267</v>
          </cell>
        </row>
        <row r="1083">
          <cell r="A1083">
            <v>40980</v>
          </cell>
          <cell r="DF1083">
            <v>17.124969774638483</v>
          </cell>
          <cell r="DG1083">
            <v>21.679348620667902</v>
          </cell>
          <cell r="DH1083">
            <v>18.362277992096409</v>
          </cell>
          <cell r="DI1083">
            <v>14.300000632844487</v>
          </cell>
          <cell r="DJ1083">
            <v>22.424555351348332</v>
          </cell>
          <cell r="DU1083">
            <v>8.5927032046670515</v>
          </cell>
          <cell r="DV1083">
            <v>11.644336226312735</v>
          </cell>
          <cell r="DW1083">
            <v>9.8476005987137558</v>
          </cell>
          <cell r="DX1083">
            <v>7.1073990168282446</v>
          </cell>
          <cell r="DY1083">
            <v>12.587802180599267</v>
          </cell>
        </row>
        <row r="1084">
          <cell r="A1084">
            <v>40981</v>
          </cell>
          <cell r="DF1084">
            <v>18.118707727665075</v>
          </cell>
          <cell r="DG1084">
            <v>21.679348620667902</v>
          </cell>
          <cell r="DH1084">
            <v>18.362277992096409</v>
          </cell>
          <cell r="DI1084">
            <v>14.300000632844487</v>
          </cell>
          <cell r="DJ1084">
            <v>22.424555351348332</v>
          </cell>
          <cell r="DU1084">
            <v>9.2079796207038651</v>
          </cell>
          <cell r="DV1084">
            <v>11.644336226312735</v>
          </cell>
          <cell r="DW1084">
            <v>9.8476005987137558</v>
          </cell>
          <cell r="DX1084">
            <v>7.1073990168282446</v>
          </cell>
          <cell r="DY1084">
            <v>12.587802180599267</v>
          </cell>
        </row>
        <row r="1085">
          <cell r="A1085">
            <v>40982</v>
          </cell>
          <cell r="DF1085">
            <v>17.775397967192717</v>
          </cell>
          <cell r="DG1085">
            <v>21.679348620667902</v>
          </cell>
          <cell r="DH1085">
            <v>18.362277992096409</v>
          </cell>
          <cell r="DI1085">
            <v>14.300000632844487</v>
          </cell>
          <cell r="DJ1085">
            <v>22.424555351348332</v>
          </cell>
          <cell r="DU1085">
            <v>9.0000624380518452</v>
          </cell>
          <cell r="DV1085">
            <v>11.644336226312735</v>
          </cell>
          <cell r="DW1085">
            <v>9.8476005987137558</v>
          </cell>
          <cell r="DX1085">
            <v>7.1073990168282446</v>
          </cell>
          <cell r="DY1085">
            <v>12.587802180599267</v>
          </cell>
        </row>
        <row r="1086">
          <cell r="A1086">
            <v>40983</v>
          </cell>
          <cell r="DF1086">
            <v>17.663291730504987</v>
          </cell>
          <cell r="DG1086">
            <v>21.679348620667902</v>
          </cell>
          <cell r="DH1086">
            <v>18.362277992096409</v>
          </cell>
          <cell r="DI1086">
            <v>14.300000632844487</v>
          </cell>
          <cell r="DJ1086">
            <v>22.424555351348332</v>
          </cell>
          <cell r="DU1086">
            <v>8.9321680302209643</v>
          </cell>
          <cell r="DV1086">
            <v>11.644336226312735</v>
          </cell>
          <cell r="DW1086">
            <v>9.8476005987137558</v>
          </cell>
          <cell r="DX1086">
            <v>7.1073990168282446</v>
          </cell>
          <cell r="DY1086">
            <v>12.587802180599267</v>
          </cell>
        </row>
        <row r="1087">
          <cell r="A1087">
            <v>40984</v>
          </cell>
          <cell r="DF1087">
            <v>18.188776577857528</v>
          </cell>
          <cell r="DG1087">
            <v>21.679348620667902</v>
          </cell>
          <cell r="DH1087">
            <v>18.362277992096409</v>
          </cell>
          <cell r="DI1087">
            <v>14.300000632844487</v>
          </cell>
          <cell r="DJ1087">
            <v>22.424555351348332</v>
          </cell>
          <cell r="DU1087">
            <v>9.2504151107512076</v>
          </cell>
          <cell r="DV1087">
            <v>11.644336226312735</v>
          </cell>
          <cell r="DW1087">
            <v>9.8476005987137558</v>
          </cell>
          <cell r="DX1087">
            <v>7.1073990168282446</v>
          </cell>
          <cell r="DY1087">
            <v>12.587802180599267</v>
          </cell>
        </row>
        <row r="1088">
          <cell r="A1088">
            <v>40987</v>
          </cell>
          <cell r="DF1088">
            <v>18.342919500394068</v>
          </cell>
          <cell r="DG1088">
            <v>21.679348620667902</v>
          </cell>
          <cell r="DH1088">
            <v>18.362277992096409</v>
          </cell>
          <cell r="DI1088">
            <v>14.300000632844487</v>
          </cell>
          <cell r="DJ1088">
            <v>22.424555351348332</v>
          </cell>
          <cell r="DU1088">
            <v>9.3437680120361843</v>
          </cell>
          <cell r="DV1088">
            <v>11.644336226312735</v>
          </cell>
          <cell r="DW1088">
            <v>9.8476005987137558</v>
          </cell>
          <cell r="DX1088">
            <v>7.1073990168282446</v>
          </cell>
          <cell r="DY1088">
            <v>12.587802180599267</v>
          </cell>
        </row>
        <row r="1089">
          <cell r="A1089">
            <v>40988</v>
          </cell>
          <cell r="DF1089">
            <v>18.714261425210069</v>
          </cell>
          <cell r="DG1089">
            <v>21.679348620667902</v>
          </cell>
          <cell r="DH1089">
            <v>18.362277992096409</v>
          </cell>
          <cell r="DI1089">
            <v>14.300000632844487</v>
          </cell>
          <cell r="DJ1089">
            <v>22.424555351348332</v>
          </cell>
          <cell r="DU1089">
            <v>9.6273843710633731</v>
          </cell>
          <cell r="DV1089">
            <v>11.644336226312735</v>
          </cell>
          <cell r="DW1089">
            <v>9.8476005987137558</v>
          </cell>
          <cell r="DX1089">
            <v>7.1073990168282446</v>
          </cell>
          <cell r="DY1089">
            <v>12.587802180599267</v>
          </cell>
        </row>
        <row r="1090">
          <cell r="A1090">
            <v>40989</v>
          </cell>
          <cell r="DF1090">
            <v>18.223811002953752</v>
          </cell>
          <cell r="DG1090">
            <v>21.679348620667902</v>
          </cell>
          <cell r="DH1090">
            <v>18.362277992096409</v>
          </cell>
          <cell r="DI1090">
            <v>14.300000632844487</v>
          </cell>
          <cell r="DJ1090">
            <v>22.424555351348332</v>
          </cell>
          <cell r="DU1090">
            <v>9.3289072751370501</v>
          </cell>
          <cell r="DV1090">
            <v>11.644336226312735</v>
          </cell>
          <cell r="DW1090">
            <v>9.8476005987137558</v>
          </cell>
          <cell r="DX1090">
            <v>7.1073990168282446</v>
          </cell>
          <cell r="DY1090">
            <v>12.587802180599267</v>
          </cell>
        </row>
        <row r="1091">
          <cell r="A1091">
            <v>40990</v>
          </cell>
          <cell r="DF1091">
            <v>17.962995655656616</v>
          </cell>
          <cell r="DG1091">
            <v>21.679348620667902</v>
          </cell>
          <cell r="DH1091">
            <v>18.362277992096409</v>
          </cell>
          <cell r="DI1091">
            <v>14.300000632844487</v>
          </cell>
          <cell r="DJ1091">
            <v>22.424555351348332</v>
          </cell>
          <cell r="DU1091">
            <v>9.3092996290807282</v>
          </cell>
          <cell r="DV1091">
            <v>11.644336226312735</v>
          </cell>
          <cell r="DW1091">
            <v>9.8476005987137558</v>
          </cell>
          <cell r="DX1091">
            <v>7.1073990168282446</v>
          </cell>
          <cell r="DY1091">
            <v>12.587802180599267</v>
          </cell>
        </row>
        <row r="1092">
          <cell r="A1092">
            <v>40991</v>
          </cell>
          <cell r="DF1092">
            <v>18.044905554183366</v>
          </cell>
          <cell r="DG1092">
            <v>21.679348620667902</v>
          </cell>
          <cell r="DH1092">
            <v>18.362277992096409</v>
          </cell>
          <cell r="DI1092">
            <v>14.300000632844487</v>
          </cell>
          <cell r="DJ1092">
            <v>22.424555351348332</v>
          </cell>
          <cell r="DU1092">
            <v>9.1277737074195802</v>
          </cell>
          <cell r="DV1092">
            <v>11.644336226312735</v>
          </cell>
          <cell r="DW1092">
            <v>9.8476005987137558</v>
          </cell>
          <cell r="DX1092">
            <v>7.1073990168282446</v>
          </cell>
          <cell r="DY1092">
            <v>12.587802180599267</v>
          </cell>
        </row>
        <row r="1093">
          <cell r="A1093">
            <v>40994</v>
          </cell>
          <cell r="DF1093">
            <v>18.044905554183366</v>
          </cell>
          <cell r="DG1093">
            <v>21.679348620667902</v>
          </cell>
          <cell r="DH1093">
            <v>18.362277992096409</v>
          </cell>
          <cell r="DI1093">
            <v>14.300000632844487</v>
          </cell>
          <cell r="DJ1093">
            <v>22.424555351348332</v>
          </cell>
          <cell r="DU1093">
            <v>9.1277737074195802</v>
          </cell>
          <cell r="DV1093">
            <v>11.644336226312735</v>
          </cell>
          <cell r="DW1093">
            <v>9.8476005987137558</v>
          </cell>
          <cell r="DX1093">
            <v>7.1073990168282446</v>
          </cell>
          <cell r="DY1093">
            <v>12.587802180599267</v>
          </cell>
        </row>
        <row r="1094">
          <cell r="A1094">
            <v>40995</v>
          </cell>
          <cell r="DF1094">
            <v>17.58149361912983</v>
          </cell>
          <cell r="DG1094">
            <v>21.679348620667902</v>
          </cell>
          <cell r="DH1094">
            <v>18.362277992096409</v>
          </cell>
          <cell r="DI1094">
            <v>14.300000632844487</v>
          </cell>
          <cell r="DJ1094">
            <v>22.424555351348332</v>
          </cell>
          <cell r="DU1094">
            <v>8.8613610546347097</v>
          </cell>
          <cell r="DV1094">
            <v>11.644336226312735</v>
          </cell>
          <cell r="DW1094">
            <v>9.8476005987137558</v>
          </cell>
          <cell r="DX1094">
            <v>7.1073990168282446</v>
          </cell>
          <cell r="DY1094">
            <v>12.587802180599267</v>
          </cell>
        </row>
        <row r="1095">
          <cell r="A1095">
            <v>40996</v>
          </cell>
          <cell r="DF1095">
            <v>17.554553507376159</v>
          </cell>
          <cell r="DG1095">
            <v>21.679348620667902</v>
          </cell>
          <cell r="DH1095">
            <v>18.362277992096409</v>
          </cell>
          <cell r="DI1095">
            <v>14.300000632844487</v>
          </cell>
          <cell r="DJ1095">
            <v>22.424555351348332</v>
          </cell>
          <cell r="DU1095">
            <v>8.8453431248881067</v>
          </cell>
          <cell r="DV1095">
            <v>11.644336226312735</v>
          </cell>
          <cell r="DW1095">
            <v>9.8476005987137558</v>
          </cell>
          <cell r="DX1095">
            <v>7.1073990168282446</v>
          </cell>
          <cell r="DY1095">
            <v>12.587802180599267</v>
          </cell>
        </row>
        <row r="1096">
          <cell r="A1096">
            <v>40997</v>
          </cell>
          <cell r="DF1096">
            <v>17.493919562956595</v>
          </cell>
          <cell r="DG1096">
            <v>21.679348620667902</v>
          </cell>
          <cell r="DH1096">
            <v>18.362277992096409</v>
          </cell>
          <cell r="DI1096">
            <v>14.300000632844487</v>
          </cell>
          <cell r="DJ1096">
            <v>22.424555351348332</v>
          </cell>
          <cell r="DU1096">
            <v>8.8092916685744687</v>
          </cell>
          <cell r="DV1096">
            <v>11.644336226312735</v>
          </cell>
          <cell r="DW1096">
            <v>9.8476005987137558</v>
          </cell>
          <cell r="DX1096">
            <v>7.1073990168282446</v>
          </cell>
          <cell r="DY1096">
            <v>12.587802180599267</v>
          </cell>
        </row>
        <row r="1097">
          <cell r="A1097">
            <v>40998</v>
          </cell>
          <cell r="DF1097">
            <v>17.251416119070857</v>
          </cell>
          <cell r="DG1097">
            <v>21.679348620667902</v>
          </cell>
          <cell r="DH1097">
            <v>18.362277992096409</v>
          </cell>
          <cell r="DI1097">
            <v>14.300000632844487</v>
          </cell>
          <cell r="DJ1097">
            <v>22.424555351348332</v>
          </cell>
          <cell r="DU1097">
            <v>8.6651050681999688</v>
          </cell>
          <cell r="DV1097">
            <v>11.644336226312735</v>
          </cell>
          <cell r="DW1097">
            <v>9.8476005987137558</v>
          </cell>
          <cell r="DX1097">
            <v>7.1073990168282446</v>
          </cell>
          <cell r="DY1097">
            <v>12.587802180599267</v>
          </cell>
        </row>
        <row r="1098">
          <cell r="A1098">
            <v>41001</v>
          </cell>
          <cell r="DF1098">
            <v>17.345732444604796</v>
          </cell>
          <cell r="DG1098">
            <v>21.679348620667902</v>
          </cell>
          <cell r="DH1098">
            <v>18.362277992096409</v>
          </cell>
          <cell r="DI1098">
            <v>14.300000632844487</v>
          </cell>
          <cell r="DJ1098">
            <v>22.424555351348332</v>
          </cell>
          <cell r="DU1098">
            <v>8.7211832422689568</v>
          </cell>
          <cell r="DV1098">
            <v>11.644336226312735</v>
          </cell>
          <cell r="DW1098">
            <v>9.8476005987137558</v>
          </cell>
          <cell r="DX1098">
            <v>7.1073990168282446</v>
          </cell>
          <cell r="DY1098">
            <v>12.587802180599267</v>
          </cell>
        </row>
        <row r="1099">
          <cell r="A1099">
            <v>41002</v>
          </cell>
          <cell r="DF1099">
            <v>17.463613417993482</v>
          </cell>
          <cell r="DG1099">
            <v>21.679348620667902</v>
          </cell>
          <cell r="DH1099">
            <v>18.362277992096409</v>
          </cell>
          <cell r="DI1099">
            <v>14.300000632844487</v>
          </cell>
          <cell r="DJ1099">
            <v>22.424555351348332</v>
          </cell>
          <cell r="DU1099">
            <v>8.7791006569614094</v>
          </cell>
          <cell r="DV1099">
            <v>11.644336226312735</v>
          </cell>
          <cell r="DW1099">
            <v>9.8476005987137558</v>
          </cell>
          <cell r="DX1099">
            <v>7.1073990168282446</v>
          </cell>
          <cell r="DY1099">
            <v>12.587802180599267</v>
          </cell>
        </row>
        <row r="1100">
          <cell r="A1100">
            <v>41003</v>
          </cell>
          <cell r="DF1100">
            <v>17.436614198487852</v>
          </cell>
          <cell r="DG1100">
            <v>21.679348620667902</v>
          </cell>
          <cell r="DH1100">
            <v>18.362277992096409</v>
          </cell>
          <cell r="DI1100">
            <v>14.300000632844487</v>
          </cell>
          <cell r="DJ1100">
            <v>22.424555351348332</v>
          </cell>
          <cell r="DU1100">
            <v>8.751230134504663</v>
          </cell>
          <cell r="DV1100">
            <v>11.644336226312735</v>
          </cell>
          <cell r="DW1100">
            <v>9.8476005987137558</v>
          </cell>
          <cell r="DX1100">
            <v>7.1073990168282446</v>
          </cell>
          <cell r="DY1100">
            <v>12.587802180599267</v>
          </cell>
        </row>
        <row r="1101">
          <cell r="A1101">
            <v>41004</v>
          </cell>
          <cell r="DF1101">
            <v>17.443363291034071</v>
          </cell>
          <cell r="DG1101">
            <v>21.679348620667902</v>
          </cell>
          <cell r="DH1101">
            <v>18.362277992096409</v>
          </cell>
          <cell r="DI1101">
            <v>14.300000632844487</v>
          </cell>
          <cell r="DJ1101">
            <v>22.424555351348332</v>
          </cell>
          <cell r="DU1101">
            <v>8.7552338358777195</v>
          </cell>
          <cell r="DV1101">
            <v>11.644336226312735</v>
          </cell>
          <cell r="DW1101">
            <v>9.8476005987137558</v>
          </cell>
          <cell r="DX1101">
            <v>7.1073990168282446</v>
          </cell>
          <cell r="DY1101">
            <v>12.587802180599267</v>
          </cell>
        </row>
        <row r="1102">
          <cell r="A1102">
            <v>41005</v>
          </cell>
          <cell r="DF1102">
            <v>17.483890936719096</v>
          </cell>
          <cell r="DG1102">
            <v>21.679348620667902</v>
          </cell>
          <cell r="DH1102">
            <v>18.362277992096409</v>
          </cell>
          <cell r="DI1102">
            <v>14.300000632844487</v>
          </cell>
          <cell r="DJ1102">
            <v>22.424555351348332</v>
          </cell>
          <cell r="DU1102">
            <v>8.7792756740307283</v>
          </cell>
          <cell r="DV1102">
            <v>11.644336226312735</v>
          </cell>
          <cell r="DW1102">
            <v>9.8476005987137558</v>
          </cell>
          <cell r="DX1102">
            <v>7.1073990168282446</v>
          </cell>
          <cell r="DY1102">
            <v>12.587802180599267</v>
          </cell>
        </row>
        <row r="1103">
          <cell r="A1103">
            <v>41008</v>
          </cell>
          <cell r="DF1103">
            <v>16.768078431374171</v>
          </cell>
          <cell r="DG1103">
            <v>21.679348620667902</v>
          </cell>
          <cell r="DH1103">
            <v>18.362277992096409</v>
          </cell>
          <cell r="DI1103">
            <v>14.300000632844487</v>
          </cell>
          <cell r="DJ1103">
            <v>22.424555351348332</v>
          </cell>
          <cell r="DU1103">
            <v>8.3426054177723046</v>
          </cell>
          <cell r="DV1103">
            <v>11.644336226312735</v>
          </cell>
          <cell r="DW1103">
            <v>9.8476005987137558</v>
          </cell>
          <cell r="DX1103">
            <v>7.1073990168282446</v>
          </cell>
          <cell r="DY1103">
            <v>12.587802180599267</v>
          </cell>
        </row>
        <row r="1104">
          <cell r="A1104">
            <v>41009</v>
          </cell>
          <cell r="DF1104">
            <v>16.592288032455969</v>
          </cell>
          <cell r="DG1104">
            <v>21.679348620667902</v>
          </cell>
          <cell r="DH1104">
            <v>18.362277992096409</v>
          </cell>
          <cell r="DI1104">
            <v>14.300000632844487</v>
          </cell>
          <cell r="DJ1104">
            <v>22.424555351348332</v>
          </cell>
          <cell r="DU1104">
            <v>8.2384490904973262</v>
          </cell>
          <cell r="DV1104">
            <v>11.644336226312735</v>
          </cell>
          <cell r="DW1104">
            <v>9.8476005987137558</v>
          </cell>
          <cell r="DX1104">
            <v>7.1073990168282446</v>
          </cell>
          <cell r="DY1104">
            <v>12.587802180599267</v>
          </cell>
        </row>
        <row r="1105">
          <cell r="A1105">
            <v>41010</v>
          </cell>
          <cell r="DF1105">
            <v>17.369836375931364</v>
          </cell>
          <cell r="DG1105">
            <v>21.679348620667902</v>
          </cell>
          <cell r="DH1105">
            <v>18.362277992096409</v>
          </cell>
          <cell r="DI1105">
            <v>14.300000632844487</v>
          </cell>
          <cell r="DJ1105">
            <v>22.424555351348332</v>
          </cell>
          <cell r="DU1105">
            <v>8.699145343949322</v>
          </cell>
          <cell r="DV1105">
            <v>11.644336226312735</v>
          </cell>
          <cell r="DW1105">
            <v>9.8476005987137558</v>
          </cell>
          <cell r="DX1105">
            <v>7.1073990168282446</v>
          </cell>
          <cell r="DY1105">
            <v>12.587802180599267</v>
          </cell>
        </row>
        <row r="1106">
          <cell r="A1106">
            <v>41011</v>
          </cell>
          <cell r="DF1106">
            <v>17.430695740366797</v>
          </cell>
          <cell r="DG1106">
            <v>21.679348620667902</v>
          </cell>
          <cell r="DH1106">
            <v>18.362277992096409</v>
          </cell>
          <cell r="DI1106">
            <v>14.300000632844487</v>
          </cell>
          <cell r="DJ1106">
            <v>22.424555351348332</v>
          </cell>
          <cell r="DU1106">
            <v>8.7352046818046816</v>
          </cell>
          <cell r="DV1106">
            <v>11.644336226312735</v>
          </cell>
          <cell r="DW1106">
            <v>9.8476005987137558</v>
          </cell>
          <cell r="DX1106">
            <v>7.1073990168282446</v>
          </cell>
          <cell r="DY1106">
            <v>12.587802180599267</v>
          </cell>
        </row>
        <row r="1107">
          <cell r="A1107">
            <v>41012</v>
          </cell>
          <cell r="DF1107">
            <v>17.194045300880635</v>
          </cell>
          <cell r="DG1107">
            <v>21.679348620667902</v>
          </cell>
          <cell r="DH1107">
            <v>18.362277992096409</v>
          </cell>
          <cell r="DI1107">
            <v>14.300000632844487</v>
          </cell>
          <cell r="DJ1107">
            <v>22.424555351348332</v>
          </cell>
          <cell r="DU1107">
            <v>8.5949886570365681</v>
          </cell>
          <cell r="DV1107">
            <v>11.644336226312735</v>
          </cell>
          <cell r="DW1107">
            <v>9.8476005987137558</v>
          </cell>
          <cell r="DX1107">
            <v>7.1073990168282446</v>
          </cell>
          <cell r="DY1107">
            <v>12.587802180599267</v>
          </cell>
        </row>
        <row r="1108">
          <cell r="A1108">
            <v>41015</v>
          </cell>
          <cell r="DF1108">
            <v>17.288703853957049</v>
          </cell>
          <cell r="DG1108">
            <v>21.679348620667902</v>
          </cell>
          <cell r="DH1108">
            <v>18.362277992096409</v>
          </cell>
          <cell r="DI1108">
            <v>14.300000632844487</v>
          </cell>
          <cell r="DJ1108">
            <v>22.424555351348332</v>
          </cell>
          <cell r="DU1108">
            <v>8.6510741054789833</v>
          </cell>
          <cell r="DV1108">
            <v>11.644336226312735</v>
          </cell>
          <cell r="DW1108">
            <v>9.8476005987137558</v>
          </cell>
          <cell r="DX1108">
            <v>7.1073990168282446</v>
          </cell>
          <cell r="DY1108">
            <v>12.587802180599267</v>
          </cell>
        </row>
        <row r="1109">
          <cell r="A1109">
            <v>41016</v>
          </cell>
          <cell r="DF1109">
            <v>17.261662609873206</v>
          </cell>
          <cell r="DG1109">
            <v>21.679348620667902</v>
          </cell>
          <cell r="DH1109">
            <v>18.362277992096409</v>
          </cell>
          <cell r="DI1109">
            <v>14.300000632844487</v>
          </cell>
          <cell r="DJ1109">
            <v>22.424555351348332</v>
          </cell>
          <cell r="DU1109">
            <v>8.6350520953003702</v>
          </cell>
          <cell r="DV1109">
            <v>11.644336226312735</v>
          </cell>
          <cell r="DW1109">
            <v>9.8476005987137558</v>
          </cell>
          <cell r="DX1109">
            <v>7.1073990168282446</v>
          </cell>
          <cell r="DY1109">
            <v>12.587802180599267</v>
          </cell>
        </row>
        <row r="1110">
          <cell r="A1110">
            <v>41017</v>
          </cell>
          <cell r="DF1110">
            <v>17.261662609873206</v>
          </cell>
          <cell r="DG1110">
            <v>21.679348620667902</v>
          </cell>
          <cell r="DH1110">
            <v>18.362277992096409</v>
          </cell>
          <cell r="DI1110">
            <v>14.300000632844487</v>
          </cell>
          <cell r="DJ1110">
            <v>22.424555351348332</v>
          </cell>
          <cell r="DU1110">
            <v>8.6350520953003702</v>
          </cell>
          <cell r="DV1110">
            <v>11.644336226312735</v>
          </cell>
          <cell r="DW1110">
            <v>9.8476005987137558</v>
          </cell>
          <cell r="DX1110">
            <v>7.1073990168282446</v>
          </cell>
          <cell r="DY1110">
            <v>12.587802180599267</v>
          </cell>
        </row>
        <row r="1111">
          <cell r="A1111">
            <v>41018</v>
          </cell>
          <cell r="DF1111">
            <v>17.038537525356617</v>
          </cell>
          <cell r="DG1111">
            <v>21.679348620667902</v>
          </cell>
          <cell r="DH1111">
            <v>18.362277992096409</v>
          </cell>
          <cell r="DI1111">
            <v>14.300000632844487</v>
          </cell>
          <cell r="DJ1111">
            <v>22.424555351348332</v>
          </cell>
          <cell r="DU1111">
            <v>8.5927935220687139</v>
          </cell>
          <cell r="DV1111">
            <v>11.644336226312735</v>
          </cell>
          <cell r="DW1111">
            <v>9.8476005987137558</v>
          </cell>
          <cell r="DX1111">
            <v>7.1073990168282446</v>
          </cell>
          <cell r="DY1111">
            <v>12.587802180599267</v>
          </cell>
        </row>
        <row r="1112">
          <cell r="A1112">
            <v>41019</v>
          </cell>
          <cell r="DF1112">
            <v>16.910749858965868</v>
          </cell>
          <cell r="DG1112">
            <v>21.679348620667902</v>
          </cell>
          <cell r="DH1112">
            <v>18.362277992096409</v>
          </cell>
          <cell r="DI1112">
            <v>14.300000632844487</v>
          </cell>
          <cell r="DJ1112">
            <v>22.424555351348332</v>
          </cell>
          <cell r="DU1112">
            <v>8.50372655158138</v>
          </cell>
          <cell r="DV1112">
            <v>11.644336226312735</v>
          </cell>
          <cell r="DW1112">
            <v>9.8476005987137558</v>
          </cell>
          <cell r="DX1112">
            <v>7.1073990168282446</v>
          </cell>
          <cell r="DY1112">
            <v>12.587802180599267</v>
          </cell>
        </row>
        <row r="1113">
          <cell r="A1113">
            <v>41022</v>
          </cell>
          <cell r="DF1113">
            <v>16.340389943851925</v>
          </cell>
          <cell r="DG1113">
            <v>21.679348620667902</v>
          </cell>
          <cell r="DH1113">
            <v>18.362277992096409</v>
          </cell>
          <cell r="DI1113">
            <v>14.300000632844487</v>
          </cell>
          <cell r="DJ1113">
            <v>22.424555351348332</v>
          </cell>
          <cell r="DU1113">
            <v>8.1595189642563977</v>
          </cell>
          <cell r="DV1113">
            <v>11.644336226312735</v>
          </cell>
          <cell r="DW1113">
            <v>9.8476005987137558</v>
          </cell>
          <cell r="DX1113">
            <v>7.1073990168282446</v>
          </cell>
          <cell r="DY1113">
            <v>12.587802180599267</v>
          </cell>
        </row>
        <row r="1114">
          <cell r="A1114">
            <v>41023</v>
          </cell>
          <cell r="DF1114">
            <v>15.394919273799157</v>
          </cell>
          <cell r="DG1114">
            <v>21.679348620667902</v>
          </cell>
          <cell r="DH1114">
            <v>18.362277992096409</v>
          </cell>
          <cell r="DI1114">
            <v>14.300000632844487</v>
          </cell>
          <cell r="DJ1114">
            <v>22.424555351348332</v>
          </cell>
          <cell r="DU1114">
            <v>7.6260070353593008</v>
          </cell>
          <cell r="DV1114">
            <v>11.644336226312735</v>
          </cell>
          <cell r="DW1114">
            <v>9.8476005987137558</v>
          </cell>
          <cell r="DX1114">
            <v>7.1073990168282446</v>
          </cell>
          <cell r="DY1114">
            <v>12.587802180599267</v>
          </cell>
        </row>
        <row r="1115">
          <cell r="A1115">
            <v>41024</v>
          </cell>
          <cell r="DF1115">
            <v>15.281033027400014</v>
          </cell>
          <cell r="DG1115">
            <v>21.679348620667902</v>
          </cell>
          <cell r="DH1115">
            <v>18.362277992096409</v>
          </cell>
          <cell r="DI1115">
            <v>14.300000632844487</v>
          </cell>
          <cell r="DJ1115">
            <v>22.424555351348332</v>
          </cell>
          <cell r="DU1115">
            <v>7.5577921528182364</v>
          </cell>
          <cell r="DV1115">
            <v>11.644336226312735</v>
          </cell>
          <cell r="DW1115">
            <v>9.8476005987137558</v>
          </cell>
          <cell r="DX1115">
            <v>7.1073990168282446</v>
          </cell>
          <cell r="DY1115">
            <v>12.587802180599267</v>
          </cell>
        </row>
        <row r="1116">
          <cell r="A1116">
            <v>41025</v>
          </cell>
          <cell r="DF1116">
            <v>15.475307161519394</v>
          </cell>
          <cell r="DG1116">
            <v>21.679348620667902</v>
          </cell>
          <cell r="DH1116">
            <v>18.362277992096409</v>
          </cell>
          <cell r="DI1116">
            <v>14.300000632844487</v>
          </cell>
          <cell r="DJ1116">
            <v>22.424555351348332</v>
          </cell>
          <cell r="DU1116">
            <v>7.674157277306354</v>
          </cell>
          <cell r="DV1116">
            <v>11.644336226312735</v>
          </cell>
          <cell r="DW1116">
            <v>9.8476005987137558</v>
          </cell>
          <cell r="DX1116">
            <v>7.1073990168282446</v>
          </cell>
          <cell r="DY1116">
            <v>12.587802180599267</v>
          </cell>
        </row>
        <row r="1117">
          <cell r="A1117">
            <v>41026</v>
          </cell>
          <cell r="DF1117">
            <v>15.214036310042205</v>
          </cell>
          <cell r="DG1117">
            <v>21.679348620667902</v>
          </cell>
          <cell r="DH1117">
            <v>18.362277992096409</v>
          </cell>
          <cell r="DI1117">
            <v>14.300000632844487</v>
          </cell>
          <cell r="DJ1117">
            <v>22.424555351348332</v>
          </cell>
          <cell r="DU1117">
            <v>7.5176628716302121</v>
          </cell>
          <cell r="DV1117">
            <v>11.644336226312735</v>
          </cell>
          <cell r="DW1117">
            <v>9.8476005987137558</v>
          </cell>
          <cell r="DX1117">
            <v>7.1073990168282446</v>
          </cell>
          <cell r="DY1117">
            <v>12.587802180599267</v>
          </cell>
        </row>
        <row r="1118">
          <cell r="A1118">
            <v>41029</v>
          </cell>
          <cell r="DF1118">
            <v>15.187243920412676</v>
          </cell>
          <cell r="DG1118">
            <v>21.679348620667902</v>
          </cell>
          <cell r="DH1118">
            <v>18.362277992096409</v>
          </cell>
          <cell r="DI1118">
            <v>14.300000632844487</v>
          </cell>
          <cell r="DJ1118">
            <v>22.424555351348332</v>
          </cell>
          <cell r="DU1118">
            <v>7.5016149310811189</v>
          </cell>
          <cell r="DV1118">
            <v>11.644336226312735</v>
          </cell>
          <cell r="DW1118">
            <v>9.8476005987137558</v>
          </cell>
          <cell r="DX1118">
            <v>7.1073990168282446</v>
          </cell>
          <cell r="DY1118">
            <v>12.587802180599267</v>
          </cell>
        </row>
        <row r="1119">
          <cell r="A1119">
            <v>41030</v>
          </cell>
          <cell r="DF1119">
            <v>15.453411788440201</v>
          </cell>
          <cell r="DG1119">
            <v>21.679348620667902</v>
          </cell>
          <cell r="DH1119">
            <v>18.362277992096409</v>
          </cell>
          <cell r="DI1119">
            <v>14.300000632844487</v>
          </cell>
          <cell r="DJ1119">
            <v>22.424555351348332</v>
          </cell>
          <cell r="DU1119">
            <v>7.6524203940724211</v>
          </cell>
          <cell r="DV1119">
            <v>11.644336226312735</v>
          </cell>
          <cell r="DW1119">
            <v>9.8476005987137558</v>
          </cell>
          <cell r="DX1119">
            <v>7.1073990168282446</v>
          </cell>
          <cell r="DY1119">
            <v>12.587802180599267</v>
          </cell>
        </row>
        <row r="1120">
          <cell r="A1120">
            <v>41031</v>
          </cell>
          <cell r="DF1120">
            <v>15.325640698026294</v>
          </cell>
          <cell r="DG1120">
            <v>21.679348620667902</v>
          </cell>
          <cell r="DH1120">
            <v>18.362277992096409</v>
          </cell>
          <cell r="DI1120">
            <v>14.300000632844487</v>
          </cell>
          <cell r="DJ1120">
            <v>22.424555351348332</v>
          </cell>
          <cell r="DU1120">
            <v>7.5759144612192788</v>
          </cell>
          <cell r="DV1120">
            <v>11.644336226312735</v>
          </cell>
          <cell r="DW1120">
            <v>9.8476005987137558</v>
          </cell>
          <cell r="DX1120">
            <v>7.1073990168282446</v>
          </cell>
          <cell r="DY1120">
            <v>12.587802180599267</v>
          </cell>
        </row>
        <row r="1121">
          <cell r="A1121">
            <v>41032</v>
          </cell>
          <cell r="DF1121">
            <v>15.668597558925388</v>
          </cell>
          <cell r="DG1121">
            <v>21.679348620667902</v>
          </cell>
          <cell r="DH1121">
            <v>18.362277992096409</v>
          </cell>
          <cell r="DI1121">
            <v>14.300000632844487</v>
          </cell>
          <cell r="DJ1121">
            <v>22.424555351348332</v>
          </cell>
          <cell r="DU1121">
            <v>7.7812679139171763</v>
          </cell>
          <cell r="DV1121">
            <v>11.644336226312735</v>
          </cell>
          <cell r="DW1121">
            <v>9.8476005987137558</v>
          </cell>
          <cell r="DX1121">
            <v>7.1073990168282446</v>
          </cell>
          <cell r="DY1121">
            <v>12.587802180599267</v>
          </cell>
        </row>
        <row r="1122">
          <cell r="A1122">
            <v>41033</v>
          </cell>
          <cell r="DF1122">
            <v>15.453411788440201</v>
          </cell>
          <cell r="DG1122">
            <v>21.679348620667902</v>
          </cell>
          <cell r="DH1122">
            <v>18.362277992096409</v>
          </cell>
          <cell r="DI1122">
            <v>14.300000632844487</v>
          </cell>
          <cell r="DJ1122">
            <v>22.424555351348332</v>
          </cell>
          <cell r="DU1122">
            <v>7.6524203940724211</v>
          </cell>
          <cell r="DV1122">
            <v>11.644336226312735</v>
          </cell>
          <cell r="DW1122">
            <v>9.8476005987137558</v>
          </cell>
          <cell r="DX1122">
            <v>7.1073990168282446</v>
          </cell>
          <cell r="DY1122">
            <v>12.587802180599267</v>
          </cell>
        </row>
        <row r="1123">
          <cell r="A1123">
            <v>41036</v>
          </cell>
          <cell r="DF1123">
            <v>15.648424733532833</v>
          </cell>
          <cell r="DG1123">
            <v>21.679348620667902</v>
          </cell>
          <cell r="DH1123">
            <v>18.362277992096409</v>
          </cell>
          <cell r="DI1123">
            <v>14.300000632844487</v>
          </cell>
          <cell r="DJ1123">
            <v>22.424555351348332</v>
          </cell>
          <cell r="DU1123">
            <v>7.7691889622549386</v>
          </cell>
          <cell r="DV1123">
            <v>11.644336226312735</v>
          </cell>
          <cell r="DW1123">
            <v>9.8476005987137558</v>
          </cell>
          <cell r="DX1123">
            <v>7.1073990168282446</v>
          </cell>
          <cell r="DY1123">
            <v>12.587802180599267</v>
          </cell>
        </row>
        <row r="1124">
          <cell r="A1124">
            <v>41037</v>
          </cell>
          <cell r="DF1124">
            <v>15.924140412225547</v>
          </cell>
          <cell r="DG1124">
            <v>21.679348620667902</v>
          </cell>
          <cell r="DH1124">
            <v>18.362277992096409</v>
          </cell>
          <cell r="DI1124">
            <v>14.300000632844487</v>
          </cell>
          <cell r="DJ1124">
            <v>22.424555351348332</v>
          </cell>
          <cell r="DU1124">
            <v>7.9342801822820306</v>
          </cell>
          <cell r="DV1124">
            <v>11.644336226312735</v>
          </cell>
          <cell r="DW1124">
            <v>9.8476005987137558</v>
          </cell>
          <cell r="DX1124">
            <v>7.1073990168282446</v>
          </cell>
          <cell r="DY1124">
            <v>12.587802180599267</v>
          </cell>
        </row>
        <row r="1125">
          <cell r="A1125">
            <v>41038</v>
          </cell>
          <cell r="DF1125">
            <v>15.864735531628533</v>
          </cell>
          <cell r="DG1125">
            <v>21.679348620667902</v>
          </cell>
          <cell r="DH1125">
            <v>18.362277992096409</v>
          </cell>
          <cell r="DI1125">
            <v>14.300000632844487</v>
          </cell>
          <cell r="DJ1125">
            <v>22.424555351348332</v>
          </cell>
          <cell r="DU1125">
            <v>7.8920026434884987</v>
          </cell>
          <cell r="DV1125">
            <v>11.644336226312735</v>
          </cell>
          <cell r="DW1125">
            <v>9.8476005987137558</v>
          </cell>
          <cell r="DX1125">
            <v>7.1073990168282446</v>
          </cell>
          <cell r="DY1125">
            <v>12.587802180599267</v>
          </cell>
        </row>
        <row r="1126">
          <cell r="A1126">
            <v>41039</v>
          </cell>
          <cell r="DF1126">
            <v>15.652755720053836</v>
          </cell>
          <cell r="DG1126">
            <v>21.679348620667902</v>
          </cell>
          <cell r="DH1126">
            <v>18.362277992096409</v>
          </cell>
          <cell r="DI1126">
            <v>14.300000632844487</v>
          </cell>
          <cell r="DJ1126">
            <v>22.424555351348332</v>
          </cell>
          <cell r="DU1126">
            <v>7.7651643898879783</v>
          </cell>
          <cell r="DV1126">
            <v>11.644336226312735</v>
          </cell>
          <cell r="DW1126">
            <v>9.8476005987137558</v>
          </cell>
          <cell r="DX1126">
            <v>7.1073990168282446</v>
          </cell>
          <cell r="DY1126">
            <v>12.587802180599267</v>
          </cell>
        </row>
        <row r="1127">
          <cell r="A1127">
            <v>41040</v>
          </cell>
          <cell r="DF1127">
            <v>15.437407806191118</v>
          </cell>
          <cell r="DG1127">
            <v>21.679348620667902</v>
          </cell>
          <cell r="DH1127">
            <v>18.362277992096409</v>
          </cell>
          <cell r="DI1127">
            <v>14.300000632844487</v>
          </cell>
          <cell r="DJ1127">
            <v>22.424555351348332</v>
          </cell>
          <cell r="DU1127">
            <v>7.6363108301647342</v>
          </cell>
          <cell r="DV1127">
            <v>11.644336226312735</v>
          </cell>
          <cell r="DW1127">
            <v>9.8476005987137558</v>
          </cell>
          <cell r="DX1127">
            <v>7.1073990168282446</v>
          </cell>
          <cell r="DY1127">
            <v>12.587802180599267</v>
          </cell>
        </row>
        <row r="1128">
          <cell r="A1128">
            <v>41043</v>
          </cell>
          <cell r="DF1128">
            <v>15.114395693135936</v>
          </cell>
          <cell r="DG1128">
            <v>21.679348620667902</v>
          </cell>
          <cell r="DH1128">
            <v>18.362277992096409</v>
          </cell>
          <cell r="DI1128">
            <v>14.300000632844487</v>
          </cell>
          <cell r="DJ1128">
            <v>22.424555351348332</v>
          </cell>
          <cell r="DU1128">
            <v>7.4430363291290726</v>
          </cell>
          <cell r="DV1128">
            <v>11.644336226312735</v>
          </cell>
          <cell r="DW1128">
            <v>9.8476005987137558</v>
          </cell>
          <cell r="DX1128">
            <v>7.1073990168282446</v>
          </cell>
          <cell r="DY1128">
            <v>12.587802180599267</v>
          </cell>
        </row>
        <row r="1129">
          <cell r="A1129">
            <v>41044</v>
          </cell>
          <cell r="DF1129">
            <v>15.228795423956932</v>
          </cell>
          <cell r="DG1129">
            <v>21.679348620667902</v>
          </cell>
          <cell r="DH1129">
            <v>18.362277992096409</v>
          </cell>
          <cell r="DI1129">
            <v>14.300000632844487</v>
          </cell>
          <cell r="DJ1129">
            <v>22.424555351348332</v>
          </cell>
          <cell r="DU1129">
            <v>7.5114874800283733</v>
          </cell>
          <cell r="DV1129">
            <v>11.644336226312735</v>
          </cell>
          <cell r="DW1129">
            <v>9.8476005987137558</v>
          </cell>
          <cell r="DX1129">
            <v>7.1073990168282446</v>
          </cell>
          <cell r="DY1129">
            <v>12.587802180599267</v>
          </cell>
        </row>
        <row r="1130">
          <cell r="A1130">
            <v>41045</v>
          </cell>
          <cell r="DF1130">
            <v>15.19514602960969</v>
          </cell>
          <cell r="DG1130">
            <v>21.679348620667902</v>
          </cell>
          <cell r="DH1130">
            <v>18.362277992096409</v>
          </cell>
          <cell r="DI1130">
            <v>14.300000632844487</v>
          </cell>
          <cell r="DJ1130">
            <v>22.424555351348332</v>
          </cell>
          <cell r="DU1130">
            <v>7.4913533437537243</v>
          </cell>
          <cell r="DV1130">
            <v>11.644336226312735</v>
          </cell>
          <cell r="DW1130">
            <v>9.8476005987137558</v>
          </cell>
          <cell r="DX1130">
            <v>7.1073990168282446</v>
          </cell>
          <cell r="DY1130">
            <v>12.587802180599267</v>
          </cell>
        </row>
        <row r="1131">
          <cell r="A1131">
            <v>41046</v>
          </cell>
          <cell r="DF1131">
            <v>15.154771197846568</v>
          </cell>
          <cell r="DG1131">
            <v>21.679348620667902</v>
          </cell>
          <cell r="DH1131">
            <v>18.362277992096409</v>
          </cell>
          <cell r="DI1131">
            <v>14.300000632844487</v>
          </cell>
          <cell r="DJ1131">
            <v>22.424555351348332</v>
          </cell>
          <cell r="DU1131">
            <v>7.4671950377706819</v>
          </cell>
          <cell r="DV1131">
            <v>11.644336226312735</v>
          </cell>
          <cell r="DW1131">
            <v>9.8476005987137558</v>
          </cell>
          <cell r="DX1131">
            <v>7.1073990168282446</v>
          </cell>
          <cell r="DY1131">
            <v>12.587802180599267</v>
          </cell>
        </row>
        <row r="1132">
          <cell r="A1132">
            <v>41047</v>
          </cell>
          <cell r="DF1132">
            <v>15.616574328696213</v>
          </cell>
          <cell r="DG1132">
            <v>21.679348620667902</v>
          </cell>
          <cell r="DH1132">
            <v>18.362277992096409</v>
          </cell>
          <cell r="DI1132">
            <v>14.300000632844487</v>
          </cell>
          <cell r="DJ1132">
            <v>22.424555351348332</v>
          </cell>
          <cell r="DU1132">
            <v>7.6964995050085525</v>
          </cell>
          <cell r="DV1132">
            <v>11.644336226312735</v>
          </cell>
          <cell r="DW1132">
            <v>9.8476005987137558</v>
          </cell>
          <cell r="DX1132">
            <v>7.1073990168282446</v>
          </cell>
          <cell r="DY1132">
            <v>12.587802180599267</v>
          </cell>
        </row>
        <row r="1133">
          <cell r="A1133">
            <v>41050</v>
          </cell>
          <cell r="DF1133">
            <v>15.670494985441604</v>
          </cell>
          <cell r="DG1133">
            <v>21.679348620667902</v>
          </cell>
          <cell r="DH1133">
            <v>18.362277992096409</v>
          </cell>
          <cell r="DI1133">
            <v>14.300000632844487</v>
          </cell>
          <cell r="DJ1133">
            <v>22.424555351348332</v>
          </cell>
          <cell r="DU1133">
            <v>7.7285774407990484</v>
          </cell>
          <cell r="DV1133">
            <v>11.644336226312735</v>
          </cell>
          <cell r="DW1133">
            <v>9.8476005987137558</v>
          </cell>
          <cell r="DX1133">
            <v>7.1073990168282446</v>
          </cell>
          <cell r="DY1133">
            <v>12.587802180599267</v>
          </cell>
        </row>
        <row r="1134">
          <cell r="A1134">
            <v>41051</v>
          </cell>
          <cell r="DF1134">
            <v>16.020968133290197</v>
          </cell>
          <cell r="DG1134">
            <v>21.679348620667902</v>
          </cell>
          <cell r="DH1134">
            <v>18.362277992096409</v>
          </cell>
          <cell r="DI1134">
            <v>14.300000632844487</v>
          </cell>
          <cell r="DJ1134">
            <v>22.424555351348332</v>
          </cell>
          <cell r="DU1134">
            <v>7.937077407445714</v>
          </cell>
          <cell r="DV1134">
            <v>11.644336226312735</v>
          </cell>
          <cell r="DW1134">
            <v>9.8476005987137558</v>
          </cell>
          <cell r="DX1134">
            <v>7.1073990168282446</v>
          </cell>
          <cell r="DY1134">
            <v>12.587802180599267</v>
          </cell>
        </row>
        <row r="1135">
          <cell r="A1135">
            <v>41052</v>
          </cell>
          <cell r="DF1135">
            <v>16.770736787987577</v>
          </cell>
          <cell r="DG1135">
            <v>21.679348620667902</v>
          </cell>
          <cell r="DH1135">
            <v>18.362277992096409</v>
          </cell>
          <cell r="DI1135">
            <v>14.300000632844487</v>
          </cell>
          <cell r="DJ1135">
            <v>22.424555351348332</v>
          </cell>
          <cell r="DU1135">
            <v>8.4420603864162764</v>
          </cell>
          <cell r="DV1135">
            <v>11.644336226312735</v>
          </cell>
          <cell r="DW1135">
            <v>9.8476005987137558</v>
          </cell>
          <cell r="DX1135">
            <v>7.1073990168282446</v>
          </cell>
          <cell r="DY1135">
            <v>12.587802180599267</v>
          </cell>
        </row>
        <row r="1136">
          <cell r="A1136">
            <v>41053</v>
          </cell>
          <cell r="DF1136">
            <v>17.009561244207386</v>
          </cell>
          <cell r="DG1136">
            <v>21.679348620667902</v>
          </cell>
          <cell r="DH1136">
            <v>18.362277992096409</v>
          </cell>
          <cell r="DI1136">
            <v>14.300000632844487</v>
          </cell>
          <cell r="DJ1136">
            <v>22.424555351348332</v>
          </cell>
          <cell r="DU1136">
            <v>8.584711744457719</v>
          </cell>
          <cell r="DV1136">
            <v>11.644336226312735</v>
          </cell>
          <cell r="DW1136">
            <v>9.8476005987137558</v>
          </cell>
          <cell r="DX1136">
            <v>7.1073990168282446</v>
          </cell>
          <cell r="DY1136">
            <v>12.587802180599267</v>
          </cell>
        </row>
        <row r="1137">
          <cell r="A1137">
            <v>41054</v>
          </cell>
          <cell r="DF1137">
            <v>17.009561244207386</v>
          </cell>
          <cell r="DG1137">
            <v>21.679348620667902</v>
          </cell>
          <cell r="DH1137">
            <v>18.362277992096409</v>
          </cell>
          <cell r="DI1137">
            <v>14.300000632844487</v>
          </cell>
          <cell r="DJ1137">
            <v>22.424555351348332</v>
          </cell>
          <cell r="DU1137">
            <v>8.584711744457719</v>
          </cell>
          <cell r="DV1137">
            <v>11.644336226312735</v>
          </cell>
          <cell r="DW1137">
            <v>9.8476005987137558</v>
          </cell>
          <cell r="DX1137">
            <v>7.1073990168282446</v>
          </cell>
          <cell r="DY1137">
            <v>12.587802180599267</v>
          </cell>
        </row>
        <row r="1138">
          <cell r="A1138">
            <v>41057</v>
          </cell>
          <cell r="DF1138">
            <v>17.009561244207386</v>
          </cell>
          <cell r="DG1138">
            <v>21.679348620667902</v>
          </cell>
          <cell r="DH1138">
            <v>18.362277992096409</v>
          </cell>
          <cell r="DI1138">
            <v>14.300000632844487</v>
          </cell>
          <cell r="DJ1138">
            <v>22.424555351348332</v>
          </cell>
          <cell r="DU1138">
            <v>8.584711744457719</v>
          </cell>
          <cell r="DV1138">
            <v>11.644336226312735</v>
          </cell>
          <cell r="DW1138">
            <v>9.8476005987137558</v>
          </cell>
          <cell r="DX1138">
            <v>7.1073990168282446</v>
          </cell>
          <cell r="DY1138">
            <v>12.587802180599267</v>
          </cell>
        </row>
        <row r="1139">
          <cell r="A1139">
            <v>41058</v>
          </cell>
          <cell r="DF1139">
            <v>17.115697191334462</v>
          </cell>
          <cell r="DG1139">
            <v>21.679348620667902</v>
          </cell>
          <cell r="DH1139">
            <v>18.362277992096409</v>
          </cell>
          <cell r="DI1139">
            <v>14.300000632844487</v>
          </cell>
          <cell r="DJ1139">
            <v>22.424555351348332</v>
          </cell>
          <cell r="DU1139">
            <v>8.6481074168873349</v>
          </cell>
          <cell r="DV1139">
            <v>11.644336226312735</v>
          </cell>
          <cell r="DW1139">
            <v>9.8476005987137558</v>
          </cell>
          <cell r="DX1139">
            <v>7.1073990168282446</v>
          </cell>
          <cell r="DY1139">
            <v>12.587802180599267</v>
          </cell>
        </row>
        <row r="1140">
          <cell r="A1140">
            <v>41059</v>
          </cell>
          <cell r="DF1140">
            <v>17.069264538814785</v>
          </cell>
          <cell r="DG1140">
            <v>21.679348620667902</v>
          </cell>
          <cell r="DH1140">
            <v>18.362277992096409</v>
          </cell>
          <cell r="DI1140">
            <v>14.300000632844487</v>
          </cell>
          <cell r="DJ1140">
            <v>22.424555351348332</v>
          </cell>
          <cell r="DU1140">
            <v>8.6203728998942228</v>
          </cell>
          <cell r="DV1140">
            <v>11.644336226312735</v>
          </cell>
          <cell r="DW1140">
            <v>9.8476005987137558</v>
          </cell>
          <cell r="DX1140">
            <v>7.1073990168282446</v>
          </cell>
          <cell r="DY1140">
            <v>12.587802180599267</v>
          </cell>
        </row>
        <row r="1141">
          <cell r="A1141">
            <v>41060</v>
          </cell>
          <cell r="DF1141">
            <v>16.903414682689515</v>
          </cell>
          <cell r="DG1141">
            <v>21.679348620667902</v>
          </cell>
          <cell r="DH1141">
            <v>18.362277992096409</v>
          </cell>
          <cell r="DI1141">
            <v>14.300000632844487</v>
          </cell>
          <cell r="DJ1141">
            <v>22.424555351348332</v>
          </cell>
          <cell r="DU1141">
            <v>8.4202006843887425</v>
          </cell>
          <cell r="DV1141">
            <v>11.644336226312735</v>
          </cell>
          <cell r="DW1141">
            <v>9.8476005987137558</v>
          </cell>
          <cell r="DX1141">
            <v>7.1073990168282446</v>
          </cell>
          <cell r="DY1141">
            <v>12.587802180599267</v>
          </cell>
        </row>
        <row r="1142">
          <cell r="A1142">
            <v>41061</v>
          </cell>
          <cell r="DF1142">
            <v>16.943217321360731</v>
          </cell>
          <cell r="DG1142">
            <v>21.679348620667902</v>
          </cell>
          <cell r="DH1142">
            <v>18.362277992096409</v>
          </cell>
          <cell r="DI1142">
            <v>14.300000632844487</v>
          </cell>
          <cell r="DJ1142">
            <v>22.424555351348332</v>
          </cell>
          <cell r="DU1142">
            <v>8.4436929589634246</v>
          </cell>
          <cell r="DV1142">
            <v>11.644336226312735</v>
          </cell>
          <cell r="DW1142">
            <v>9.8476005987137558</v>
          </cell>
          <cell r="DX1142">
            <v>7.1073990168282446</v>
          </cell>
          <cell r="DY1142">
            <v>12.587802180599267</v>
          </cell>
        </row>
        <row r="1143">
          <cell r="A1143">
            <v>41064</v>
          </cell>
          <cell r="DF1143">
            <v>17.029462563542992</v>
          </cell>
          <cell r="DG1143">
            <v>21.679348620667902</v>
          </cell>
          <cell r="DH1143">
            <v>18.362277992096409</v>
          </cell>
          <cell r="DI1143">
            <v>14.300000632844487</v>
          </cell>
          <cell r="DJ1143">
            <v>22.424555351348332</v>
          </cell>
          <cell r="DU1143">
            <v>8.49459654168421</v>
          </cell>
          <cell r="DV1143">
            <v>11.644336226312735</v>
          </cell>
          <cell r="DW1143">
            <v>9.8476005987137558</v>
          </cell>
          <cell r="DX1143">
            <v>7.1073990168282446</v>
          </cell>
          <cell r="DY1143">
            <v>12.587802180599267</v>
          </cell>
        </row>
        <row r="1144">
          <cell r="A1144">
            <v>41065</v>
          </cell>
          <cell r="DF1144">
            <v>16.969748654544802</v>
          </cell>
          <cell r="DG1144">
            <v>21.679348620667902</v>
          </cell>
          <cell r="DH1144">
            <v>18.362277992096409</v>
          </cell>
          <cell r="DI1144">
            <v>14.300000632844487</v>
          </cell>
          <cell r="DJ1144">
            <v>22.424555351348332</v>
          </cell>
          <cell r="DU1144">
            <v>8.4593522565577679</v>
          </cell>
          <cell r="DV1144">
            <v>11.644336226312735</v>
          </cell>
          <cell r="DW1144">
            <v>9.8476005987137558</v>
          </cell>
          <cell r="DX1144">
            <v>7.1073990168282446</v>
          </cell>
          <cell r="DY1144">
            <v>12.587802180599267</v>
          </cell>
        </row>
        <row r="1145">
          <cell r="A1145">
            <v>41066</v>
          </cell>
          <cell r="DF1145">
            <v>16.783997479083929</v>
          </cell>
          <cell r="DG1145">
            <v>21.679348620667902</v>
          </cell>
          <cell r="DH1145">
            <v>18.362277992096409</v>
          </cell>
          <cell r="DI1145">
            <v>14.300000632844487</v>
          </cell>
          <cell r="DJ1145">
            <v>22.424555351348332</v>
          </cell>
          <cell r="DU1145">
            <v>8.4635785004354425</v>
          </cell>
          <cell r="DV1145">
            <v>11.644336226312735</v>
          </cell>
          <cell r="DW1145">
            <v>9.8476005987137558</v>
          </cell>
          <cell r="DX1145">
            <v>7.1073990168282446</v>
          </cell>
          <cell r="DY1145">
            <v>12.587802180599267</v>
          </cell>
        </row>
        <row r="1146">
          <cell r="A1146">
            <v>41067</v>
          </cell>
          <cell r="DF1146">
            <v>16.96311864069634</v>
          </cell>
          <cell r="DG1146">
            <v>21.679348620667902</v>
          </cell>
          <cell r="DH1146">
            <v>18.362277992096409</v>
          </cell>
          <cell r="DI1146">
            <v>14.300000632844487</v>
          </cell>
          <cell r="DJ1146">
            <v>22.424555351348332</v>
          </cell>
          <cell r="DU1146">
            <v>8.5707408680001453</v>
          </cell>
          <cell r="DV1146">
            <v>11.644336226312735</v>
          </cell>
          <cell r="DW1146">
            <v>9.8476005987137558</v>
          </cell>
          <cell r="DX1146">
            <v>7.1073990168282446</v>
          </cell>
          <cell r="DY1146">
            <v>12.587802180599267</v>
          </cell>
        </row>
        <row r="1147">
          <cell r="A1147">
            <v>41068</v>
          </cell>
          <cell r="DF1147">
            <v>17.199508142653691</v>
          </cell>
          <cell r="DG1147">
            <v>21.679348620667902</v>
          </cell>
          <cell r="DH1147">
            <v>18.362277992096409</v>
          </cell>
          <cell r="DI1147">
            <v>14.300000632844487</v>
          </cell>
          <cell r="DJ1147">
            <v>22.424555351348332</v>
          </cell>
          <cell r="DU1147">
            <v>8.7017150664732092</v>
          </cell>
          <cell r="DV1147">
            <v>11.644336226312735</v>
          </cell>
          <cell r="DW1147">
            <v>9.8476005987137558</v>
          </cell>
          <cell r="DX1147">
            <v>7.1073990168282446</v>
          </cell>
          <cell r="DY1147">
            <v>12.587802180599267</v>
          </cell>
        </row>
        <row r="1148">
          <cell r="A1148">
            <v>41071</v>
          </cell>
          <cell r="DF1148">
            <v>17.239351244144096</v>
          </cell>
          <cell r="DG1148">
            <v>21.679348620667902</v>
          </cell>
          <cell r="DH1148">
            <v>18.362277992096409</v>
          </cell>
          <cell r="DI1148">
            <v>14.300000632844487</v>
          </cell>
          <cell r="DJ1148">
            <v>22.424555351348332</v>
          </cell>
          <cell r="DU1148">
            <v>8.7255276911621866</v>
          </cell>
          <cell r="DV1148">
            <v>11.644336226312735</v>
          </cell>
          <cell r="DW1148">
            <v>9.8476005987137558</v>
          </cell>
          <cell r="DX1148">
            <v>7.1073990168282446</v>
          </cell>
          <cell r="DY1148">
            <v>12.587802180599267</v>
          </cell>
        </row>
        <row r="1149">
          <cell r="A1149">
            <v>41072</v>
          </cell>
          <cell r="DF1149">
            <v>17.020205552987104</v>
          </cell>
          <cell r="DG1149">
            <v>21.679348620667902</v>
          </cell>
          <cell r="DH1149">
            <v>18.362277992096409</v>
          </cell>
          <cell r="DI1149">
            <v>14.300000632844487</v>
          </cell>
          <cell r="DJ1149">
            <v>22.424555351348332</v>
          </cell>
          <cell r="DU1149">
            <v>8.5945530957988119</v>
          </cell>
          <cell r="DV1149">
            <v>11.644336226312735</v>
          </cell>
          <cell r="DW1149">
            <v>9.8476005987137558</v>
          </cell>
          <cell r="DX1149">
            <v>7.1073990168282446</v>
          </cell>
          <cell r="DY1149">
            <v>12.587802180599267</v>
          </cell>
        </row>
        <row r="1150">
          <cell r="A1150">
            <v>41073</v>
          </cell>
          <cell r="DF1150">
            <v>16.840902963320517</v>
          </cell>
          <cell r="DG1150">
            <v>21.679348620667902</v>
          </cell>
          <cell r="DH1150">
            <v>18.362277992096409</v>
          </cell>
          <cell r="DI1150">
            <v>14.300000632844487</v>
          </cell>
          <cell r="DJ1150">
            <v>22.424555351348332</v>
          </cell>
          <cell r="DU1150">
            <v>8.4873911251244198</v>
          </cell>
          <cell r="DV1150">
            <v>11.644336226312735</v>
          </cell>
          <cell r="DW1150">
            <v>9.8476005987137558</v>
          </cell>
          <cell r="DX1150">
            <v>7.1073990168282446</v>
          </cell>
          <cell r="DY1150">
            <v>12.587802180599267</v>
          </cell>
        </row>
        <row r="1151">
          <cell r="A1151">
            <v>41074</v>
          </cell>
          <cell r="DF1151">
            <v>16.880756025918334</v>
          </cell>
          <cell r="DG1151">
            <v>21.679348620667902</v>
          </cell>
          <cell r="DH1151">
            <v>18.362277992096409</v>
          </cell>
          <cell r="DI1151">
            <v>14.300000632844487</v>
          </cell>
          <cell r="DJ1151">
            <v>22.424555351348332</v>
          </cell>
          <cell r="DU1151">
            <v>8.5112097031680118</v>
          </cell>
          <cell r="DV1151">
            <v>11.644336226312735</v>
          </cell>
          <cell r="DW1151">
            <v>9.8476005987137558</v>
          </cell>
          <cell r="DX1151">
            <v>7.1073990168282446</v>
          </cell>
          <cell r="DY1151">
            <v>12.587802180599267</v>
          </cell>
        </row>
        <row r="1152">
          <cell r="A1152">
            <v>41075</v>
          </cell>
          <cell r="DF1152">
            <v>17.166302459067158</v>
          </cell>
          <cell r="DG1152">
            <v>21.679348620667902</v>
          </cell>
          <cell r="DH1152">
            <v>18.362277992096409</v>
          </cell>
          <cell r="DI1152">
            <v>14.300000632844487</v>
          </cell>
          <cell r="DJ1152">
            <v>22.424555351348332</v>
          </cell>
          <cell r="DU1152">
            <v>8.6818693604109587</v>
          </cell>
          <cell r="DV1152">
            <v>11.644336226312735</v>
          </cell>
          <cell r="DW1152">
            <v>9.8476005987137558</v>
          </cell>
          <cell r="DX1152">
            <v>7.1073990168282446</v>
          </cell>
          <cell r="DY1152">
            <v>12.587802180599267</v>
          </cell>
        </row>
        <row r="1153">
          <cell r="A1153">
            <v>41078</v>
          </cell>
          <cell r="DF1153">
            <v>17.29911523230588</v>
          </cell>
          <cell r="DG1153">
            <v>21.679348620667902</v>
          </cell>
          <cell r="DH1153">
            <v>18.362277992096409</v>
          </cell>
          <cell r="DI1153">
            <v>14.300000632844487</v>
          </cell>
          <cell r="DJ1153">
            <v>22.424555351348332</v>
          </cell>
          <cell r="DU1153">
            <v>8.7612462313053427</v>
          </cell>
          <cell r="DV1153">
            <v>11.644336226312735</v>
          </cell>
          <cell r="DW1153">
            <v>9.8476005987137558</v>
          </cell>
          <cell r="DX1153">
            <v>7.1073990168282446</v>
          </cell>
          <cell r="DY1153">
            <v>12.587802180599267</v>
          </cell>
        </row>
        <row r="1154">
          <cell r="A1154">
            <v>41079</v>
          </cell>
          <cell r="DF1154">
            <v>17.405369700969356</v>
          </cell>
          <cell r="DG1154">
            <v>21.679348620667902</v>
          </cell>
          <cell r="DH1154">
            <v>18.362277992096409</v>
          </cell>
          <cell r="DI1154">
            <v>14.300000632844487</v>
          </cell>
          <cell r="DJ1154">
            <v>22.424555351348332</v>
          </cell>
          <cell r="DU1154">
            <v>8.8247502681188195</v>
          </cell>
          <cell r="DV1154">
            <v>11.644336226312735</v>
          </cell>
          <cell r="DW1154">
            <v>9.8476005987137558</v>
          </cell>
          <cell r="DX1154">
            <v>7.1073990168282446</v>
          </cell>
          <cell r="DY1154">
            <v>12.587802180599267</v>
          </cell>
        </row>
        <row r="1155">
          <cell r="A1155">
            <v>41080</v>
          </cell>
          <cell r="DF1155">
            <v>17.199508142653691</v>
          </cell>
          <cell r="DG1155">
            <v>21.679348620667902</v>
          </cell>
          <cell r="DH1155">
            <v>18.362277992096409</v>
          </cell>
          <cell r="DI1155">
            <v>14.300000632844487</v>
          </cell>
          <cell r="DJ1155">
            <v>22.424555351348332</v>
          </cell>
          <cell r="DU1155">
            <v>8.7017150664732092</v>
          </cell>
          <cell r="DV1155">
            <v>11.644336226312735</v>
          </cell>
          <cell r="DW1155">
            <v>9.8476005987137558</v>
          </cell>
          <cell r="DX1155">
            <v>7.1073990168282446</v>
          </cell>
          <cell r="DY1155">
            <v>12.587802180599267</v>
          </cell>
        </row>
        <row r="1156">
          <cell r="A1156">
            <v>41081</v>
          </cell>
          <cell r="DF1156">
            <v>16.502228631766126</v>
          </cell>
          <cell r="DG1156">
            <v>21.679348620667902</v>
          </cell>
          <cell r="DH1156">
            <v>18.362277992096409</v>
          </cell>
          <cell r="DI1156">
            <v>14.300000632844487</v>
          </cell>
          <cell r="DJ1156">
            <v>22.424555351348332</v>
          </cell>
          <cell r="DU1156">
            <v>8.2849790525844274</v>
          </cell>
          <cell r="DV1156">
            <v>11.644336226312735</v>
          </cell>
          <cell r="DW1156">
            <v>9.8476005987137558</v>
          </cell>
          <cell r="DX1156">
            <v>7.1073990168282446</v>
          </cell>
          <cell r="DY1156">
            <v>12.587802180599267</v>
          </cell>
        </row>
        <row r="1157">
          <cell r="A1157">
            <v>41082</v>
          </cell>
          <cell r="DF1157">
            <v>15.977523537255252</v>
          </cell>
          <cell r="DG1157">
            <v>21.679348620667902</v>
          </cell>
          <cell r="DH1157">
            <v>18.362277992096409</v>
          </cell>
          <cell r="DI1157">
            <v>14.300000632844487</v>
          </cell>
          <cell r="DJ1157">
            <v>22.424555351348332</v>
          </cell>
          <cell r="DU1157">
            <v>7.9990567729590936</v>
          </cell>
          <cell r="DV1157">
            <v>11.644336226312735</v>
          </cell>
          <cell r="DW1157">
            <v>9.8476005987137558</v>
          </cell>
          <cell r="DX1157">
            <v>7.1073990168282446</v>
          </cell>
          <cell r="DY1157">
            <v>12.587802180599267</v>
          </cell>
        </row>
        <row r="1158">
          <cell r="A1158">
            <v>41085</v>
          </cell>
          <cell r="DF1158">
            <v>16.030060919952064</v>
          </cell>
          <cell r="DG1158">
            <v>21.679348620667902</v>
          </cell>
          <cell r="DH1158">
            <v>18.362277992096409</v>
          </cell>
          <cell r="DI1158">
            <v>14.300000632844487</v>
          </cell>
          <cell r="DJ1158">
            <v>22.424555351348332</v>
          </cell>
          <cell r="DU1158">
            <v>8.0304961771445384</v>
          </cell>
          <cell r="DV1158">
            <v>11.644336226312735</v>
          </cell>
          <cell r="DW1158">
            <v>9.8476005987137558</v>
          </cell>
          <cell r="DX1158">
            <v>7.1073990168282446</v>
          </cell>
          <cell r="DY1158">
            <v>12.587802180599267</v>
          </cell>
        </row>
        <row r="1159">
          <cell r="A1159">
            <v>41086</v>
          </cell>
          <cell r="DF1159">
            <v>16.207372780626429</v>
          </cell>
          <cell r="DG1159">
            <v>21.679348620667902</v>
          </cell>
          <cell r="DH1159">
            <v>18.362277992096409</v>
          </cell>
          <cell r="DI1159">
            <v>14.300000632844487</v>
          </cell>
          <cell r="DJ1159">
            <v>22.424555351348332</v>
          </cell>
          <cell r="DU1159">
            <v>8.1366030855679128</v>
          </cell>
          <cell r="DV1159">
            <v>11.644336226312735</v>
          </cell>
          <cell r="DW1159">
            <v>9.8476005987137558</v>
          </cell>
          <cell r="DX1159">
            <v>7.1073990168282446</v>
          </cell>
          <cell r="DY1159">
            <v>12.587802180599267</v>
          </cell>
        </row>
        <row r="1160">
          <cell r="A1160">
            <v>41087</v>
          </cell>
          <cell r="DF1160">
            <v>16.404385010585582</v>
          </cell>
          <cell r="DG1160">
            <v>21.679348620667902</v>
          </cell>
          <cell r="DH1160">
            <v>18.362277992096409</v>
          </cell>
          <cell r="DI1160">
            <v>14.300000632844487</v>
          </cell>
          <cell r="DJ1160">
            <v>22.424555351348332</v>
          </cell>
          <cell r="DU1160">
            <v>7.8875122265316913</v>
          </cell>
          <cell r="DV1160">
            <v>11.644336226312735</v>
          </cell>
          <cell r="DW1160">
            <v>9.8476005987137558</v>
          </cell>
          <cell r="DX1160">
            <v>7.1073990168282446</v>
          </cell>
          <cell r="DY1160">
            <v>12.587802180599267</v>
          </cell>
        </row>
        <row r="1161">
          <cell r="A1161">
            <v>41088</v>
          </cell>
          <cell r="DF1161">
            <v>16.437222023997606</v>
          </cell>
          <cell r="DG1161">
            <v>21.679348620667902</v>
          </cell>
          <cell r="DH1161">
            <v>18.362277992096409</v>
          </cell>
          <cell r="DI1161">
            <v>14.300000632844487</v>
          </cell>
          <cell r="DJ1161">
            <v>22.424555351348332</v>
          </cell>
          <cell r="DU1161">
            <v>7.9064279363143459</v>
          </cell>
          <cell r="DV1161">
            <v>11.644336226312735</v>
          </cell>
          <cell r="DW1161">
            <v>9.8476005987137558</v>
          </cell>
          <cell r="DX1161">
            <v>7.1073990168282446</v>
          </cell>
          <cell r="DY1161">
            <v>12.587802180599267</v>
          </cell>
        </row>
        <row r="1162">
          <cell r="A1162">
            <v>41089</v>
          </cell>
          <cell r="DF1162">
            <v>16.417521654712814</v>
          </cell>
          <cell r="DG1162">
            <v>21.679348620667902</v>
          </cell>
          <cell r="DH1162">
            <v>18.362277992096409</v>
          </cell>
          <cell r="DI1162">
            <v>14.300000632844487</v>
          </cell>
          <cell r="DJ1162">
            <v>22.424555351348332</v>
          </cell>
          <cell r="DU1162">
            <v>7.8950795696609477</v>
          </cell>
          <cell r="DV1162">
            <v>11.644336226312735</v>
          </cell>
          <cell r="DW1162">
            <v>9.8476005987137558</v>
          </cell>
          <cell r="DX1162">
            <v>7.1073990168282446</v>
          </cell>
          <cell r="DY1162">
            <v>12.587802180599267</v>
          </cell>
        </row>
        <row r="1163">
          <cell r="A1163">
            <v>41092</v>
          </cell>
          <cell r="DF1163">
            <v>16.548859857847919</v>
          </cell>
          <cell r="DG1163">
            <v>21.679348620667902</v>
          </cell>
          <cell r="DH1163">
            <v>18.362277992096409</v>
          </cell>
          <cell r="DI1163">
            <v>14.300000632844487</v>
          </cell>
          <cell r="DJ1163">
            <v>22.424555351348332</v>
          </cell>
          <cell r="DU1163">
            <v>7.9707367344190976</v>
          </cell>
          <cell r="DV1163">
            <v>11.644336226312735</v>
          </cell>
          <cell r="DW1163">
            <v>9.8476005987137558</v>
          </cell>
          <cell r="DX1163">
            <v>7.1073990168282446</v>
          </cell>
          <cell r="DY1163">
            <v>12.587802180599267</v>
          </cell>
        </row>
        <row r="1164">
          <cell r="A1164">
            <v>41093</v>
          </cell>
          <cell r="DF1164">
            <v>16.640797979114311</v>
          </cell>
          <cell r="DG1164">
            <v>21.679348620667902</v>
          </cell>
          <cell r="DH1164">
            <v>18.362277992096409</v>
          </cell>
          <cell r="DI1164">
            <v>14.300000632844487</v>
          </cell>
          <cell r="DJ1164">
            <v>22.424555351348332</v>
          </cell>
          <cell r="DU1164">
            <v>8.0236975441619496</v>
          </cell>
          <cell r="DV1164">
            <v>11.644336226312735</v>
          </cell>
          <cell r="DW1164">
            <v>9.8476005987137558</v>
          </cell>
          <cell r="DX1164">
            <v>7.1073990168282446</v>
          </cell>
          <cell r="DY1164">
            <v>12.587802180599267</v>
          </cell>
        </row>
        <row r="1165">
          <cell r="A1165">
            <v>41094</v>
          </cell>
          <cell r="DF1165">
            <v>16.575123952290262</v>
          </cell>
          <cell r="DG1165">
            <v>21.679348620667902</v>
          </cell>
          <cell r="DH1165">
            <v>18.362277992096409</v>
          </cell>
          <cell r="DI1165">
            <v>14.300000632844487</v>
          </cell>
          <cell r="DJ1165">
            <v>22.424555351348332</v>
          </cell>
          <cell r="DU1165">
            <v>7.9857428611931054</v>
          </cell>
          <cell r="DV1165">
            <v>11.644336226312735</v>
          </cell>
          <cell r="DW1165">
            <v>9.8476005987137558</v>
          </cell>
          <cell r="DX1165">
            <v>7.1073990168282446</v>
          </cell>
          <cell r="DY1165">
            <v>12.587802180599267</v>
          </cell>
        </row>
        <row r="1166">
          <cell r="A1166">
            <v>41095</v>
          </cell>
          <cell r="DF1166">
            <v>16.726161868009289</v>
          </cell>
          <cell r="DG1166">
            <v>21.679348620667902</v>
          </cell>
          <cell r="DH1166">
            <v>18.362277992096409</v>
          </cell>
          <cell r="DI1166">
            <v>14.300000632844487</v>
          </cell>
          <cell r="DJ1166">
            <v>22.424555351348332</v>
          </cell>
          <cell r="DU1166">
            <v>8.0580770617277118</v>
          </cell>
          <cell r="DV1166">
            <v>11.644336226312735</v>
          </cell>
          <cell r="DW1166">
            <v>9.8476005987137558</v>
          </cell>
          <cell r="DX1166">
            <v>7.1073990168282446</v>
          </cell>
          <cell r="DY1166">
            <v>12.587802180599267</v>
          </cell>
        </row>
        <row r="1167">
          <cell r="A1167">
            <v>41096</v>
          </cell>
          <cell r="DF1167">
            <v>16.551380165272771</v>
          </cell>
          <cell r="DG1167">
            <v>21.679348620667902</v>
          </cell>
          <cell r="DH1167">
            <v>18.362277992096409</v>
          </cell>
          <cell r="DI1167">
            <v>14.300000632844487</v>
          </cell>
          <cell r="DJ1167">
            <v>22.424555351348332</v>
          </cell>
          <cell r="DU1167">
            <v>7.9289560414509559</v>
          </cell>
          <cell r="DV1167">
            <v>11.644336226312735</v>
          </cell>
          <cell r="DW1167">
            <v>9.8476005987137558</v>
          </cell>
          <cell r="DX1167">
            <v>7.1073990168282446</v>
          </cell>
          <cell r="DY1167">
            <v>12.587802180599267</v>
          </cell>
        </row>
        <row r="1168">
          <cell r="A1168">
            <v>41099</v>
          </cell>
          <cell r="DF1168">
            <v>16.080462346575597</v>
          </cell>
          <cell r="DG1168">
            <v>21.679348620667902</v>
          </cell>
          <cell r="DH1168">
            <v>18.362277992096409</v>
          </cell>
          <cell r="DI1168">
            <v>14.300000632844487</v>
          </cell>
          <cell r="DJ1168">
            <v>22.424555351348332</v>
          </cell>
          <cell r="DU1168">
            <v>7.6267596668019229</v>
          </cell>
          <cell r="DV1168">
            <v>11.644336226312735</v>
          </cell>
          <cell r="DW1168">
            <v>9.8476005987137558</v>
          </cell>
          <cell r="DX1168">
            <v>7.1073990168282446</v>
          </cell>
          <cell r="DY1168">
            <v>12.587802180599267</v>
          </cell>
        </row>
        <row r="1169">
          <cell r="A1169">
            <v>41100</v>
          </cell>
          <cell r="DF1169">
            <v>16.879389025290983</v>
          </cell>
          <cell r="DG1169">
            <v>21.679348620667902</v>
          </cell>
          <cell r="DH1169">
            <v>18.362277992096409</v>
          </cell>
          <cell r="DI1169">
            <v>14.300000632844487</v>
          </cell>
          <cell r="DJ1169">
            <v>22.424555351348332</v>
          </cell>
          <cell r="DU1169">
            <v>8.0628743473836373</v>
          </cell>
          <cell r="DV1169">
            <v>11.644336226312735</v>
          </cell>
          <cell r="DW1169">
            <v>9.8476005987137558</v>
          </cell>
          <cell r="DX1169">
            <v>7.1073990168282446</v>
          </cell>
          <cell r="DY1169">
            <v>12.587802180599267</v>
          </cell>
        </row>
        <row r="1170">
          <cell r="A1170">
            <v>41101</v>
          </cell>
          <cell r="DF1170">
            <v>17.567481539849556</v>
          </cell>
          <cell r="DG1170">
            <v>21.679348620667902</v>
          </cell>
          <cell r="DH1170">
            <v>18.362277992096409</v>
          </cell>
          <cell r="DI1170">
            <v>14.300000632844487</v>
          </cell>
          <cell r="DJ1170">
            <v>22.424555351348332</v>
          </cell>
          <cell r="DU1170">
            <v>8.4525161570883434</v>
          </cell>
          <cell r="DV1170">
            <v>11.644336226312735</v>
          </cell>
          <cell r="DW1170">
            <v>9.8476005987137558</v>
          </cell>
          <cell r="DX1170">
            <v>7.1073990168282446</v>
          </cell>
          <cell r="DY1170">
            <v>12.587802180599267</v>
          </cell>
        </row>
        <row r="1171">
          <cell r="A1171">
            <v>41102</v>
          </cell>
          <cell r="DF1171">
            <v>17.022232639479462</v>
          </cell>
          <cell r="DG1171">
            <v>21.679348620667902</v>
          </cell>
          <cell r="DH1171">
            <v>18.362277992096409</v>
          </cell>
          <cell r="DI1171">
            <v>14.300000632844487</v>
          </cell>
          <cell r="DJ1171">
            <v>22.424555351348332</v>
          </cell>
          <cell r="DU1171">
            <v>8.1410267672808665</v>
          </cell>
          <cell r="DV1171">
            <v>11.644336226312735</v>
          </cell>
          <cell r="DW1171">
            <v>9.8476005987137558</v>
          </cell>
          <cell r="DX1171">
            <v>7.1073990168282446</v>
          </cell>
          <cell r="DY1171">
            <v>12.587802180599267</v>
          </cell>
        </row>
        <row r="1172">
          <cell r="A1172">
            <v>41103</v>
          </cell>
          <cell r="DF1172">
            <v>16.563428784208337</v>
          </cell>
          <cell r="DG1172">
            <v>21.679348620667902</v>
          </cell>
          <cell r="DH1172">
            <v>18.362277992096409</v>
          </cell>
          <cell r="DI1172">
            <v>14.300000632844487</v>
          </cell>
          <cell r="DJ1172">
            <v>22.424555351348332</v>
          </cell>
          <cell r="DU1172">
            <v>7.8789216391041439</v>
          </cell>
          <cell r="DV1172">
            <v>11.644336226312735</v>
          </cell>
          <cell r="DW1172">
            <v>9.8476005987137558</v>
          </cell>
          <cell r="DX1172">
            <v>7.1073990168282446</v>
          </cell>
          <cell r="DY1172">
            <v>12.587802180599267</v>
          </cell>
        </row>
        <row r="1173">
          <cell r="A1173">
            <v>41106</v>
          </cell>
          <cell r="DF1173">
            <v>16.596677338814153</v>
          </cell>
          <cell r="DG1173">
            <v>21.679348620667902</v>
          </cell>
          <cell r="DH1173">
            <v>18.362277992096409</v>
          </cell>
          <cell r="DI1173">
            <v>14.300000632844487</v>
          </cell>
          <cell r="DJ1173">
            <v>22.424555351348332</v>
          </cell>
          <cell r="DU1173">
            <v>7.8979158488661758</v>
          </cell>
          <cell r="DV1173">
            <v>11.644336226312735</v>
          </cell>
          <cell r="DW1173">
            <v>9.8476005987137558</v>
          </cell>
          <cell r="DX1173">
            <v>7.1073990168282446</v>
          </cell>
          <cell r="DY1173">
            <v>12.587802180599267</v>
          </cell>
        </row>
        <row r="1174">
          <cell r="A1174">
            <v>41107</v>
          </cell>
          <cell r="DF1174">
            <v>16.516888919920792</v>
          </cell>
          <cell r="DG1174">
            <v>21.679348620667902</v>
          </cell>
          <cell r="DH1174">
            <v>18.362277992096409</v>
          </cell>
          <cell r="DI1174">
            <v>14.300000632844487</v>
          </cell>
          <cell r="DJ1174">
            <v>22.424555351348332</v>
          </cell>
          <cell r="DU1174">
            <v>7.8523343797464262</v>
          </cell>
          <cell r="DV1174">
            <v>11.644336226312735</v>
          </cell>
          <cell r="DW1174">
            <v>9.8476005987137558</v>
          </cell>
          <cell r="DX1174">
            <v>7.1073990168282446</v>
          </cell>
          <cell r="DY1174">
            <v>12.587802180599267</v>
          </cell>
        </row>
        <row r="1175">
          <cell r="A1175">
            <v>41108</v>
          </cell>
          <cell r="DF1175">
            <v>16.337354837209979</v>
          </cell>
          <cell r="DG1175">
            <v>21.679348620667902</v>
          </cell>
          <cell r="DH1175">
            <v>18.362277992096409</v>
          </cell>
          <cell r="DI1175">
            <v>14.300000632844487</v>
          </cell>
          <cell r="DJ1175">
            <v>22.424555351348332</v>
          </cell>
          <cell r="DU1175">
            <v>7.7497702813405844</v>
          </cell>
          <cell r="DV1175">
            <v>11.644336226312735</v>
          </cell>
          <cell r="DW1175">
            <v>9.8476005987137558</v>
          </cell>
          <cell r="DX1175">
            <v>7.1073990168282446</v>
          </cell>
          <cell r="DY1175">
            <v>12.587802180599267</v>
          </cell>
        </row>
        <row r="1176">
          <cell r="A1176">
            <v>41109</v>
          </cell>
          <cell r="DF1176">
            <v>16.443745823402693</v>
          </cell>
          <cell r="DG1176">
            <v>21.679348620667902</v>
          </cell>
          <cell r="DH1176">
            <v>18.362277992096409</v>
          </cell>
          <cell r="DI1176">
            <v>14.300000632844487</v>
          </cell>
          <cell r="DJ1176">
            <v>22.424555351348332</v>
          </cell>
          <cell r="DU1176">
            <v>7.810549245493819</v>
          </cell>
          <cell r="DV1176">
            <v>11.644336226312735</v>
          </cell>
          <cell r="DW1176">
            <v>9.8476005987137558</v>
          </cell>
          <cell r="DX1176">
            <v>7.1073990168282446</v>
          </cell>
          <cell r="DY1176">
            <v>12.587802180599267</v>
          </cell>
        </row>
        <row r="1177">
          <cell r="A1177">
            <v>41110</v>
          </cell>
          <cell r="DF1177">
            <v>16.689767041357193</v>
          </cell>
          <cell r="DG1177">
            <v>21.679348620667902</v>
          </cell>
          <cell r="DH1177">
            <v>18.362277992096409</v>
          </cell>
          <cell r="DI1177">
            <v>14.300000632844487</v>
          </cell>
          <cell r="DJ1177">
            <v>22.424555351348332</v>
          </cell>
          <cell r="DU1177">
            <v>7.9510960655026679</v>
          </cell>
          <cell r="DV1177">
            <v>11.644336226312735</v>
          </cell>
          <cell r="DW1177">
            <v>9.8476005987137558</v>
          </cell>
          <cell r="DX1177">
            <v>7.1073990168282446</v>
          </cell>
          <cell r="DY1177">
            <v>12.587802180599267</v>
          </cell>
        </row>
        <row r="1178">
          <cell r="A1178">
            <v>41113</v>
          </cell>
          <cell r="DF1178">
            <v>16.749608854225613</v>
          </cell>
          <cell r="DG1178">
            <v>21.679348620667902</v>
          </cell>
          <cell r="DH1178">
            <v>18.362277992096409</v>
          </cell>
          <cell r="DI1178">
            <v>14.300000632844487</v>
          </cell>
          <cell r="DJ1178">
            <v>22.424555351348332</v>
          </cell>
          <cell r="DU1178">
            <v>7.9852824522385335</v>
          </cell>
          <cell r="DV1178">
            <v>11.644336226312735</v>
          </cell>
          <cell r="DW1178">
            <v>9.8476005987137558</v>
          </cell>
          <cell r="DX1178">
            <v>7.1073990168282446</v>
          </cell>
          <cell r="DY1178">
            <v>12.587802180599267</v>
          </cell>
        </row>
        <row r="1179">
          <cell r="A1179">
            <v>41114</v>
          </cell>
          <cell r="DF1179">
            <v>16.616624609770295</v>
          </cell>
          <cell r="DG1179">
            <v>21.679348620667902</v>
          </cell>
          <cell r="DH1179">
            <v>18.362277992096409</v>
          </cell>
          <cell r="DI1179">
            <v>14.300000632844487</v>
          </cell>
          <cell r="DJ1179">
            <v>22.424555351348332</v>
          </cell>
          <cell r="DU1179">
            <v>7.9093113111114635</v>
          </cell>
          <cell r="DV1179">
            <v>11.644336226312735</v>
          </cell>
          <cell r="DW1179">
            <v>9.8476005987137558</v>
          </cell>
          <cell r="DX1179">
            <v>7.1073990168282446</v>
          </cell>
          <cell r="DY1179">
            <v>12.587802180599267</v>
          </cell>
        </row>
        <row r="1180">
          <cell r="A1180">
            <v>41115</v>
          </cell>
          <cell r="DF1180">
            <v>16.407509770481898</v>
          </cell>
          <cell r="DG1180">
            <v>21.679348620667902</v>
          </cell>
          <cell r="DH1180">
            <v>18.362277992096409</v>
          </cell>
          <cell r="DI1180">
            <v>14.300000632844487</v>
          </cell>
          <cell r="DJ1180">
            <v>22.424555351348332</v>
          </cell>
          <cell r="DU1180">
            <v>7.8275486973407915</v>
          </cell>
          <cell r="DV1180">
            <v>11.644336226312735</v>
          </cell>
          <cell r="DW1180">
            <v>9.8476005987137558</v>
          </cell>
          <cell r="DX1180">
            <v>7.1073990168282446</v>
          </cell>
          <cell r="DY1180">
            <v>12.587802180599267</v>
          </cell>
        </row>
        <row r="1181">
          <cell r="A1181">
            <v>41116</v>
          </cell>
          <cell r="DF1181">
            <v>16.74892528802609</v>
          </cell>
          <cell r="DG1181">
            <v>21.679348620667902</v>
          </cell>
          <cell r="DH1181">
            <v>18.362277992096409</v>
          </cell>
          <cell r="DI1181">
            <v>14.300000632844487</v>
          </cell>
          <cell r="DJ1181">
            <v>22.424555351348332</v>
          </cell>
          <cell r="DU1181">
            <v>8.0230361832541259</v>
          </cell>
          <cell r="DV1181">
            <v>11.644336226312735</v>
          </cell>
          <cell r="DW1181">
            <v>9.8476005987137558</v>
          </cell>
          <cell r="DX1181">
            <v>7.1073990168282446</v>
          </cell>
          <cell r="DY1181">
            <v>12.587802180599267</v>
          </cell>
        </row>
        <row r="1182">
          <cell r="A1182">
            <v>41117</v>
          </cell>
          <cell r="DF1182">
            <v>17.320132034870074</v>
          </cell>
          <cell r="DG1182">
            <v>21.679348620667902</v>
          </cell>
          <cell r="DH1182">
            <v>18.362277992096409</v>
          </cell>
          <cell r="DI1182">
            <v>14.300000632844487</v>
          </cell>
          <cell r="DJ1182">
            <v>22.424555351348332</v>
          </cell>
          <cell r="DU1182">
            <v>8.3500973891432526</v>
          </cell>
          <cell r="DV1182">
            <v>11.644336226312735</v>
          </cell>
          <cell r="DW1182">
            <v>9.8476005987137558</v>
          </cell>
          <cell r="DX1182">
            <v>7.1073990168282446</v>
          </cell>
          <cell r="DY1182">
            <v>12.587802180599267</v>
          </cell>
        </row>
        <row r="1183">
          <cell r="A1183">
            <v>41120</v>
          </cell>
          <cell r="DF1183">
            <v>17.523665330013309</v>
          </cell>
          <cell r="DG1183">
            <v>21.679348620667902</v>
          </cell>
          <cell r="DH1183">
            <v>18.362277992096409</v>
          </cell>
          <cell r="DI1183">
            <v>14.300000632844487</v>
          </cell>
          <cell r="DJ1183">
            <v>22.424555351348332</v>
          </cell>
          <cell r="DU1183">
            <v>8.466636357416883</v>
          </cell>
          <cell r="DV1183">
            <v>11.644336226312735</v>
          </cell>
          <cell r="DW1183">
            <v>9.8476005987137558</v>
          </cell>
          <cell r="DX1183">
            <v>7.1073990168282446</v>
          </cell>
          <cell r="DY1183">
            <v>12.587802180599267</v>
          </cell>
        </row>
        <row r="1184">
          <cell r="A1184">
            <v>41121</v>
          </cell>
          <cell r="DF1184">
            <v>17.615583528797682</v>
          </cell>
          <cell r="DG1184">
            <v>21.679348620667902</v>
          </cell>
          <cell r="DH1184">
            <v>18.362277992096409</v>
          </cell>
          <cell r="DI1184">
            <v>14.300000632844487</v>
          </cell>
          <cell r="DJ1184">
            <v>22.424555351348332</v>
          </cell>
          <cell r="DU1184">
            <v>8.5192668228371122</v>
          </cell>
          <cell r="DV1184">
            <v>11.644336226312735</v>
          </cell>
          <cell r="DW1184">
            <v>9.8476005987137558</v>
          </cell>
          <cell r="DX1184">
            <v>7.1073990168282446</v>
          </cell>
          <cell r="DY1184">
            <v>12.587802180599267</v>
          </cell>
        </row>
        <row r="1185">
          <cell r="A1185">
            <v>41122</v>
          </cell>
          <cell r="DF1185">
            <v>17.727207817042082</v>
          </cell>
          <cell r="DG1185">
            <v>21.679348620667902</v>
          </cell>
          <cell r="DH1185">
            <v>18.362277992096409</v>
          </cell>
          <cell r="DI1185">
            <v>14.300000632844487</v>
          </cell>
          <cell r="DJ1185">
            <v>22.424555351348332</v>
          </cell>
          <cell r="DU1185">
            <v>8.5831805887746491</v>
          </cell>
          <cell r="DV1185">
            <v>11.644336226312735</v>
          </cell>
          <cell r="DW1185">
            <v>9.8476005987137558</v>
          </cell>
          <cell r="DX1185">
            <v>7.1073990168282446</v>
          </cell>
          <cell r="DY1185">
            <v>12.587802180599267</v>
          </cell>
        </row>
        <row r="1186">
          <cell r="A1186">
            <v>41123</v>
          </cell>
          <cell r="DF1186">
            <v>17.565385584471255</v>
          </cell>
          <cell r="DG1186">
            <v>21.679348620667902</v>
          </cell>
          <cell r="DH1186">
            <v>18.362277992096409</v>
          </cell>
          <cell r="DI1186">
            <v>14.300000632844487</v>
          </cell>
          <cell r="DJ1186">
            <v>22.424555351348332</v>
          </cell>
          <cell r="DU1186">
            <v>8.5290644420654971</v>
          </cell>
          <cell r="DV1186">
            <v>11.644336226312735</v>
          </cell>
          <cell r="DW1186">
            <v>9.8476005987137558</v>
          </cell>
          <cell r="DX1186">
            <v>7.1073990168282446</v>
          </cell>
          <cell r="DY1186">
            <v>12.587802180599267</v>
          </cell>
        </row>
        <row r="1187">
          <cell r="A1187">
            <v>41124</v>
          </cell>
          <cell r="DF1187">
            <v>17.715906034338893</v>
          </cell>
          <cell r="DG1187">
            <v>21.679348620667902</v>
          </cell>
          <cell r="DH1187">
            <v>18.362277992096409</v>
          </cell>
          <cell r="DI1187">
            <v>14.300000632844487</v>
          </cell>
          <cell r="DJ1187">
            <v>22.424555351348332</v>
          </cell>
          <cell r="DU1187">
            <v>8.615589110223091</v>
          </cell>
          <cell r="DV1187">
            <v>11.644336226312735</v>
          </cell>
          <cell r="DW1187">
            <v>9.8476005987137558</v>
          </cell>
          <cell r="DX1187">
            <v>7.1073990168282446</v>
          </cell>
          <cell r="DY1187">
            <v>12.587802180599267</v>
          </cell>
        </row>
        <row r="1188">
          <cell r="A1188">
            <v>41127</v>
          </cell>
          <cell r="DF1188">
            <v>17.723824856594057</v>
          </cell>
          <cell r="DG1188">
            <v>21.679348620667902</v>
          </cell>
          <cell r="DH1188">
            <v>18.362277992096409</v>
          </cell>
          <cell r="DI1188">
            <v>14.300000632844487</v>
          </cell>
          <cell r="DJ1188">
            <v>22.424555351348332</v>
          </cell>
          <cell r="DU1188">
            <v>8.6201411393223228</v>
          </cell>
          <cell r="DV1188">
            <v>11.644336226312735</v>
          </cell>
          <cell r="DW1188">
            <v>9.8476005987137558</v>
          </cell>
          <cell r="DX1188">
            <v>7.1073990168282446</v>
          </cell>
          <cell r="DY1188">
            <v>12.587802180599267</v>
          </cell>
        </row>
        <row r="1189">
          <cell r="A1189">
            <v>41128</v>
          </cell>
          <cell r="DF1189">
            <v>18.016956096347851</v>
          </cell>
          <cell r="DG1189">
            <v>21.679348620667902</v>
          </cell>
          <cell r="DH1189">
            <v>18.362277992096409</v>
          </cell>
          <cell r="DI1189">
            <v>14.300000632844487</v>
          </cell>
          <cell r="DJ1189">
            <v>22.424555351348332</v>
          </cell>
          <cell r="DU1189">
            <v>8.7886437133488062</v>
          </cell>
          <cell r="DV1189">
            <v>11.644336226312735</v>
          </cell>
          <cell r="DW1189">
            <v>9.8476005987137558</v>
          </cell>
          <cell r="DX1189">
            <v>7.1073990168282446</v>
          </cell>
          <cell r="DY1189">
            <v>12.587802180599267</v>
          </cell>
        </row>
        <row r="1190">
          <cell r="A1190">
            <v>41129</v>
          </cell>
          <cell r="DF1190">
            <v>18.160935337253477</v>
          </cell>
          <cell r="DG1190">
            <v>21.679348620667902</v>
          </cell>
          <cell r="DH1190">
            <v>18.362277992096409</v>
          </cell>
          <cell r="DI1190">
            <v>14.300000632844487</v>
          </cell>
          <cell r="DJ1190">
            <v>22.424555351348332</v>
          </cell>
          <cell r="DU1190">
            <v>8.8714082549901345</v>
          </cell>
          <cell r="DV1190">
            <v>11.644336226312735</v>
          </cell>
          <cell r="DW1190">
            <v>9.8476005987137558</v>
          </cell>
          <cell r="DX1190">
            <v>7.1073990168282446</v>
          </cell>
          <cell r="DY1190">
            <v>12.587802180599267</v>
          </cell>
        </row>
        <row r="1191">
          <cell r="A1191">
            <v>41130</v>
          </cell>
          <cell r="DF1191">
            <v>18.062762229181185</v>
          </cell>
          <cell r="DG1191">
            <v>21.679348620667902</v>
          </cell>
          <cell r="DH1191">
            <v>18.362277992096409</v>
          </cell>
          <cell r="DI1191">
            <v>14.300000632844487</v>
          </cell>
          <cell r="DJ1191">
            <v>22.424555351348332</v>
          </cell>
          <cell r="DU1191">
            <v>8.8149747563829735</v>
          </cell>
          <cell r="DV1191">
            <v>11.644336226312735</v>
          </cell>
          <cell r="DW1191">
            <v>9.8476005987137558</v>
          </cell>
          <cell r="DX1191">
            <v>7.1073990168282446</v>
          </cell>
          <cell r="DY1191">
            <v>12.587802180599267</v>
          </cell>
        </row>
        <row r="1192">
          <cell r="A1192">
            <v>41131</v>
          </cell>
          <cell r="DF1192">
            <v>17.958048566595004</v>
          </cell>
          <cell r="DG1192">
            <v>21.679348620667902</v>
          </cell>
          <cell r="DH1192">
            <v>18.362277992096409</v>
          </cell>
          <cell r="DI1192">
            <v>14.300000632844487</v>
          </cell>
          <cell r="DJ1192">
            <v>22.424555351348332</v>
          </cell>
          <cell r="DU1192">
            <v>8.7547815074602973</v>
          </cell>
          <cell r="DV1192">
            <v>11.644336226312735</v>
          </cell>
          <cell r="DW1192">
            <v>9.8476005987137558</v>
          </cell>
          <cell r="DX1192">
            <v>7.1073990168282446</v>
          </cell>
          <cell r="DY1192">
            <v>12.587802180599267</v>
          </cell>
        </row>
        <row r="1193">
          <cell r="A1193">
            <v>41134</v>
          </cell>
          <cell r="DF1193">
            <v>17.977680701306603</v>
          </cell>
          <cell r="DG1193">
            <v>21.679348620667902</v>
          </cell>
          <cell r="DH1193">
            <v>18.362277992096409</v>
          </cell>
          <cell r="DI1193">
            <v>14.300000632844487</v>
          </cell>
          <cell r="DJ1193">
            <v>22.424555351348332</v>
          </cell>
          <cell r="DU1193">
            <v>8.7660667776188728</v>
          </cell>
          <cell r="DV1193">
            <v>11.644336226312735</v>
          </cell>
          <cell r="DW1193">
            <v>9.8476005987137558</v>
          </cell>
          <cell r="DX1193">
            <v>7.1073990168282446</v>
          </cell>
          <cell r="DY1193">
            <v>12.587802180599267</v>
          </cell>
        </row>
        <row r="1194">
          <cell r="A1194">
            <v>41135</v>
          </cell>
          <cell r="DF1194">
            <v>17.918782988275559</v>
          </cell>
          <cell r="DG1194">
            <v>21.679348620667902</v>
          </cell>
          <cell r="DH1194">
            <v>18.362277992096409</v>
          </cell>
          <cell r="DI1194">
            <v>14.300000632844487</v>
          </cell>
          <cell r="DJ1194">
            <v>22.424555351348332</v>
          </cell>
          <cell r="DU1194">
            <v>8.7322102147416452</v>
          </cell>
          <cell r="DV1194">
            <v>11.644336226312735</v>
          </cell>
          <cell r="DW1194">
            <v>9.8476005987137558</v>
          </cell>
          <cell r="DX1194">
            <v>7.1073990168282446</v>
          </cell>
          <cell r="DY1194">
            <v>12.587802180599267</v>
          </cell>
        </row>
        <row r="1195">
          <cell r="A1195">
            <v>41136</v>
          </cell>
          <cell r="DF1195">
            <v>17.702813799693061</v>
          </cell>
          <cell r="DG1195">
            <v>21.679348620667902</v>
          </cell>
          <cell r="DH1195">
            <v>18.362277992096409</v>
          </cell>
          <cell r="DI1195">
            <v>14.300000632844487</v>
          </cell>
          <cell r="DJ1195">
            <v>22.424555351348332</v>
          </cell>
          <cell r="DU1195">
            <v>8.6080632141792766</v>
          </cell>
          <cell r="DV1195">
            <v>11.644336226312735</v>
          </cell>
          <cell r="DW1195">
            <v>9.8476005987137558</v>
          </cell>
          <cell r="DX1195">
            <v>7.1073990168282446</v>
          </cell>
          <cell r="DY1195">
            <v>12.587802180599267</v>
          </cell>
        </row>
        <row r="1196">
          <cell r="A1196">
            <v>41137</v>
          </cell>
          <cell r="DF1196">
            <v>17.27088589369799</v>
          </cell>
          <cell r="DG1196">
            <v>21.679348620667902</v>
          </cell>
          <cell r="DH1196">
            <v>18.362277992096409</v>
          </cell>
          <cell r="DI1196">
            <v>14.300000632844487</v>
          </cell>
          <cell r="DJ1196">
            <v>22.424555351348332</v>
          </cell>
          <cell r="DU1196">
            <v>8.3598714760696478</v>
          </cell>
          <cell r="DV1196">
            <v>11.644336226312735</v>
          </cell>
          <cell r="DW1196">
            <v>9.8476005987137558</v>
          </cell>
          <cell r="DX1196">
            <v>7.1073990168282446</v>
          </cell>
          <cell r="DY1196">
            <v>12.587802180599267</v>
          </cell>
        </row>
        <row r="1197">
          <cell r="A1197">
            <v>41138</v>
          </cell>
          <cell r="DF1197">
            <v>17.342875186926744</v>
          </cell>
          <cell r="DG1197">
            <v>21.679348620667902</v>
          </cell>
          <cell r="DH1197">
            <v>18.362277992096409</v>
          </cell>
          <cell r="DI1197">
            <v>14.300000632844487</v>
          </cell>
          <cell r="DJ1197">
            <v>22.424555351348332</v>
          </cell>
          <cell r="DU1197">
            <v>8.4012540352105223</v>
          </cell>
          <cell r="DV1197">
            <v>11.644336226312735</v>
          </cell>
          <cell r="DW1197">
            <v>9.8476005987137558</v>
          </cell>
          <cell r="DX1197">
            <v>7.1073990168282446</v>
          </cell>
          <cell r="DY1197">
            <v>12.587802180599267</v>
          </cell>
        </row>
        <row r="1198">
          <cell r="A1198">
            <v>41141</v>
          </cell>
          <cell r="DF1198">
            <v>17.539201769627716</v>
          </cell>
          <cell r="DG1198">
            <v>21.679348620667902</v>
          </cell>
          <cell r="DH1198">
            <v>18.362277992096409</v>
          </cell>
          <cell r="DI1198">
            <v>14.300000632844487</v>
          </cell>
          <cell r="DJ1198">
            <v>22.424555351348332</v>
          </cell>
          <cell r="DU1198">
            <v>8.5141110456791811</v>
          </cell>
          <cell r="DV1198">
            <v>11.644336226312735</v>
          </cell>
          <cell r="DW1198">
            <v>9.8476005987137558</v>
          </cell>
          <cell r="DX1198">
            <v>7.1073990168282446</v>
          </cell>
          <cell r="DY1198">
            <v>12.587802180599267</v>
          </cell>
        </row>
        <row r="1199">
          <cell r="A1199">
            <v>41142</v>
          </cell>
          <cell r="DF1199">
            <v>17.645256322747816</v>
          </cell>
          <cell r="DG1199">
            <v>21.679348620667902</v>
          </cell>
          <cell r="DH1199">
            <v>18.362277992096409</v>
          </cell>
          <cell r="DI1199">
            <v>14.300000632844487</v>
          </cell>
          <cell r="DJ1199">
            <v>22.424555351348332</v>
          </cell>
          <cell r="DU1199">
            <v>8.5845397280408413</v>
          </cell>
          <cell r="DV1199">
            <v>11.644336226312735</v>
          </cell>
          <cell r="DW1199">
            <v>9.8476005987137558</v>
          </cell>
          <cell r="DX1199">
            <v>7.1073990168282446</v>
          </cell>
          <cell r="DY1199">
            <v>12.587802180599267</v>
          </cell>
        </row>
        <row r="1200">
          <cell r="A1200">
            <v>41143</v>
          </cell>
          <cell r="DF1200">
            <v>17.715551542138716</v>
          </cell>
          <cell r="DG1200">
            <v>21.679348620667902</v>
          </cell>
          <cell r="DH1200">
            <v>18.362277992096409</v>
          </cell>
          <cell r="DI1200">
            <v>14.300000632844487</v>
          </cell>
          <cell r="DJ1200">
            <v>22.424555351348332</v>
          </cell>
          <cell r="DU1200">
            <v>8.6650046821173543</v>
          </cell>
          <cell r="DV1200">
            <v>11.644336226312735</v>
          </cell>
          <cell r="DW1200">
            <v>9.8476005987137558</v>
          </cell>
          <cell r="DX1200">
            <v>7.1073990168282446</v>
          </cell>
          <cell r="DY1200">
            <v>12.587802180599267</v>
          </cell>
        </row>
        <row r="1201">
          <cell r="A1201">
            <v>41144</v>
          </cell>
          <cell r="DF1201">
            <v>18.012960803796634</v>
          </cell>
          <cell r="DG1201">
            <v>21.679348620667902</v>
          </cell>
          <cell r="DH1201">
            <v>18.362277992096409</v>
          </cell>
          <cell r="DI1201">
            <v>14.300000632844487</v>
          </cell>
          <cell r="DJ1201">
            <v>22.424555351348332</v>
          </cell>
          <cell r="DU1201">
            <v>8.8365743216288468</v>
          </cell>
          <cell r="DV1201">
            <v>11.644336226312735</v>
          </cell>
          <cell r="DW1201">
            <v>9.8476005987137558</v>
          </cell>
          <cell r="DX1201">
            <v>7.1073990168282446</v>
          </cell>
          <cell r="DY1201">
            <v>12.587802180599267</v>
          </cell>
        </row>
        <row r="1202">
          <cell r="A1202">
            <v>41145</v>
          </cell>
          <cell r="DF1202">
            <v>18.303917465341193</v>
          </cell>
          <cell r="DG1202">
            <v>21.679348620667902</v>
          </cell>
          <cell r="DH1202">
            <v>18.362277992096409</v>
          </cell>
          <cell r="DI1202">
            <v>14.300000632844487</v>
          </cell>
          <cell r="DJ1202">
            <v>22.424555351348332</v>
          </cell>
          <cell r="DU1202">
            <v>9.0044215811808481</v>
          </cell>
          <cell r="DV1202">
            <v>11.644336226312735</v>
          </cell>
          <cell r="DW1202">
            <v>9.8476005987137558</v>
          </cell>
          <cell r="DX1202">
            <v>7.1073990168282446</v>
          </cell>
          <cell r="DY1202">
            <v>12.587802180599267</v>
          </cell>
        </row>
        <row r="1203">
          <cell r="A1203">
            <v>41148</v>
          </cell>
          <cell r="DF1203">
            <v>18.310379763751321</v>
          </cell>
          <cell r="DG1203">
            <v>21.679348620667902</v>
          </cell>
          <cell r="DH1203">
            <v>18.362277992096409</v>
          </cell>
          <cell r="DI1203">
            <v>14.300000632844487</v>
          </cell>
          <cell r="DJ1203">
            <v>22.424555351348332</v>
          </cell>
          <cell r="DU1203">
            <v>9.008149555899795</v>
          </cell>
          <cell r="DV1203">
            <v>11.644336226312735</v>
          </cell>
          <cell r="DW1203">
            <v>9.8476005987137558</v>
          </cell>
          <cell r="DX1203">
            <v>7.1073990168282446</v>
          </cell>
          <cell r="DY1203">
            <v>12.587802180599267</v>
          </cell>
        </row>
        <row r="1204">
          <cell r="A1204">
            <v>41149</v>
          </cell>
          <cell r="DF1204">
            <v>18.284521518367168</v>
          </cell>
          <cell r="DG1204">
            <v>21.679348620667902</v>
          </cell>
          <cell r="DH1204">
            <v>18.362277992096409</v>
          </cell>
          <cell r="DI1204">
            <v>14.300000632844487</v>
          </cell>
          <cell r="DJ1204">
            <v>22.424555351348332</v>
          </cell>
          <cell r="DU1204">
            <v>8.9932324352485171</v>
          </cell>
          <cell r="DV1204">
            <v>11.644336226312735</v>
          </cell>
          <cell r="DW1204">
            <v>9.8476005987137558</v>
          </cell>
          <cell r="DX1204">
            <v>7.1073990168282446</v>
          </cell>
          <cell r="DY1204">
            <v>12.587802180599267</v>
          </cell>
        </row>
        <row r="1205">
          <cell r="A1205">
            <v>41150</v>
          </cell>
          <cell r="DF1205">
            <v>18.032366449067425</v>
          </cell>
          <cell r="DG1205">
            <v>21.679348620667902</v>
          </cell>
          <cell r="DH1205">
            <v>18.362277992096409</v>
          </cell>
          <cell r="DI1205">
            <v>14.300000632844487</v>
          </cell>
          <cell r="DJ1205">
            <v>22.424555351348332</v>
          </cell>
          <cell r="DU1205">
            <v>8.8187516692826566</v>
          </cell>
          <cell r="DV1205">
            <v>11.644336226312735</v>
          </cell>
          <cell r="DW1205">
            <v>9.8476005987137558</v>
          </cell>
          <cell r="DX1205">
            <v>7.1073990168282446</v>
          </cell>
          <cell r="DY1205">
            <v>12.587802180599267</v>
          </cell>
        </row>
        <row r="1206">
          <cell r="A1206">
            <v>41151</v>
          </cell>
          <cell r="DF1206">
            <v>17.469858771249097</v>
          </cell>
          <cell r="DG1206">
            <v>21.679348620667902</v>
          </cell>
          <cell r="DH1206">
            <v>18.362277992096409</v>
          </cell>
          <cell r="DI1206">
            <v>14.300000632844487</v>
          </cell>
          <cell r="DJ1206">
            <v>22.424555351348332</v>
          </cell>
          <cell r="DU1206">
            <v>8.4951570691464173</v>
          </cell>
          <cell r="DV1206">
            <v>11.644336226312735</v>
          </cell>
          <cell r="DW1206">
            <v>9.8476005987137558</v>
          </cell>
          <cell r="DX1206">
            <v>7.1073990168282446</v>
          </cell>
          <cell r="DY1206">
            <v>12.587802180599267</v>
          </cell>
        </row>
        <row r="1207">
          <cell r="A1207">
            <v>41152</v>
          </cell>
          <cell r="DF1207">
            <v>17.476330121402871</v>
          </cell>
          <cell r="DG1207">
            <v>21.679348620667902</v>
          </cell>
          <cell r="DH1207">
            <v>18.362277992096409</v>
          </cell>
          <cell r="DI1207">
            <v>14.300000632844487</v>
          </cell>
          <cell r="DJ1207">
            <v>22.424555351348332</v>
          </cell>
          <cell r="DU1207">
            <v>8.4988798520486384</v>
          </cell>
          <cell r="DV1207">
            <v>11.644336226312735</v>
          </cell>
          <cell r="DW1207">
            <v>9.8476005987137558</v>
          </cell>
          <cell r="DX1207">
            <v>7.1073990168282446</v>
          </cell>
          <cell r="DY1207">
            <v>12.587802180599267</v>
          </cell>
        </row>
        <row r="1208">
          <cell r="A1208">
            <v>41155</v>
          </cell>
          <cell r="DF1208">
            <v>17.534517962324948</v>
          </cell>
          <cell r="DG1208">
            <v>21.679348620667902</v>
          </cell>
          <cell r="DH1208">
            <v>18.362277992096409</v>
          </cell>
          <cell r="DI1208">
            <v>14.300000632844487</v>
          </cell>
          <cell r="DJ1208">
            <v>22.424555351348332</v>
          </cell>
          <cell r="DU1208">
            <v>8.5323536549112049</v>
          </cell>
          <cell r="DV1208">
            <v>11.644336226312735</v>
          </cell>
          <cell r="DW1208">
            <v>9.8476005987137558</v>
          </cell>
          <cell r="DX1208">
            <v>7.1073990168282446</v>
          </cell>
          <cell r="DY1208">
            <v>12.587802180599267</v>
          </cell>
        </row>
        <row r="1209">
          <cell r="A1209">
            <v>41156</v>
          </cell>
          <cell r="DF1209">
            <v>17.515122015350922</v>
          </cell>
          <cell r="DG1209">
            <v>21.679348620667902</v>
          </cell>
          <cell r="DH1209">
            <v>18.362277992096409</v>
          </cell>
          <cell r="DI1209">
            <v>14.300000632844487</v>
          </cell>
          <cell r="DJ1209">
            <v>22.424555351348332</v>
          </cell>
          <cell r="DU1209">
            <v>8.5211957206236839</v>
          </cell>
          <cell r="DV1209">
            <v>11.644336226312735</v>
          </cell>
          <cell r="DW1209">
            <v>9.8476005987137558</v>
          </cell>
          <cell r="DX1209">
            <v>7.1073990168282446</v>
          </cell>
          <cell r="DY1209">
            <v>12.587802180599267</v>
          </cell>
        </row>
        <row r="1210">
          <cell r="A1210">
            <v>41157</v>
          </cell>
          <cell r="DF1210">
            <v>17.366407686225198</v>
          </cell>
          <cell r="DG1210">
            <v>21.679348620667902</v>
          </cell>
          <cell r="DH1210">
            <v>18.362277992096409</v>
          </cell>
          <cell r="DI1210">
            <v>14.300000632844487</v>
          </cell>
          <cell r="DJ1210">
            <v>22.424555351348332</v>
          </cell>
          <cell r="DU1210">
            <v>8.4356446148065807</v>
          </cell>
          <cell r="DV1210">
            <v>11.644336226312735</v>
          </cell>
          <cell r="DW1210">
            <v>9.8476005987137558</v>
          </cell>
          <cell r="DX1210">
            <v>7.1073990168282446</v>
          </cell>
          <cell r="DY1210">
            <v>12.587802180599267</v>
          </cell>
        </row>
        <row r="1211">
          <cell r="A1211">
            <v>41158</v>
          </cell>
          <cell r="DF1211">
            <v>17.542303924630964</v>
          </cell>
          <cell r="DG1211">
            <v>21.679348620667902</v>
          </cell>
          <cell r="DH1211">
            <v>18.362277992096409</v>
          </cell>
          <cell r="DI1211">
            <v>14.300000632844487</v>
          </cell>
          <cell r="DJ1211">
            <v>22.424555351348332</v>
          </cell>
          <cell r="DU1211">
            <v>8.5331384701098383</v>
          </cell>
          <cell r="DV1211">
            <v>11.644336226312735</v>
          </cell>
          <cell r="DW1211">
            <v>9.8476005987137558</v>
          </cell>
          <cell r="DX1211">
            <v>7.1073990168282446</v>
          </cell>
          <cell r="DY1211">
            <v>12.587802180599267</v>
          </cell>
        </row>
        <row r="1212">
          <cell r="A1212">
            <v>41159</v>
          </cell>
          <cell r="DF1212">
            <v>17.599887362408371</v>
          </cell>
          <cell r="DG1212">
            <v>21.679348620667902</v>
          </cell>
          <cell r="DH1212">
            <v>18.362277992096409</v>
          </cell>
          <cell r="DI1212">
            <v>14.300000632844487</v>
          </cell>
          <cell r="DJ1212">
            <v>22.424555351348332</v>
          </cell>
          <cell r="DU1212">
            <v>8.5646414275939744</v>
          </cell>
          <cell r="DV1212">
            <v>11.644336226312735</v>
          </cell>
          <cell r="DW1212">
            <v>9.8476005987137558</v>
          </cell>
          <cell r="DX1212">
            <v>7.1073990168282446</v>
          </cell>
          <cell r="DY1212">
            <v>12.587802180599267</v>
          </cell>
        </row>
        <row r="1213">
          <cell r="A1213">
            <v>41162</v>
          </cell>
          <cell r="DF1213">
            <v>17.092245182713086</v>
          </cell>
          <cell r="DG1213">
            <v>21.679348620667902</v>
          </cell>
          <cell r="DH1213">
            <v>18.362277992096409</v>
          </cell>
          <cell r="DI1213">
            <v>14.300000632844487</v>
          </cell>
          <cell r="DJ1213">
            <v>22.424555351348332</v>
          </cell>
          <cell r="DU1213">
            <v>8.2760878783317864</v>
          </cell>
          <cell r="DV1213">
            <v>11.644336226312735</v>
          </cell>
          <cell r="DW1213">
            <v>9.8476005987137558</v>
          </cell>
          <cell r="DX1213">
            <v>7.1073990168282446</v>
          </cell>
          <cell r="DY1213">
            <v>12.587802180599267</v>
          </cell>
        </row>
        <row r="1214">
          <cell r="A1214">
            <v>41163</v>
          </cell>
          <cell r="DF1214">
            <v>16.711128049766863</v>
          </cell>
          <cell r="DG1214">
            <v>21.679348620667902</v>
          </cell>
          <cell r="DH1214">
            <v>18.362277992096409</v>
          </cell>
          <cell r="DI1214">
            <v>14.300000632844487</v>
          </cell>
          <cell r="DJ1214">
            <v>22.424555351348332</v>
          </cell>
          <cell r="DU1214">
            <v>8.0569281839625031</v>
          </cell>
          <cell r="DV1214">
            <v>11.644336226312735</v>
          </cell>
          <cell r="DW1214">
            <v>9.8476005987137558</v>
          </cell>
          <cell r="DX1214">
            <v>7.1073990168282446</v>
          </cell>
          <cell r="DY1214">
            <v>12.587802180599267</v>
          </cell>
        </row>
        <row r="1215">
          <cell r="A1215">
            <v>41164</v>
          </cell>
          <cell r="DF1215">
            <v>16.43335766470673</v>
          </cell>
          <cell r="DG1215">
            <v>21.679348620667902</v>
          </cell>
          <cell r="DH1215">
            <v>18.362277992096409</v>
          </cell>
          <cell r="DI1215">
            <v>14.300000632844487</v>
          </cell>
          <cell r="DJ1215">
            <v>22.424555351348332</v>
          </cell>
          <cell r="DU1215">
            <v>7.8971975724730239</v>
          </cell>
          <cell r="DV1215">
            <v>11.644336226312735</v>
          </cell>
          <cell r="DW1215">
            <v>9.8476005987137558</v>
          </cell>
          <cell r="DX1215">
            <v>7.1073990168282446</v>
          </cell>
          <cell r="DY1215">
            <v>12.587802180599267</v>
          </cell>
        </row>
        <row r="1216">
          <cell r="A1216">
            <v>41165</v>
          </cell>
          <cell r="DF1216">
            <v>16.388145238912024</v>
          </cell>
          <cell r="DG1216">
            <v>21.679348620667902</v>
          </cell>
          <cell r="DH1216">
            <v>18.362277992096409</v>
          </cell>
          <cell r="DI1216">
            <v>14.300000632844487</v>
          </cell>
          <cell r="DJ1216">
            <v>22.424555351348332</v>
          </cell>
          <cell r="DU1216">
            <v>7.871198370227086</v>
          </cell>
          <cell r="DV1216">
            <v>11.644336226312735</v>
          </cell>
          <cell r="DW1216">
            <v>9.8476005987137558</v>
          </cell>
          <cell r="DX1216">
            <v>7.1073990168282446</v>
          </cell>
          <cell r="DY1216">
            <v>12.587802180599267</v>
          </cell>
        </row>
        <row r="1217">
          <cell r="A1217">
            <v>41166</v>
          </cell>
          <cell r="DF1217">
            <v>16.808019017229586</v>
          </cell>
          <cell r="DG1217">
            <v>21.679348620667902</v>
          </cell>
          <cell r="DH1217">
            <v>18.362277992096409</v>
          </cell>
          <cell r="DI1217">
            <v>14.300000632844487</v>
          </cell>
          <cell r="DJ1217">
            <v>22.424555351348332</v>
          </cell>
          <cell r="DU1217">
            <v>8.1126448993253639</v>
          </cell>
          <cell r="DV1217">
            <v>11.644336226312735</v>
          </cell>
          <cell r="DW1217">
            <v>9.8476005987137558</v>
          </cell>
          <cell r="DX1217">
            <v>7.1073990168282446</v>
          </cell>
          <cell r="DY1217">
            <v>12.587802180599267</v>
          </cell>
        </row>
        <row r="1218">
          <cell r="A1218">
            <v>41169</v>
          </cell>
          <cell r="DF1218">
            <v>16.866293437374658</v>
          </cell>
          <cell r="DG1218">
            <v>21.679348620667902</v>
          </cell>
          <cell r="DH1218">
            <v>18.362277992096409</v>
          </cell>
          <cell r="DI1218">
            <v>14.300000632844487</v>
          </cell>
          <cell r="DJ1218">
            <v>22.424555351348332</v>
          </cell>
          <cell r="DU1218">
            <v>8.15722376921814</v>
          </cell>
          <cell r="DV1218">
            <v>11.644336226312735</v>
          </cell>
          <cell r="DW1218">
            <v>9.8476005987137558</v>
          </cell>
          <cell r="DX1218">
            <v>7.1073990168282446</v>
          </cell>
          <cell r="DY1218">
            <v>12.587802180599267</v>
          </cell>
        </row>
        <row r="1219">
          <cell r="A1219">
            <v>41170</v>
          </cell>
          <cell r="DF1219">
            <v>16.801766637776414</v>
          </cell>
          <cell r="DG1219">
            <v>21.679348620667902</v>
          </cell>
          <cell r="DH1219">
            <v>18.362277992096409</v>
          </cell>
          <cell r="DI1219">
            <v>14.300000632844487</v>
          </cell>
          <cell r="DJ1219">
            <v>22.424555351348332</v>
          </cell>
          <cell r="DU1219">
            <v>8.1200755777132905</v>
          </cell>
          <cell r="DV1219">
            <v>11.644336226312735</v>
          </cell>
          <cell r="DW1219">
            <v>9.8476005987137558</v>
          </cell>
          <cell r="DX1219">
            <v>7.1073990168282446</v>
          </cell>
          <cell r="DY1219">
            <v>12.587802180599267</v>
          </cell>
        </row>
        <row r="1220">
          <cell r="A1220">
            <v>41171</v>
          </cell>
          <cell r="DF1220">
            <v>16.801766637776414</v>
          </cell>
          <cell r="DG1220">
            <v>21.679348620667902</v>
          </cell>
          <cell r="DH1220">
            <v>18.362277992096409</v>
          </cell>
          <cell r="DI1220">
            <v>14.300000632844487</v>
          </cell>
          <cell r="DJ1220">
            <v>22.424555351348332</v>
          </cell>
          <cell r="DU1220">
            <v>8.1200755777132905</v>
          </cell>
          <cell r="DV1220">
            <v>11.644336226312735</v>
          </cell>
          <cell r="DW1220">
            <v>9.8476005987137558</v>
          </cell>
          <cell r="DX1220">
            <v>7.1073990168282446</v>
          </cell>
          <cell r="DY1220">
            <v>12.587802180599267</v>
          </cell>
        </row>
        <row r="1221">
          <cell r="A1221">
            <v>41172</v>
          </cell>
          <cell r="DF1221">
            <v>16.791834936140244</v>
          </cell>
          <cell r="DG1221">
            <v>21.679348620667902</v>
          </cell>
          <cell r="DH1221">
            <v>18.362277992096409</v>
          </cell>
          <cell r="DI1221">
            <v>14.300000632844487</v>
          </cell>
          <cell r="DJ1221">
            <v>22.424555351348332</v>
          </cell>
          <cell r="DU1221">
            <v>8.1200755777132905</v>
          </cell>
          <cell r="DV1221">
            <v>11.644336226312735</v>
          </cell>
          <cell r="DW1221">
            <v>9.8476005987137558</v>
          </cell>
          <cell r="DX1221">
            <v>7.1073990168282446</v>
          </cell>
          <cell r="DY1221">
            <v>12.587802180599267</v>
          </cell>
        </row>
        <row r="1222">
          <cell r="A1222">
            <v>41173</v>
          </cell>
          <cell r="DF1222">
            <v>16.875668384829709</v>
          </cell>
          <cell r="DG1222">
            <v>21.679348620667902</v>
          </cell>
          <cell r="DH1222">
            <v>18.362277992096409</v>
          </cell>
          <cell r="DI1222">
            <v>14.300000632844487</v>
          </cell>
          <cell r="DJ1222">
            <v>22.424555351348332</v>
          </cell>
          <cell r="DU1222">
            <v>8.1683671865826373</v>
          </cell>
          <cell r="DV1222">
            <v>11.644336226312735</v>
          </cell>
          <cell r="DW1222">
            <v>9.8476005987137558</v>
          </cell>
          <cell r="DX1222">
            <v>7.1073990168282446</v>
          </cell>
          <cell r="DY1222">
            <v>12.587802180599267</v>
          </cell>
        </row>
        <row r="1223">
          <cell r="A1223">
            <v>41176</v>
          </cell>
          <cell r="DF1223">
            <v>17.109506418724145</v>
          </cell>
          <cell r="DG1223">
            <v>21.679348620667902</v>
          </cell>
          <cell r="DH1223">
            <v>18.362277992096409</v>
          </cell>
          <cell r="DI1223">
            <v>14.300000632844487</v>
          </cell>
          <cell r="DJ1223">
            <v>22.424555351348332</v>
          </cell>
          <cell r="DU1223">
            <v>8.3316702254776871</v>
          </cell>
          <cell r="DV1223">
            <v>11.644336226312735</v>
          </cell>
          <cell r="DW1223">
            <v>9.8476005987137558</v>
          </cell>
          <cell r="DX1223">
            <v>7.1073990168282446</v>
          </cell>
          <cell r="DY1223">
            <v>12.587802180599267</v>
          </cell>
        </row>
        <row r="1224">
          <cell r="A1224">
            <v>41177</v>
          </cell>
          <cell r="DF1224">
            <v>17.205060450225368</v>
          </cell>
          <cell r="DG1224">
            <v>21.679348620667902</v>
          </cell>
          <cell r="DH1224">
            <v>18.362277992096409</v>
          </cell>
          <cell r="DI1224">
            <v>14.300000632844487</v>
          </cell>
          <cell r="DJ1224">
            <v>22.424555351348332</v>
          </cell>
          <cell r="DU1224">
            <v>8.386785181729099</v>
          </cell>
          <cell r="DV1224">
            <v>11.644336226312735</v>
          </cell>
          <cell r="DW1224">
            <v>9.8476005987137558</v>
          </cell>
          <cell r="DX1224">
            <v>7.1073990168282446</v>
          </cell>
          <cell r="DY1224">
            <v>12.587802180599267</v>
          </cell>
        </row>
        <row r="1225">
          <cell r="A1225">
            <v>41178</v>
          </cell>
          <cell r="DF1225">
            <v>17.070446184104103</v>
          </cell>
          <cell r="DG1225">
            <v>21.679348620667902</v>
          </cell>
          <cell r="DH1225">
            <v>18.362277992096409</v>
          </cell>
          <cell r="DI1225">
            <v>14.300000632844487</v>
          </cell>
          <cell r="DJ1225">
            <v>22.424555351348332</v>
          </cell>
          <cell r="DU1225">
            <v>8.2890330888676882</v>
          </cell>
          <cell r="DV1225">
            <v>11.644336226312735</v>
          </cell>
          <cell r="DW1225">
            <v>9.8476005987137558</v>
          </cell>
          <cell r="DX1225">
            <v>7.1073990168282446</v>
          </cell>
          <cell r="DY1225">
            <v>12.587802180599267</v>
          </cell>
        </row>
        <row r="1226">
          <cell r="A1226">
            <v>41179</v>
          </cell>
          <cell r="DF1226">
            <v>18.985404941631025</v>
          </cell>
          <cell r="DG1226">
            <v>21.679348620667902</v>
          </cell>
          <cell r="DH1226">
            <v>18.362277992096409</v>
          </cell>
          <cell r="DI1226">
            <v>14.300000632844487</v>
          </cell>
          <cell r="DJ1226">
            <v>22.424555351348332</v>
          </cell>
          <cell r="DU1226">
            <v>9.478549208844699</v>
          </cell>
          <cell r="DV1226">
            <v>11.644336226312735</v>
          </cell>
          <cell r="DW1226">
            <v>9.8476005987137558</v>
          </cell>
          <cell r="DX1226">
            <v>7.1073990168282446</v>
          </cell>
          <cell r="DY1226">
            <v>12.587802180599267</v>
          </cell>
        </row>
        <row r="1227">
          <cell r="A1227">
            <v>41180</v>
          </cell>
          <cell r="DF1227">
            <v>18.518320922734372</v>
          </cell>
          <cell r="DG1227">
            <v>21.679348620667902</v>
          </cell>
          <cell r="DH1227">
            <v>18.362277992096409</v>
          </cell>
          <cell r="DI1227">
            <v>14.300000632844487</v>
          </cell>
          <cell r="DJ1227">
            <v>22.424555351348332</v>
          </cell>
          <cell r="DU1227">
            <v>9.2351690599817218</v>
          </cell>
          <cell r="DV1227">
            <v>11.644336226312735</v>
          </cell>
          <cell r="DW1227">
            <v>9.8476005987137558</v>
          </cell>
          <cell r="DX1227">
            <v>7.1073990168282446</v>
          </cell>
          <cell r="DY1227">
            <v>12.587802180599267</v>
          </cell>
        </row>
        <row r="1228">
          <cell r="A1228">
            <v>41183</v>
          </cell>
          <cell r="DF1228">
            <v>18.128333705306009</v>
          </cell>
          <cell r="DG1228">
            <v>21.679348620667902</v>
          </cell>
          <cell r="DH1228">
            <v>18.362277992096409</v>
          </cell>
          <cell r="DI1228">
            <v>14.300000632844487</v>
          </cell>
          <cell r="DJ1228">
            <v>22.424555351348332</v>
          </cell>
          <cell r="DU1228">
            <v>9.0666741578911552</v>
          </cell>
          <cell r="DV1228">
            <v>11.644336226312735</v>
          </cell>
          <cell r="DW1228">
            <v>9.8476005987137558</v>
          </cell>
          <cell r="DX1228">
            <v>7.1073990168282446</v>
          </cell>
          <cell r="DY1228">
            <v>12.587802180599267</v>
          </cell>
        </row>
        <row r="1229">
          <cell r="A1229">
            <v>41184</v>
          </cell>
          <cell r="DF1229">
            <v>18.048668284954314</v>
          </cell>
          <cell r="DG1229">
            <v>21.679348620667902</v>
          </cell>
          <cell r="DH1229">
            <v>18.362277992096409</v>
          </cell>
          <cell r="DI1229">
            <v>14.300000632844487</v>
          </cell>
          <cell r="DJ1229">
            <v>22.424555351348332</v>
          </cell>
          <cell r="DU1229">
            <v>9.0200728691220853</v>
          </cell>
          <cell r="DV1229">
            <v>11.644336226312735</v>
          </cell>
          <cell r="DW1229">
            <v>9.8476005987137558</v>
          </cell>
          <cell r="DX1229">
            <v>7.1073990168282446</v>
          </cell>
          <cell r="DY1229">
            <v>12.587802180599267</v>
          </cell>
        </row>
        <row r="1230">
          <cell r="A1230">
            <v>41185</v>
          </cell>
          <cell r="DF1230">
            <v>18.385742061319373</v>
          </cell>
          <cell r="DG1230">
            <v>21.679348620667902</v>
          </cell>
          <cell r="DH1230">
            <v>18.362277992096409</v>
          </cell>
          <cell r="DI1230">
            <v>14.300000632844487</v>
          </cell>
          <cell r="DJ1230">
            <v>22.424555351348332</v>
          </cell>
          <cell r="DU1230">
            <v>9.2172484105241619</v>
          </cell>
          <cell r="DV1230">
            <v>11.644336226312735</v>
          </cell>
          <cell r="DW1230">
            <v>9.8476005987137558</v>
          </cell>
          <cell r="DX1230">
            <v>7.1073990168282446</v>
          </cell>
          <cell r="DY1230">
            <v>12.587802180599267</v>
          </cell>
        </row>
        <row r="1231">
          <cell r="A1231">
            <v>41186</v>
          </cell>
          <cell r="DF1231">
            <v>18.450897232062353</v>
          </cell>
          <cell r="DG1231">
            <v>21.679348620667902</v>
          </cell>
          <cell r="DH1231">
            <v>18.362277992096409</v>
          </cell>
          <cell r="DI1231">
            <v>14.300000632844487</v>
          </cell>
          <cell r="DJ1231">
            <v>22.424555351348332</v>
          </cell>
          <cell r="DU1231">
            <v>9.306873167753702</v>
          </cell>
          <cell r="DV1231">
            <v>11.644336226312735</v>
          </cell>
          <cell r="DW1231">
            <v>9.8476005987137558</v>
          </cell>
          <cell r="DX1231">
            <v>7.1073990168282446</v>
          </cell>
          <cell r="DY1231">
            <v>12.587802180599267</v>
          </cell>
        </row>
        <row r="1232">
          <cell r="A1232">
            <v>41187</v>
          </cell>
          <cell r="DF1232">
            <v>18.316708278609429</v>
          </cell>
          <cell r="DG1232">
            <v>21.679348620667902</v>
          </cell>
          <cell r="DH1232">
            <v>18.362277992096409</v>
          </cell>
          <cell r="DI1232">
            <v>14.300000632844487</v>
          </cell>
          <cell r="DJ1232">
            <v>22.424555351348332</v>
          </cell>
          <cell r="DU1232">
            <v>9.228003022892679</v>
          </cell>
          <cell r="DV1232">
            <v>11.644336226312735</v>
          </cell>
          <cell r="DW1232">
            <v>9.8476005987137558</v>
          </cell>
          <cell r="DX1232">
            <v>7.1073990168282446</v>
          </cell>
          <cell r="DY1232">
            <v>12.587802180599267</v>
          </cell>
        </row>
        <row r="1233">
          <cell r="A1233">
            <v>41190</v>
          </cell>
          <cell r="DF1233">
            <v>18.542385624770649</v>
          </cell>
          <cell r="DG1233">
            <v>21.679348620667902</v>
          </cell>
          <cell r="DH1233">
            <v>18.362277992096409</v>
          </cell>
          <cell r="DI1233">
            <v>14.300000632844487</v>
          </cell>
          <cell r="DJ1233">
            <v>22.424555351348332</v>
          </cell>
          <cell r="DU1233">
            <v>9.3606458710972529</v>
          </cell>
          <cell r="DV1233">
            <v>11.644336226312735</v>
          </cell>
          <cell r="DW1233">
            <v>9.8476005987137558</v>
          </cell>
          <cell r="DX1233">
            <v>7.1073990168282446</v>
          </cell>
          <cell r="DY1233">
            <v>12.587802180599267</v>
          </cell>
        </row>
        <row r="1234">
          <cell r="A1234">
            <v>41191</v>
          </cell>
          <cell r="DF1234">
            <v>18.322804699033707</v>
          </cell>
          <cell r="DG1234">
            <v>21.679348620667902</v>
          </cell>
          <cell r="DH1234">
            <v>18.362277992096409</v>
          </cell>
          <cell r="DI1234">
            <v>14.300000632844487</v>
          </cell>
          <cell r="DJ1234">
            <v>22.424555351348332</v>
          </cell>
          <cell r="DU1234">
            <v>9.2315862206867134</v>
          </cell>
          <cell r="DV1234">
            <v>11.644336226312735</v>
          </cell>
          <cell r="DW1234">
            <v>9.8476005987137558</v>
          </cell>
          <cell r="DX1234">
            <v>7.1073990168282446</v>
          </cell>
          <cell r="DY1234">
            <v>12.587802180599267</v>
          </cell>
        </row>
        <row r="1235">
          <cell r="A1235">
            <v>41192</v>
          </cell>
          <cell r="DF1235">
            <v>18.693470431046432</v>
          </cell>
          <cell r="DG1235">
            <v>21.679348620667902</v>
          </cell>
          <cell r="DH1235">
            <v>18.362277992096409</v>
          </cell>
          <cell r="DI1235">
            <v>14.300000632844487</v>
          </cell>
          <cell r="DJ1235">
            <v>22.424555351348332</v>
          </cell>
          <cell r="DU1235">
            <v>9.4645190625793756</v>
          </cell>
          <cell r="DV1235">
            <v>11.644336226312735</v>
          </cell>
          <cell r="DW1235">
            <v>9.8476005987137558</v>
          </cell>
          <cell r="DX1235">
            <v>7.1073990168282446</v>
          </cell>
          <cell r="DY1235">
            <v>12.587802180599267</v>
          </cell>
        </row>
        <row r="1236">
          <cell r="A1236">
            <v>41193</v>
          </cell>
          <cell r="DF1236">
            <v>18.595628405277921</v>
          </cell>
          <cell r="DG1236">
            <v>21.679348620667902</v>
          </cell>
          <cell r="DH1236">
            <v>18.362277992096409</v>
          </cell>
          <cell r="DI1236">
            <v>14.300000632844487</v>
          </cell>
          <cell r="DJ1236">
            <v>22.424555351348332</v>
          </cell>
          <cell r="DU1236">
            <v>9.406896421925639</v>
          </cell>
          <cell r="DV1236">
            <v>11.644336226312735</v>
          </cell>
          <cell r="DW1236">
            <v>9.8476005987137558</v>
          </cell>
          <cell r="DX1236">
            <v>7.1073990168282446</v>
          </cell>
          <cell r="DY1236">
            <v>12.587802180599267</v>
          </cell>
        </row>
        <row r="1237">
          <cell r="A1237">
            <v>41194</v>
          </cell>
          <cell r="DF1237">
            <v>18.369377434525816</v>
          </cell>
          <cell r="DG1237">
            <v>21.679348620667902</v>
          </cell>
          <cell r="DH1237">
            <v>18.362277992096409</v>
          </cell>
          <cell r="DI1237">
            <v>14.300000632844487</v>
          </cell>
          <cell r="DJ1237">
            <v>22.424555351348332</v>
          </cell>
          <cell r="DU1237">
            <v>9.2736491973020119</v>
          </cell>
          <cell r="DV1237">
            <v>11.644336226312735</v>
          </cell>
          <cell r="DW1237">
            <v>9.8476005987137558</v>
          </cell>
          <cell r="DX1237">
            <v>7.1073990168282446</v>
          </cell>
          <cell r="DY1237">
            <v>12.587802180599267</v>
          </cell>
        </row>
        <row r="1238">
          <cell r="A1238">
            <v>41197</v>
          </cell>
          <cell r="DF1238">
            <v>18.369377434525816</v>
          </cell>
          <cell r="DG1238">
            <v>21.679348620667902</v>
          </cell>
          <cell r="DH1238">
            <v>18.362277992096409</v>
          </cell>
          <cell r="DI1238">
            <v>14.300000632844487</v>
          </cell>
          <cell r="DJ1238">
            <v>22.424555351348332</v>
          </cell>
          <cell r="DU1238">
            <v>9.2736491973020119</v>
          </cell>
          <cell r="DV1238">
            <v>11.644336226312735</v>
          </cell>
          <cell r="DW1238">
            <v>9.8476005987137558</v>
          </cell>
          <cell r="DX1238">
            <v>7.1073990168282446</v>
          </cell>
          <cell r="DY1238">
            <v>12.587802180599267</v>
          </cell>
        </row>
        <row r="1239">
          <cell r="A1239">
            <v>41198</v>
          </cell>
          <cell r="DF1239">
            <v>18.577284095566728</v>
          </cell>
          <cell r="DG1239">
            <v>21.679348620667902</v>
          </cell>
          <cell r="DH1239">
            <v>18.362277992096409</v>
          </cell>
          <cell r="DI1239">
            <v>14.300000632844487</v>
          </cell>
          <cell r="DJ1239">
            <v>22.424555351348332</v>
          </cell>
          <cell r="DU1239">
            <v>9.3960928070349414</v>
          </cell>
          <cell r="DV1239">
            <v>11.644336226312735</v>
          </cell>
          <cell r="DW1239">
            <v>9.8476005987137558</v>
          </cell>
          <cell r="DX1239">
            <v>7.1073990168282446</v>
          </cell>
          <cell r="DY1239">
            <v>12.587802180599267</v>
          </cell>
        </row>
        <row r="1240">
          <cell r="A1240">
            <v>41199</v>
          </cell>
          <cell r="DF1240">
            <v>18.742390832433312</v>
          </cell>
          <cell r="DG1240">
            <v>21.679348620667902</v>
          </cell>
          <cell r="DH1240">
            <v>18.362277992096409</v>
          </cell>
          <cell r="DI1240">
            <v>14.300000632844487</v>
          </cell>
          <cell r="DJ1240">
            <v>22.424555351348332</v>
          </cell>
          <cell r="DU1240">
            <v>9.4933300227737405</v>
          </cell>
          <cell r="DV1240">
            <v>11.644336226312735</v>
          </cell>
          <cell r="DW1240">
            <v>9.8476005987137558</v>
          </cell>
          <cell r="DX1240">
            <v>7.1073990168282446</v>
          </cell>
          <cell r="DY1240">
            <v>12.587802180599267</v>
          </cell>
        </row>
        <row r="1241">
          <cell r="A1241">
            <v>41200</v>
          </cell>
          <cell r="DF1241">
            <v>18.595628405277921</v>
          </cell>
          <cell r="DG1241">
            <v>21.679348620667902</v>
          </cell>
          <cell r="DH1241">
            <v>18.362277992096409</v>
          </cell>
          <cell r="DI1241">
            <v>14.300000632844487</v>
          </cell>
          <cell r="DJ1241">
            <v>22.424555351348332</v>
          </cell>
          <cell r="DU1241">
            <v>9.3352004175215466</v>
          </cell>
          <cell r="DV1241">
            <v>11.644336226312735</v>
          </cell>
          <cell r="DW1241">
            <v>9.8476005987137558</v>
          </cell>
          <cell r="DX1241">
            <v>7.1073990168282446</v>
          </cell>
          <cell r="DY1241">
            <v>12.587802180599267</v>
          </cell>
        </row>
        <row r="1242">
          <cell r="A1242">
            <v>41201</v>
          </cell>
          <cell r="DF1242">
            <v>18.161470161987531</v>
          </cell>
          <cell r="DG1242">
            <v>21.679348620667902</v>
          </cell>
          <cell r="DH1242">
            <v>18.362277992096409</v>
          </cell>
          <cell r="DI1242">
            <v>14.300000632844487</v>
          </cell>
          <cell r="DJ1242">
            <v>22.424555351348332</v>
          </cell>
          <cell r="DU1242">
            <v>9.081458009984523</v>
          </cell>
          <cell r="DV1242">
            <v>11.644336226312735</v>
          </cell>
          <cell r="DW1242">
            <v>9.8476005987137558</v>
          </cell>
          <cell r="DX1242">
            <v>7.1073990168282446</v>
          </cell>
          <cell r="DY1242">
            <v>12.587802180599267</v>
          </cell>
        </row>
        <row r="1243">
          <cell r="A1243">
            <v>41204</v>
          </cell>
          <cell r="DF1243">
            <v>18.253191099046116</v>
          </cell>
          <cell r="DG1243">
            <v>21.679348620667902</v>
          </cell>
          <cell r="DH1243">
            <v>18.362277992096409</v>
          </cell>
          <cell r="DI1243">
            <v>14.300000632844487</v>
          </cell>
          <cell r="DJ1243">
            <v>22.424555351348332</v>
          </cell>
          <cell r="DU1243">
            <v>9.1350640205819786</v>
          </cell>
          <cell r="DV1243">
            <v>11.644336226312735</v>
          </cell>
          <cell r="DW1243">
            <v>9.8476005987137558</v>
          </cell>
          <cell r="DX1243">
            <v>7.1073990168282446</v>
          </cell>
          <cell r="DY1243">
            <v>12.587802180599267</v>
          </cell>
        </row>
        <row r="1244">
          <cell r="A1244">
            <v>41205</v>
          </cell>
          <cell r="DF1244">
            <v>17.562196009369956</v>
          </cell>
          <cell r="DG1244">
            <v>21.679348620667902</v>
          </cell>
          <cell r="DH1244">
            <v>18.362277992096409</v>
          </cell>
          <cell r="DI1244">
            <v>14.300000632844487</v>
          </cell>
          <cell r="DJ1244">
            <v>22.424555351348332</v>
          </cell>
          <cell r="DU1244">
            <v>8.7312141332186375</v>
          </cell>
          <cell r="DV1244">
            <v>11.644336226312735</v>
          </cell>
          <cell r="DW1244">
            <v>9.8476005987137558</v>
          </cell>
          <cell r="DX1244">
            <v>7.1073990168282446</v>
          </cell>
          <cell r="DY1244">
            <v>12.587802180599267</v>
          </cell>
        </row>
        <row r="1245">
          <cell r="A1245">
            <v>41206</v>
          </cell>
          <cell r="DF1245">
            <v>16.803517916097277</v>
          </cell>
          <cell r="DG1245">
            <v>21.679348620667902</v>
          </cell>
          <cell r="DH1245">
            <v>18.362277992096409</v>
          </cell>
          <cell r="DI1245">
            <v>14.300000632844487</v>
          </cell>
          <cell r="DJ1245">
            <v>22.424555351348332</v>
          </cell>
          <cell r="DU1245">
            <v>8.3207764315160517</v>
          </cell>
          <cell r="DV1245">
            <v>11.644336226312735</v>
          </cell>
          <cell r="DW1245">
            <v>9.8476005987137558</v>
          </cell>
          <cell r="DX1245">
            <v>7.1073990168282446</v>
          </cell>
          <cell r="DY1245">
            <v>12.587802180599267</v>
          </cell>
        </row>
        <row r="1246">
          <cell r="A1246">
            <v>41207</v>
          </cell>
          <cell r="DF1246">
            <v>16.912352009287588</v>
          </cell>
          <cell r="DG1246">
            <v>21.679348620667902</v>
          </cell>
          <cell r="DH1246">
            <v>18.362277992096409</v>
          </cell>
          <cell r="DI1246">
            <v>14.300000632844487</v>
          </cell>
          <cell r="DJ1246">
            <v>22.424555351348332</v>
          </cell>
          <cell r="DU1246">
            <v>8.3845054186850039</v>
          </cell>
          <cell r="DV1246">
            <v>11.644336226312735</v>
          </cell>
          <cell r="DW1246">
            <v>9.8476005987137558</v>
          </cell>
          <cell r="DX1246">
            <v>7.1073990168282446</v>
          </cell>
          <cell r="DY1246">
            <v>12.587802180599267</v>
          </cell>
        </row>
        <row r="1247">
          <cell r="A1247">
            <v>41208</v>
          </cell>
          <cell r="DF1247">
            <v>16.694674148335366</v>
          </cell>
          <cell r="DG1247">
            <v>21.679348620667902</v>
          </cell>
          <cell r="DH1247">
            <v>18.362277992096409</v>
          </cell>
          <cell r="DI1247">
            <v>14.300000632844487</v>
          </cell>
          <cell r="DJ1247">
            <v>22.424555351348332</v>
          </cell>
          <cell r="DU1247">
            <v>8.257041779296463</v>
          </cell>
          <cell r="DV1247">
            <v>11.644336226312735</v>
          </cell>
          <cell r="DW1247">
            <v>9.8476005987137558</v>
          </cell>
          <cell r="DX1247">
            <v>7.1073990168282446</v>
          </cell>
          <cell r="DY1247">
            <v>12.587802180599267</v>
          </cell>
        </row>
        <row r="1248">
          <cell r="A1248">
            <v>41211</v>
          </cell>
          <cell r="DF1248">
            <v>16.730961652416827</v>
          </cell>
          <cell r="DG1248">
            <v>21.679348620667902</v>
          </cell>
          <cell r="DH1248">
            <v>18.362277992096409</v>
          </cell>
          <cell r="DI1248">
            <v>14.300000632844487</v>
          </cell>
          <cell r="DJ1248">
            <v>22.424555351348332</v>
          </cell>
          <cell r="DU1248">
            <v>8.2782903220481963</v>
          </cell>
          <cell r="DV1248">
            <v>11.644336226312735</v>
          </cell>
          <cell r="DW1248">
            <v>9.8476005987137558</v>
          </cell>
          <cell r="DX1248">
            <v>7.1073990168282446</v>
          </cell>
          <cell r="DY1248">
            <v>12.587802180599267</v>
          </cell>
        </row>
        <row r="1249">
          <cell r="A1249">
            <v>41212</v>
          </cell>
          <cell r="DF1249">
            <v>16.537465383173501</v>
          </cell>
          <cell r="DG1249">
            <v>21.679348620667902</v>
          </cell>
          <cell r="DH1249">
            <v>18.362277992096409</v>
          </cell>
          <cell r="DI1249">
            <v>14.300000632844487</v>
          </cell>
          <cell r="DJ1249">
            <v>22.424555351348332</v>
          </cell>
          <cell r="DU1249">
            <v>8.1649864767330609</v>
          </cell>
          <cell r="DV1249">
            <v>11.644336226312735</v>
          </cell>
          <cell r="DW1249">
            <v>9.8476005987137558</v>
          </cell>
          <cell r="DX1249">
            <v>7.1073990168282446</v>
          </cell>
          <cell r="DY1249">
            <v>12.587802180599267</v>
          </cell>
        </row>
        <row r="1250">
          <cell r="A1250">
            <v>41213</v>
          </cell>
          <cell r="DF1250">
            <v>16.712822435331535</v>
          </cell>
          <cell r="DG1250">
            <v>21.679348620667902</v>
          </cell>
          <cell r="DH1250">
            <v>18.362277992096409</v>
          </cell>
          <cell r="DI1250">
            <v>14.300000632844487</v>
          </cell>
          <cell r="DJ1250">
            <v>22.424555351348332</v>
          </cell>
          <cell r="DU1250">
            <v>8.2676687061648177</v>
          </cell>
          <cell r="DV1250">
            <v>11.644336226312735</v>
          </cell>
          <cell r="DW1250">
            <v>9.8476005987137558</v>
          </cell>
          <cell r="DX1250">
            <v>7.1073990168282446</v>
          </cell>
          <cell r="DY1250">
            <v>12.587802180599267</v>
          </cell>
        </row>
        <row r="1251">
          <cell r="A1251">
            <v>41214</v>
          </cell>
          <cell r="DF1251">
            <v>16.815613549237522</v>
          </cell>
          <cell r="DG1251">
            <v>21.679348620667902</v>
          </cell>
          <cell r="DH1251">
            <v>18.362277992096409</v>
          </cell>
          <cell r="DI1251">
            <v>14.300000632844487</v>
          </cell>
          <cell r="DJ1251">
            <v>22.424555351348332</v>
          </cell>
          <cell r="DU1251">
            <v>8.3278591610780754</v>
          </cell>
          <cell r="DV1251">
            <v>11.644336226312735</v>
          </cell>
          <cell r="DW1251">
            <v>9.8476005987137558</v>
          </cell>
          <cell r="DX1251">
            <v>7.1073990168282446</v>
          </cell>
          <cell r="DY1251">
            <v>12.587802180599267</v>
          </cell>
        </row>
        <row r="1252">
          <cell r="A1252">
            <v>41215</v>
          </cell>
          <cell r="DF1252">
            <v>16.628169933850117</v>
          </cell>
          <cell r="DG1252">
            <v>21.679348620667902</v>
          </cell>
          <cell r="DH1252">
            <v>18.362277992096409</v>
          </cell>
          <cell r="DI1252">
            <v>14.300000632844487</v>
          </cell>
          <cell r="DJ1252">
            <v>22.424555351348332</v>
          </cell>
          <cell r="DU1252">
            <v>8.2180995130692729</v>
          </cell>
          <cell r="DV1252">
            <v>11.644336226312735</v>
          </cell>
          <cell r="DW1252">
            <v>9.8476005987137558</v>
          </cell>
          <cell r="DX1252">
            <v>7.1073990168282446</v>
          </cell>
          <cell r="DY1252">
            <v>12.587802180599267</v>
          </cell>
        </row>
        <row r="1253">
          <cell r="A1253">
            <v>41218</v>
          </cell>
          <cell r="DF1253">
            <v>16.42257863612727</v>
          </cell>
          <cell r="DG1253">
            <v>21.679348620667902</v>
          </cell>
          <cell r="DH1253">
            <v>18.362277992096409</v>
          </cell>
          <cell r="DI1253">
            <v>14.300000632844487</v>
          </cell>
          <cell r="DJ1253">
            <v>22.424555351348332</v>
          </cell>
          <cell r="DU1253">
            <v>8.0977132922577795</v>
          </cell>
          <cell r="DV1253">
            <v>11.644336226312735</v>
          </cell>
          <cell r="DW1253">
            <v>9.8476005987137558</v>
          </cell>
          <cell r="DX1253">
            <v>7.1073990168282446</v>
          </cell>
          <cell r="DY1253">
            <v>12.587802180599267</v>
          </cell>
        </row>
        <row r="1254">
          <cell r="A1254">
            <v>41219</v>
          </cell>
          <cell r="DF1254">
            <v>16.295604721190941</v>
          </cell>
          <cell r="DG1254">
            <v>21.679348620667902</v>
          </cell>
          <cell r="DH1254">
            <v>18.362277992096409</v>
          </cell>
          <cell r="DI1254">
            <v>14.300000632844487</v>
          </cell>
          <cell r="DJ1254">
            <v>22.424555351348332</v>
          </cell>
          <cell r="DU1254">
            <v>8.0233623351397831</v>
          </cell>
          <cell r="DV1254">
            <v>11.644336226312735</v>
          </cell>
          <cell r="DW1254">
            <v>9.8476005987137558</v>
          </cell>
          <cell r="DX1254">
            <v>7.1073990168282446</v>
          </cell>
          <cell r="DY1254">
            <v>12.587802180599267</v>
          </cell>
        </row>
        <row r="1255">
          <cell r="A1255">
            <v>41220</v>
          </cell>
          <cell r="DF1255">
            <v>16.39234378590173</v>
          </cell>
          <cell r="DG1255">
            <v>21.679348620667902</v>
          </cell>
          <cell r="DH1255">
            <v>18.362277992096409</v>
          </cell>
          <cell r="DI1255">
            <v>14.300000632844487</v>
          </cell>
          <cell r="DJ1255">
            <v>22.424555351348332</v>
          </cell>
          <cell r="DU1255">
            <v>8.0800089468123755</v>
          </cell>
          <cell r="DV1255">
            <v>11.644336226312735</v>
          </cell>
          <cell r="DW1255">
            <v>9.8476005987137558</v>
          </cell>
          <cell r="DX1255">
            <v>7.1073990168282446</v>
          </cell>
          <cell r="DY1255">
            <v>12.587802180599267</v>
          </cell>
        </row>
        <row r="1256">
          <cell r="A1256">
            <v>41221</v>
          </cell>
          <cell r="DF1256">
            <v>16.603978667569624</v>
          </cell>
          <cell r="DG1256">
            <v>21.679348620667902</v>
          </cell>
          <cell r="DH1256">
            <v>18.362277992096409</v>
          </cell>
          <cell r="DI1256">
            <v>14.300000632844487</v>
          </cell>
          <cell r="DJ1256">
            <v>22.424555351348332</v>
          </cell>
          <cell r="DU1256">
            <v>8.2039340539452237</v>
          </cell>
          <cell r="DV1256">
            <v>11.644336226312735</v>
          </cell>
          <cell r="DW1256">
            <v>9.8476005987137558</v>
          </cell>
          <cell r="DX1256">
            <v>7.1073990168282446</v>
          </cell>
          <cell r="DY1256">
            <v>12.587802180599267</v>
          </cell>
        </row>
        <row r="1257">
          <cell r="A1257">
            <v>41222</v>
          </cell>
          <cell r="DF1257">
            <v>16.525369750033256</v>
          </cell>
          <cell r="DG1257">
            <v>21.679348620667902</v>
          </cell>
          <cell r="DH1257">
            <v>18.362277992096409</v>
          </cell>
          <cell r="DI1257">
            <v>14.300000632844487</v>
          </cell>
          <cell r="DJ1257">
            <v>22.424555351348332</v>
          </cell>
          <cell r="DU1257">
            <v>8.1579037471710389</v>
          </cell>
          <cell r="DV1257">
            <v>11.644336226312735</v>
          </cell>
          <cell r="DW1257">
            <v>9.8476005987137558</v>
          </cell>
          <cell r="DX1257">
            <v>7.1073990168282446</v>
          </cell>
          <cell r="DY1257">
            <v>12.587802180599267</v>
          </cell>
        </row>
        <row r="1258">
          <cell r="A1258">
            <v>41225</v>
          </cell>
          <cell r="DF1258">
            <v>16.634213517795164</v>
          </cell>
          <cell r="DG1258">
            <v>21.679348620667902</v>
          </cell>
          <cell r="DH1258">
            <v>18.362277992096409</v>
          </cell>
          <cell r="DI1258">
            <v>14.300000632844487</v>
          </cell>
          <cell r="DJ1258">
            <v>22.424555351348332</v>
          </cell>
          <cell r="DU1258">
            <v>8.2216383993906295</v>
          </cell>
          <cell r="DV1258">
            <v>11.644336226312735</v>
          </cell>
          <cell r="DW1258">
            <v>9.8476005987137558</v>
          </cell>
          <cell r="DX1258">
            <v>7.1073990168282446</v>
          </cell>
          <cell r="DY1258">
            <v>12.587802180599267</v>
          </cell>
        </row>
        <row r="1259">
          <cell r="A1259">
            <v>41226</v>
          </cell>
          <cell r="DF1259">
            <v>16.404439419041974</v>
          </cell>
          <cell r="DG1259">
            <v>21.679348620667902</v>
          </cell>
          <cell r="DH1259">
            <v>18.362277992096409</v>
          </cell>
          <cell r="DI1259">
            <v>14.300000632844487</v>
          </cell>
          <cell r="DJ1259">
            <v>22.424555351348332</v>
          </cell>
          <cell r="DU1259">
            <v>8.0870916763743992</v>
          </cell>
          <cell r="DV1259">
            <v>11.644336226312735</v>
          </cell>
          <cell r="DW1259">
            <v>9.8476005987137558</v>
          </cell>
          <cell r="DX1259">
            <v>7.1073990168282446</v>
          </cell>
          <cell r="DY1259">
            <v>12.587802180599267</v>
          </cell>
        </row>
        <row r="1260">
          <cell r="A1260">
            <v>41227</v>
          </cell>
          <cell r="DF1260">
            <v>16.470952703438101</v>
          </cell>
          <cell r="DG1260">
            <v>21.679348620667902</v>
          </cell>
          <cell r="DH1260">
            <v>18.362277992096409</v>
          </cell>
          <cell r="DI1260">
            <v>14.300000632844487</v>
          </cell>
          <cell r="DJ1260">
            <v>22.424555351348332</v>
          </cell>
          <cell r="DU1260">
            <v>8.1260392535865638</v>
          </cell>
          <cell r="DV1260">
            <v>11.644336226312735</v>
          </cell>
          <cell r="DW1260">
            <v>9.8476005987137558</v>
          </cell>
          <cell r="DX1260">
            <v>7.1073990168282446</v>
          </cell>
          <cell r="DY1260">
            <v>12.587802180599267</v>
          </cell>
        </row>
        <row r="1261">
          <cell r="A1261">
            <v>41228</v>
          </cell>
          <cell r="DF1261">
            <v>16.470952703438101</v>
          </cell>
          <cell r="DG1261">
            <v>21.679348620667902</v>
          </cell>
          <cell r="DH1261">
            <v>18.362277992096409</v>
          </cell>
          <cell r="DI1261">
            <v>14.300000632844487</v>
          </cell>
          <cell r="DJ1261">
            <v>22.424555351348332</v>
          </cell>
          <cell r="DU1261">
            <v>8.1260392535865638</v>
          </cell>
          <cell r="DV1261">
            <v>11.644336226312735</v>
          </cell>
          <cell r="DW1261">
            <v>9.8476005987137558</v>
          </cell>
          <cell r="DX1261">
            <v>7.1073990168282446</v>
          </cell>
          <cell r="DY1261">
            <v>12.587802180599267</v>
          </cell>
        </row>
        <row r="1262">
          <cell r="A1262">
            <v>41229</v>
          </cell>
          <cell r="DF1262">
            <v>16.271413454910448</v>
          </cell>
          <cell r="DG1262">
            <v>21.679348620667902</v>
          </cell>
          <cell r="DH1262">
            <v>18.362277992096409</v>
          </cell>
          <cell r="DI1262">
            <v>14.300000632844487</v>
          </cell>
          <cell r="DJ1262">
            <v>22.424555351348332</v>
          </cell>
          <cell r="DU1262">
            <v>8.0091968760157357</v>
          </cell>
          <cell r="DV1262">
            <v>11.644336226312735</v>
          </cell>
          <cell r="DW1262">
            <v>9.8476005987137558</v>
          </cell>
          <cell r="DX1262">
            <v>7.1073990168282446</v>
          </cell>
          <cell r="DY1262">
            <v>12.587802180599267</v>
          </cell>
        </row>
        <row r="1263">
          <cell r="A1263">
            <v>41232</v>
          </cell>
          <cell r="DF1263">
            <v>16.470952703438101</v>
          </cell>
          <cell r="DG1263">
            <v>21.679348620667902</v>
          </cell>
          <cell r="DH1263">
            <v>18.362277992096409</v>
          </cell>
          <cell r="DI1263">
            <v>14.300000632844487</v>
          </cell>
          <cell r="DJ1263">
            <v>22.424555351348332</v>
          </cell>
          <cell r="DU1263">
            <v>8.1260392535865638</v>
          </cell>
          <cell r="DV1263">
            <v>11.644336226312735</v>
          </cell>
          <cell r="DW1263">
            <v>9.8476005987137558</v>
          </cell>
          <cell r="DX1263">
            <v>7.1073990168282446</v>
          </cell>
          <cell r="DY1263">
            <v>12.587802180599267</v>
          </cell>
        </row>
        <row r="1264">
          <cell r="A1264">
            <v>41233</v>
          </cell>
          <cell r="DF1264">
            <v>16.380257222672359</v>
          </cell>
          <cell r="DG1264">
            <v>21.679348620667902</v>
          </cell>
          <cell r="DH1264">
            <v>18.362277992096409</v>
          </cell>
          <cell r="DI1264">
            <v>14.300000632844487</v>
          </cell>
          <cell r="DJ1264">
            <v>22.424555351348332</v>
          </cell>
          <cell r="DU1264">
            <v>8.072931528235328</v>
          </cell>
          <cell r="DV1264">
            <v>11.644336226312735</v>
          </cell>
          <cell r="DW1264">
            <v>9.8476005987137558</v>
          </cell>
          <cell r="DX1264">
            <v>7.1073990168282446</v>
          </cell>
          <cell r="DY1264">
            <v>12.587802180599267</v>
          </cell>
        </row>
        <row r="1265">
          <cell r="A1265">
            <v>41234</v>
          </cell>
          <cell r="DF1265">
            <v>16.477004752633295</v>
          </cell>
          <cell r="DG1265">
            <v>21.679348620667902</v>
          </cell>
          <cell r="DH1265">
            <v>18.362277992096409</v>
          </cell>
          <cell r="DI1265">
            <v>14.300000632844487</v>
          </cell>
          <cell r="DJ1265">
            <v>22.424555351348332</v>
          </cell>
          <cell r="DU1265">
            <v>8.1295830968272291</v>
          </cell>
          <cell r="DV1265">
            <v>11.644336226312735</v>
          </cell>
          <cell r="DW1265">
            <v>9.8476005987137558</v>
          </cell>
          <cell r="DX1265">
            <v>7.1073990168282446</v>
          </cell>
          <cell r="DY1265">
            <v>12.587802180599267</v>
          </cell>
        </row>
        <row r="1266">
          <cell r="A1266">
            <v>41235</v>
          </cell>
          <cell r="DF1266">
            <v>16.294825720113277</v>
          </cell>
          <cell r="DG1266">
            <v>21.679348620667902</v>
          </cell>
          <cell r="DH1266">
            <v>18.362277992096409</v>
          </cell>
          <cell r="DI1266">
            <v>14.300000632844487</v>
          </cell>
          <cell r="DJ1266">
            <v>22.424555351348332</v>
          </cell>
          <cell r="DU1266">
            <v>8.0545094588909993</v>
          </cell>
          <cell r="DV1266">
            <v>11.644336226312735</v>
          </cell>
          <cell r="DW1266">
            <v>9.8476005987137558</v>
          </cell>
          <cell r="DX1266">
            <v>7.1073990168282446</v>
          </cell>
          <cell r="DY1266">
            <v>12.587802180599267</v>
          </cell>
        </row>
        <row r="1267">
          <cell r="A1267">
            <v>41236</v>
          </cell>
          <cell r="DF1267">
            <v>16.551950894273595</v>
          </cell>
          <cell r="DG1267">
            <v>21.679348620667902</v>
          </cell>
          <cell r="DH1267">
            <v>18.362277992096409</v>
          </cell>
          <cell r="DI1267">
            <v>14.300000632844487</v>
          </cell>
          <cell r="DJ1267">
            <v>22.424555351348332</v>
          </cell>
          <cell r="DU1267">
            <v>8.2053492841398921</v>
          </cell>
          <cell r="DV1267">
            <v>11.644336226312735</v>
          </cell>
          <cell r="DW1267">
            <v>9.8476005987137558</v>
          </cell>
          <cell r="DX1267">
            <v>7.1073990168282446</v>
          </cell>
          <cell r="DY1267">
            <v>12.587802180599267</v>
          </cell>
        </row>
        <row r="1268">
          <cell r="A1268">
            <v>41239</v>
          </cell>
          <cell r="DF1268">
            <v>15.786543164845364</v>
          </cell>
          <cell r="DG1268">
            <v>21.679348620667902</v>
          </cell>
          <cell r="DH1268">
            <v>18.362277992096409</v>
          </cell>
          <cell r="DI1268">
            <v>14.300000632844487</v>
          </cell>
          <cell r="DJ1268">
            <v>22.424555351348332</v>
          </cell>
          <cell r="DU1268">
            <v>7.7547851585323544</v>
          </cell>
          <cell r="DV1268">
            <v>11.644336226312735</v>
          </cell>
          <cell r="DW1268">
            <v>9.8476005987137558</v>
          </cell>
          <cell r="DX1268">
            <v>7.1073990168282446</v>
          </cell>
          <cell r="DY1268">
            <v>12.587802180599267</v>
          </cell>
        </row>
        <row r="1269">
          <cell r="A1269">
            <v>41240</v>
          </cell>
          <cell r="DF1269">
            <v>15.64901184589133</v>
          </cell>
          <cell r="DG1269">
            <v>21.679348620667902</v>
          </cell>
          <cell r="DH1269">
            <v>18.362277992096409</v>
          </cell>
          <cell r="DI1269">
            <v>14.300000632844487</v>
          </cell>
          <cell r="DJ1269">
            <v>22.424555351348332</v>
          </cell>
          <cell r="DU1269">
            <v>7.6741199093364596</v>
          </cell>
          <cell r="DV1269">
            <v>11.644336226312735</v>
          </cell>
          <cell r="DW1269">
            <v>9.8476005987137558</v>
          </cell>
          <cell r="DX1269">
            <v>7.1073990168282446</v>
          </cell>
          <cell r="DY1269">
            <v>12.587802180599267</v>
          </cell>
        </row>
        <row r="1270">
          <cell r="A1270">
            <v>41241</v>
          </cell>
          <cell r="DF1270">
            <v>15.836104353437644</v>
          </cell>
          <cell r="DG1270">
            <v>21.679348620667902</v>
          </cell>
          <cell r="DH1270">
            <v>18.362277992096409</v>
          </cell>
          <cell r="DI1270">
            <v>14.300000632844487</v>
          </cell>
          <cell r="DJ1270">
            <v>22.424555351348332</v>
          </cell>
          <cell r="DU1270">
            <v>7.793365380175425</v>
          </cell>
          <cell r="DV1270">
            <v>11.644336226312735</v>
          </cell>
          <cell r="DW1270">
            <v>9.8476005987137558</v>
          </cell>
          <cell r="DX1270">
            <v>7.1073990168282446</v>
          </cell>
          <cell r="DY1270">
            <v>12.587802180599267</v>
          </cell>
        </row>
        <row r="1271">
          <cell r="A1271">
            <v>41242</v>
          </cell>
          <cell r="DF1271">
            <v>15.970505772773418</v>
          </cell>
          <cell r="DG1271">
            <v>21.679348620667902</v>
          </cell>
          <cell r="DH1271">
            <v>18.362277992096409</v>
          </cell>
          <cell r="DI1271">
            <v>14.300000632844487</v>
          </cell>
          <cell r="DJ1271">
            <v>22.424555351348332</v>
          </cell>
          <cell r="DU1271">
            <v>7.8722755959706978</v>
          </cell>
          <cell r="DV1271">
            <v>11.644336226312735</v>
          </cell>
          <cell r="DW1271">
            <v>9.8476005987137558</v>
          </cell>
          <cell r="DX1271">
            <v>7.1073990168282446</v>
          </cell>
          <cell r="DY1271">
            <v>12.587802180599267</v>
          </cell>
        </row>
        <row r="1272">
          <cell r="A1272">
            <v>41243</v>
          </cell>
          <cell r="DF1272">
            <v>16.158676481351129</v>
          </cell>
          <cell r="DG1272">
            <v>21.679348620667902</v>
          </cell>
          <cell r="DH1272">
            <v>18.362277992096409</v>
          </cell>
          <cell r="DI1272">
            <v>14.300000632844487</v>
          </cell>
          <cell r="DJ1272">
            <v>22.424555351348332</v>
          </cell>
          <cell r="DU1272">
            <v>7.982755018685129</v>
          </cell>
          <cell r="DV1272">
            <v>11.644336226312735</v>
          </cell>
          <cell r="DW1272">
            <v>9.8476005987137558</v>
          </cell>
          <cell r="DX1272">
            <v>7.1073990168282446</v>
          </cell>
          <cell r="DY1272">
            <v>12.587802180599267</v>
          </cell>
        </row>
        <row r="1273">
          <cell r="A1273">
            <v>41246</v>
          </cell>
          <cell r="DF1273">
            <v>15.979474588903429</v>
          </cell>
          <cell r="DG1273">
            <v>21.679348620667902</v>
          </cell>
          <cell r="DH1273">
            <v>18.362277992096409</v>
          </cell>
          <cell r="DI1273">
            <v>14.300000632844487</v>
          </cell>
          <cell r="DJ1273">
            <v>22.424555351348332</v>
          </cell>
          <cell r="DU1273">
            <v>7.877541397624765</v>
          </cell>
          <cell r="DV1273">
            <v>11.644336226312735</v>
          </cell>
          <cell r="DW1273">
            <v>9.8476005987137558</v>
          </cell>
          <cell r="DX1273">
            <v>7.1073990168282446</v>
          </cell>
          <cell r="DY1273">
            <v>12.587802180599267</v>
          </cell>
        </row>
        <row r="1274">
          <cell r="A1274">
            <v>41247</v>
          </cell>
          <cell r="DF1274">
            <v>16.116865812737053</v>
          </cell>
          <cell r="DG1274">
            <v>21.679348620667902</v>
          </cell>
          <cell r="DH1274">
            <v>18.362277992096409</v>
          </cell>
          <cell r="DI1274">
            <v>14.300000632844487</v>
          </cell>
          <cell r="DJ1274">
            <v>22.424555351348332</v>
          </cell>
          <cell r="DU1274">
            <v>7.9582069975467595</v>
          </cell>
          <cell r="DV1274">
            <v>11.644336226312735</v>
          </cell>
          <cell r="DW1274">
            <v>9.8476005987137558</v>
          </cell>
          <cell r="DX1274">
            <v>7.1073990168282446</v>
          </cell>
          <cell r="DY1274">
            <v>12.587802180599267</v>
          </cell>
        </row>
        <row r="1275">
          <cell r="A1275">
            <v>41248</v>
          </cell>
          <cell r="DF1275">
            <v>16.266206696745495</v>
          </cell>
          <cell r="DG1275">
            <v>21.679348620667902</v>
          </cell>
          <cell r="DH1275">
            <v>18.362277992096409</v>
          </cell>
          <cell r="DI1275">
            <v>14.300000632844487</v>
          </cell>
          <cell r="DJ1275">
            <v>22.424555351348332</v>
          </cell>
          <cell r="DU1275">
            <v>8.0458885223580552</v>
          </cell>
          <cell r="DV1275">
            <v>11.644336226312735</v>
          </cell>
          <cell r="DW1275">
            <v>9.8476005987137558</v>
          </cell>
          <cell r="DX1275">
            <v>7.1073990168282446</v>
          </cell>
          <cell r="DY1275">
            <v>12.587802180599267</v>
          </cell>
        </row>
        <row r="1276">
          <cell r="A1276">
            <v>41249</v>
          </cell>
          <cell r="DF1276">
            <v>16.511128135973486</v>
          </cell>
          <cell r="DG1276">
            <v>21.679348620667902</v>
          </cell>
          <cell r="DH1276">
            <v>18.362277992096409</v>
          </cell>
          <cell r="DI1276">
            <v>14.300000632844487</v>
          </cell>
          <cell r="DJ1276">
            <v>22.424555351348332</v>
          </cell>
          <cell r="DU1276">
            <v>8.1896876259529776</v>
          </cell>
          <cell r="DV1276">
            <v>11.644336226312735</v>
          </cell>
          <cell r="DW1276">
            <v>9.8476005987137558</v>
          </cell>
          <cell r="DX1276">
            <v>7.1073990168282446</v>
          </cell>
          <cell r="DY1276">
            <v>12.587802180599267</v>
          </cell>
        </row>
        <row r="1277">
          <cell r="A1277">
            <v>41250</v>
          </cell>
          <cell r="DF1277">
            <v>16.40359792057912</v>
          </cell>
          <cell r="DG1277">
            <v>21.679348620667902</v>
          </cell>
          <cell r="DH1277">
            <v>18.362277992096409</v>
          </cell>
          <cell r="DI1277">
            <v>14.300000632844487</v>
          </cell>
          <cell r="DJ1277">
            <v>22.424555351348332</v>
          </cell>
          <cell r="DU1277">
            <v>8.1265541222800497</v>
          </cell>
          <cell r="DV1277">
            <v>11.644336226312735</v>
          </cell>
          <cell r="DW1277">
            <v>9.8476005987137558</v>
          </cell>
          <cell r="DX1277">
            <v>7.1073990168282446</v>
          </cell>
          <cell r="DY1277">
            <v>12.587802180599267</v>
          </cell>
        </row>
        <row r="1278">
          <cell r="A1278">
            <v>41253</v>
          </cell>
          <cell r="DF1278">
            <v>16.451388198188894</v>
          </cell>
          <cell r="DG1278">
            <v>21.679348620667902</v>
          </cell>
          <cell r="DH1278">
            <v>18.362277992096409</v>
          </cell>
          <cell r="DI1278">
            <v>14.300000632844487</v>
          </cell>
          <cell r="DJ1278">
            <v>22.424555351348332</v>
          </cell>
          <cell r="DU1278">
            <v>8.1546129116718635</v>
          </cell>
          <cell r="DV1278">
            <v>11.644336226312735</v>
          </cell>
          <cell r="DW1278">
            <v>9.8476005987137558</v>
          </cell>
          <cell r="DX1278">
            <v>7.1073990168282446</v>
          </cell>
          <cell r="DY1278">
            <v>12.587802180599267</v>
          </cell>
        </row>
        <row r="1279">
          <cell r="A1279">
            <v>41254</v>
          </cell>
          <cell r="DF1279">
            <v>16.371294263624293</v>
          </cell>
          <cell r="DG1279">
            <v>21.679348620667902</v>
          </cell>
          <cell r="DH1279">
            <v>18.362277992096409</v>
          </cell>
          <cell r="DI1279">
            <v>14.300000632844487</v>
          </cell>
          <cell r="DJ1279">
            <v>22.424555351348332</v>
          </cell>
          <cell r="DU1279">
            <v>8.1051911457037811</v>
          </cell>
          <cell r="DV1279">
            <v>11.644336226312735</v>
          </cell>
          <cell r="DW1279">
            <v>9.8476005987137558</v>
          </cell>
          <cell r="DX1279">
            <v>7.1073990168282446</v>
          </cell>
          <cell r="DY1279">
            <v>12.587802180599267</v>
          </cell>
        </row>
        <row r="1280">
          <cell r="A1280">
            <v>41255</v>
          </cell>
          <cell r="DF1280">
            <v>16.371294263624293</v>
          </cell>
          <cell r="DG1280">
            <v>21.679348620667902</v>
          </cell>
          <cell r="DH1280">
            <v>18.362277992096409</v>
          </cell>
          <cell r="DI1280">
            <v>14.300000632844487</v>
          </cell>
          <cell r="DJ1280">
            <v>22.424555351348332</v>
          </cell>
          <cell r="DU1280">
            <v>8.1051911457037811</v>
          </cell>
          <cell r="DV1280">
            <v>11.644336226312735</v>
          </cell>
          <cell r="DW1280">
            <v>9.8476005987137558</v>
          </cell>
          <cell r="DX1280">
            <v>7.1073990168282446</v>
          </cell>
          <cell r="DY1280">
            <v>12.587802180599267</v>
          </cell>
        </row>
        <row r="1281">
          <cell r="A1281">
            <v>41256</v>
          </cell>
          <cell r="DF1281">
            <v>16.257769470418967</v>
          </cell>
          <cell r="DG1281">
            <v>21.679348620667902</v>
          </cell>
          <cell r="DH1281">
            <v>18.362277992096409</v>
          </cell>
          <cell r="DI1281">
            <v>14.300000632844487</v>
          </cell>
          <cell r="DJ1281">
            <v>22.424555351348332</v>
          </cell>
          <cell r="DU1281">
            <v>8.0385551171647993</v>
          </cell>
          <cell r="DV1281">
            <v>11.644336226312735</v>
          </cell>
          <cell r="DW1281">
            <v>9.8476005987137558</v>
          </cell>
          <cell r="DX1281">
            <v>7.1073990168282446</v>
          </cell>
          <cell r="DY1281">
            <v>12.587802180599267</v>
          </cell>
        </row>
        <row r="1282">
          <cell r="A1282">
            <v>41257</v>
          </cell>
          <cell r="DF1282">
            <v>16.09977901383273</v>
          </cell>
          <cell r="DG1282">
            <v>21.679348620667902</v>
          </cell>
          <cell r="DH1282">
            <v>18.362277992096409</v>
          </cell>
          <cell r="DI1282">
            <v>14.300000632844487</v>
          </cell>
          <cell r="DJ1282">
            <v>22.424555351348332</v>
          </cell>
          <cell r="DU1282">
            <v>7.9473716862535841</v>
          </cell>
          <cell r="DV1282">
            <v>11.644336226312735</v>
          </cell>
          <cell r="DW1282">
            <v>9.8476005987137558</v>
          </cell>
          <cell r="DX1282">
            <v>7.1073990168282446</v>
          </cell>
          <cell r="DY1282">
            <v>12.587802180599267</v>
          </cell>
        </row>
        <row r="1283">
          <cell r="A1283">
            <v>41260</v>
          </cell>
          <cell r="DF1283">
            <v>15.968351634348339</v>
          </cell>
          <cell r="DG1283">
            <v>21.679348620667902</v>
          </cell>
          <cell r="DH1283">
            <v>18.362277992096409</v>
          </cell>
          <cell r="DI1283">
            <v>14.300000632844487</v>
          </cell>
          <cell r="DJ1283">
            <v>22.424555351348332</v>
          </cell>
          <cell r="DU1283">
            <v>7.8702146409877196</v>
          </cell>
          <cell r="DV1283">
            <v>11.644336226312735</v>
          </cell>
          <cell r="DW1283">
            <v>9.8476005987137558</v>
          </cell>
          <cell r="DX1283">
            <v>7.1073990168282446</v>
          </cell>
          <cell r="DY1283">
            <v>12.587802180599267</v>
          </cell>
        </row>
        <row r="1284">
          <cell r="A1284">
            <v>41261</v>
          </cell>
          <cell r="DF1284">
            <v>16.255098587512144</v>
          </cell>
          <cell r="DG1284">
            <v>21.679348620667902</v>
          </cell>
          <cell r="DH1284">
            <v>18.362277992096409</v>
          </cell>
          <cell r="DI1284">
            <v>14.300000632844487</v>
          </cell>
          <cell r="DJ1284">
            <v>22.424555351348332</v>
          </cell>
          <cell r="DU1284">
            <v>8.0385551171647993</v>
          </cell>
          <cell r="DV1284">
            <v>11.644336226312735</v>
          </cell>
          <cell r="DW1284">
            <v>9.8476005987137558</v>
          </cell>
          <cell r="DX1284">
            <v>7.1073990168282446</v>
          </cell>
          <cell r="DY1284">
            <v>12.587802180599267</v>
          </cell>
        </row>
        <row r="1285">
          <cell r="A1285">
            <v>41262</v>
          </cell>
          <cell r="DF1285">
            <v>16.458210315709628</v>
          </cell>
          <cell r="DG1285">
            <v>21.679348620667902</v>
          </cell>
          <cell r="DH1285">
            <v>18.362277992096409</v>
          </cell>
          <cell r="DI1285">
            <v>14.300000632844487</v>
          </cell>
          <cell r="DJ1285">
            <v>22.424555351348332</v>
          </cell>
          <cell r="DU1285">
            <v>8.1577958786259419</v>
          </cell>
          <cell r="DV1285">
            <v>11.644336226312735</v>
          </cell>
          <cell r="DW1285">
            <v>9.8476005987137558</v>
          </cell>
          <cell r="DX1285">
            <v>7.1073990168282446</v>
          </cell>
          <cell r="DY1285">
            <v>12.587802180599267</v>
          </cell>
        </row>
        <row r="1286">
          <cell r="A1286">
            <v>41263</v>
          </cell>
          <cell r="DF1286">
            <v>16.500032707348502</v>
          </cell>
          <cell r="DG1286">
            <v>21.679348620667902</v>
          </cell>
          <cell r="DH1286">
            <v>18.362277992096409</v>
          </cell>
          <cell r="DI1286">
            <v>14.300000632844487</v>
          </cell>
          <cell r="DJ1286">
            <v>22.424555351348332</v>
          </cell>
          <cell r="DU1286">
            <v>8.1823485416818951</v>
          </cell>
          <cell r="DV1286">
            <v>11.644336226312735</v>
          </cell>
          <cell r="DW1286">
            <v>9.8476005987137558</v>
          </cell>
          <cell r="DX1286">
            <v>7.1073990168282446</v>
          </cell>
          <cell r="DY1286">
            <v>12.587802180599267</v>
          </cell>
        </row>
        <row r="1287">
          <cell r="A1287">
            <v>41264</v>
          </cell>
          <cell r="DF1287">
            <v>16.207305835599605</v>
          </cell>
          <cell r="DG1287">
            <v>21.679348620667902</v>
          </cell>
          <cell r="DH1287">
            <v>18.362277992096409</v>
          </cell>
          <cell r="DI1287">
            <v>14.300000632844487</v>
          </cell>
          <cell r="DJ1287">
            <v>22.424555351348332</v>
          </cell>
          <cell r="DU1287">
            <v>8.0104974359026251</v>
          </cell>
          <cell r="DV1287">
            <v>11.644336226312735</v>
          </cell>
          <cell r="DW1287">
            <v>9.8476005987137558</v>
          </cell>
          <cell r="DX1287">
            <v>7.1073990168282446</v>
          </cell>
          <cell r="DY1287">
            <v>12.587802180599267</v>
          </cell>
        </row>
        <row r="1288">
          <cell r="A1288">
            <v>41267</v>
          </cell>
          <cell r="DF1288">
            <v>16.165493002272161</v>
          </cell>
          <cell r="DG1288">
            <v>21.679348620667902</v>
          </cell>
          <cell r="DH1288">
            <v>18.362277992096409</v>
          </cell>
          <cell r="DI1288">
            <v>14.300000632844487</v>
          </cell>
          <cell r="DJ1288">
            <v>22.424555351348332</v>
          </cell>
          <cell r="DU1288">
            <v>7.8897396574058938</v>
          </cell>
          <cell r="DV1288">
            <v>11.644336226312735</v>
          </cell>
          <cell r="DW1288">
            <v>9.8476005987137558</v>
          </cell>
          <cell r="DX1288">
            <v>7.1073990168282446</v>
          </cell>
          <cell r="DY1288">
            <v>12.587802180599267</v>
          </cell>
        </row>
        <row r="1289">
          <cell r="A1289">
            <v>41268</v>
          </cell>
          <cell r="DF1289">
            <v>16.046913213107768</v>
          </cell>
          <cell r="DG1289">
            <v>21.679348620667902</v>
          </cell>
          <cell r="DH1289">
            <v>18.362277992096409</v>
          </cell>
          <cell r="DI1289">
            <v>14.300000632844487</v>
          </cell>
          <cell r="DJ1289">
            <v>22.424555351348332</v>
          </cell>
          <cell r="DU1289">
            <v>7.8523311590163667</v>
          </cell>
          <cell r="DV1289">
            <v>11.644336226312735</v>
          </cell>
          <cell r="DW1289">
            <v>9.8476005987137558</v>
          </cell>
          <cell r="DX1289">
            <v>7.1073990168282446</v>
          </cell>
          <cell r="DY1289">
            <v>12.587802180599267</v>
          </cell>
        </row>
        <row r="1290">
          <cell r="A1290">
            <v>41269</v>
          </cell>
          <cell r="DF1290">
            <v>15.905120125414923</v>
          </cell>
          <cell r="DG1290">
            <v>21.679348620667902</v>
          </cell>
          <cell r="DH1290">
            <v>18.362277992096409</v>
          </cell>
          <cell r="DI1290">
            <v>14.300000632844487</v>
          </cell>
          <cell r="DJ1290">
            <v>22.424555351348332</v>
          </cell>
          <cell r="DU1290">
            <v>7.769775249946445</v>
          </cell>
          <cell r="DV1290">
            <v>11.644336226312735</v>
          </cell>
          <cell r="DW1290">
            <v>9.8476005987137558</v>
          </cell>
          <cell r="DX1290">
            <v>7.1073990168282446</v>
          </cell>
          <cell r="DY1290">
            <v>12.587802180599267</v>
          </cell>
        </row>
        <row r="1291">
          <cell r="A1291">
            <v>41270</v>
          </cell>
          <cell r="DF1291">
            <v>16.022039651696392</v>
          </cell>
          <cell r="DG1291">
            <v>21.679348620667902</v>
          </cell>
          <cell r="DH1291">
            <v>18.362277992096409</v>
          </cell>
          <cell r="DI1291">
            <v>14.300000632844487</v>
          </cell>
          <cell r="DJ1291">
            <v>22.424555351348332</v>
          </cell>
          <cell r="DU1291">
            <v>7.7924599173414748</v>
          </cell>
          <cell r="DV1291">
            <v>11.644336226312735</v>
          </cell>
          <cell r="DW1291">
            <v>9.8476005987137558</v>
          </cell>
          <cell r="DX1291">
            <v>7.1073990168282446</v>
          </cell>
          <cell r="DY1291">
            <v>12.587802180599267</v>
          </cell>
        </row>
        <row r="1292">
          <cell r="A1292">
            <v>41271</v>
          </cell>
          <cell r="DF1292">
            <v>15.259851785750453</v>
          </cell>
          <cell r="DG1292">
            <v>21.679348620667902</v>
          </cell>
          <cell r="DH1292">
            <v>18.362277992096409</v>
          </cell>
          <cell r="DI1292">
            <v>14.300000632844487</v>
          </cell>
          <cell r="DJ1292">
            <v>22.424555351348332</v>
          </cell>
          <cell r="DU1292">
            <v>7.3138553091192069</v>
          </cell>
          <cell r="DV1292">
            <v>11.644336226312735</v>
          </cell>
          <cell r="DW1292">
            <v>9.8476005987137558</v>
          </cell>
          <cell r="DX1292">
            <v>7.1073990168282446</v>
          </cell>
          <cell r="DY1292">
            <v>12.587802180599267</v>
          </cell>
        </row>
        <row r="1293">
          <cell r="A1293">
            <v>41274</v>
          </cell>
          <cell r="DF1293">
            <v>15.149280656489767</v>
          </cell>
          <cell r="DG1293">
            <v>21.679348620667902</v>
          </cell>
          <cell r="DH1293">
            <v>18.362277992096409</v>
          </cell>
          <cell r="DI1293">
            <v>14.300000632844487</v>
          </cell>
          <cell r="DJ1293">
            <v>22.424555351348332</v>
          </cell>
          <cell r="DU1293">
            <v>7.2500249354653921</v>
          </cell>
          <cell r="DV1293">
            <v>11.644336226312735</v>
          </cell>
          <cell r="DW1293">
            <v>9.8476005987137558</v>
          </cell>
          <cell r="DX1293">
            <v>7.1073990168282446</v>
          </cell>
          <cell r="DY1293">
            <v>12.587802180599267</v>
          </cell>
        </row>
        <row r="1294">
          <cell r="A1294">
            <v>41275</v>
          </cell>
          <cell r="DF1294">
            <v>15.312238151591341</v>
          </cell>
          <cell r="DG1294">
            <v>21.679348620667902</v>
          </cell>
          <cell r="DH1294">
            <v>18.362277992096409</v>
          </cell>
          <cell r="DI1294">
            <v>14.300000632844487</v>
          </cell>
          <cell r="DJ1294">
            <v>22.424555351348332</v>
          </cell>
          <cell r="DU1294">
            <v>7.3440968498210832</v>
          </cell>
          <cell r="DV1294">
            <v>11.644336226312735</v>
          </cell>
          <cell r="DW1294">
            <v>9.8476005987137558</v>
          </cell>
          <cell r="DX1294">
            <v>7.1073990168282446</v>
          </cell>
          <cell r="DY1294">
            <v>12.587802180599267</v>
          </cell>
        </row>
        <row r="1295">
          <cell r="A1295">
            <v>41276</v>
          </cell>
          <cell r="DF1295">
            <v>14.571351923839355</v>
          </cell>
          <cell r="DG1295">
            <v>21.679348620667902</v>
          </cell>
          <cell r="DH1295">
            <v>18.362277992096409</v>
          </cell>
          <cell r="DI1295">
            <v>14.300000632844487</v>
          </cell>
          <cell r="DJ1295">
            <v>22.424555351348332</v>
          </cell>
          <cell r="DU1295">
            <v>7.0073417669335853</v>
          </cell>
          <cell r="DV1295">
            <v>11.644336226312735</v>
          </cell>
          <cell r="DW1295">
            <v>9.8476005987137558</v>
          </cell>
          <cell r="DX1295">
            <v>7.1073990168282446</v>
          </cell>
          <cell r="DY1295">
            <v>12.587802180599267</v>
          </cell>
        </row>
        <row r="1296">
          <cell r="A1296">
            <v>41277</v>
          </cell>
          <cell r="DF1296">
            <v>14.283273682209737</v>
          </cell>
          <cell r="DG1296">
            <v>21.679348620667902</v>
          </cell>
          <cell r="DH1296">
            <v>18.362277992096409</v>
          </cell>
          <cell r="DI1296">
            <v>14.300000632844487</v>
          </cell>
          <cell r="DJ1296">
            <v>22.424555351348332</v>
          </cell>
          <cell r="DU1296">
            <v>6.8347996110288127</v>
          </cell>
          <cell r="DV1296">
            <v>11.644336226312735</v>
          </cell>
          <cell r="DW1296">
            <v>9.8476005987137558</v>
          </cell>
          <cell r="DX1296">
            <v>7.1073990168282446</v>
          </cell>
          <cell r="DY1296">
            <v>12.587802180599267</v>
          </cell>
        </row>
        <row r="1297">
          <cell r="A1297">
            <v>41278</v>
          </cell>
          <cell r="DF1297">
            <v>14.207423052777411</v>
          </cell>
          <cell r="DG1297">
            <v>21.679348620667902</v>
          </cell>
          <cell r="DH1297">
            <v>18.362277992096409</v>
          </cell>
          <cell r="DI1297">
            <v>14.300000632844487</v>
          </cell>
          <cell r="DJ1297">
            <v>22.424555351348332</v>
          </cell>
          <cell r="DU1297">
            <v>6.8041606341069913</v>
          </cell>
          <cell r="DV1297">
            <v>11.644336226312735</v>
          </cell>
          <cell r="DW1297">
            <v>9.8476005987137558</v>
          </cell>
          <cell r="DX1297">
            <v>7.1073990168282446</v>
          </cell>
          <cell r="DY1297">
            <v>12.587802180599267</v>
          </cell>
        </row>
        <row r="1298">
          <cell r="A1298">
            <v>41281</v>
          </cell>
          <cell r="DF1298">
            <v>14.062093367542117</v>
          </cell>
          <cell r="DG1298">
            <v>21.679348620667902</v>
          </cell>
          <cell r="DH1298">
            <v>18.362277992096409</v>
          </cell>
          <cell r="DI1298">
            <v>14.300000632844487</v>
          </cell>
          <cell r="DJ1298">
            <v>22.424555351348332</v>
          </cell>
          <cell r="DU1298">
            <v>6.7190627657302864</v>
          </cell>
          <cell r="DV1298">
            <v>11.644336226312735</v>
          </cell>
          <cell r="DW1298">
            <v>9.8476005987137558</v>
          </cell>
          <cell r="DX1298">
            <v>7.1073990168282446</v>
          </cell>
          <cell r="DY1298">
            <v>12.587802180599267</v>
          </cell>
        </row>
        <row r="1299">
          <cell r="A1299">
            <v>41282</v>
          </cell>
          <cell r="DF1299">
            <v>14.178364091555244</v>
          </cell>
          <cell r="DG1299">
            <v>21.679348620667902</v>
          </cell>
          <cell r="DH1299">
            <v>18.362277992096409</v>
          </cell>
          <cell r="DI1299">
            <v>14.300000632844487</v>
          </cell>
          <cell r="DJ1299">
            <v>22.424555351348332</v>
          </cell>
          <cell r="DU1299">
            <v>6.7871451451293323</v>
          </cell>
          <cell r="DV1299">
            <v>11.644336226312735</v>
          </cell>
          <cell r="DW1299">
            <v>9.8476005987137558</v>
          </cell>
          <cell r="DX1299">
            <v>7.1073990168282446</v>
          </cell>
          <cell r="DY1299">
            <v>12.587802180599267</v>
          </cell>
        </row>
        <row r="1300">
          <cell r="A1300">
            <v>41283</v>
          </cell>
          <cell r="DF1300">
            <v>14.178364091555244</v>
          </cell>
          <cell r="DG1300">
            <v>21.679348620667902</v>
          </cell>
          <cell r="DH1300">
            <v>18.362277992096409</v>
          </cell>
          <cell r="DI1300">
            <v>14.300000632844487</v>
          </cell>
          <cell r="DJ1300">
            <v>22.424555351348332</v>
          </cell>
          <cell r="DU1300">
            <v>6.7871451451293323</v>
          </cell>
          <cell r="DV1300">
            <v>11.644336226312735</v>
          </cell>
          <cell r="DW1300">
            <v>9.8476005987137558</v>
          </cell>
          <cell r="DX1300">
            <v>7.1073990168282446</v>
          </cell>
          <cell r="DY1300">
            <v>12.587802180599267</v>
          </cell>
        </row>
        <row r="1301">
          <cell r="A1301">
            <v>41284</v>
          </cell>
          <cell r="DF1301">
            <v>14.294626095787256</v>
          </cell>
          <cell r="DG1301">
            <v>21.679348620667902</v>
          </cell>
          <cell r="DH1301">
            <v>18.362277992096409</v>
          </cell>
          <cell r="DI1301">
            <v>14.300000632844487</v>
          </cell>
          <cell r="DJ1301">
            <v>22.424555351348332</v>
          </cell>
          <cell r="DU1301">
            <v>6.8552224186562754</v>
          </cell>
          <cell r="DV1301">
            <v>11.644336226312735</v>
          </cell>
          <cell r="DW1301">
            <v>9.8476005987137558</v>
          </cell>
          <cell r="DX1301">
            <v>7.1073990168282446</v>
          </cell>
          <cell r="DY1301">
            <v>12.587802180599267</v>
          </cell>
        </row>
        <row r="1302">
          <cell r="A1302">
            <v>41285</v>
          </cell>
          <cell r="DF1302">
            <v>14.219051752871199</v>
          </cell>
          <cell r="DG1302">
            <v>21.679348620667902</v>
          </cell>
          <cell r="DH1302">
            <v>18.362277992096409</v>
          </cell>
          <cell r="DI1302">
            <v>14.300000632844487</v>
          </cell>
          <cell r="DJ1302">
            <v>22.424555351348332</v>
          </cell>
          <cell r="DU1302">
            <v>6.8109698251430215</v>
          </cell>
          <cell r="DV1302">
            <v>11.644336226312735</v>
          </cell>
          <cell r="DW1302">
            <v>9.8476005987137558</v>
          </cell>
          <cell r="DX1302">
            <v>7.1073990168282446</v>
          </cell>
          <cell r="DY1302">
            <v>12.587802180599267</v>
          </cell>
        </row>
        <row r="1303">
          <cell r="A1303">
            <v>41288</v>
          </cell>
          <cell r="DF1303">
            <v>14.46320446142901</v>
          </cell>
          <cell r="DG1303">
            <v>21.679348620667902</v>
          </cell>
          <cell r="DH1303">
            <v>18.362277992096409</v>
          </cell>
          <cell r="DI1303">
            <v>14.300000632844487</v>
          </cell>
          <cell r="DJ1303">
            <v>22.424555351348332</v>
          </cell>
          <cell r="DU1303">
            <v>6.9539335632329387</v>
          </cell>
          <cell r="DV1303">
            <v>11.644336226312735</v>
          </cell>
          <cell r="DW1303">
            <v>9.8476005987137558</v>
          </cell>
          <cell r="DX1303">
            <v>7.1073990168282446</v>
          </cell>
          <cell r="DY1303">
            <v>12.587802180599267</v>
          </cell>
        </row>
        <row r="1304">
          <cell r="A1304">
            <v>41289</v>
          </cell>
          <cell r="DF1304">
            <v>14.538778804345068</v>
          </cell>
          <cell r="DG1304">
            <v>21.679348620667902</v>
          </cell>
          <cell r="DH1304">
            <v>18.362277992096409</v>
          </cell>
          <cell r="DI1304">
            <v>14.300000632844487</v>
          </cell>
          <cell r="DJ1304">
            <v>22.424555351348332</v>
          </cell>
          <cell r="DU1304">
            <v>6.9981861567461934</v>
          </cell>
          <cell r="DV1304">
            <v>11.644336226312735</v>
          </cell>
          <cell r="DW1304">
            <v>9.8476005987137558</v>
          </cell>
          <cell r="DX1304">
            <v>7.1073990168282446</v>
          </cell>
          <cell r="DY1304">
            <v>12.587802180599267</v>
          </cell>
        </row>
        <row r="1305">
          <cell r="A1305">
            <v>41290</v>
          </cell>
          <cell r="DF1305">
            <v>14.52715010425128</v>
          </cell>
          <cell r="DG1305">
            <v>21.679348620667902</v>
          </cell>
          <cell r="DH1305">
            <v>18.362277992096409</v>
          </cell>
          <cell r="DI1305">
            <v>14.300000632844487</v>
          </cell>
          <cell r="DJ1305">
            <v>22.424555351348332</v>
          </cell>
          <cell r="DU1305">
            <v>6.9913769657101623</v>
          </cell>
          <cell r="DV1305">
            <v>11.644336226312735</v>
          </cell>
          <cell r="DW1305">
            <v>9.8476005987137558</v>
          </cell>
          <cell r="DX1305">
            <v>7.1073990168282446</v>
          </cell>
          <cell r="DY1305">
            <v>12.587802180599267</v>
          </cell>
        </row>
        <row r="1306">
          <cell r="A1306">
            <v>41291</v>
          </cell>
          <cell r="DF1306">
            <v>14.562027484751527</v>
          </cell>
          <cell r="DG1306">
            <v>21.679348620667902</v>
          </cell>
          <cell r="DH1306">
            <v>18.362277992096409</v>
          </cell>
          <cell r="DI1306">
            <v>14.300000632844487</v>
          </cell>
          <cell r="DJ1306">
            <v>22.424555351348332</v>
          </cell>
          <cell r="DU1306">
            <v>7.0117994329461508</v>
          </cell>
          <cell r="DV1306">
            <v>11.644336226312735</v>
          </cell>
          <cell r="DW1306">
            <v>9.8476005987137558</v>
          </cell>
          <cell r="DX1306">
            <v>7.1073990168282446</v>
          </cell>
          <cell r="DY1306">
            <v>12.587802180599267</v>
          </cell>
        </row>
        <row r="1307">
          <cell r="A1307">
            <v>41292</v>
          </cell>
          <cell r="DF1307">
            <v>14.649230527761372</v>
          </cell>
          <cell r="DG1307">
            <v>21.679348620667902</v>
          </cell>
          <cell r="DH1307">
            <v>18.362277992096409</v>
          </cell>
          <cell r="DI1307">
            <v>14.300000632844487</v>
          </cell>
          <cell r="DJ1307">
            <v>22.424555351348332</v>
          </cell>
          <cell r="DU1307">
            <v>7.0628612174954366</v>
          </cell>
          <cell r="DV1307">
            <v>11.644336226312735</v>
          </cell>
          <cell r="DW1307">
            <v>9.8476005987137558</v>
          </cell>
          <cell r="DX1307">
            <v>7.1073990168282446</v>
          </cell>
          <cell r="DY1307">
            <v>12.587802180599267</v>
          </cell>
        </row>
        <row r="1308">
          <cell r="A1308">
            <v>41295</v>
          </cell>
          <cell r="DF1308">
            <v>14.777121813405913</v>
          </cell>
          <cell r="DG1308">
            <v>21.679348620667902</v>
          </cell>
          <cell r="DH1308">
            <v>18.362277992096409</v>
          </cell>
          <cell r="DI1308">
            <v>14.300000632844487</v>
          </cell>
          <cell r="DJ1308">
            <v>22.424555351348332</v>
          </cell>
          <cell r="DU1308">
            <v>7.137748022449883</v>
          </cell>
          <cell r="DV1308">
            <v>11.644336226312735</v>
          </cell>
          <cell r="DW1308">
            <v>9.8476005987137558</v>
          </cell>
          <cell r="DX1308">
            <v>7.1073990168282446</v>
          </cell>
          <cell r="DY1308">
            <v>12.587802180599267</v>
          </cell>
        </row>
        <row r="1309">
          <cell r="A1309">
            <v>41296</v>
          </cell>
          <cell r="DF1309">
            <v>14.644951559765486</v>
          </cell>
          <cell r="DG1309">
            <v>21.679348620667902</v>
          </cell>
          <cell r="DH1309">
            <v>18.362277992096409</v>
          </cell>
          <cell r="DI1309">
            <v>14.300000632844487</v>
          </cell>
          <cell r="DJ1309">
            <v>22.424555351348332</v>
          </cell>
          <cell r="DU1309">
            <v>7.1063837115494231</v>
          </cell>
          <cell r="DV1309">
            <v>11.644336226312735</v>
          </cell>
          <cell r="DW1309">
            <v>9.8476005987137558</v>
          </cell>
          <cell r="DX1309">
            <v>7.1073990168282446</v>
          </cell>
          <cell r="DY1309">
            <v>12.587802180599267</v>
          </cell>
        </row>
        <row r="1310">
          <cell r="A1310">
            <v>41297</v>
          </cell>
          <cell r="DF1310">
            <v>14.276991039367058</v>
          </cell>
          <cell r="DG1310">
            <v>21.679348620667902</v>
          </cell>
          <cell r="DH1310">
            <v>18.362277992096409</v>
          </cell>
          <cell r="DI1310">
            <v>14.300000632844487</v>
          </cell>
          <cell r="DJ1310">
            <v>22.424555351348332</v>
          </cell>
          <cell r="DU1310">
            <v>6.8826701729852688</v>
          </cell>
          <cell r="DV1310">
            <v>11.644336226312735</v>
          </cell>
          <cell r="DW1310">
            <v>9.8476005987137558</v>
          </cell>
          <cell r="DX1310">
            <v>7.1073990168282446</v>
          </cell>
          <cell r="DY1310">
            <v>12.587802180599267</v>
          </cell>
        </row>
        <row r="1311">
          <cell r="A1311">
            <v>41298</v>
          </cell>
          <cell r="DF1311">
            <v>14.471720880213695</v>
          </cell>
          <cell r="DG1311">
            <v>21.679348620667902</v>
          </cell>
          <cell r="DH1311">
            <v>18.362277992096409</v>
          </cell>
          <cell r="DI1311">
            <v>14.300000632844487</v>
          </cell>
          <cell r="DJ1311">
            <v>22.424555351348332</v>
          </cell>
          <cell r="DU1311">
            <v>6.9810489646583429</v>
          </cell>
          <cell r="DV1311">
            <v>11.644336226312735</v>
          </cell>
          <cell r="DW1311">
            <v>9.8476005987137558</v>
          </cell>
          <cell r="DX1311">
            <v>7.1073990168282446</v>
          </cell>
          <cell r="DY1311">
            <v>12.587802180599267</v>
          </cell>
        </row>
        <row r="1312">
          <cell r="A1312">
            <v>41299</v>
          </cell>
          <cell r="DF1312">
            <v>14.46716769807437</v>
          </cell>
          <cell r="DG1312">
            <v>21.679348620667902</v>
          </cell>
          <cell r="DH1312">
            <v>18.362277992096409</v>
          </cell>
          <cell r="DI1312">
            <v>14.300000632844487</v>
          </cell>
          <cell r="DJ1312">
            <v>22.424555351348332</v>
          </cell>
          <cell r="DU1312">
            <v>6.9776536330610908</v>
          </cell>
          <cell r="DV1312">
            <v>11.644336226312735</v>
          </cell>
          <cell r="DW1312">
            <v>9.8476005987137558</v>
          </cell>
          <cell r="DX1312">
            <v>7.1073990168282446</v>
          </cell>
          <cell r="DY1312">
            <v>12.587802180599267</v>
          </cell>
        </row>
        <row r="1313">
          <cell r="A1313">
            <v>41302</v>
          </cell>
          <cell r="DF1313">
            <v>14.461388345598918</v>
          </cell>
          <cell r="DG1313">
            <v>21.679348620667902</v>
          </cell>
          <cell r="DH1313">
            <v>18.362277992096409</v>
          </cell>
          <cell r="DI1313">
            <v>14.300000632844487</v>
          </cell>
          <cell r="DJ1313">
            <v>22.424555351348332</v>
          </cell>
          <cell r="DU1313">
            <v>6.9742630506538035</v>
          </cell>
          <cell r="DV1313">
            <v>11.644336226312735</v>
          </cell>
          <cell r="DW1313">
            <v>9.8476005987137558</v>
          </cell>
          <cell r="DX1313">
            <v>7.1073990168282446</v>
          </cell>
          <cell r="DY1313">
            <v>12.587802180599267</v>
          </cell>
        </row>
        <row r="1314">
          <cell r="A1314">
            <v>41303</v>
          </cell>
          <cell r="DF1314">
            <v>14.530772377644112</v>
          </cell>
          <cell r="DG1314">
            <v>21.679348620667902</v>
          </cell>
          <cell r="DH1314">
            <v>18.362277992096409</v>
          </cell>
          <cell r="DI1314">
            <v>14.300000632844487</v>
          </cell>
          <cell r="DJ1314">
            <v>22.424555351348332</v>
          </cell>
          <cell r="DU1314">
            <v>7.0149686970732494</v>
          </cell>
          <cell r="DV1314">
            <v>11.644336226312735</v>
          </cell>
          <cell r="DW1314">
            <v>9.8476005987137558</v>
          </cell>
          <cell r="DX1314">
            <v>7.1073990168282446</v>
          </cell>
          <cell r="DY1314">
            <v>12.587802180599267</v>
          </cell>
        </row>
        <row r="1315">
          <cell r="A1315">
            <v>41304</v>
          </cell>
          <cell r="DF1315">
            <v>14.242813580941007</v>
          </cell>
          <cell r="DG1315">
            <v>21.679348620667902</v>
          </cell>
          <cell r="DH1315">
            <v>18.362277992096409</v>
          </cell>
          <cell r="DI1315">
            <v>14.300000632844487</v>
          </cell>
          <cell r="DJ1315">
            <v>22.424555351348332</v>
          </cell>
          <cell r="DU1315">
            <v>6.7724878392822871</v>
          </cell>
          <cell r="DV1315">
            <v>11.644336226312735</v>
          </cell>
          <cell r="DW1315">
            <v>9.8476005987137558</v>
          </cell>
          <cell r="DX1315">
            <v>7.1073990168282446</v>
          </cell>
          <cell r="DY1315">
            <v>12.587802180599267</v>
          </cell>
        </row>
        <row r="1316">
          <cell r="A1316">
            <v>41305</v>
          </cell>
          <cell r="DF1316">
            <v>14.324167316774824</v>
          </cell>
          <cell r="DG1316">
            <v>21.679348620667902</v>
          </cell>
          <cell r="DH1316">
            <v>18.362277992096409</v>
          </cell>
          <cell r="DI1316">
            <v>14.300000632844487</v>
          </cell>
          <cell r="DJ1316">
            <v>22.424555351348332</v>
          </cell>
          <cell r="DU1316">
            <v>6.819754937057751</v>
          </cell>
          <cell r="DV1316">
            <v>11.644336226312735</v>
          </cell>
          <cell r="DW1316">
            <v>9.8476005987137558</v>
          </cell>
          <cell r="DX1316">
            <v>7.1073990168282446</v>
          </cell>
          <cell r="DY1316">
            <v>12.587802180599267</v>
          </cell>
        </row>
        <row r="1317">
          <cell r="A1317">
            <v>41306</v>
          </cell>
          <cell r="DF1317">
            <v>15.024396706893471</v>
          </cell>
          <cell r="DG1317">
            <v>21.679348620667902</v>
          </cell>
          <cell r="DH1317">
            <v>18.362277992096409</v>
          </cell>
          <cell r="DI1317">
            <v>14.300000632844487</v>
          </cell>
          <cell r="DJ1317">
            <v>22.424555351348332</v>
          </cell>
          <cell r="DU1317">
            <v>7.2265931812854216</v>
          </cell>
          <cell r="DV1317">
            <v>11.644336226312735</v>
          </cell>
          <cell r="DW1317">
            <v>9.8476005987137558</v>
          </cell>
          <cell r="DX1317">
            <v>7.1073990168282446</v>
          </cell>
          <cell r="DY1317">
            <v>12.587802180599267</v>
          </cell>
        </row>
        <row r="1318">
          <cell r="A1318">
            <v>41309</v>
          </cell>
          <cell r="DF1318">
            <v>15.082594102726237</v>
          </cell>
          <cell r="DG1318">
            <v>21.679348620667902</v>
          </cell>
          <cell r="DH1318">
            <v>18.362277992096409</v>
          </cell>
          <cell r="DI1318">
            <v>14.300000632844487</v>
          </cell>
          <cell r="DJ1318">
            <v>22.424555351348332</v>
          </cell>
          <cell r="DU1318">
            <v>7.2655021156623185</v>
          </cell>
          <cell r="DV1318">
            <v>11.644336226312735</v>
          </cell>
          <cell r="DW1318">
            <v>9.8476005987137558</v>
          </cell>
          <cell r="DX1318">
            <v>7.1073990168282446</v>
          </cell>
          <cell r="DY1318">
            <v>12.587802180599267</v>
          </cell>
        </row>
        <row r="1319">
          <cell r="A1319">
            <v>41310</v>
          </cell>
          <cell r="DF1319">
            <v>15.059339918162063</v>
          </cell>
          <cell r="DG1319">
            <v>21.679348620667902</v>
          </cell>
          <cell r="DH1319">
            <v>18.362277992096409</v>
          </cell>
          <cell r="DI1319">
            <v>14.300000632844487</v>
          </cell>
          <cell r="DJ1319">
            <v>22.424555351348332</v>
          </cell>
          <cell r="DU1319">
            <v>7.2520257948554905</v>
          </cell>
          <cell r="DV1319">
            <v>11.644336226312735</v>
          </cell>
          <cell r="DW1319">
            <v>9.8476005987137558</v>
          </cell>
          <cell r="DX1319">
            <v>7.1073990168282446</v>
          </cell>
          <cell r="DY1319">
            <v>12.587802180599267</v>
          </cell>
        </row>
        <row r="1320">
          <cell r="A1320">
            <v>41311</v>
          </cell>
          <cell r="DF1320">
            <v>14.83257818575613</v>
          </cell>
          <cell r="DG1320">
            <v>21.679348620667902</v>
          </cell>
          <cell r="DH1320">
            <v>18.362277992096409</v>
          </cell>
          <cell r="DI1320">
            <v>14.300000632844487</v>
          </cell>
          <cell r="DJ1320">
            <v>22.424555351348332</v>
          </cell>
          <cell r="DU1320">
            <v>7.1201663710366976</v>
          </cell>
          <cell r="DV1320">
            <v>11.644336226312735</v>
          </cell>
          <cell r="DW1320">
            <v>9.8476005987137558</v>
          </cell>
          <cell r="DX1320">
            <v>7.1073990168282446</v>
          </cell>
          <cell r="DY1320">
            <v>12.587802180599267</v>
          </cell>
        </row>
        <row r="1321">
          <cell r="A1321">
            <v>41312</v>
          </cell>
          <cell r="DF1321">
            <v>14.786061676442159</v>
          </cell>
          <cell r="DG1321">
            <v>21.679348620667902</v>
          </cell>
          <cell r="DH1321">
            <v>18.362277992096409</v>
          </cell>
          <cell r="DI1321">
            <v>14.300000632844487</v>
          </cell>
          <cell r="DJ1321">
            <v>22.424555351348332</v>
          </cell>
          <cell r="DU1321">
            <v>7.0931175385413558</v>
          </cell>
          <cell r="DV1321">
            <v>11.644336226312735</v>
          </cell>
          <cell r="DW1321">
            <v>9.8476005987137558</v>
          </cell>
          <cell r="DX1321">
            <v>7.1073990168282446</v>
          </cell>
          <cell r="DY1321">
            <v>12.587802180599267</v>
          </cell>
        </row>
        <row r="1322">
          <cell r="A1322">
            <v>41313</v>
          </cell>
          <cell r="DF1322">
            <v>14.716868354301582</v>
          </cell>
          <cell r="DG1322">
            <v>21.679348620667902</v>
          </cell>
          <cell r="DH1322">
            <v>18.362277992096409</v>
          </cell>
          <cell r="DI1322">
            <v>14.300000632844487</v>
          </cell>
          <cell r="DJ1322">
            <v>22.424555351348332</v>
          </cell>
          <cell r="DU1322">
            <v>7.0528823917519841</v>
          </cell>
          <cell r="DV1322">
            <v>11.644336226312735</v>
          </cell>
          <cell r="DW1322">
            <v>9.8476005987137558</v>
          </cell>
          <cell r="DX1322">
            <v>7.1073990168282446</v>
          </cell>
          <cell r="DY1322">
            <v>12.587802180599267</v>
          </cell>
        </row>
        <row r="1323">
          <cell r="A1323">
            <v>41316</v>
          </cell>
          <cell r="DF1323">
            <v>14.820947023381231</v>
          </cell>
          <cell r="DG1323">
            <v>21.679348620667902</v>
          </cell>
          <cell r="DH1323">
            <v>18.362277992096409</v>
          </cell>
          <cell r="DI1323">
            <v>14.300000632844487</v>
          </cell>
          <cell r="DJ1323">
            <v>22.424555351348332</v>
          </cell>
          <cell r="DU1323">
            <v>7.1134029795560236</v>
          </cell>
          <cell r="DV1323">
            <v>11.644336226312735</v>
          </cell>
          <cell r="DW1323">
            <v>9.8476005987137558</v>
          </cell>
          <cell r="DX1323">
            <v>7.1073990168282446</v>
          </cell>
          <cell r="DY1323">
            <v>12.587802180599267</v>
          </cell>
        </row>
        <row r="1324">
          <cell r="A1324">
            <v>41317</v>
          </cell>
          <cell r="DF1324">
            <v>14.646512729942074</v>
          </cell>
          <cell r="DG1324">
            <v>21.679348620667902</v>
          </cell>
          <cell r="DH1324">
            <v>18.362277992096409</v>
          </cell>
          <cell r="DI1324">
            <v>14.300000632844487</v>
          </cell>
          <cell r="DJ1324">
            <v>22.424555351348332</v>
          </cell>
          <cell r="DU1324">
            <v>7.0119713791572815</v>
          </cell>
          <cell r="DV1324">
            <v>11.644336226312735</v>
          </cell>
          <cell r="DW1324">
            <v>9.8476005987137558</v>
          </cell>
          <cell r="DX1324">
            <v>7.1073990168282446</v>
          </cell>
          <cell r="DY1324">
            <v>12.587802180599267</v>
          </cell>
        </row>
        <row r="1325">
          <cell r="A1325">
            <v>41318</v>
          </cell>
          <cell r="DF1325">
            <v>14.506971923627617</v>
          </cell>
          <cell r="DG1325">
            <v>21.679348620667902</v>
          </cell>
          <cell r="DH1325">
            <v>18.362277992096409</v>
          </cell>
          <cell r="DI1325">
            <v>14.300000632844487</v>
          </cell>
          <cell r="DJ1325">
            <v>22.424555351348332</v>
          </cell>
          <cell r="DU1325">
            <v>6.9308299532005586</v>
          </cell>
          <cell r="DV1325">
            <v>11.644336226312735</v>
          </cell>
          <cell r="DW1325">
            <v>9.8476005987137558</v>
          </cell>
          <cell r="DX1325">
            <v>7.1073990168282446</v>
          </cell>
          <cell r="DY1325">
            <v>12.587802180599267</v>
          </cell>
        </row>
        <row r="1326">
          <cell r="A1326">
            <v>41319</v>
          </cell>
          <cell r="DF1326">
            <v>14.408619599854111</v>
          </cell>
          <cell r="DG1326">
            <v>21.679348620667902</v>
          </cell>
          <cell r="DH1326">
            <v>18.362277992096409</v>
          </cell>
          <cell r="DI1326">
            <v>14.300000632844487</v>
          </cell>
          <cell r="DJ1326">
            <v>22.424555351348332</v>
          </cell>
          <cell r="DU1326">
            <v>6.8883589938000203</v>
          </cell>
          <cell r="DV1326">
            <v>11.644336226312735</v>
          </cell>
          <cell r="DW1326">
            <v>9.8476005987137558</v>
          </cell>
          <cell r="DX1326">
            <v>7.1073990168282446</v>
          </cell>
          <cell r="DY1326">
            <v>12.587802180599267</v>
          </cell>
        </row>
        <row r="1327">
          <cell r="A1327">
            <v>41320</v>
          </cell>
          <cell r="DF1327">
            <v>14.693423849787633</v>
          </cell>
          <cell r="DG1327">
            <v>21.679348620667902</v>
          </cell>
          <cell r="DH1327">
            <v>18.362277992096409</v>
          </cell>
          <cell r="DI1327">
            <v>14.300000632844487</v>
          </cell>
          <cell r="DJ1327">
            <v>22.424555351348332</v>
          </cell>
          <cell r="DU1327">
            <v>7.054310739653646</v>
          </cell>
          <cell r="DV1327">
            <v>11.644336226312735</v>
          </cell>
          <cell r="DW1327">
            <v>9.8476005987137558</v>
          </cell>
          <cell r="DX1327">
            <v>7.1073990168282446</v>
          </cell>
          <cell r="DY1327">
            <v>12.587802180599267</v>
          </cell>
        </row>
        <row r="1328">
          <cell r="A1328">
            <v>41323</v>
          </cell>
          <cell r="DF1328">
            <v>14.768977577706448</v>
          </cell>
          <cell r="DG1328">
            <v>21.679348620667902</v>
          </cell>
          <cell r="DH1328">
            <v>18.362277992096409</v>
          </cell>
          <cell r="DI1328">
            <v>14.300000632844487</v>
          </cell>
          <cell r="DJ1328">
            <v>22.424555351348332</v>
          </cell>
          <cell r="DU1328">
            <v>7.0983349178630775</v>
          </cell>
          <cell r="DV1328">
            <v>11.644336226312735</v>
          </cell>
          <cell r="DW1328">
            <v>9.8476005987137558</v>
          </cell>
          <cell r="DX1328">
            <v>7.1073990168282446</v>
          </cell>
          <cell r="DY1328">
            <v>12.587802180599267</v>
          </cell>
        </row>
        <row r="1329">
          <cell r="A1329">
            <v>41324</v>
          </cell>
          <cell r="DF1329">
            <v>14.768977577706448</v>
          </cell>
          <cell r="DG1329">
            <v>21.679348620667902</v>
          </cell>
          <cell r="DH1329">
            <v>18.362277992096409</v>
          </cell>
          <cell r="DI1329">
            <v>14.300000632844487</v>
          </cell>
          <cell r="DJ1329">
            <v>22.424555351348332</v>
          </cell>
          <cell r="DU1329">
            <v>7.0983349178630775</v>
          </cell>
          <cell r="DV1329">
            <v>11.644336226312735</v>
          </cell>
          <cell r="DW1329">
            <v>9.8476005987137558</v>
          </cell>
          <cell r="DX1329">
            <v>7.1073990168282446</v>
          </cell>
          <cell r="DY1329">
            <v>12.587802180599267</v>
          </cell>
        </row>
        <row r="1330">
          <cell r="A1330">
            <v>41325</v>
          </cell>
          <cell r="DF1330">
            <v>14.464836104514433</v>
          </cell>
          <cell r="DG1330">
            <v>21.679348620667902</v>
          </cell>
          <cell r="DH1330">
            <v>18.362277992096409</v>
          </cell>
          <cell r="DI1330">
            <v>14.300000632844487</v>
          </cell>
          <cell r="DJ1330">
            <v>22.424555351348332</v>
          </cell>
          <cell r="DU1330">
            <v>6.9596156597874321</v>
          </cell>
          <cell r="DV1330">
            <v>11.644336226312735</v>
          </cell>
          <cell r="DW1330">
            <v>9.8476005987137558</v>
          </cell>
          <cell r="DX1330">
            <v>7.1073990168282446</v>
          </cell>
          <cell r="DY1330">
            <v>12.587802180599267</v>
          </cell>
        </row>
        <row r="1331">
          <cell r="A1331">
            <v>41326</v>
          </cell>
          <cell r="DF1331">
            <v>14.280566040453376</v>
          </cell>
          <cell r="DG1331">
            <v>21.679348620667902</v>
          </cell>
          <cell r="DH1331">
            <v>18.362277992096409</v>
          </cell>
          <cell r="DI1331">
            <v>14.300000632844487</v>
          </cell>
          <cell r="DJ1331">
            <v>22.424555351348332</v>
          </cell>
          <cell r="DU1331">
            <v>6.8518645380147989</v>
          </cell>
          <cell r="DV1331">
            <v>11.644336226312735</v>
          </cell>
          <cell r="DW1331">
            <v>9.8476005987137558</v>
          </cell>
          <cell r="DX1331">
            <v>7.1073990168282446</v>
          </cell>
          <cell r="DY1331">
            <v>12.587802180599267</v>
          </cell>
        </row>
        <row r="1332">
          <cell r="A1332">
            <v>41327</v>
          </cell>
          <cell r="DF1332">
            <v>14.021444468438668</v>
          </cell>
          <cell r="DG1332">
            <v>21.679348620667902</v>
          </cell>
          <cell r="DH1332">
            <v>18.362277992096409</v>
          </cell>
          <cell r="DI1332">
            <v>14.300000632844487</v>
          </cell>
          <cell r="DJ1332">
            <v>22.424555351348332</v>
          </cell>
          <cell r="DU1332">
            <v>6.7003443211942217</v>
          </cell>
          <cell r="DV1332">
            <v>11.644336226312735</v>
          </cell>
          <cell r="DW1332">
            <v>9.8476005987137558</v>
          </cell>
          <cell r="DX1332">
            <v>7.1073990168282446</v>
          </cell>
          <cell r="DY1332">
            <v>12.587802180599267</v>
          </cell>
        </row>
        <row r="1333">
          <cell r="A1333">
            <v>41330</v>
          </cell>
          <cell r="DF1333">
            <v>14.07903087886119</v>
          </cell>
          <cell r="DG1333">
            <v>21.679348620667902</v>
          </cell>
          <cell r="DH1333">
            <v>18.362277992096409</v>
          </cell>
          <cell r="DI1333">
            <v>14.300000632844487</v>
          </cell>
          <cell r="DJ1333">
            <v>22.424555351348332</v>
          </cell>
          <cell r="DU1333">
            <v>6.734017725246602</v>
          </cell>
          <cell r="DV1333">
            <v>11.644336226312735</v>
          </cell>
          <cell r="DW1333">
            <v>9.8476005987137558</v>
          </cell>
          <cell r="DX1333">
            <v>7.1073990168282446</v>
          </cell>
          <cell r="DY1333">
            <v>12.587802180599267</v>
          </cell>
        </row>
        <row r="1334">
          <cell r="A1334">
            <v>41331</v>
          </cell>
          <cell r="DF1334">
            <v>14.107824084072449</v>
          </cell>
          <cell r="DG1334">
            <v>21.679348620667902</v>
          </cell>
          <cell r="DH1334">
            <v>18.362277992096409</v>
          </cell>
          <cell r="DI1334">
            <v>14.300000632844487</v>
          </cell>
          <cell r="DJ1334">
            <v>22.424555351348332</v>
          </cell>
          <cell r="DU1334">
            <v>6.7508544272727917</v>
          </cell>
          <cell r="DV1334">
            <v>11.644336226312735</v>
          </cell>
          <cell r="DW1334">
            <v>9.8476005987137558</v>
          </cell>
          <cell r="DX1334">
            <v>7.1073990168282446</v>
          </cell>
          <cell r="DY1334">
            <v>12.587802180599267</v>
          </cell>
        </row>
        <row r="1335">
          <cell r="A1335">
            <v>41332</v>
          </cell>
          <cell r="DF1335">
            <v>14.165401857051652</v>
          </cell>
          <cell r="DG1335">
            <v>21.679348620667902</v>
          </cell>
          <cell r="DH1335">
            <v>18.362277992096409</v>
          </cell>
          <cell r="DI1335">
            <v>14.300000632844487</v>
          </cell>
          <cell r="DJ1335">
            <v>22.424555351348332</v>
          </cell>
          <cell r="DU1335">
            <v>6.7845227806176061</v>
          </cell>
          <cell r="DV1335">
            <v>11.644336226312735</v>
          </cell>
          <cell r="DW1335">
            <v>9.8476005987137558</v>
          </cell>
          <cell r="DX1335">
            <v>7.1073990168282446</v>
          </cell>
          <cell r="DY1335">
            <v>12.587802180599267</v>
          </cell>
        </row>
        <row r="1336">
          <cell r="A1336">
            <v>41333</v>
          </cell>
          <cell r="DF1336">
            <v>14.10206060606194</v>
          </cell>
          <cell r="DG1336">
            <v>21.679348620667902</v>
          </cell>
          <cell r="DH1336">
            <v>18.362277992096409</v>
          </cell>
          <cell r="DI1336">
            <v>14.300000632844487</v>
          </cell>
          <cell r="DJ1336">
            <v>22.424555351348332</v>
          </cell>
          <cell r="DU1336">
            <v>6.7474842584713164</v>
          </cell>
          <cell r="DV1336">
            <v>11.644336226312735</v>
          </cell>
          <cell r="DW1336">
            <v>9.8476005987137558</v>
          </cell>
          <cell r="DX1336">
            <v>7.1073990168282446</v>
          </cell>
          <cell r="DY1336">
            <v>12.587802180599267</v>
          </cell>
        </row>
        <row r="1337">
          <cell r="A1337">
            <v>41334</v>
          </cell>
          <cell r="DF1337">
            <v>14.643341538905869</v>
          </cell>
          <cell r="DG1337">
            <v>21.679348620667902</v>
          </cell>
          <cell r="DH1337">
            <v>18.362277992096409</v>
          </cell>
          <cell r="DI1337">
            <v>14.300000632844487</v>
          </cell>
          <cell r="DJ1337">
            <v>22.424555351348332</v>
          </cell>
          <cell r="DU1337">
            <v>7.0639959393309146</v>
          </cell>
          <cell r="DV1337">
            <v>11.644336226312735</v>
          </cell>
          <cell r="DW1337">
            <v>9.8476005987137558</v>
          </cell>
          <cell r="DX1337">
            <v>7.1073990168282446</v>
          </cell>
          <cell r="DY1337">
            <v>12.587802180599267</v>
          </cell>
        </row>
        <row r="1338">
          <cell r="A1338">
            <v>41337</v>
          </cell>
          <cell r="DF1338">
            <v>14.977323832147102</v>
          </cell>
          <cell r="DG1338">
            <v>21.679348620667902</v>
          </cell>
          <cell r="DH1338">
            <v>18.362277992096409</v>
          </cell>
          <cell r="DI1338">
            <v>14.300000632844487</v>
          </cell>
          <cell r="DJ1338">
            <v>22.424555351348332</v>
          </cell>
          <cell r="DU1338">
            <v>7.2592906386208389</v>
          </cell>
          <cell r="DV1338">
            <v>11.644336226312735</v>
          </cell>
          <cell r="DW1338">
            <v>9.8476005987137558</v>
          </cell>
          <cell r="DX1338">
            <v>7.1073990168282446</v>
          </cell>
          <cell r="DY1338">
            <v>12.587802180599267</v>
          </cell>
        </row>
        <row r="1339">
          <cell r="A1339">
            <v>41338</v>
          </cell>
          <cell r="DF1339">
            <v>15.029146188729557</v>
          </cell>
          <cell r="DG1339">
            <v>21.679348620667902</v>
          </cell>
          <cell r="DH1339">
            <v>18.362277992096409</v>
          </cell>
          <cell r="DI1339">
            <v>14.300000632844487</v>
          </cell>
          <cell r="DJ1339">
            <v>22.424555351348332</v>
          </cell>
          <cell r="DU1339">
            <v>7.2895935371579066</v>
          </cell>
          <cell r="DV1339">
            <v>11.644336226312735</v>
          </cell>
          <cell r="DW1339">
            <v>9.8476005987137558</v>
          </cell>
          <cell r="DX1339">
            <v>7.1073990168282446</v>
          </cell>
          <cell r="DY1339">
            <v>12.587802180599267</v>
          </cell>
        </row>
        <row r="1340">
          <cell r="A1340">
            <v>41339</v>
          </cell>
          <cell r="DF1340">
            <v>15.344985288389354</v>
          </cell>
          <cell r="DG1340">
            <v>21.679348620667902</v>
          </cell>
          <cell r="DH1340">
            <v>18.362277992096409</v>
          </cell>
          <cell r="DI1340">
            <v>14.300000632844487</v>
          </cell>
          <cell r="DJ1340">
            <v>22.424555351348332</v>
          </cell>
          <cell r="DU1340">
            <v>7.474787158030864</v>
          </cell>
          <cell r="DV1340">
            <v>11.644336226312735</v>
          </cell>
          <cell r="DW1340">
            <v>9.8476005987137558</v>
          </cell>
          <cell r="DX1340">
            <v>7.1073990168282446</v>
          </cell>
          <cell r="DY1340">
            <v>12.587802180599267</v>
          </cell>
        </row>
        <row r="1341">
          <cell r="A1341">
            <v>41340</v>
          </cell>
          <cell r="DF1341">
            <v>15.886236149685677</v>
          </cell>
          <cell r="DG1341">
            <v>21.679348620667902</v>
          </cell>
          <cell r="DH1341">
            <v>18.362277992096409</v>
          </cell>
          <cell r="DI1341">
            <v>14.300000632844487</v>
          </cell>
          <cell r="DJ1341">
            <v>22.424555351348332</v>
          </cell>
          <cell r="DU1341">
            <v>7.79356260179968</v>
          </cell>
          <cell r="DV1341">
            <v>11.644336226312735</v>
          </cell>
          <cell r="DW1341">
            <v>9.8476005987137558</v>
          </cell>
          <cell r="DX1341">
            <v>7.1073990168282446</v>
          </cell>
          <cell r="DY1341">
            <v>12.587802180599267</v>
          </cell>
        </row>
        <row r="1342">
          <cell r="A1342">
            <v>41341</v>
          </cell>
          <cell r="DF1342">
            <v>16.007148327215404</v>
          </cell>
          <cell r="DG1342">
            <v>21.679348620667902</v>
          </cell>
          <cell r="DH1342">
            <v>18.362277992096409</v>
          </cell>
          <cell r="DI1342">
            <v>14.300000632844487</v>
          </cell>
          <cell r="DJ1342">
            <v>22.424555351348332</v>
          </cell>
          <cell r="DU1342">
            <v>7.8642900181262156</v>
          </cell>
          <cell r="DV1342">
            <v>11.644336226312735</v>
          </cell>
          <cell r="DW1342">
            <v>9.8476005987137558</v>
          </cell>
          <cell r="DX1342">
            <v>7.1073990168282446</v>
          </cell>
          <cell r="DY1342">
            <v>12.587802180599267</v>
          </cell>
        </row>
        <row r="1343">
          <cell r="A1343">
            <v>41344</v>
          </cell>
          <cell r="DF1343">
            <v>15.891237396920227</v>
          </cell>
          <cell r="DG1343">
            <v>21.679348620667902</v>
          </cell>
          <cell r="DH1343">
            <v>18.362277992096409</v>
          </cell>
          <cell r="DI1343">
            <v>14.300000632844487</v>
          </cell>
          <cell r="DJ1343">
            <v>22.424555351348332</v>
          </cell>
          <cell r="DU1343">
            <v>7.8104041950040353</v>
          </cell>
          <cell r="DV1343">
            <v>11.644336226312735</v>
          </cell>
          <cell r="DW1343">
            <v>9.8476005987137558</v>
          </cell>
          <cell r="DX1343">
            <v>7.1073990168282446</v>
          </cell>
          <cell r="DY1343">
            <v>12.587802180599267</v>
          </cell>
        </row>
        <row r="1344">
          <cell r="A1344">
            <v>41345</v>
          </cell>
          <cell r="DF1344">
            <v>16.43742509060192</v>
          </cell>
          <cell r="DG1344">
            <v>21.679348620667902</v>
          </cell>
          <cell r="DH1344">
            <v>18.362277992096409</v>
          </cell>
          <cell r="DI1344">
            <v>14.300000632844487</v>
          </cell>
          <cell r="DJ1344">
            <v>22.424555351348332</v>
          </cell>
          <cell r="DU1344">
            <v>8.1303742571874658</v>
          </cell>
          <cell r="DV1344">
            <v>11.644336226312735</v>
          </cell>
          <cell r="DW1344">
            <v>9.8476005987137558</v>
          </cell>
          <cell r="DX1344">
            <v>7.1073990168282446</v>
          </cell>
          <cell r="DY1344">
            <v>12.587802180599267</v>
          </cell>
        </row>
        <row r="1345">
          <cell r="A1345">
            <v>41346</v>
          </cell>
          <cell r="DF1345">
            <v>16.258617048393919</v>
          </cell>
          <cell r="DG1345">
            <v>21.679348620667902</v>
          </cell>
          <cell r="DH1345">
            <v>18.362277992096409</v>
          </cell>
          <cell r="DI1345">
            <v>14.300000632844487</v>
          </cell>
          <cell r="DJ1345">
            <v>22.424555351348332</v>
          </cell>
          <cell r="DU1345">
            <v>8.0256241483035868</v>
          </cell>
          <cell r="DV1345">
            <v>11.644336226312735</v>
          </cell>
          <cell r="DW1345">
            <v>9.8476005987137558</v>
          </cell>
          <cell r="DX1345">
            <v>7.1073990168282446</v>
          </cell>
          <cell r="DY1345">
            <v>12.587802180599267</v>
          </cell>
        </row>
        <row r="1346">
          <cell r="A1346">
            <v>41347</v>
          </cell>
          <cell r="DF1346">
            <v>16.132709463643515</v>
          </cell>
          <cell r="DG1346">
            <v>21.679348620667902</v>
          </cell>
          <cell r="DH1346">
            <v>18.362277992096409</v>
          </cell>
          <cell r="DI1346">
            <v>14.300000632844487</v>
          </cell>
          <cell r="DJ1346">
            <v>22.424555351348332</v>
          </cell>
          <cell r="DU1346">
            <v>7.951864416643593</v>
          </cell>
          <cell r="DV1346">
            <v>11.644336226312735</v>
          </cell>
          <cell r="DW1346">
            <v>9.8476005987137558</v>
          </cell>
          <cell r="DX1346">
            <v>7.1073990168282446</v>
          </cell>
          <cell r="DY1346">
            <v>12.587802180599267</v>
          </cell>
        </row>
        <row r="1347">
          <cell r="A1347">
            <v>41348</v>
          </cell>
          <cell r="DF1347">
            <v>15.626762706571272</v>
          </cell>
          <cell r="DG1347">
            <v>21.679348620667902</v>
          </cell>
          <cell r="DH1347">
            <v>18.362277992096409</v>
          </cell>
          <cell r="DI1347">
            <v>14.300000632844487</v>
          </cell>
          <cell r="DJ1347">
            <v>22.424555351348332</v>
          </cell>
          <cell r="DU1347">
            <v>7.6554684758440663</v>
          </cell>
          <cell r="DV1347">
            <v>11.644336226312735</v>
          </cell>
          <cell r="DW1347">
            <v>9.8476005987137558</v>
          </cell>
          <cell r="DX1347">
            <v>7.1073990168282446</v>
          </cell>
          <cell r="DY1347">
            <v>12.587802180599267</v>
          </cell>
        </row>
        <row r="1348">
          <cell r="A1348">
            <v>41351</v>
          </cell>
          <cell r="DF1348">
            <v>15.91997730918496</v>
          </cell>
          <cell r="DG1348">
            <v>21.679348620667902</v>
          </cell>
          <cell r="DH1348">
            <v>18.362277992096409</v>
          </cell>
          <cell r="DI1348">
            <v>14.300000632844487</v>
          </cell>
          <cell r="DJ1348">
            <v>22.424555351348332</v>
          </cell>
          <cell r="DU1348">
            <v>7.8272407360335592</v>
          </cell>
          <cell r="DV1348">
            <v>11.644336226312735</v>
          </cell>
          <cell r="DW1348">
            <v>9.8476005987137558</v>
          </cell>
          <cell r="DX1348">
            <v>7.1073990168282446</v>
          </cell>
          <cell r="DY1348">
            <v>12.587802180599267</v>
          </cell>
        </row>
        <row r="1349">
          <cell r="A1349">
            <v>41352</v>
          </cell>
          <cell r="DF1349">
            <v>15.770496764068742</v>
          </cell>
          <cell r="DG1349">
            <v>21.679348620667902</v>
          </cell>
          <cell r="DH1349">
            <v>18.362277992096409</v>
          </cell>
          <cell r="DI1349">
            <v>14.300000632844487</v>
          </cell>
          <cell r="DJ1349">
            <v>22.424555351348332</v>
          </cell>
          <cell r="DU1349">
            <v>7.7396713896910123</v>
          </cell>
          <cell r="DV1349">
            <v>11.644336226312735</v>
          </cell>
          <cell r="DW1349">
            <v>9.8476005987137558</v>
          </cell>
          <cell r="DX1349">
            <v>7.1073990168282446</v>
          </cell>
          <cell r="DY1349">
            <v>12.587802180599267</v>
          </cell>
        </row>
        <row r="1350">
          <cell r="A1350">
            <v>41353</v>
          </cell>
          <cell r="DF1350">
            <v>15.856733748949843</v>
          </cell>
          <cell r="DG1350">
            <v>21.679348620667902</v>
          </cell>
          <cell r="DH1350">
            <v>18.362277992096409</v>
          </cell>
          <cell r="DI1350">
            <v>14.300000632844487</v>
          </cell>
          <cell r="DJ1350">
            <v>22.424555351348332</v>
          </cell>
          <cell r="DU1350">
            <v>7.7901911171292468</v>
          </cell>
          <cell r="DV1350">
            <v>11.644336226312735</v>
          </cell>
          <cell r="DW1350">
            <v>9.8476005987137558</v>
          </cell>
          <cell r="DX1350">
            <v>7.1073990168282446</v>
          </cell>
          <cell r="DY1350">
            <v>12.587802180599267</v>
          </cell>
        </row>
        <row r="1351">
          <cell r="A1351">
            <v>41354</v>
          </cell>
          <cell r="DF1351">
            <v>16.011968830792032</v>
          </cell>
          <cell r="DG1351">
            <v>21.679348620667902</v>
          </cell>
          <cell r="DH1351">
            <v>18.362277992096409</v>
          </cell>
          <cell r="DI1351">
            <v>14.300000632844487</v>
          </cell>
          <cell r="DJ1351">
            <v>22.424555351348332</v>
          </cell>
          <cell r="DU1351">
            <v>7.9061650301174407</v>
          </cell>
          <cell r="DV1351">
            <v>11.644336226312735</v>
          </cell>
          <cell r="DW1351">
            <v>9.8476005987137558</v>
          </cell>
          <cell r="DX1351">
            <v>7.1073990168282446</v>
          </cell>
          <cell r="DY1351">
            <v>12.587802180599267</v>
          </cell>
        </row>
        <row r="1352">
          <cell r="A1352">
            <v>41355</v>
          </cell>
          <cell r="DF1352">
            <v>15.515512764894515</v>
          </cell>
          <cell r="DG1352">
            <v>21.679348620667902</v>
          </cell>
          <cell r="DH1352">
            <v>18.362277992096409</v>
          </cell>
          <cell r="DI1352">
            <v>14.300000632844487</v>
          </cell>
          <cell r="DJ1352">
            <v>22.424555351348332</v>
          </cell>
          <cell r="DU1352">
            <v>7.6581905500066867</v>
          </cell>
          <cell r="DV1352">
            <v>11.644336226312735</v>
          </cell>
          <cell r="DW1352">
            <v>9.8476005987137558</v>
          </cell>
          <cell r="DX1352">
            <v>7.1073990168282446</v>
          </cell>
          <cell r="DY1352">
            <v>12.587802180599267</v>
          </cell>
        </row>
        <row r="1353">
          <cell r="A1353">
            <v>41358</v>
          </cell>
          <cell r="DF1353">
            <v>15.726256672462148</v>
          </cell>
          <cell r="DG1353">
            <v>21.679348620667902</v>
          </cell>
          <cell r="DH1353">
            <v>18.362277992096409</v>
          </cell>
          <cell r="DI1353">
            <v>14.300000632844487</v>
          </cell>
          <cell r="DJ1353">
            <v>22.424555351348332</v>
          </cell>
          <cell r="DU1353">
            <v>7.6762458967957166</v>
          </cell>
          <cell r="DV1353">
            <v>11.644336226312735</v>
          </cell>
          <cell r="DW1353">
            <v>9.8476005987137558</v>
          </cell>
          <cell r="DX1353">
            <v>7.1073990168282446</v>
          </cell>
          <cell r="DY1353">
            <v>12.587802180599267</v>
          </cell>
        </row>
        <row r="1354">
          <cell r="A1354">
            <v>41359</v>
          </cell>
          <cell r="DF1354">
            <v>15.908528123776343</v>
          </cell>
          <cell r="DG1354">
            <v>21.679348620667902</v>
          </cell>
          <cell r="DH1354">
            <v>18.362277992096409</v>
          </cell>
          <cell r="DI1354">
            <v>14.300000632844487</v>
          </cell>
          <cell r="DJ1354">
            <v>22.424555351348332</v>
          </cell>
          <cell r="DU1354">
            <v>7.7825506398654367</v>
          </cell>
          <cell r="DV1354">
            <v>11.644336226312735</v>
          </cell>
          <cell r="DW1354">
            <v>9.8476005987137558</v>
          </cell>
          <cell r="DX1354">
            <v>7.1073990168282446</v>
          </cell>
          <cell r="DY1354">
            <v>12.587802180599267</v>
          </cell>
        </row>
        <row r="1355">
          <cell r="A1355">
            <v>41360</v>
          </cell>
          <cell r="DF1355">
            <v>16.005356574968069</v>
          </cell>
          <cell r="DG1355">
            <v>21.679348620667902</v>
          </cell>
          <cell r="DH1355">
            <v>18.362277992096409</v>
          </cell>
          <cell r="DI1355">
            <v>14.300000632844487</v>
          </cell>
          <cell r="DJ1355">
            <v>22.424555351348332</v>
          </cell>
          <cell r="DU1355">
            <v>7.839023134880752</v>
          </cell>
          <cell r="DV1355">
            <v>11.644336226312735</v>
          </cell>
          <cell r="DW1355">
            <v>9.8476005987137558</v>
          </cell>
          <cell r="DX1355">
            <v>7.1073990168282446</v>
          </cell>
          <cell r="DY1355">
            <v>12.587802180599267</v>
          </cell>
        </row>
        <row r="1356">
          <cell r="A1356">
            <v>41361</v>
          </cell>
          <cell r="DF1356">
            <v>16.011542648668275</v>
          </cell>
          <cell r="DG1356">
            <v>21.679348620667902</v>
          </cell>
          <cell r="DH1356">
            <v>18.362277992096409</v>
          </cell>
          <cell r="DI1356">
            <v>14.300000632844487</v>
          </cell>
          <cell r="DJ1356">
            <v>22.424555351348332</v>
          </cell>
          <cell r="DU1356">
            <v>7.9611442102350978</v>
          </cell>
          <cell r="DV1356">
            <v>11.644336226312735</v>
          </cell>
          <cell r="DW1356">
            <v>9.8476005987137558</v>
          </cell>
          <cell r="DX1356">
            <v>7.1073990168282446</v>
          </cell>
          <cell r="DY1356">
            <v>12.587802180599267</v>
          </cell>
        </row>
        <row r="1357">
          <cell r="A1357">
            <v>41362</v>
          </cell>
          <cell r="DF1357">
            <v>16.843045184706522</v>
          </cell>
          <cell r="DG1357">
            <v>21.679348620667902</v>
          </cell>
          <cell r="DH1357">
            <v>18.362277992096409</v>
          </cell>
          <cell r="DI1357">
            <v>14.300000632844487</v>
          </cell>
          <cell r="DJ1357">
            <v>22.424555351348332</v>
          </cell>
          <cell r="DU1357">
            <v>8.51264246200871</v>
          </cell>
          <cell r="DV1357">
            <v>11.644336226312735</v>
          </cell>
          <cell r="DW1357">
            <v>9.8476005987137558</v>
          </cell>
          <cell r="DX1357">
            <v>7.1073990168282446</v>
          </cell>
          <cell r="DY1357">
            <v>12.587802180599267</v>
          </cell>
        </row>
        <row r="1358">
          <cell r="A1358">
            <v>41365</v>
          </cell>
          <cell r="DF1358">
            <v>16.760565375884031</v>
          </cell>
          <cell r="DG1358">
            <v>21.679348620667902</v>
          </cell>
          <cell r="DH1358">
            <v>18.362277992096409</v>
          </cell>
          <cell r="DI1358">
            <v>14.300000632844487</v>
          </cell>
          <cell r="DJ1358">
            <v>22.424555351348332</v>
          </cell>
          <cell r="DU1358">
            <v>8.4642950900518752</v>
          </cell>
          <cell r="DV1358">
            <v>11.644336226312735</v>
          </cell>
          <cell r="DW1358">
            <v>9.8476005987137558</v>
          </cell>
          <cell r="DX1358">
            <v>7.1073990168282446</v>
          </cell>
          <cell r="DY1358">
            <v>12.587802180599267</v>
          </cell>
        </row>
        <row r="1359">
          <cell r="A1359">
            <v>41366</v>
          </cell>
          <cell r="DF1359">
            <v>18.096376076695428</v>
          </cell>
          <cell r="DG1359">
            <v>21.679348620667902</v>
          </cell>
          <cell r="DH1359">
            <v>18.362277992096409</v>
          </cell>
          <cell r="DI1359">
            <v>14.300000632844487</v>
          </cell>
          <cell r="DJ1359">
            <v>22.424555351348332</v>
          </cell>
          <cell r="DU1359">
            <v>9.3087946886361337</v>
          </cell>
          <cell r="DV1359">
            <v>11.644336226312735</v>
          </cell>
          <cell r="DW1359">
            <v>9.8476005987137558</v>
          </cell>
          <cell r="DX1359">
            <v>7.1073990168282446</v>
          </cell>
          <cell r="DY1359">
            <v>12.587802180599267</v>
          </cell>
        </row>
        <row r="1360">
          <cell r="A1360">
            <v>41367</v>
          </cell>
          <cell r="DF1360">
            <v>18.067597179541874</v>
          </cell>
          <cell r="DG1360">
            <v>21.679348620667902</v>
          </cell>
          <cell r="DH1360">
            <v>18.362277992096409</v>
          </cell>
          <cell r="DI1360">
            <v>14.300000632844487</v>
          </cell>
          <cell r="DJ1360">
            <v>22.424555351348332</v>
          </cell>
          <cell r="DU1360">
            <v>9.2761221139739085</v>
          </cell>
          <cell r="DV1360">
            <v>11.644336226312735</v>
          </cell>
          <cell r="DW1360">
            <v>9.8476005987137558</v>
          </cell>
          <cell r="DX1360">
            <v>7.1073990168282446</v>
          </cell>
          <cell r="DY1360">
            <v>12.587802180599267</v>
          </cell>
        </row>
        <row r="1361">
          <cell r="A1361">
            <v>41368</v>
          </cell>
          <cell r="DF1361">
            <v>18.607827294581259</v>
          </cell>
          <cell r="DG1361">
            <v>21.679348620667902</v>
          </cell>
          <cell r="DH1361">
            <v>18.362277992096409</v>
          </cell>
          <cell r="DI1361">
            <v>14.300000632844487</v>
          </cell>
          <cell r="DJ1361">
            <v>22.424555351348332</v>
          </cell>
          <cell r="DU1361">
            <v>9.5939991095864308</v>
          </cell>
          <cell r="DV1361">
            <v>11.644336226312735</v>
          </cell>
          <cell r="DW1361">
            <v>9.8476005987137558</v>
          </cell>
          <cell r="DX1361">
            <v>7.1073990168282446</v>
          </cell>
          <cell r="DY1361">
            <v>12.587802180599267</v>
          </cell>
        </row>
        <row r="1362">
          <cell r="A1362">
            <v>41369</v>
          </cell>
          <cell r="DF1362">
            <v>18.296791649577919</v>
          </cell>
          <cell r="DG1362">
            <v>21.679348620667902</v>
          </cell>
          <cell r="DH1362">
            <v>18.362277992096409</v>
          </cell>
          <cell r="DI1362">
            <v>14.300000632844487</v>
          </cell>
          <cell r="DJ1362">
            <v>22.424555351348332</v>
          </cell>
          <cell r="DU1362">
            <v>9.4109825142326944</v>
          </cell>
          <cell r="DV1362">
            <v>11.644336226312735</v>
          </cell>
          <cell r="DW1362">
            <v>9.8476005987137558</v>
          </cell>
          <cell r="DX1362">
            <v>7.1073990168282446</v>
          </cell>
          <cell r="DY1362">
            <v>12.587802180599267</v>
          </cell>
        </row>
        <row r="1363">
          <cell r="A1363">
            <v>41372</v>
          </cell>
          <cell r="DF1363">
            <v>18.078513046856937</v>
          </cell>
          <cell r="DG1363">
            <v>21.679348620667902</v>
          </cell>
          <cell r="DH1363">
            <v>18.362277992096409</v>
          </cell>
          <cell r="DI1363">
            <v>14.300000632844487</v>
          </cell>
          <cell r="DJ1363">
            <v>22.424555351348332</v>
          </cell>
          <cell r="DU1363">
            <v>9.2825451233730849</v>
          </cell>
          <cell r="DV1363">
            <v>11.644336226312735</v>
          </cell>
          <cell r="DW1363">
            <v>9.8476005987137558</v>
          </cell>
          <cell r="DX1363">
            <v>7.1073990168282446</v>
          </cell>
          <cell r="DY1363">
            <v>12.587802180599267</v>
          </cell>
        </row>
        <row r="1364">
          <cell r="A1364">
            <v>41373</v>
          </cell>
          <cell r="DF1364">
            <v>17.969377838128164</v>
          </cell>
          <cell r="DG1364">
            <v>21.679348620667902</v>
          </cell>
          <cell r="DH1364">
            <v>18.362277992096409</v>
          </cell>
          <cell r="DI1364">
            <v>14.300000632844487</v>
          </cell>
          <cell r="DJ1364">
            <v>22.424555351348332</v>
          </cell>
          <cell r="DU1364">
            <v>9.2183288360901745</v>
          </cell>
          <cell r="DV1364">
            <v>11.644336226312735</v>
          </cell>
          <cell r="DW1364">
            <v>9.8476005987137558</v>
          </cell>
          <cell r="DX1364">
            <v>7.1073990168282446</v>
          </cell>
          <cell r="DY1364">
            <v>12.587802180599267</v>
          </cell>
        </row>
        <row r="1365">
          <cell r="A1365">
            <v>41374</v>
          </cell>
          <cell r="DF1365">
            <v>18.040319516307257</v>
          </cell>
          <cell r="DG1365">
            <v>21.679348620667902</v>
          </cell>
          <cell r="DH1365">
            <v>18.362277992096409</v>
          </cell>
          <cell r="DI1365">
            <v>14.300000632844487</v>
          </cell>
          <cell r="DJ1365">
            <v>22.424555351348332</v>
          </cell>
          <cell r="DU1365">
            <v>9.2600716543735224</v>
          </cell>
          <cell r="DV1365">
            <v>11.644336226312735</v>
          </cell>
          <cell r="DW1365">
            <v>9.8476005987137558</v>
          </cell>
          <cell r="DX1365">
            <v>7.1073990168282446</v>
          </cell>
          <cell r="DY1365">
            <v>12.587802180599267</v>
          </cell>
        </row>
        <row r="1366">
          <cell r="A1366">
            <v>41375</v>
          </cell>
          <cell r="DF1366">
            <v>18.013033667809207</v>
          </cell>
          <cell r="DG1366">
            <v>21.679348620667902</v>
          </cell>
          <cell r="DH1366">
            <v>18.362277992096409</v>
          </cell>
          <cell r="DI1366">
            <v>14.300000632844487</v>
          </cell>
          <cell r="DJ1366">
            <v>22.424555351348332</v>
          </cell>
          <cell r="DU1366">
            <v>9.2440163784793494</v>
          </cell>
          <cell r="DV1366">
            <v>11.644336226312735</v>
          </cell>
          <cell r="DW1366">
            <v>9.8476005987137558</v>
          </cell>
          <cell r="DX1366">
            <v>7.1073990168282446</v>
          </cell>
          <cell r="DY1366">
            <v>12.587802180599267</v>
          </cell>
        </row>
        <row r="1367">
          <cell r="A1367">
            <v>41376</v>
          </cell>
          <cell r="DF1367">
            <v>17.592854628813662</v>
          </cell>
          <cell r="DG1367">
            <v>21.679348620667902</v>
          </cell>
          <cell r="DH1367">
            <v>18.362277992096409</v>
          </cell>
          <cell r="DI1367">
            <v>14.300000632844487</v>
          </cell>
          <cell r="DJ1367">
            <v>22.424555351348332</v>
          </cell>
          <cell r="DU1367">
            <v>8.996778679548914</v>
          </cell>
          <cell r="DV1367">
            <v>11.644336226312735</v>
          </cell>
          <cell r="DW1367">
            <v>9.8476005987137558</v>
          </cell>
          <cell r="DX1367">
            <v>7.1073990168282446</v>
          </cell>
          <cell r="DY1367">
            <v>12.587802180599267</v>
          </cell>
        </row>
        <row r="1368">
          <cell r="A1368">
            <v>41379</v>
          </cell>
          <cell r="DF1368">
            <v>17.565568780315608</v>
          </cell>
          <cell r="DG1368">
            <v>21.679348620667902</v>
          </cell>
          <cell r="DH1368">
            <v>18.362277992096409</v>
          </cell>
          <cell r="DI1368">
            <v>14.300000632844487</v>
          </cell>
          <cell r="DJ1368">
            <v>22.424555351348332</v>
          </cell>
          <cell r="DU1368">
            <v>8.980723403654741</v>
          </cell>
          <cell r="DV1368">
            <v>11.644336226312735</v>
          </cell>
          <cell r="DW1368">
            <v>9.8476005987137558</v>
          </cell>
          <cell r="DX1368">
            <v>7.1073990168282446</v>
          </cell>
          <cell r="DY1368">
            <v>12.587802180599267</v>
          </cell>
        </row>
        <row r="1369">
          <cell r="A1369">
            <v>41380</v>
          </cell>
          <cell r="DF1369">
            <v>17.150851494767196</v>
          </cell>
          <cell r="DG1369">
            <v>21.679348620667902</v>
          </cell>
          <cell r="DH1369">
            <v>18.362277992096409</v>
          </cell>
          <cell r="DI1369">
            <v>14.300000632844487</v>
          </cell>
          <cell r="DJ1369">
            <v>22.424555351348332</v>
          </cell>
          <cell r="DU1369">
            <v>8.7366994570276653</v>
          </cell>
          <cell r="DV1369">
            <v>11.644336226312735</v>
          </cell>
          <cell r="DW1369">
            <v>9.8476005987137558</v>
          </cell>
          <cell r="DX1369">
            <v>7.1073990168282446</v>
          </cell>
          <cell r="DY1369">
            <v>12.587802180599267</v>
          </cell>
        </row>
        <row r="1370">
          <cell r="A1370">
            <v>41381</v>
          </cell>
          <cell r="DF1370">
            <v>17.150851494767196</v>
          </cell>
          <cell r="DG1370">
            <v>21.679348620667902</v>
          </cell>
          <cell r="DH1370">
            <v>18.362277992096409</v>
          </cell>
          <cell r="DI1370">
            <v>14.300000632844487</v>
          </cell>
          <cell r="DJ1370">
            <v>22.424555351348332</v>
          </cell>
          <cell r="DU1370">
            <v>8.7366994570276653</v>
          </cell>
          <cell r="DV1370">
            <v>11.644336226312735</v>
          </cell>
          <cell r="DW1370">
            <v>9.8476005987137558</v>
          </cell>
          <cell r="DX1370">
            <v>7.1073990168282446</v>
          </cell>
          <cell r="DY1370">
            <v>12.587802180599267</v>
          </cell>
        </row>
        <row r="1371">
          <cell r="A1371">
            <v>41382</v>
          </cell>
          <cell r="DF1371">
            <v>17.554661098263978</v>
          </cell>
          <cell r="DG1371">
            <v>21.679348620667902</v>
          </cell>
          <cell r="DH1371">
            <v>18.362277992096409</v>
          </cell>
          <cell r="DI1371">
            <v>14.300000632844487</v>
          </cell>
          <cell r="DJ1371">
            <v>22.424555351348332</v>
          </cell>
          <cell r="DU1371">
            <v>8.9743052105493533</v>
          </cell>
          <cell r="DV1371">
            <v>11.644336226312735</v>
          </cell>
          <cell r="DW1371">
            <v>9.8476005987137558</v>
          </cell>
          <cell r="DX1371">
            <v>7.1073990168282446</v>
          </cell>
          <cell r="DY1371">
            <v>12.587802180599267</v>
          </cell>
        </row>
        <row r="1372">
          <cell r="A1372">
            <v>41383</v>
          </cell>
          <cell r="DF1372">
            <v>17.281818983810325</v>
          </cell>
          <cell r="DG1372">
            <v>21.679348620667902</v>
          </cell>
          <cell r="DH1372">
            <v>18.362277992096409</v>
          </cell>
          <cell r="DI1372">
            <v>14.300000632844487</v>
          </cell>
          <cell r="DJ1372">
            <v>22.424555351348332</v>
          </cell>
          <cell r="DU1372">
            <v>8.8137620841951811</v>
          </cell>
          <cell r="DV1372">
            <v>11.644336226312735</v>
          </cell>
          <cell r="DW1372">
            <v>9.8476005987137558</v>
          </cell>
          <cell r="DX1372">
            <v>7.1073990168282446</v>
          </cell>
          <cell r="DY1372">
            <v>12.587802180599267</v>
          </cell>
        </row>
        <row r="1373">
          <cell r="A1373">
            <v>41386</v>
          </cell>
          <cell r="DF1373">
            <v>17.554661098263978</v>
          </cell>
          <cell r="DG1373">
            <v>21.679348620667902</v>
          </cell>
          <cell r="DH1373">
            <v>18.362277992096409</v>
          </cell>
          <cell r="DI1373">
            <v>14.300000632844487</v>
          </cell>
          <cell r="DJ1373">
            <v>22.424555351348332</v>
          </cell>
          <cell r="DU1373">
            <v>8.9743052105493533</v>
          </cell>
          <cell r="DV1373">
            <v>11.644336226312735</v>
          </cell>
          <cell r="DW1373">
            <v>9.8476005987137558</v>
          </cell>
          <cell r="DX1373">
            <v>7.1073990168282446</v>
          </cell>
          <cell r="DY1373">
            <v>12.587802180599267</v>
          </cell>
        </row>
        <row r="1374">
          <cell r="A1374">
            <v>41387</v>
          </cell>
          <cell r="DF1374">
            <v>17.524204609250958</v>
          </cell>
          <cell r="DG1374">
            <v>21.679348620667902</v>
          </cell>
          <cell r="DH1374">
            <v>18.362277992096409</v>
          </cell>
          <cell r="DI1374">
            <v>14.300000632844487</v>
          </cell>
          <cell r="DJ1374">
            <v>22.424555351348332</v>
          </cell>
          <cell r="DU1374">
            <v>8.8832362454676179</v>
          </cell>
          <cell r="DV1374">
            <v>11.644336226312735</v>
          </cell>
          <cell r="DW1374">
            <v>9.8476005987137558</v>
          </cell>
          <cell r="DX1374">
            <v>7.1073990168282446</v>
          </cell>
          <cell r="DY1374">
            <v>12.587802180599267</v>
          </cell>
        </row>
        <row r="1375">
          <cell r="A1375">
            <v>41388</v>
          </cell>
          <cell r="DF1375">
            <v>17.210974026676475</v>
          </cell>
          <cell r="DG1375">
            <v>21.679348620667902</v>
          </cell>
          <cell r="DH1375">
            <v>18.362277992096409</v>
          </cell>
          <cell r="DI1375">
            <v>14.300000632844487</v>
          </cell>
          <cell r="DJ1375">
            <v>22.424555351348332</v>
          </cell>
          <cell r="DU1375">
            <v>8.7377724384999045</v>
          </cell>
          <cell r="DV1375">
            <v>11.644336226312735</v>
          </cell>
          <cell r="DW1375">
            <v>9.8476005987137558</v>
          </cell>
          <cell r="DX1375">
            <v>7.1073990168282446</v>
          </cell>
          <cell r="DY1375">
            <v>12.587802180599267</v>
          </cell>
        </row>
        <row r="1376">
          <cell r="A1376">
            <v>41389</v>
          </cell>
          <cell r="DF1376">
            <v>17.016254692182041</v>
          </cell>
          <cell r="DG1376">
            <v>21.679348620667902</v>
          </cell>
          <cell r="DH1376">
            <v>18.362277992096409</v>
          </cell>
          <cell r="DI1376">
            <v>14.300000632844487</v>
          </cell>
          <cell r="DJ1376">
            <v>22.424555351348332</v>
          </cell>
          <cell r="DU1376">
            <v>8.6238004378369162</v>
          </cell>
          <cell r="DV1376">
            <v>11.644336226312735</v>
          </cell>
          <cell r="DW1376">
            <v>9.8476005987137558</v>
          </cell>
          <cell r="DX1376">
            <v>7.1073990168282446</v>
          </cell>
          <cell r="DY1376">
            <v>12.587802180599267</v>
          </cell>
        </row>
        <row r="1377">
          <cell r="A1377">
            <v>41390</v>
          </cell>
          <cell r="DF1377">
            <v>16.480774764444348</v>
          </cell>
          <cell r="DG1377">
            <v>21.679348620667902</v>
          </cell>
          <cell r="DH1377">
            <v>18.362277992096409</v>
          </cell>
          <cell r="DI1377">
            <v>14.300000632844487</v>
          </cell>
          <cell r="DJ1377">
            <v>22.424555351348332</v>
          </cell>
          <cell r="DU1377">
            <v>8.3103764071026696</v>
          </cell>
          <cell r="DV1377">
            <v>11.644336226312735</v>
          </cell>
          <cell r="DW1377">
            <v>9.8476005987137558</v>
          </cell>
          <cell r="DX1377">
            <v>7.1073990168282446</v>
          </cell>
          <cell r="DY1377">
            <v>12.587802180599267</v>
          </cell>
        </row>
        <row r="1378">
          <cell r="A1378">
            <v>41393</v>
          </cell>
          <cell r="DF1378">
            <v>16.809359339315286</v>
          </cell>
          <cell r="DG1378">
            <v>21.679348620667902</v>
          </cell>
          <cell r="DH1378">
            <v>18.362277992096409</v>
          </cell>
          <cell r="DI1378">
            <v>14.300000632844487</v>
          </cell>
          <cell r="DJ1378">
            <v>22.424555351348332</v>
          </cell>
          <cell r="DU1378">
            <v>8.4971671328372356</v>
          </cell>
          <cell r="DV1378">
            <v>11.644336226312735</v>
          </cell>
          <cell r="DW1378">
            <v>9.8476005987137558</v>
          </cell>
          <cell r="DX1378">
            <v>7.1073990168282446</v>
          </cell>
          <cell r="DY1378">
            <v>12.587802180599267</v>
          </cell>
        </row>
        <row r="1379">
          <cell r="A1379">
            <v>41394</v>
          </cell>
          <cell r="DF1379">
            <v>17.815973221920355</v>
          </cell>
          <cell r="DG1379">
            <v>21.679348620667902</v>
          </cell>
          <cell r="DH1379">
            <v>18.362277992096409</v>
          </cell>
          <cell r="DI1379">
            <v>14.300000632844487</v>
          </cell>
          <cell r="DJ1379">
            <v>22.424555351348332</v>
          </cell>
          <cell r="DU1379">
            <v>9.0860211504792847</v>
          </cell>
          <cell r="DV1379">
            <v>11.644336226312735</v>
          </cell>
          <cell r="DW1379">
            <v>9.8476005987137558</v>
          </cell>
          <cell r="DX1379">
            <v>7.1073990168282446</v>
          </cell>
          <cell r="DY1379">
            <v>12.587802180599267</v>
          </cell>
        </row>
        <row r="1380">
          <cell r="A1380">
            <v>41395</v>
          </cell>
          <cell r="DF1380">
            <v>18.416694086958401</v>
          </cell>
          <cell r="DG1380">
            <v>21.679348620667902</v>
          </cell>
          <cell r="DH1380">
            <v>18.362277992096409</v>
          </cell>
          <cell r="DI1380">
            <v>14.300000632844487</v>
          </cell>
          <cell r="DJ1380">
            <v>22.424555351348332</v>
          </cell>
          <cell r="DU1380">
            <v>9.4374338430437898</v>
          </cell>
          <cell r="DV1380">
            <v>11.644336226312735</v>
          </cell>
          <cell r="DW1380">
            <v>9.8476005987137558</v>
          </cell>
          <cell r="DX1380">
            <v>7.1073990168282446</v>
          </cell>
          <cell r="DY1380">
            <v>12.587802180599267</v>
          </cell>
        </row>
        <row r="1381">
          <cell r="A1381">
            <v>41396</v>
          </cell>
          <cell r="DF1381">
            <v>18.541165614954163</v>
          </cell>
          <cell r="DG1381">
            <v>21.679348620667902</v>
          </cell>
          <cell r="DH1381">
            <v>18.362277992096409</v>
          </cell>
          <cell r="DI1381">
            <v>14.300000632844487</v>
          </cell>
          <cell r="DJ1381">
            <v>22.424555351348332</v>
          </cell>
          <cell r="DU1381">
            <v>9.510247819295202</v>
          </cell>
          <cell r="DV1381">
            <v>11.644336226312735</v>
          </cell>
          <cell r="DW1381">
            <v>9.8476005987137558</v>
          </cell>
          <cell r="DX1381">
            <v>7.1073990168282446</v>
          </cell>
          <cell r="DY1381">
            <v>12.587802180599267</v>
          </cell>
        </row>
        <row r="1382">
          <cell r="A1382">
            <v>41397</v>
          </cell>
          <cell r="DF1382">
            <v>18.258350827331544</v>
          </cell>
          <cell r="DG1382">
            <v>21.679348620667902</v>
          </cell>
          <cell r="DH1382">
            <v>18.362277992096409</v>
          </cell>
          <cell r="DI1382">
            <v>14.300000632844487</v>
          </cell>
          <cell r="DJ1382">
            <v>22.424555351348332</v>
          </cell>
          <cell r="DU1382">
            <v>9.4066469269697723</v>
          </cell>
          <cell r="DV1382">
            <v>11.644336226312735</v>
          </cell>
          <cell r="DW1382">
            <v>9.8476005987137558</v>
          </cell>
          <cell r="DX1382">
            <v>7.1073990168282446</v>
          </cell>
          <cell r="DY1382">
            <v>12.587802180599267</v>
          </cell>
        </row>
        <row r="1383">
          <cell r="A1383">
            <v>41400</v>
          </cell>
          <cell r="DF1383">
            <v>17.230239856172425</v>
          </cell>
          <cell r="DG1383">
            <v>21.679348620667902</v>
          </cell>
          <cell r="DH1383">
            <v>18.362277992096409</v>
          </cell>
          <cell r="DI1383">
            <v>14.300000632844487</v>
          </cell>
          <cell r="DJ1383">
            <v>22.424555351348332</v>
          </cell>
          <cell r="DU1383">
            <v>8.7978898266169203</v>
          </cell>
          <cell r="DV1383">
            <v>11.644336226312735</v>
          </cell>
          <cell r="DW1383">
            <v>9.8476005987137558</v>
          </cell>
          <cell r="DX1383">
            <v>7.1073990168282446</v>
          </cell>
          <cell r="DY1383">
            <v>12.587802180599267</v>
          </cell>
        </row>
        <row r="1384">
          <cell r="A1384">
            <v>41401</v>
          </cell>
          <cell r="DF1384">
            <v>14.800627108915247</v>
          </cell>
          <cell r="DG1384">
            <v>21.679348620667902</v>
          </cell>
          <cell r="DH1384">
            <v>18.362277992096409</v>
          </cell>
          <cell r="DI1384">
            <v>14.300000632844487</v>
          </cell>
          <cell r="DJ1384">
            <v>22.424555351348332</v>
          </cell>
          <cell r="DU1384">
            <v>7.3982535647000596</v>
          </cell>
          <cell r="DV1384">
            <v>11.644336226312735</v>
          </cell>
          <cell r="DW1384">
            <v>9.8476005987137558</v>
          </cell>
          <cell r="DX1384">
            <v>7.1073990168282446</v>
          </cell>
          <cell r="DY1384">
            <v>12.587802180599267</v>
          </cell>
        </row>
        <row r="1385">
          <cell r="A1385">
            <v>41402</v>
          </cell>
          <cell r="DF1385">
            <v>14.280271014049601</v>
          </cell>
          <cell r="DG1385">
            <v>21.679348620667902</v>
          </cell>
          <cell r="DH1385">
            <v>18.362277992096409</v>
          </cell>
          <cell r="DI1385">
            <v>14.300000632844487</v>
          </cell>
          <cell r="DJ1385">
            <v>22.424555351348332</v>
          </cell>
          <cell r="DU1385">
            <v>7.0911775228155598</v>
          </cell>
          <cell r="DV1385">
            <v>11.644336226312735</v>
          </cell>
          <cell r="DW1385">
            <v>9.8476005987137558</v>
          </cell>
          <cell r="DX1385">
            <v>7.1073990168282446</v>
          </cell>
          <cell r="DY1385">
            <v>12.587802180599267</v>
          </cell>
        </row>
        <row r="1386">
          <cell r="A1386">
            <v>41403</v>
          </cell>
          <cell r="DF1386">
            <v>14.204890051737198</v>
          </cell>
          <cell r="DG1386">
            <v>21.679348620667902</v>
          </cell>
          <cell r="DH1386">
            <v>18.362277992096409</v>
          </cell>
          <cell r="DI1386">
            <v>14.300000632844487</v>
          </cell>
          <cell r="DJ1386">
            <v>22.424555351348332</v>
          </cell>
          <cell r="DU1386">
            <v>7.0550809800346785</v>
          </cell>
          <cell r="DV1386">
            <v>11.644336226312735</v>
          </cell>
          <cell r="DW1386">
            <v>9.8476005987137558</v>
          </cell>
          <cell r="DX1386">
            <v>7.1073990168282446</v>
          </cell>
          <cell r="DY1386">
            <v>12.587802180599267</v>
          </cell>
        </row>
        <row r="1387">
          <cell r="A1387">
            <v>41404</v>
          </cell>
          <cell r="DF1387">
            <v>13.904030988594178</v>
          </cell>
          <cell r="DG1387">
            <v>21.679348620667902</v>
          </cell>
          <cell r="DH1387">
            <v>18.362277992096409</v>
          </cell>
          <cell r="DI1387">
            <v>14.300000632844487</v>
          </cell>
          <cell r="DJ1387">
            <v>22.424555351348332</v>
          </cell>
          <cell r="DU1387">
            <v>6.8772743212722869</v>
          </cell>
          <cell r="DV1387">
            <v>11.644336226312735</v>
          </cell>
          <cell r="DW1387">
            <v>9.8476005987137558</v>
          </cell>
          <cell r="DX1387">
            <v>7.1073990168282446</v>
          </cell>
          <cell r="DY1387">
            <v>12.587802180599267</v>
          </cell>
        </row>
        <row r="1388">
          <cell r="A1388">
            <v>41407</v>
          </cell>
          <cell r="DF1388">
            <v>14.067355600565188</v>
          </cell>
          <cell r="DG1388">
            <v>21.679348620667902</v>
          </cell>
          <cell r="DH1388">
            <v>18.362277992096409</v>
          </cell>
          <cell r="DI1388">
            <v>14.300000632844487</v>
          </cell>
          <cell r="DJ1388">
            <v>22.424555351348332</v>
          </cell>
          <cell r="DU1388">
            <v>6.9737985982704656</v>
          </cell>
          <cell r="DV1388">
            <v>11.644336226312735</v>
          </cell>
          <cell r="DW1388">
            <v>9.8476005987137558</v>
          </cell>
          <cell r="DX1388">
            <v>7.1073990168282446</v>
          </cell>
          <cell r="DY1388">
            <v>12.587802180599267</v>
          </cell>
        </row>
        <row r="1389">
          <cell r="A1389">
            <v>41408</v>
          </cell>
          <cell r="DF1389">
            <v>13.834193829143677</v>
          </cell>
          <cell r="DG1389">
            <v>21.679348620667902</v>
          </cell>
          <cell r="DH1389">
            <v>18.362277992096409</v>
          </cell>
          <cell r="DI1389">
            <v>14.300000632844487</v>
          </cell>
          <cell r="DJ1389">
            <v>22.424555351348332</v>
          </cell>
          <cell r="DU1389">
            <v>6.836000803201645</v>
          </cell>
          <cell r="DV1389">
            <v>11.644336226312735</v>
          </cell>
          <cell r="DW1389">
            <v>9.8476005987137558</v>
          </cell>
          <cell r="DX1389">
            <v>7.1073990168282446</v>
          </cell>
          <cell r="DY1389">
            <v>12.587802180599267</v>
          </cell>
        </row>
        <row r="1390">
          <cell r="A1390">
            <v>41409</v>
          </cell>
          <cell r="DF1390">
            <v>14.13541288456255</v>
          </cell>
          <cell r="DG1390">
            <v>21.679348620667902</v>
          </cell>
          <cell r="DH1390">
            <v>18.362277992096409</v>
          </cell>
          <cell r="DI1390">
            <v>14.300000632844487</v>
          </cell>
          <cell r="DJ1390">
            <v>22.424555351348332</v>
          </cell>
          <cell r="DU1390">
            <v>7.0221174533858202</v>
          </cell>
          <cell r="DV1390">
            <v>11.644336226312735</v>
          </cell>
          <cell r="DW1390">
            <v>9.8476005987137558</v>
          </cell>
          <cell r="DX1390">
            <v>7.1073990168282446</v>
          </cell>
          <cell r="DY1390">
            <v>12.587802180599267</v>
          </cell>
        </row>
        <row r="1391">
          <cell r="A1391">
            <v>41410</v>
          </cell>
          <cell r="DF1391">
            <v>13.989961914099323</v>
          </cell>
          <cell r="DG1391">
            <v>21.679348620667902</v>
          </cell>
          <cell r="DH1391">
            <v>18.362277992096409</v>
          </cell>
          <cell r="DI1391">
            <v>14.300000632844487</v>
          </cell>
          <cell r="DJ1391">
            <v>22.424555351348332</v>
          </cell>
          <cell r="DU1391">
            <v>6.9360128934768994</v>
          </cell>
          <cell r="DV1391">
            <v>11.644336226312735</v>
          </cell>
          <cell r="DW1391">
            <v>9.8476005987137558</v>
          </cell>
          <cell r="DX1391">
            <v>7.1073990168282446</v>
          </cell>
          <cell r="DY1391">
            <v>12.587802180599267</v>
          </cell>
        </row>
        <row r="1392">
          <cell r="A1392">
            <v>41411</v>
          </cell>
          <cell r="DF1392">
            <v>14.291639417560456</v>
          </cell>
          <cell r="DG1392">
            <v>21.679348620667902</v>
          </cell>
          <cell r="DH1392">
            <v>18.362277992096409</v>
          </cell>
          <cell r="DI1392">
            <v>14.300000632844487</v>
          </cell>
          <cell r="DJ1392">
            <v>22.424555351348332</v>
          </cell>
          <cell r="DU1392">
            <v>7.1146009674321</v>
          </cell>
          <cell r="DV1392">
            <v>11.644336226312735</v>
          </cell>
          <cell r="DW1392">
            <v>9.8476005987137558</v>
          </cell>
          <cell r="DX1392">
            <v>7.1073990168282446</v>
          </cell>
          <cell r="DY1392">
            <v>12.587802180599267</v>
          </cell>
        </row>
        <row r="1393">
          <cell r="A1393">
            <v>41414</v>
          </cell>
          <cell r="DF1393">
            <v>14.297023697295201</v>
          </cell>
          <cell r="DG1393">
            <v>21.679348620667902</v>
          </cell>
          <cell r="DH1393">
            <v>18.362277992096409</v>
          </cell>
          <cell r="DI1393">
            <v>14.300000632844487</v>
          </cell>
          <cell r="DJ1393">
            <v>22.424555351348332</v>
          </cell>
          <cell r="DU1393">
            <v>7.1177883716516126</v>
          </cell>
          <cell r="DV1393">
            <v>11.644336226312735</v>
          </cell>
          <cell r="DW1393">
            <v>9.8476005987137558</v>
          </cell>
          <cell r="DX1393">
            <v>7.1073990168282446</v>
          </cell>
          <cell r="DY1393">
            <v>12.587802180599267</v>
          </cell>
        </row>
        <row r="1394">
          <cell r="A1394">
            <v>41415</v>
          </cell>
          <cell r="DF1394">
            <v>14.474794890994596</v>
          </cell>
          <cell r="DG1394">
            <v>21.679348620667902</v>
          </cell>
          <cell r="DH1394">
            <v>18.362277992096409</v>
          </cell>
          <cell r="DI1394">
            <v>14.300000632844487</v>
          </cell>
          <cell r="DJ1394">
            <v>22.424555351348332</v>
          </cell>
          <cell r="DU1394">
            <v>7.223025967174153</v>
          </cell>
          <cell r="DV1394">
            <v>11.644336226312735</v>
          </cell>
          <cell r="DW1394">
            <v>9.8476005987137558</v>
          </cell>
          <cell r="DX1394">
            <v>7.1073990168282446</v>
          </cell>
          <cell r="DY1394">
            <v>12.587802180599267</v>
          </cell>
        </row>
        <row r="1395">
          <cell r="A1395">
            <v>41416</v>
          </cell>
          <cell r="DF1395">
            <v>14.558970462390153</v>
          </cell>
          <cell r="DG1395">
            <v>21.679348620667902</v>
          </cell>
          <cell r="DH1395">
            <v>18.362277992096409</v>
          </cell>
          <cell r="DI1395">
            <v>14.300000632844487</v>
          </cell>
          <cell r="DJ1395">
            <v>22.424555351348332</v>
          </cell>
          <cell r="DU1395">
            <v>7.3087376320432531</v>
          </cell>
          <cell r="DV1395">
            <v>11.644336226312735</v>
          </cell>
          <cell r="DW1395">
            <v>9.8476005987137558</v>
          </cell>
          <cell r="DX1395">
            <v>7.1073990168282446</v>
          </cell>
          <cell r="DY1395">
            <v>12.587802180599267</v>
          </cell>
        </row>
        <row r="1396">
          <cell r="A1396">
            <v>41417</v>
          </cell>
          <cell r="DF1396">
            <v>14.809436510324128</v>
          </cell>
          <cell r="DG1396">
            <v>21.679348620667902</v>
          </cell>
          <cell r="DH1396">
            <v>18.362277992096409</v>
          </cell>
          <cell r="DI1396">
            <v>14.300000632844487</v>
          </cell>
          <cell r="DJ1396">
            <v>22.424555351348332</v>
          </cell>
          <cell r="DU1396">
            <v>7.4574450180436553</v>
          </cell>
          <cell r="DV1396">
            <v>11.644336226312735</v>
          </cell>
          <cell r="DW1396">
            <v>9.8476005987137558</v>
          </cell>
          <cell r="DX1396">
            <v>7.1073990168282446</v>
          </cell>
          <cell r="DY1396">
            <v>12.587802180599267</v>
          </cell>
        </row>
        <row r="1397">
          <cell r="A1397">
            <v>41418</v>
          </cell>
          <cell r="DF1397">
            <v>15.182468657395384</v>
          </cell>
          <cell r="DG1397">
            <v>21.679348620667902</v>
          </cell>
          <cell r="DH1397">
            <v>18.362277992096409</v>
          </cell>
          <cell r="DI1397">
            <v>14.300000632844487</v>
          </cell>
          <cell r="DJ1397">
            <v>22.424555351348332</v>
          </cell>
          <cell r="DU1397">
            <v>7.6789226831510176</v>
          </cell>
          <cell r="DV1397">
            <v>11.644336226312735</v>
          </cell>
          <cell r="DW1397">
            <v>9.8476005987137558</v>
          </cell>
          <cell r="DX1397">
            <v>7.1073990168282446</v>
          </cell>
          <cell r="DY1397">
            <v>12.587802180599267</v>
          </cell>
        </row>
        <row r="1398">
          <cell r="A1398">
            <v>41421</v>
          </cell>
          <cell r="DF1398">
            <v>15.182468657395384</v>
          </cell>
          <cell r="DG1398">
            <v>21.679348620667902</v>
          </cell>
          <cell r="DH1398">
            <v>18.362277992096409</v>
          </cell>
          <cell r="DI1398">
            <v>14.300000632844487</v>
          </cell>
          <cell r="DJ1398">
            <v>22.424555351348332</v>
          </cell>
          <cell r="DU1398">
            <v>7.6789226831510176</v>
          </cell>
          <cell r="DV1398">
            <v>11.644336226312735</v>
          </cell>
          <cell r="DW1398">
            <v>9.8476005987137558</v>
          </cell>
          <cell r="DX1398">
            <v>7.1073990168282446</v>
          </cell>
          <cell r="DY1398">
            <v>12.587802180599267</v>
          </cell>
        </row>
        <row r="1399">
          <cell r="A1399">
            <v>41422</v>
          </cell>
          <cell r="DF1399">
            <v>15.379640972784777</v>
          </cell>
          <cell r="DG1399">
            <v>21.679348620667902</v>
          </cell>
          <cell r="DH1399">
            <v>18.362277992096409</v>
          </cell>
          <cell r="DI1399">
            <v>14.300000632844487</v>
          </cell>
          <cell r="DJ1399">
            <v>22.424555351348332</v>
          </cell>
          <cell r="DU1399">
            <v>7.7959883687202378</v>
          </cell>
          <cell r="DV1399">
            <v>11.644336226312735</v>
          </cell>
          <cell r="DW1399">
            <v>9.8476005987137558</v>
          </cell>
          <cell r="DX1399">
            <v>7.1073990168282446</v>
          </cell>
          <cell r="DY1399">
            <v>12.587802180599267</v>
          </cell>
        </row>
        <row r="1400">
          <cell r="A1400">
            <v>41423</v>
          </cell>
          <cell r="DF1400">
            <v>15.731360636148505</v>
          </cell>
          <cell r="DG1400">
            <v>21.679348620667902</v>
          </cell>
          <cell r="DH1400">
            <v>18.362277992096409</v>
          </cell>
          <cell r="DI1400">
            <v>14.300000632844487</v>
          </cell>
          <cell r="DJ1400">
            <v>22.424555351348332</v>
          </cell>
          <cell r="DU1400">
            <v>8.0048123277965164</v>
          </cell>
          <cell r="DV1400">
            <v>11.644336226312735</v>
          </cell>
          <cell r="DW1400">
            <v>9.8476005987137558</v>
          </cell>
          <cell r="DX1400">
            <v>7.1073990168282446</v>
          </cell>
          <cell r="DY1400">
            <v>12.587802180599267</v>
          </cell>
        </row>
        <row r="1401">
          <cell r="A1401">
            <v>41424</v>
          </cell>
          <cell r="DF1401">
            <v>15.901894078845876</v>
          </cell>
          <cell r="DG1401">
            <v>21.679348620667902</v>
          </cell>
          <cell r="DH1401">
            <v>18.362277992096409</v>
          </cell>
          <cell r="DI1401">
            <v>14.300000632844487</v>
          </cell>
          <cell r="DJ1401">
            <v>22.424555351348332</v>
          </cell>
          <cell r="DU1401">
            <v>8.106061909120454</v>
          </cell>
          <cell r="DV1401">
            <v>11.644336226312735</v>
          </cell>
          <cell r="DW1401">
            <v>9.8476005987137558</v>
          </cell>
          <cell r="DX1401">
            <v>7.1073990168282446</v>
          </cell>
          <cell r="DY1401">
            <v>12.587802180599267</v>
          </cell>
        </row>
        <row r="1402">
          <cell r="A1402">
            <v>41425</v>
          </cell>
          <cell r="DF1402">
            <v>16.472098541306526</v>
          </cell>
          <cell r="DG1402">
            <v>21.679348620667902</v>
          </cell>
          <cell r="DH1402">
            <v>18.362277992096409</v>
          </cell>
          <cell r="DI1402">
            <v>14.300000632844487</v>
          </cell>
          <cell r="DJ1402">
            <v>22.424555351348332</v>
          </cell>
          <cell r="DU1402">
            <v>8.4163118677309132</v>
          </cell>
          <cell r="DV1402">
            <v>11.644336226312735</v>
          </cell>
          <cell r="DW1402">
            <v>9.8476005987137558</v>
          </cell>
          <cell r="DX1402">
            <v>7.1073990168282446</v>
          </cell>
          <cell r="DY1402">
            <v>12.587802180599267</v>
          </cell>
        </row>
        <row r="1403">
          <cell r="A1403">
            <v>41428</v>
          </cell>
          <cell r="DF1403">
            <v>16.829144060749393</v>
          </cell>
          <cell r="DG1403">
            <v>21.679348620667902</v>
          </cell>
          <cell r="DH1403">
            <v>18.362277992096409</v>
          </cell>
          <cell r="DI1403">
            <v>14.300000632844487</v>
          </cell>
          <cell r="DJ1403">
            <v>22.424555351348332</v>
          </cell>
          <cell r="DU1403">
            <v>8.62758765586638</v>
          </cell>
          <cell r="DV1403">
            <v>11.644336226312735</v>
          </cell>
          <cell r="DW1403">
            <v>9.8476005987137558</v>
          </cell>
          <cell r="DX1403">
            <v>7.1073990168282446</v>
          </cell>
          <cell r="DY1403">
            <v>12.587802180599267</v>
          </cell>
        </row>
        <row r="1404">
          <cell r="A1404">
            <v>41429</v>
          </cell>
          <cell r="DF1404">
            <v>16.941057914823045</v>
          </cell>
          <cell r="DG1404">
            <v>21.679348620667902</v>
          </cell>
          <cell r="DH1404">
            <v>18.362277992096409</v>
          </cell>
          <cell r="DI1404">
            <v>14.300000632844487</v>
          </cell>
          <cell r="DJ1404">
            <v>22.424555351348332</v>
          </cell>
          <cell r="DU1404">
            <v>8.6938108303220734</v>
          </cell>
          <cell r="DV1404">
            <v>11.644336226312735</v>
          </cell>
          <cell r="DW1404">
            <v>9.8476005987137558</v>
          </cell>
          <cell r="DX1404">
            <v>7.1073990168282446</v>
          </cell>
          <cell r="DY1404">
            <v>12.587802180599267</v>
          </cell>
        </row>
        <row r="1405">
          <cell r="A1405">
            <v>41430</v>
          </cell>
          <cell r="DF1405">
            <v>16.946383770902184</v>
          </cell>
          <cell r="DG1405">
            <v>21.679348620667902</v>
          </cell>
          <cell r="DH1405">
            <v>18.362277992096409</v>
          </cell>
          <cell r="DI1405">
            <v>14.300000632844487</v>
          </cell>
          <cell r="DJ1405">
            <v>22.424555351348332</v>
          </cell>
          <cell r="DU1405">
            <v>8.6969623176796862</v>
          </cell>
          <cell r="DV1405">
            <v>11.644336226312735</v>
          </cell>
          <cell r="DW1405">
            <v>9.8476005987137558</v>
          </cell>
          <cell r="DX1405">
            <v>7.1073990168282446</v>
          </cell>
          <cell r="DY1405">
            <v>12.587802180599267</v>
          </cell>
        </row>
        <row r="1406">
          <cell r="A1406">
            <v>41431</v>
          </cell>
          <cell r="DF1406">
            <v>16.946383770902184</v>
          </cell>
          <cell r="DG1406">
            <v>21.679348620667902</v>
          </cell>
          <cell r="DH1406">
            <v>18.362277992096409</v>
          </cell>
          <cell r="DI1406">
            <v>14.300000632844487</v>
          </cell>
          <cell r="DJ1406">
            <v>22.424555351348332</v>
          </cell>
          <cell r="DU1406">
            <v>8.6969623176796862</v>
          </cell>
          <cell r="DV1406">
            <v>11.644336226312735</v>
          </cell>
          <cell r="DW1406">
            <v>9.8476005987137558</v>
          </cell>
          <cell r="DX1406">
            <v>7.1073990168282446</v>
          </cell>
          <cell r="DY1406">
            <v>12.587802180599267</v>
          </cell>
        </row>
        <row r="1407">
          <cell r="A1407">
            <v>41432</v>
          </cell>
          <cell r="DF1407">
            <v>16.498745407578816</v>
          </cell>
          <cell r="DG1407">
            <v>21.679348620667902</v>
          </cell>
          <cell r="DH1407">
            <v>18.362277992096409</v>
          </cell>
          <cell r="DI1407">
            <v>14.300000632844487</v>
          </cell>
          <cell r="DJ1407">
            <v>22.424555351348332</v>
          </cell>
          <cell r="DU1407">
            <v>8.4320797106709477</v>
          </cell>
          <cell r="DV1407">
            <v>11.644336226312735</v>
          </cell>
          <cell r="DW1407">
            <v>9.8476005987137558</v>
          </cell>
          <cell r="DX1407">
            <v>7.1073990168282446</v>
          </cell>
          <cell r="DY1407">
            <v>12.587802180599267</v>
          </cell>
        </row>
        <row r="1408">
          <cell r="A1408">
            <v>41435</v>
          </cell>
          <cell r="DF1408">
            <v>16.426196861617814</v>
          </cell>
          <cell r="DG1408">
            <v>21.679348620667902</v>
          </cell>
          <cell r="DH1408">
            <v>18.362277992096409</v>
          </cell>
          <cell r="DI1408">
            <v>14.300000632844487</v>
          </cell>
          <cell r="DJ1408">
            <v>22.424555351348332</v>
          </cell>
          <cell r="DU1408">
            <v>8.3891035870229054</v>
          </cell>
          <cell r="DV1408">
            <v>11.644336226312735</v>
          </cell>
          <cell r="DW1408">
            <v>9.8476005987137558</v>
          </cell>
          <cell r="DX1408">
            <v>7.1073990168282446</v>
          </cell>
          <cell r="DY1408">
            <v>12.587802180599267</v>
          </cell>
        </row>
        <row r="1409">
          <cell r="A1409">
            <v>41436</v>
          </cell>
          <cell r="DF1409">
            <v>16.506599977637922</v>
          </cell>
          <cell r="DG1409">
            <v>21.679348620667902</v>
          </cell>
          <cell r="DH1409">
            <v>18.362277992096409</v>
          </cell>
          <cell r="DI1409">
            <v>14.300000632844487</v>
          </cell>
          <cell r="DJ1409">
            <v>22.424555351348332</v>
          </cell>
          <cell r="DU1409">
            <v>8.4366743866968807</v>
          </cell>
          <cell r="DV1409">
            <v>11.644336226312735</v>
          </cell>
          <cell r="DW1409">
            <v>9.8476005987137558</v>
          </cell>
          <cell r="DX1409">
            <v>7.1073990168282446</v>
          </cell>
          <cell r="DY1409">
            <v>12.587802180599267</v>
          </cell>
        </row>
        <row r="1410">
          <cell r="A1410">
            <v>41437</v>
          </cell>
          <cell r="DF1410">
            <v>16.730237251315597</v>
          </cell>
          <cell r="DG1410">
            <v>21.679348620667902</v>
          </cell>
          <cell r="DH1410">
            <v>18.362277992096409</v>
          </cell>
          <cell r="DI1410">
            <v>14.300000632844487</v>
          </cell>
          <cell r="DJ1410">
            <v>22.424555351348332</v>
          </cell>
          <cell r="DU1410">
            <v>8.5689902032019845</v>
          </cell>
          <cell r="DV1410">
            <v>11.644336226312735</v>
          </cell>
          <cell r="DW1410">
            <v>9.8476005987137558</v>
          </cell>
          <cell r="DX1410">
            <v>7.1073990168282446</v>
          </cell>
          <cell r="DY1410">
            <v>12.587802180599267</v>
          </cell>
        </row>
        <row r="1411">
          <cell r="A1411">
            <v>41438</v>
          </cell>
          <cell r="DF1411">
            <v>16.46040521273062</v>
          </cell>
          <cell r="DG1411">
            <v>21.679348620667902</v>
          </cell>
          <cell r="DH1411">
            <v>18.362277992096409</v>
          </cell>
          <cell r="DI1411">
            <v>14.300000632844487</v>
          </cell>
          <cell r="DJ1411">
            <v>22.424555351348332</v>
          </cell>
          <cell r="DU1411">
            <v>8.4146194928374367</v>
          </cell>
          <cell r="DV1411">
            <v>11.644336226312735</v>
          </cell>
          <cell r="DW1411">
            <v>9.8476005987137558</v>
          </cell>
          <cell r="DX1411">
            <v>7.1073990168282446</v>
          </cell>
          <cell r="DY1411">
            <v>12.587802180599267</v>
          </cell>
        </row>
        <row r="1412">
          <cell r="A1412">
            <v>41439</v>
          </cell>
          <cell r="DF1412">
            <v>16.56684014342493</v>
          </cell>
          <cell r="DG1412">
            <v>21.679348620667902</v>
          </cell>
          <cell r="DH1412">
            <v>18.362277992096409</v>
          </cell>
          <cell r="DI1412">
            <v>14.300000632844487</v>
          </cell>
          <cell r="DJ1412">
            <v>22.424555351348332</v>
          </cell>
          <cell r="DU1412">
            <v>8.4776262294095979</v>
          </cell>
          <cell r="DV1412">
            <v>11.644336226312735</v>
          </cell>
          <cell r="DW1412">
            <v>9.8476005987137558</v>
          </cell>
          <cell r="DX1412">
            <v>7.1073990168282446</v>
          </cell>
          <cell r="DY1412">
            <v>12.587802180599267</v>
          </cell>
        </row>
        <row r="1413">
          <cell r="A1413">
            <v>41442</v>
          </cell>
          <cell r="DF1413">
            <v>16.705212950666176</v>
          </cell>
          <cell r="DG1413">
            <v>21.679348620667902</v>
          </cell>
          <cell r="DH1413">
            <v>18.362277992096409</v>
          </cell>
          <cell r="DI1413">
            <v>14.300000632844487</v>
          </cell>
          <cell r="DJ1413">
            <v>22.424555351348332</v>
          </cell>
          <cell r="DU1413">
            <v>8.5595393659872858</v>
          </cell>
          <cell r="DV1413">
            <v>11.644336226312735</v>
          </cell>
          <cell r="DW1413">
            <v>9.8476005987137558</v>
          </cell>
          <cell r="DX1413">
            <v>7.1073990168282446</v>
          </cell>
          <cell r="DY1413">
            <v>12.587802180599267</v>
          </cell>
        </row>
        <row r="1414">
          <cell r="A1414">
            <v>41443</v>
          </cell>
          <cell r="DF1414">
            <v>16.715850749381399</v>
          </cell>
          <cell r="DG1414">
            <v>21.679348620667902</v>
          </cell>
          <cell r="DH1414">
            <v>18.362277992096409</v>
          </cell>
          <cell r="DI1414">
            <v>14.300000632844487</v>
          </cell>
          <cell r="DJ1414">
            <v>22.424555351348332</v>
          </cell>
          <cell r="DU1414">
            <v>8.5658366687335317</v>
          </cell>
          <cell r="DV1414">
            <v>11.644336226312735</v>
          </cell>
          <cell r="DW1414">
            <v>9.8476005987137558</v>
          </cell>
          <cell r="DX1414">
            <v>7.1073990168282446</v>
          </cell>
          <cell r="DY1414">
            <v>12.587802180599267</v>
          </cell>
        </row>
        <row r="1415">
          <cell r="A1415">
            <v>41444</v>
          </cell>
          <cell r="DF1415">
            <v>16.210278841528769</v>
          </cell>
          <cell r="DG1415">
            <v>21.679348620667902</v>
          </cell>
          <cell r="DH1415">
            <v>18.362277992096409</v>
          </cell>
          <cell r="DI1415">
            <v>14.300000632844487</v>
          </cell>
          <cell r="DJ1415">
            <v>22.424555351348332</v>
          </cell>
          <cell r="DU1415">
            <v>8.2665511258336668</v>
          </cell>
          <cell r="DV1415">
            <v>11.644336226312735</v>
          </cell>
          <cell r="DW1415">
            <v>9.8476005987137558</v>
          </cell>
          <cell r="DX1415">
            <v>7.1073990168282446</v>
          </cell>
          <cell r="DY1415">
            <v>12.587802180599267</v>
          </cell>
        </row>
        <row r="1416">
          <cell r="A1416">
            <v>41445</v>
          </cell>
          <cell r="DF1416">
            <v>15.992081831951676</v>
          </cell>
          <cell r="DG1416">
            <v>21.679348620667902</v>
          </cell>
          <cell r="DH1416">
            <v>18.362277992096409</v>
          </cell>
          <cell r="DI1416">
            <v>14.300000632844487</v>
          </cell>
          <cell r="DJ1416">
            <v>22.424555351348332</v>
          </cell>
          <cell r="DU1416">
            <v>8.1373841182208917</v>
          </cell>
          <cell r="DV1416">
            <v>11.644336226312735</v>
          </cell>
          <cell r="DW1416">
            <v>9.8476005987137558</v>
          </cell>
          <cell r="DX1416">
            <v>7.1073990168282446</v>
          </cell>
          <cell r="DY1416">
            <v>12.587802180599267</v>
          </cell>
        </row>
        <row r="1417">
          <cell r="A1417">
            <v>41446</v>
          </cell>
          <cell r="DF1417">
            <v>15.789858284200461</v>
          </cell>
          <cell r="DG1417">
            <v>21.679348620667902</v>
          </cell>
          <cell r="DH1417">
            <v>18.362277992096409</v>
          </cell>
          <cell r="DI1417">
            <v>14.300000632844487</v>
          </cell>
          <cell r="DJ1417">
            <v>22.424555351348332</v>
          </cell>
          <cell r="DU1417">
            <v>8.0176729884373472</v>
          </cell>
          <cell r="DV1417">
            <v>11.644336226312735</v>
          </cell>
          <cell r="DW1417">
            <v>9.8476005987137558</v>
          </cell>
          <cell r="DX1417">
            <v>7.1073990168282446</v>
          </cell>
          <cell r="DY1417">
            <v>12.587802180599267</v>
          </cell>
        </row>
        <row r="1418">
          <cell r="A1418">
            <v>41449</v>
          </cell>
          <cell r="DF1418">
            <v>15.882051327060955</v>
          </cell>
          <cell r="DG1418">
            <v>21.679348620667902</v>
          </cell>
          <cell r="DH1418">
            <v>18.362277992096409</v>
          </cell>
          <cell r="DI1418">
            <v>14.300000632844487</v>
          </cell>
          <cell r="DJ1418">
            <v>22.424555351348332</v>
          </cell>
          <cell r="DU1418">
            <v>8.199896495566108</v>
          </cell>
          <cell r="DV1418">
            <v>11.644336226312735</v>
          </cell>
          <cell r="DW1418">
            <v>9.8476005987137558</v>
          </cell>
          <cell r="DX1418">
            <v>7.1073990168282446</v>
          </cell>
          <cell r="DY1418">
            <v>12.587802180599267</v>
          </cell>
        </row>
        <row r="1419">
          <cell r="A1419">
            <v>41450</v>
          </cell>
          <cell r="DF1419">
            <v>15.681951098782692</v>
          </cell>
          <cell r="DG1419">
            <v>21.679348620667902</v>
          </cell>
          <cell r="DH1419">
            <v>18.362277992096409</v>
          </cell>
          <cell r="DI1419">
            <v>14.300000632844487</v>
          </cell>
          <cell r="DJ1419">
            <v>22.424555351348332</v>
          </cell>
          <cell r="DU1419">
            <v>8.0799690197612062</v>
          </cell>
          <cell r="DV1419">
            <v>11.644336226312735</v>
          </cell>
          <cell r="DW1419">
            <v>9.8476005987137558</v>
          </cell>
          <cell r="DX1419">
            <v>7.1073990168282446</v>
          </cell>
          <cell r="DY1419">
            <v>12.587802180599267</v>
          </cell>
        </row>
        <row r="1420">
          <cell r="A1420">
            <v>41451</v>
          </cell>
          <cell r="DF1420">
            <v>15.708274449952917</v>
          </cell>
          <cell r="DG1420">
            <v>21.679348620667902</v>
          </cell>
          <cell r="DH1420">
            <v>18.362277992096409</v>
          </cell>
          <cell r="DI1420">
            <v>14.300000632844487</v>
          </cell>
          <cell r="DJ1420">
            <v>22.424555351348332</v>
          </cell>
          <cell r="DU1420">
            <v>8.0957455787773274</v>
          </cell>
          <cell r="DV1420">
            <v>11.644336226312735</v>
          </cell>
          <cell r="DW1420">
            <v>9.8476005987137558</v>
          </cell>
          <cell r="DX1420">
            <v>7.1073990168282446</v>
          </cell>
          <cell r="DY1420">
            <v>12.587802180599267</v>
          </cell>
        </row>
        <row r="1421">
          <cell r="A1421">
            <v>41452</v>
          </cell>
          <cell r="DF1421">
            <v>15.602957348568756</v>
          </cell>
          <cell r="DG1421">
            <v>21.679348620667902</v>
          </cell>
          <cell r="DH1421">
            <v>18.362277992096409</v>
          </cell>
          <cell r="DI1421">
            <v>14.300000632844487</v>
          </cell>
          <cell r="DJ1421">
            <v>22.424555351348332</v>
          </cell>
          <cell r="DU1421">
            <v>8.0326251404011764</v>
          </cell>
          <cell r="DV1421">
            <v>11.644336226312735</v>
          </cell>
          <cell r="DW1421">
            <v>9.8476005987137558</v>
          </cell>
          <cell r="DX1421">
            <v>7.1073990168282446</v>
          </cell>
          <cell r="DY1421">
            <v>12.587802180599267</v>
          </cell>
        </row>
        <row r="1422">
          <cell r="A1422">
            <v>41453</v>
          </cell>
          <cell r="DF1422">
            <v>15.513437522765845</v>
          </cell>
          <cell r="DG1422">
            <v>21.679348620667902</v>
          </cell>
          <cell r="DH1422">
            <v>18.362277992096409</v>
          </cell>
          <cell r="DI1422">
            <v>14.300000632844487</v>
          </cell>
          <cell r="DJ1422">
            <v>22.424555351348332</v>
          </cell>
          <cell r="DU1422">
            <v>7.978972594197641</v>
          </cell>
          <cell r="DV1422">
            <v>11.644336226312735</v>
          </cell>
          <cell r="DW1422">
            <v>9.8476005987137558</v>
          </cell>
          <cell r="DX1422">
            <v>7.1073990168282446</v>
          </cell>
          <cell r="DY1422">
            <v>12.587802180599267</v>
          </cell>
        </row>
        <row r="1423">
          <cell r="A1423">
            <v>41456</v>
          </cell>
          <cell r="DF1423">
            <v>15.82412552582714</v>
          </cell>
          <cell r="DG1423">
            <v>21.679348620667902</v>
          </cell>
          <cell r="DH1423">
            <v>18.362277992096409</v>
          </cell>
          <cell r="DI1423">
            <v>14.300000632844487</v>
          </cell>
          <cell r="DJ1423">
            <v>22.424555351348332</v>
          </cell>
          <cell r="DU1423">
            <v>8.1651794181008732</v>
          </cell>
          <cell r="DV1423">
            <v>11.644336226312735</v>
          </cell>
          <cell r="DW1423">
            <v>9.8476005987137558</v>
          </cell>
          <cell r="DX1423">
            <v>7.1073990168282446</v>
          </cell>
          <cell r="DY1423">
            <v>12.587802180599267</v>
          </cell>
        </row>
        <row r="1424">
          <cell r="A1424">
            <v>41457</v>
          </cell>
          <cell r="DF1424">
            <v>15.797802174656915</v>
          </cell>
          <cell r="DG1424">
            <v>21.679348620667902</v>
          </cell>
          <cell r="DH1424">
            <v>18.362277992096409</v>
          </cell>
          <cell r="DI1424">
            <v>14.300000632844487</v>
          </cell>
          <cell r="DJ1424">
            <v>22.424555351348332</v>
          </cell>
          <cell r="DU1424">
            <v>8.149402859084752</v>
          </cell>
          <cell r="DV1424">
            <v>11.644336226312735</v>
          </cell>
          <cell r="DW1424">
            <v>9.8476005987137558</v>
          </cell>
          <cell r="DX1424">
            <v>7.1073990168282446</v>
          </cell>
          <cell r="DY1424">
            <v>12.587802180599267</v>
          </cell>
        </row>
        <row r="1425">
          <cell r="A1425">
            <v>41458</v>
          </cell>
          <cell r="DF1425">
            <v>16.061098877567865</v>
          </cell>
          <cell r="DG1425">
            <v>21.679348620667902</v>
          </cell>
          <cell r="DH1425">
            <v>18.362277992096409</v>
          </cell>
          <cell r="DI1425">
            <v>14.300000632844487</v>
          </cell>
          <cell r="DJ1425">
            <v>22.424555351348332</v>
          </cell>
          <cell r="DU1425">
            <v>8.3072063220770698</v>
          </cell>
          <cell r="DV1425">
            <v>11.644336226312735</v>
          </cell>
          <cell r="DW1425">
            <v>9.8476005987137558</v>
          </cell>
          <cell r="DX1425">
            <v>7.1073990168282446</v>
          </cell>
          <cell r="DY1425">
            <v>12.587802180599267</v>
          </cell>
        </row>
        <row r="1426">
          <cell r="A1426">
            <v>41459</v>
          </cell>
          <cell r="DF1426">
            <v>15.876278740221162</v>
          </cell>
          <cell r="DG1426">
            <v>21.679348620667902</v>
          </cell>
          <cell r="DH1426">
            <v>18.362277992096409</v>
          </cell>
          <cell r="DI1426">
            <v>14.300000632844487</v>
          </cell>
          <cell r="DJ1426">
            <v>22.424555351348332</v>
          </cell>
          <cell r="DU1426">
            <v>8.0864462710495335</v>
          </cell>
          <cell r="DV1426">
            <v>11.644336226312735</v>
          </cell>
          <cell r="DW1426">
            <v>9.8476005987137558</v>
          </cell>
          <cell r="DX1426">
            <v>7.1073990168282446</v>
          </cell>
          <cell r="DY1426">
            <v>12.587802180599267</v>
          </cell>
        </row>
        <row r="1427">
          <cell r="A1427">
            <v>41460</v>
          </cell>
          <cell r="DF1427">
            <v>14.447117935169189</v>
          </cell>
          <cell r="DG1427">
            <v>21.679348620667902</v>
          </cell>
          <cell r="DH1427">
            <v>18.362277992096409</v>
          </cell>
          <cell r="DI1427">
            <v>14.300000632844487</v>
          </cell>
          <cell r="DJ1427">
            <v>22.424555351348332</v>
          </cell>
          <cell r="DU1427">
            <v>7.2089061626265911</v>
          </cell>
          <cell r="DV1427">
            <v>11.644336226312735</v>
          </cell>
          <cell r="DW1427">
            <v>9.8476005987137558</v>
          </cell>
          <cell r="DX1427">
            <v>7.1073990168282446</v>
          </cell>
          <cell r="DY1427">
            <v>12.587802180599267</v>
          </cell>
        </row>
        <row r="1428">
          <cell r="A1428">
            <v>41463</v>
          </cell>
          <cell r="DF1428">
            <v>14.141341413777443</v>
          </cell>
          <cell r="DG1428">
            <v>21.679348620667902</v>
          </cell>
          <cell r="DH1428">
            <v>18.362277992096409</v>
          </cell>
          <cell r="DI1428">
            <v>14.300000632844487</v>
          </cell>
          <cell r="DJ1428">
            <v>22.424555351348332</v>
          </cell>
          <cell r="DU1428">
            <v>7.0048266700504032</v>
          </cell>
          <cell r="DV1428">
            <v>11.644336226312735</v>
          </cell>
          <cell r="DW1428">
            <v>9.8476005987137558</v>
          </cell>
          <cell r="DX1428">
            <v>7.1073990168282446</v>
          </cell>
          <cell r="DY1428">
            <v>12.587802180599267</v>
          </cell>
        </row>
        <row r="1429">
          <cell r="A1429">
            <v>41464</v>
          </cell>
          <cell r="DF1429">
            <v>14.033818563800088</v>
          </cell>
          <cell r="DG1429">
            <v>21.679348620667902</v>
          </cell>
          <cell r="DH1429">
            <v>18.362277992096409</v>
          </cell>
          <cell r="DI1429">
            <v>14.300000632844487</v>
          </cell>
          <cell r="DJ1429">
            <v>22.424555351348332</v>
          </cell>
          <cell r="DU1429">
            <v>6.940844856311835</v>
          </cell>
          <cell r="DV1429">
            <v>11.644336226312735</v>
          </cell>
          <cell r="DW1429">
            <v>9.8476005987137558</v>
          </cell>
          <cell r="DX1429">
            <v>7.1073990168282446</v>
          </cell>
          <cell r="DY1429">
            <v>12.587802180599267</v>
          </cell>
        </row>
        <row r="1430">
          <cell r="A1430">
            <v>41465</v>
          </cell>
          <cell r="DF1430">
            <v>13.83758382729035</v>
          </cell>
          <cell r="DG1430">
            <v>21.679348620667902</v>
          </cell>
          <cell r="DH1430">
            <v>18.362277992096409</v>
          </cell>
          <cell r="DI1430">
            <v>14.300000632844487</v>
          </cell>
          <cell r="DJ1430">
            <v>22.424555351348332</v>
          </cell>
          <cell r="DU1430">
            <v>6.8185330275610339</v>
          </cell>
          <cell r="DV1430">
            <v>11.644336226312735</v>
          </cell>
          <cell r="DW1430">
            <v>9.8476005987137558</v>
          </cell>
          <cell r="DX1430">
            <v>7.1073990168282446</v>
          </cell>
          <cell r="DY1430">
            <v>12.587802180599267</v>
          </cell>
        </row>
        <row r="1431">
          <cell r="A1431">
            <v>41466</v>
          </cell>
          <cell r="DF1431">
            <v>13.993382316455939</v>
          </cell>
          <cell r="DG1431">
            <v>21.679348620667902</v>
          </cell>
          <cell r="DH1431">
            <v>18.362277992096409</v>
          </cell>
          <cell r="DI1431">
            <v>14.300000632844487</v>
          </cell>
          <cell r="DJ1431">
            <v>22.424555351348332</v>
          </cell>
          <cell r="DU1431">
            <v>6.8946943150128934</v>
          </cell>
          <cell r="DV1431">
            <v>11.644336226312735</v>
          </cell>
          <cell r="DW1431">
            <v>9.8476005987137558</v>
          </cell>
          <cell r="DX1431">
            <v>7.1073990168282446</v>
          </cell>
          <cell r="DY1431">
            <v>12.587802180599267</v>
          </cell>
        </row>
        <row r="1432">
          <cell r="A1432">
            <v>41467</v>
          </cell>
          <cell r="DF1432">
            <v>14.126845636436995</v>
          </cell>
          <cell r="DG1432">
            <v>21.679348620667902</v>
          </cell>
          <cell r="DH1432">
            <v>18.362277992096409</v>
          </cell>
          <cell r="DI1432">
            <v>14.300000632844487</v>
          </cell>
          <cell r="DJ1432">
            <v>22.424555351348332</v>
          </cell>
          <cell r="DU1432">
            <v>6.9739005307370787</v>
          </cell>
          <cell r="DV1432">
            <v>11.644336226312735</v>
          </cell>
          <cell r="DW1432">
            <v>9.8476005987137558</v>
          </cell>
          <cell r="DX1432">
            <v>7.1073990168282446</v>
          </cell>
          <cell r="DY1432">
            <v>12.587802180599267</v>
          </cell>
        </row>
        <row r="1433">
          <cell r="A1433">
            <v>41470</v>
          </cell>
          <cell r="DF1433">
            <v>14.552910326325629</v>
          </cell>
          <cell r="DG1433">
            <v>21.679348620667902</v>
          </cell>
          <cell r="DH1433">
            <v>18.362277992096409</v>
          </cell>
          <cell r="DI1433">
            <v>14.300000632844487</v>
          </cell>
          <cell r="DJ1433">
            <v>22.424555351348332</v>
          </cell>
          <cell r="DU1433">
            <v>7.2267563097223988</v>
          </cell>
          <cell r="DV1433">
            <v>11.644336226312735</v>
          </cell>
          <cell r="DW1433">
            <v>9.8476005987137558</v>
          </cell>
          <cell r="DX1433">
            <v>7.1073990168282446</v>
          </cell>
          <cell r="DY1433">
            <v>12.587802180599267</v>
          </cell>
        </row>
        <row r="1434">
          <cell r="A1434">
            <v>41471</v>
          </cell>
          <cell r="DF1434">
            <v>14.255178219737688</v>
          </cell>
          <cell r="DG1434">
            <v>21.679348620667902</v>
          </cell>
          <cell r="DH1434">
            <v>18.362277992096409</v>
          </cell>
          <cell r="DI1434">
            <v>14.300000632844487</v>
          </cell>
          <cell r="DJ1434">
            <v>22.424555351348332</v>
          </cell>
          <cell r="DU1434">
            <v>7.0500618181889374</v>
          </cell>
          <cell r="DV1434">
            <v>11.644336226312735</v>
          </cell>
          <cell r="DW1434">
            <v>9.8476005987137558</v>
          </cell>
          <cell r="DX1434">
            <v>7.1073990168282446</v>
          </cell>
          <cell r="DY1434">
            <v>12.587802180599267</v>
          </cell>
        </row>
        <row r="1435">
          <cell r="A1435">
            <v>41472</v>
          </cell>
          <cell r="DF1435">
            <v>14.106315503090883</v>
          </cell>
          <cell r="DG1435">
            <v>21.679348620667902</v>
          </cell>
          <cell r="DH1435">
            <v>18.362277992096409</v>
          </cell>
          <cell r="DI1435">
            <v>14.300000632844487</v>
          </cell>
          <cell r="DJ1435">
            <v>22.424555351348332</v>
          </cell>
          <cell r="DU1435">
            <v>6.9617165526156786</v>
          </cell>
          <cell r="DV1435">
            <v>11.644336226312735</v>
          </cell>
          <cell r="DW1435">
            <v>9.8476005987137558</v>
          </cell>
          <cell r="DX1435">
            <v>7.1073990168282446</v>
          </cell>
          <cell r="DY1435">
            <v>12.587802180599267</v>
          </cell>
        </row>
        <row r="1436">
          <cell r="A1436">
            <v>41473</v>
          </cell>
          <cell r="DF1436">
            <v>13.798314223187219</v>
          </cell>
          <cell r="DG1436">
            <v>21.679348620667902</v>
          </cell>
          <cell r="DH1436">
            <v>18.362277992096409</v>
          </cell>
          <cell r="DI1436">
            <v>14.300000632844487</v>
          </cell>
          <cell r="DJ1436">
            <v>22.424555351348332</v>
          </cell>
          <cell r="DU1436">
            <v>6.7789276348603194</v>
          </cell>
          <cell r="DV1436">
            <v>11.644336226312735</v>
          </cell>
          <cell r="DW1436">
            <v>9.8476005987137558</v>
          </cell>
          <cell r="DX1436">
            <v>7.1073990168282446</v>
          </cell>
          <cell r="DY1436">
            <v>12.587802180599267</v>
          </cell>
        </row>
        <row r="1437">
          <cell r="A1437">
            <v>41474</v>
          </cell>
          <cell r="DF1437">
            <v>13.575017068235013</v>
          </cell>
          <cell r="DG1437">
            <v>21.679348620667902</v>
          </cell>
          <cell r="DH1437">
            <v>18.362277992096409</v>
          </cell>
          <cell r="DI1437">
            <v>14.300000632844487</v>
          </cell>
          <cell r="DJ1437">
            <v>22.424555351348332</v>
          </cell>
          <cell r="DU1437">
            <v>6.6464079086295333</v>
          </cell>
          <cell r="DV1437">
            <v>11.644336226312735</v>
          </cell>
          <cell r="DW1437">
            <v>9.8476005987137558</v>
          </cell>
          <cell r="DX1437">
            <v>7.1073990168282446</v>
          </cell>
          <cell r="DY1437">
            <v>12.587802180599267</v>
          </cell>
        </row>
        <row r="1438">
          <cell r="A1438">
            <v>41477</v>
          </cell>
          <cell r="DF1438">
            <v>13.592985169888109</v>
          </cell>
          <cell r="DG1438">
            <v>21.679348620667902</v>
          </cell>
          <cell r="DH1438">
            <v>18.362277992096409</v>
          </cell>
          <cell r="DI1438">
            <v>14.300000632844487</v>
          </cell>
          <cell r="DJ1438">
            <v>22.424555351348332</v>
          </cell>
          <cell r="DU1438">
            <v>6.6570714028082438</v>
          </cell>
          <cell r="DV1438">
            <v>11.644336226312735</v>
          </cell>
          <cell r="DW1438">
            <v>9.8476005987137558</v>
          </cell>
          <cell r="DX1438">
            <v>7.1073990168282446</v>
          </cell>
          <cell r="DY1438">
            <v>12.587802180599267</v>
          </cell>
        </row>
        <row r="1439">
          <cell r="A1439">
            <v>41478</v>
          </cell>
          <cell r="DF1439">
            <v>13.43385430658625</v>
          </cell>
          <cell r="DG1439">
            <v>21.679348620667902</v>
          </cell>
          <cell r="DH1439">
            <v>18.362277992096409</v>
          </cell>
          <cell r="DI1439">
            <v>14.300000632844487</v>
          </cell>
          <cell r="DJ1439">
            <v>22.424555351348332</v>
          </cell>
          <cell r="DU1439">
            <v>6.5626323203033881</v>
          </cell>
          <cell r="DV1439">
            <v>11.644336226312735</v>
          </cell>
          <cell r="DW1439">
            <v>9.8476005987137558</v>
          </cell>
          <cell r="DX1439">
            <v>7.1073990168282446</v>
          </cell>
          <cell r="DY1439">
            <v>12.587802180599267</v>
          </cell>
        </row>
        <row r="1440">
          <cell r="A1440">
            <v>41479</v>
          </cell>
          <cell r="DF1440">
            <v>13.310275919945068</v>
          </cell>
          <cell r="DG1440">
            <v>21.679348620667902</v>
          </cell>
          <cell r="DH1440">
            <v>18.362277992096409</v>
          </cell>
          <cell r="DI1440">
            <v>14.300000632844487</v>
          </cell>
          <cell r="DJ1440">
            <v>22.424555351348332</v>
          </cell>
          <cell r="DU1440">
            <v>6.5114926412183021</v>
          </cell>
          <cell r="DV1440">
            <v>11.644336226312735</v>
          </cell>
          <cell r="DW1440">
            <v>9.8476005987137558</v>
          </cell>
          <cell r="DX1440">
            <v>7.1073990168282446</v>
          </cell>
          <cell r="DY1440">
            <v>12.587802180599267</v>
          </cell>
        </row>
        <row r="1441">
          <cell r="A1441">
            <v>41480</v>
          </cell>
          <cell r="DF1441">
            <v>13.498458408564961</v>
          </cell>
          <cell r="DG1441">
            <v>21.679348620667902</v>
          </cell>
          <cell r="DH1441">
            <v>18.362277992096409</v>
          </cell>
          <cell r="DI1441">
            <v>14.300000632844487</v>
          </cell>
          <cell r="DJ1441">
            <v>22.424555351348332</v>
          </cell>
          <cell r="DU1441">
            <v>6.6492586071071242</v>
          </cell>
          <cell r="DV1441">
            <v>11.644336226312735</v>
          </cell>
          <cell r="DW1441">
            <v>9.8476005987137558</v>
          </cell>
          <cell r="DX1441">
            <v>7.1073990168282446</v>
          </cell>
          <cell r="DY1441">
            <v>12.587802180599267</v>
          </cell>
        </row>
        <row r="1442">
          <cell r="A1442">
            <v>41481</v>
          </cell>
          <cell r="DF1442">
            <v>13.859573277725502</v>
          </cell>
          <cell r="DG1442">
            <v>21.679348620667902</v>
          </cell>
          <cell r="DH1442">
            <v>18.362277992096409</v>
          </cell>
          <cell r="DI1442">
            <v>14.300000632844487</v>
          </cell>
          <cell r="DJ1442">
            <v>22.424555351348332</v>
          </cell>
          <cell r="DU1442">
            <v>6.8647130737864144</v>
          </cell>
          <cell r="DV1442">
            <v>11.644336226312735</v>
          </cell>
          <cell r="DW1442">
            <v>9.8476005987137558</v>
          </cell>
          <cell r="DX1442">
            <v>7.1073990168282446</v>
          </cell>
          <cell r="DY1442">
            <v>12.587802180599267</v>
          </cell>
        </row>
        <row r="1443">
          <cell r="A1443">
            <v>41484</v>
          </cell>
          <cell r="DF1443">
            <v>14.129135111766649</v>
          </cell>
          <cell r="DG1443">
            <v>21.679348620667902</v>
          </cell>
          <cell r="DH1443">
            <v>18.362277992096409</v>
          </cell>
          <cell r="DI1443">
            <v>14.300000632844487</v>
          </cell>
          <cell r="DJ1443">
            <v>22.424555351348332</v>
          </cell>
          <cell r="DU1443">
            <v>7.0255436187192144</v>
          </cell>
          <cell r="DV1443">
            <v>11.644336226312735</v>
          </cell>
          <cell r="DW1443">
            <v>9.8476005987137558</v>
          </cell>
          <cell r="DX1443">
            <v>7.1073990168282446</v>
          </cell>
          <cell r="DY1443">
            <v>12.587802180599267</v>
          </cell>
        </row>
        <row r="1444">
          <cell r="A1444">
            <v>41485</v>
          </cell>
          <cell r="DF1444">
            <v>14.164733616458559</v>
          </cell>
          <cell r="DG1444">
            <v>21.679348620667902</v>
          </cell>
          <cell r="DH1444">
            <v>18.362277992096409</v>
          </cell>
          <cell r="DI1444">
            <v>14.300000632844487</v>
          </cell>
          <cell r="DJ1444">
            <v>22.424555351348332</v>
          </cell>
          <cell r="DU1444">
            <v>7.0467830012481176</v>
          </cell>
          <cell r="DV1444">
            <v>11.644336226312735</v>
          </cell>
          <cell r="DW1444">
            <v>9.8476005987137558</v>
          </cell>
          <cell r="DX1444">
            <v>7.1073990168282446</v>
          </cell>
          <cell r="DY1444">
            <v>12.587802180599267</v>
          </cell>
        </row>
        <row r="1445">
          <cell r="A1445">
            <v>41486</v>
          </cell>
          <cell r="DF1445">
            <v>14.658084581542607</v>
          </cell>
          <cell r="DG1445">
            <v>21.679348620667902</v>
          </cell>
          <cell r="DH1445">
            <v>18.362277992096409</v>
          </cell>
          <cell r="DI1445">
            <v>14.300000632844487</v>
          </cell>
          <cell r="DJ1445">
            <v>22.424555351348332</v>
          </cell>
          <cell r="DU1445">
            <v>7.3411344061487043</v>
          </cell>
          <cell r="DV1445">
            <v>11.644336226312735</v>
          </cell>
          <cell r="DW1445">
            <v>9.8476005987137558</v>
          </cell>
          <cell r="DX1445">
            <v>7.1073990168282446</v>
          </cell>
          <cell r="DY1445">
            <v>12.587802180599267</v>
          </cell>
        </row>
        <row r="1446">
          <cell r="A1446">
            <v>41487</v>
          </cell>
          <cell r="DF1446">
            <v>13.656125422780558</v>
          </cell>
          <cell r="DG1446">
            <v>21.679348620667902</v>
          </cell>
          <cell r="DH1446">
            <v>18.362277992096409</v>
          </cell>
          <cell r="DI1446">
            <v>14.300000632844487</v>
          </cell>
          <cell r="DJ1446">
            <v>22.424555351348332</v>
          </cell>
          <cell r="DU1446">
            <v>6.7433285703288144</v>
          </cell>
          <cell r="DV1446">
            <v>11.644336226312735</v>
          </cell>
          <cell r="DW1446">
            <v>9.8476005987137558</v>
          </cell>
          <cell r="DX1446">
            <v>7.1073990168282446</v>
          </cell>
          <cell r="DY1446">
            <v>12.587802180599267</v>
          </cell>
        </row>
        <row r="1447">
          <cell r="A1447">
            <v>41488</v>
          </cell>
          <cell r="DF1447">
            <v>13.732421229306002</v>
          </cell>
          <cell r="DG1447">
            <v>21.679348620667902</v>
          </cell>
          <cell r="DH1447">
            <v>18.362277992096409</v>
          </cell>
          <cell r="DI1447">
            <v>14.300000632844487</v>
          </cell>
          <cell r="DJ1447">
            <v>22.424555351348332</v>
          </cell>
          <cell r="DU1447">
            <v>6.781169258477429</v>
          </cell>
          <cell r="DV1447">
            <v>11.644336226312735</v>
          </cell>
          <cell r="DW1447">
            <v>9.8476005987137558</v>
          </cell>
          <cell r="DX1447">
            <v>7.1073990168282446</v>
          </cell>
          <cell r="DY1447">
            <v>12.587802180599267</v>
          </cell>
        </row>
        <row r="1448">
          <cell r="A1448">
            <v>41491</v>
          </cell>
          <cell r="DF1448">
            <v>13.676474328001422</v>
          </cell>
          <cell r="DG1448">
            <v>21.679348620667902</v>
          </cell>
          <cell r="DH1448">
            <v>18.362277992096409</v>
          </cell>
          <cell r="DI1448">
            <v>14.300000632844487</v>
          </cell>
          <cell r="DJ1448">
            <v>22.424555351348332</v>
          </cell>
          <cell r="DU1448">
            <v>6.7478270337684254</v>
          </cell>
          <cell r="DV1448">
            <v>11.644336226312735</v>
          </cell>
          <cell r="DW1448">
            <v>9.8476005987137558</v>
          </cell>
          <cell r="DX1448">
            <v>7.1073990168282446</v>
          </cell>
          <cell r="DY1448">
            <v>12.587802180599267</v>
          </cell>
        </row>
        <row r="1449">
          <cell r="A1449">
            <v>41492</v>
          </cell>
          <cell r="DF1449">
            <v>13.295018182742922</v>
          </cell>
          <cell r="DG1449">
            <v>21.679348620667902</v>
          </cell>
          <cell r="DH1449">
            <v>18.362277992096409</v>
          </cell>
          <cell r="DI1449">
            <v>14.300000632844487</v>
          </cell>
          <cell r="DJ1449">
            <v>22.424555351348332</v>
          </cell>
          <cell r="DU1449">
            <v>6.5204936834797618</v>
          </cell>
          <cell r="DV1449">
            <v>11.644336226312735</v>
          </cell>
          <cell r="DW1449">
            <v>9.8476005987137558</v>
          </cell>
          <cell r="DX1449">
            <v>7.1073990168282446</v>
          </cell>
          <cell r="DY1449">
            <v>12.587802180599267</v>
          </cell>
        </row>
        <row r="1450">
          <cell r="A1450">
            <v>41493</v>
          </cell>
          <cell r="DF1450">
            <v>13.396738295653941</v>
          </cell>
          <cell r="DG1450">
            <v>21.679348620667902</v>
          </cell>
          <cell r="DH1450">
            <v>18.362277992096409</v>
          </cell>
          <cell r="DI1450">
            <v>14.300000632844487</v>
          </cell>
          <cell r="DJ1450">
            <v>22.424555351348332</v>
          </cell>
          <cell r="DU1450">
            <v>6.5811150008900041</v>
          </cell>
          <cell r="DV1450">
            <v>11.644336226312735</v>
          </cell>
          <cell r="DW1450">
            <v>9.8476005987137558</v>
          </cell>
          <cell r="DX1450">
            <v>7.1073990168282446</v>
          </cell>
          <cell r="DY1450">
            <v>12.587802180599267</v>
          </cell>
        </row>
        <row r="1451">
          <cell r="A1451">
            <v>41494</v>
          </cell>
          <cell r="DF1451">
            <v>13.473026473056478</v>
          </cell>
          <cell r="DG1451">
            <v>21.679348620667902</v>
          </cell>
          <cell r="DH1451">
            <v>18.362277992096409</v>
          </cell>
          <cell r="DI1451">
            <v>14.300000632844487</v>
          </cell>
          <cell r="DJ1451">
            <v>22.424555351348332</v>
          </cell>
          <cell r="DU1451">
            <v>6.6265798522809343</v>
          </cell>
          <cell r="DV1451">
            <v>11.644336226312735</v>
          </cell>
          <cell r="DW1451">
            <v>9.8476005987137558</v>
          </cell>
          <cell r="DX1451">
            <v>7.1073990168282446</v>
          </cell>
          <cell r="DY1451">
            <v>12.587802180599267</v>
          </cell>
        </row>
        <row r="1452">
          <cell r="A1452">
            <v>41495</v>
          </cell>
          <cell r="DF1452">
            <v>13.254328510032295</v>
          </cell>
          <cell r="DG1452">
            <v>21.679348620667902</v>
          </cell>
          <cell r="DH1452">
            <v>18.362277992096409</v>
          </cell>
          <cell r="DI1452">
            <v>14.300000632844487</v>
          </cell>
          <cell r="DJ1452">
            <v>22.424555351348332</v>
          </cell>
          <cell r="DU1452">
            <v>6.4962441865600367</v>
          </cell>
          <cell r="DV1452">
            <v>11.644336226312735</v>
          </cell>
          <cell r="DW1452">
            <v>9.8476005987137558</v>
          </cell>
          <cell r="DX1452">
            <v>7.1073990168282446</v>
          </cell>
          <cell r="DY1452">
            <v>12.587802180599267</v>
          </cell>
        </row>
        <row r="1453">
          <cell r="A1453">
            <v>41498</v>
          </cell>
          <cell r="DF1453">
            <v>13.066138392289497</v>
          </cell>
          <cell r="DG1453">
            <v>21.679348620667902</v>
          </cell>
          <cell r="DH1453">
            <v>18.362277992096409</v>
          </cell>
          <cell r="DI1453">
            <v>14.300000632844487</v>
          </cell>
          <cell r="DJ1453">
            <v>22.424555351348332</v>
          </cell>
          <cell r="DU1453">
            <v>6.3840900359729575</v>
          </cell>
          <cell r="DV1453">
            <v>11.644336226312735</v>
          </cell>
          <cell r="DW1453">
            <v>9.8476005987137558</v>
          </cell>
          <cell r="DX1453">
            <v>7.1073990168282446</v>
          </cell>
          <cell r="DY1453">
            <v>12.587802180599267</v>
          </cell>
        </row>
        <row r="1454">
          <cell r="A1454">
            <v>41499</v>
          </cell>
          <cell r="DF1454">
            <v>12.760978053556441</v>
          </cell>
          <cell r="DG1454">
            <v>21.679348620667902</v>
          </cell>
          <cell r="DH1454">
            <v>18.362277992096409</v>
          </cell>
          <cell r="DI1454">
            <v>14.300000632844487</v>
          </cell>
          <cell r="DJ1454">
            <v>22.424555351348332</v>
          </cell>
          <cell r="DU1454">
            <v>6.2022260837422296</v>
          </cell>
          <cell r="DV1454">
            <v>11.644336226312735</v>
          </cell>
          <cell r="DW1454">
            <v>9.8476005987137558</v>
          </cell>
          <cell r="DX1454">
            <v>7.1073990168282446</v>
          </cell>
          <cell r="DY1454">
            <v>12.587802180599267</v>
          </cell>
        </row>
        <row r="1455">
          <cell r="A1455">
            <v>41500</v>
          </cell>
          <cell r="DF1455">
            <v>12.408003967143909</v>
          </cell>
          <cell r="DG1455">
            <v>21.679348620667902</v>
          </cell>
          <cell r="DH1455">
            <v>18.362277992096409</v>
          </cell>
          <cell r="DI1455">
            <v>14.300000632844487</v>
          </cell>
          <cell r="DJ1455">
            <v>22.424555351348332</v>
          </cell>
          <cell r="DU1455">
            <v>5.9918669569417853</v>
          </cell>
          <cell r="DV1455">
            <v>11.644336226312735</v>
          </cell>
          <cell r="DW1455">
            <v>9.8476005987137558</v>
          </cell>
          <cell r="DX1455">
            <v>7.1073990168282446</v>
          </cell>
          <cell r="DY1455">
            <v>12.587802180599267</v>
          </cell>
        </row>
        <row r="1456">
          <cell r="A1456">
            <v>41501</v>
          </cell>
          <cell r="DF1456">
            <v>12.755886885537723</v>
          </cell>
          <cell r="DG1456">
            <v>21.679348620667902</v>
          </cell>
          <cell r="DH1456">
            <v>18.362277992096409</v>
          </cell>
          <cell r="DI1456">
            <v>14.300000632844487</v>
          </cell>
          <cell r="DJ1456">
            <v>22.424555351348332</v>
          </cell>
          <cell r="DU1456">
            <v>6.1991919412937095</v>
          </cell>
          <cell r="DV1456">
            <v>11.644336226312735</v>
          </cell>
          <cell r="DW1456">
            <v>9.8476005987137558</v>
          </cell>
          <cell r="DX1456">
            <v>7.1073990168282446</v>
          </cell>
          <cell r="DY1456">
            <v>12.587802180599267</v>
          </cell>
        </row>
        <row r="1457">
          <cell r="A1457">
            <v>41502</v>
          </cell>
          <cell r="DF1457">
            <v>13.15260076799837</v>
          </cell>
          <cell r="DG1457">
            <v>21.679348620667902</v>
          </cell>
          <cell r="DH1457">
            <v>18.362277992096409</v>
          </cell>
          <cell r="DI1457">
            <v>14.300000632844487</v>
          </cell>
          <cell r="DJ1457">
            <v>22.424555351348332</v>
          </cell>
          <cell r="DU1457">
            <v>6.4356183224827879</v>
          </cell>
          <cell r="DV1457">
            <v>11.644336226312735</v>
          </cell>
          <cell r="DW1457">
            <v>9.8476005987137558</v>
          </cell>
          <cell r="DX1457">
            <v>7.1073990168282446</v>
          </cell>
          <cell r="DY1457">
            <v>12.587802180599267</v>
          </cell>
        </row>
        <row r="1458">
          <cell r="A1458">
            <v>41505</v>
          </cell>
          <cell r="DF1458">
            <v>12.96441827937848</v>
          </cell>
          <cell r="DG1458">
            <v>21.679348620667902</v>
          </cell>
          <cell r="DH1458">
            <v>18.362277992096409</v>
          </cell>
          <cell r="DI1458">
            <v>14.300000632844487</v>
          </cell>
          <cell r="DJ1458">
            <v>22.424555351348332</v>
          </cell>
          <cell r="DU1458">
            <v>6.3234687185627143</v>
          </cell>
          <cell r="DV1458">
            <v>11.644336226312735</v>
          </cell>
          <cell r="DW1458">
            <v>9.8476005987137558</v>
          </cell>
          <cell r="DX1458">
            <v>7.1073990168282446</v>
          </cell>
          <cell r="DY1458">
            <v>12.587802180599267</v>
          </cell>
        </row>
        <row r="1459">
          <cell r="A1459">
            <v>41506</v>
          </cell>
          <cell r="DF1459">
            <v>13.183123871525568</v>
          </cell>
          <cell r="DG1459">
            <v>21.679348620667902</v>
          </cell>
          <cell r="DH1459">
            <v>18.362277992096409</v>
          </cell>
          <cell r="DI1459">
            <v>14.300000632844487</v>
          </cell>
          <cell r="DJ1459">
            <v>22.424555351348332</v>
          </cell>
          <cell r="DU1459">
            <v>6.4538089309506192</v>
          </cell>
          <cell r="DV1459">
            <v>11.644336226312735</v>
          </cell>
          <cell r="DW1459">
            <v>9.8476005987137558</v>
          </cell>
          <cell r="DX1459">
            <v>7.1073990168282446</v>
          </cell>
          <cell r="DY1459">
            <v>12.587802180599267</v>
          </cell>
        </row>
        <row r="1460">
          <cell r="A1460">
            <v>41507</v>
          </cell>
          <cell r="DF1460">
            <v>11.952292551433002</v>
          </cell>
          <cell r="DG1460">
            <v>21.679348620667902</v>
          </cell>
          <cell r="DH1460">
            <v>18.362277992096409</v>
          </cell>
          <cell r="DI1460">
            <v>14.300000632844487</v>
          </cell>
          <cell r="DJ1460">
            <v>22.424555351348332</v>
          </cell>
          <cell r="DU1460">
            <v>5.7202802904636627</v>
          </cell>
          <cell r="DV1460">
            <v>11.644336226312735</v>
          </cell>
          <cell r="DW1460">
            <v>9.8476005987137558</v>
          </cell>
          <cell r="DX1460">
            <v>7.1073990168282446</v>
          </cell>
          <cell r="DY1460">
            <v>12.587802180599267</v>
          </cell>
        </row>
        <row r="1461">
          <cell r="A1461">
            <v>41508</v>
          </cell>
          <cell r="DF1461">
            <v>12.794264569844017</v>
          </cell>
          <cell r="DG1461">
            <v>21.679348620667902</v>
          </cell>
          <cell r="DH1461">
            <v>18.362277992096409</v>
          </cell>
          <cell r="DI1461">
            <v>14.300000632844487</v>
          </cell>
          <cell r="DJ1461">
            <v>22.424555351348332</v>
          </cell>
          <cell r="DU1461">
            <v>6.2329613683787244</v>
          </cell>
          <cell r="DV1461">
            <v>11.644336226312735</v>
          </cell>
          <cell r="DW1461">
            <v>9.8476005987137558</v>
          </cell>
          <cell r="DX1461">
            <v>7.1073990168282446</v>
          </cell>
          <cell r="DY1461">
            <v>12.587802180599267</v>
          </cell>
        </row>
        <row r="1462">
          <cell r="A1462">
            <v>41509</v>
          </cell>
          <cell r="DF1462">
            <v>12.516236736882201</v>
          </cell>
          <cell r="DG1462">
            <v>21.679348620667902</v>
          </cell>
          <cell r="DH1462">
            <v>18.362277992096409</v>
          </cell>
          <cell r="DI1462">
            <v>14.300000632844487</v>
          </cell>
          <cell r="DJ1462">
            <v>22.424555351348332</v>
          </cell>
          <cell r="DU1462">
            <v>6.0672053562557107</v>
          </cell>
          <cell r="DV1462">
            <v>11.644336226312735</v>
          </cell>
          <cell r="DW1462">
            <v>9.8476005987137558</v>
          </cell>
          <cell r="DX1462">
            <v>7.1073990168282446</v>
          </cell>
          <cell r="DY1462">
            <v>12.587802180599267</v>
          </cell>
        </row>
        <row r="1463">
          <cell r="A1463">
            <v>41512</v>
          </cell>
          <cell r="DF1463">
            <v>12.571842505675521</v>
          </cell>
          <cell r="DG1463">
            <v>21.679348620667902</v>
          </cell>
          <cell r="DH1463">
            <v>18.362277992096409</v>
          </cell>
          <cell r="DI1463">
            <v>14.300000632844487</v>
          </cell>
          <cell r="DJ1463">
            <v>22.424555351348332</v>
          </cell>
          <cell r="DU1463">
            <v>6.1003566792294839</v>
          </cell>
          <cell r="DV1463">
            <v>11.644336226312735</v>
          </cell>
          <cell r="DW1463">
            <v>9.8476005987137558</v>
          </cell>
          <cell r="DX1463">
            <v>7.1073990168282446</v>
          </cell>
          <cell r="DY1463">
            <v>12.587802180599267</v>
          </cell>
        </row>
        <row r="1464">
          <cell r="A1464">
            <v>41513</v>
          </cell>
          <cell r="DF1464">
            <v>12.693158025104516</v>
          </cell>
          <cell r="DG1464">
            <v>21.679348620667902</v>
          </cell>
          <cell r="DH1464">
            <v>18.362277992096409</v>
          </cell>
          <cell r="DI1464">
            <v>14.300000632844487</v>
          </cell>
          <cell r="DJ1464">
            <v>22.424555351348332</v>
          </cell>
          <cell r="DU1464">
            <v>6.1726831671748252</v>
          </cell>
          <cell r="DV1464">
            <v>11.644336226312735</v>
          </cell>
          <cell r="DW1464">
            <v>9.8476005987137558</v>
          </cell>
          <cell r="DX1464">
            <v>7.1073990168282446</v>
          </cell>
          <cell r="DY1464">
            <v>12.587802180599267</v>
          </cell>
        </row>
        <row r="1465">
          <cell r="A1465">
            <v>41514</v>
          </cell>
          <cell r="DF1465">
            <v>12.480848030816674</v>
          </cell>
          <cell r="DG1465">
            <v>21.679348620667902</v>
          </cell>
          <cell r="DH1465">
            <v>18.362277992096409</v>
          </cell>
          <cell r="DI1465">
            <v>14.300000632844487</v>
          </cell>
          <cell r="DJ1465">
            <v>22.424555351348332</v>
          </cell>
          <cell r="DU1465">
            <v>6.0461071419901602</v>
          </cell>
          <cell r="DV1465">
            <v>11.644336226312735</v>
          </cell>
          <cell r="DW1465">
            <v>9.8476005987137558</v>
          </cell>
          <cell r="DX1465">
            <v>7.1073990168282446</v>
          </cell>
          <cell r="DY1465">
            <v>12.587802180599267</v>
          </cell>
        </row>
        <row r="1466">
          <cell r="A1466">
            <v>41515</v>
          </cell>
          <cell r="DF1466">
            <v>12.258433043681686</v>
          </cell>
          <cell r="DG1466">
            <v>21.679348620667902</v>
          </cell>
          <cell r="DH1466">
            <v>18.362277992096409</v>
          </cell>
          <cell r="DI1466">
            <v>14.300000632844487</v>
          </cell>
          <cell r="DJ1466">
            <v>22.424555351348332</v>
          </cell>
          <cell r="DU1466">
            <v>5.5399688780752845</v>
          </cell>
          <cell r="DV1466">
            <v>11.644336226312735</v>
          </cell>
          <cell r="DW1466">
            <v>9.8476005987137558</v>
          </cell>
          <cell r="DX1466">
            <v>7.1073990168282446</v>
          </cell>
          <cell r="DY1466">
            <v>12.587802180599267</v>
          </cell>
        </row>
        <row r="1467">
          <cell r="A1467">
            <v>41516</v>
          </cell>
          <cell r="DF1467">
            <v>12.460630968088878</v>
          </cell>
          <cell r="DG1467">
            <v>21.679348620667902</v>
          </cell>
          <cell r="DH1467">
            <v>18.362277992096409</v>
          </cell>
          <cell r="DI1467">
            <v>14.300000632844487</v>
          </cell>
          <cell r="DJ1467">
            <v>22.424555351348332</v>
          </cell>
          <cell r="DU1467">
            <v>5.6543548835688631</v>
          </cell>
          <cell r="DV1467">
            <v>11.644336226312735</v>
          </cell>
          <cell r="DW1467">
            <v>9.8476005987137558</v>
          </cell>
          <cell r="DX1467">
            <v>7.1073990168282446</v>
          </cell>
          <cell r="DY1467">
            <v>12.587802180599267</v>
          </cell>
        </row>
        <row r="1468">
          <cell r="A1468">
            <v>41519</v>
          </cell>
          <cell r="DF1468">
            <v>12.420190271102175</v>
          </cell>
          <cell r="DG1468">
            <v>21.679348620667902</v>
          </cell>
          <cell r="DH1468">
            <v>18.362277992096409</v>
          </cell>
          <cell r="DI1468">
            <v>14.300000632844487</v>
          </cell>
          <cell r="DJ1468">
            <v>22.424555351348332</v>
          </cell>
          <cell r="DU1468">
            <v>5.6151463301340883</v>
          </cell>
          <cell r="DV1468">
            <v>11.644336226312735</v>
          </cell>
          <cell r="DW1468">
            <v>9.8476005987137558</v>
          </cell>
          <cell r="DX1468">
            <v>7.1073990168282446</v>
          </cell>
          <cell r="DY1468">
            <v>12.587802180599267</v>
          </cell>
        </row>
        <row r="1469">
          <cell r="A1469">
            <v>41520</v>
          </cell>
          <cell r="DF1469">
            <v>11.59472423690638</v>
          </cell>
          <cell r="DG1469">
            <v>21.679348620667902</v>
          </cell>
          <cell r="DH1469">
            <v>18.362277992096409</v>
          </cell>
          <cell r="DI1469">
            <v>14.300000632844487</v>
          </cell>
          <cell r="DJ1469">
            <v>22.424555351348332</v>
          </cell>
          <cell r="DU1469">
            <v>5.101893437375109</v>
          </cell>
          <cell r="DV1469">
            <v>11.644336226312735</v>
          </cell>
          <cell r="DW1469">
            <v>9.8476005987137558</v>
          </cell>
          <cell r="DX1469">
            <v>7.1073990168282446</v>
          </cell>
          <cell r="DY1469">
            <v>12.587802180599267</v>
          </cell>
        </row>
        <row r="1470">
          <cell r="A1470">
            <v>41521</v>
          </cell>
          <cell r="DF1470">
            <v>12.154859143814219</v>
          </cell>
          <cell r="DG1470">
            <v>21.679348620667902</v>
          </cell>
          <cell r="DH1470">
            <v>18.362277992096409</v>
          </cell>
          <cell r="DI1470">
            <v>14.300000632844487</v>
          </cell>
          <cell r="DJ1470">
            <v>22.424555351348332</v>
          </cell>
          <cell r="DU1470">
            <v>5.4155491710334607</v>
          </cell>
          <cell r="DV1470">
            <v>11.644336226312735</v>
          </cell>
          <cell r="DW1470">
            <v>9.8476005987137558</v>
          </cell>
          <cell r="DX1470">
            <v>7.1073990168282446</v>
          </cell>
          <cell r="DY1470">
            <v>12.587802180599267</v>
          </cell>
        </row>
        <row r="1471">
          <cell r="A1471">
            <v>41522</v>
          </cell>
          <cell r="DF1471">
            <v>11.824018946930448</v>
          </cell>
          <cell r="DG1471">
            <v>21.679348620667902</v>
          </cell>
          <cell r="DH1471">
            <v>18.362277992096409</v>
          </cell>
          <cell r="DI1471">
            <v>14.300000632844487</v>
          </cell>
          <cell r="DJ1471">
            <v>22.424555351348332</v>
          </cell>
          <cell r="DU1471">
            <v>5.2359095322647367</v>
          </cell>
          <cell r="DV1471">
            <v>11.644336226312735</v>
          </cell>
          <cell r="DW1471">
            <v>9.8476005987137558</v>
          </cell>
          <cell r="DX1471">
            <v>7.1073990168282446</v>
          </cell>
          <cell r="DY1471">
            <v>12.587802180599267</v>
          </cell>
        </row>
        <row r="1472">
          <cell r="A1472">
            <v>41523</v>
          </cell>
          <cell r="DF1472">
            <v>11.854544159472869</v>
          </cell>
          <cell r="DG1472">
            <v>21.679348620667902</v>
          </cell>
          <cell r="DH1472">
            <v>18.362277992096409</v>
          </cell>
          <cell r="DI1472">
            <v>14.300000632844487</v>
          </cell>
          <cell r="DJ1472">
            <v>22.424555351348332</v>
          </cell>
          <cell r="DU1472">
            <v>5.2530170780893046</v>
          </cell>
          <cell r="DV1472">
            <v>11.644336226312735</v>
          </cell>
          <cell r="DW1472">
            <v>9.8476005987137558</v>
          </cell>
          <cell r="DX1472">
            <v>7.1073990168282446</v>
          </cell>
          <cell r="DY1472">
            <v>12.587802180599267</v>
          </cell>
        </row>
        <row r="1473">
          <cell r="A1473">
            <v>41526</v>
          </cell>
          <cell r="DF1473">
            <v>12.449117848651996</v>
          </cell>
          <cell r="DG1473">
            <v>21.679348620667902</v>
          </cell>
          <cell r="DH1473">
            <v>18.362277992096409</v>
          </cell>
          <cell r="DI1473">
            <v>14.300000632844487</v>
          </cell>
          <cell r="DJ1473">
            <v>22.424555351348332</v>
          </cell>
          <cell r="DU1473">
            <v>5.5821222573375184</v>
          </cell>
          <cell r="DV1473">
            <v>11.644336226312735</v>
          </cell>
          <cell r="DW1473">
            <v>9.8476005987137558</v>
          </cell>
          <cell r="DX1473">
            <v>7.1073990168282446</v>
          </cell>
          <cell r="DY1473">
            <v>12.587802180599267</v>
          </cell>
        </row>
        <row r="1474">
          <cell r="A1474">
            <v>41527</v>
          </cell>
          <cell r="DF1474">
            <v>12.687743469542719</v>
          </cell>
          <cell r="DG1474">
            <v>21.679348620667902</v>
          </cell>
          <cell r="DH1474">
            <v>18.362277992096409</v>
          </cell>
          <cell r="DI1474">
            <v>14.300000632844487</v>
          </cell>
          <cell r="DJ1474">
            <v>22.424555351348332</v>
          </cell>
          <cell r="DU1474">
            <v>5.7156893207848176</v>
          </cell>
          <cell r="DV1474">
            <v>11.644336226312735</v>
          </cell>
          <cell r="DW1474">
            <v>9.8476005987137558</v>
          </cell>
          <cell r="DX1474">
            <v>7.1073990168282446</v>
          </cell>
          <cell r="DY1474">
            <v>12.587802180599267</v>
          </cell>
        </row>
        <row r="1475">
          <cell r="A1475">
            <v>41528</v>
          </cell>
          <cell r="DF1475">
            <v>12.626092374192742</v>
          </cell>
          <cell r="DG1475">
            <v>21.679348620667902</v>
          </cell>
          <cell r="DH1475">
            <v>18.362277992096409</v>
          </cell>
          <cell r="DI1475">
            <v>14.300000632844487</v>
          </cell>
          <cell r="DJ1475">
            <v>22.424555351348332</v>
          </cell>
          <cell r="DU1475">
            <v>5.6064640848403728</v>
          </cell>
          <cell r="DV1475">
            <v>11.644336226312735</v>
          </cell>
          <cell r="DW1475">
            <v>9.8476005987137558</v>
          </cell>
          <cell r="DX1475">
            <v>7.1073990168282446</v>
          </cell>
          <cell r="DY1475">
            <v>12.587802180599267</v>
          </cell>
        </row>
        <row r="1476">
          <cell r="A1476">
            <v>41529</v>
          </cell>
          <cell r="DF1476">
            <v>12.698477320084615</v>
          </cell>
          <cell r="DG1476">
            <v>21.679348620667902</v>
          </cell>
          <cell r="DH1476">
            <v>18.362277992096409</v>
          </cell>
          <cell r="DI1476">
            <v>14.300000632844487</v>
          </cell>
          <cell r="DJ1476">
            <v>22.424555351348332</v>
          </cell>
          <cell r="DU1476">
            <v>5.6466275949214673</v>
          </cell>
          <cell r="DV1476">
            <v>11.644336226312735</v>
          </cell>
          <cell r="DW1476">
            <v>9.8476005987137558</v>
          </cell>
          <cell r="DX1476">
            <v>7.1073990168282446</v>
          </cell>
          <cell r="DY1476">
            <v>12.587802180599267</v>
          </cell>
        </row>
        <row r="1477">
          <cell r="A1477">
            <v>41530</v>
          </cell>
          <cell r="DF1477">
            <v>13.127620741538676</v>
          </cell>
          <cell r="DG1477">
            <v>21.679348620667902</v>
          </cell>
          <cell r="DH1477">
            <v>18.362277992096409</v>
          </cell>
          <cell r="DI1477">
            <v>14.300000632844487</v>
          </cell>
          <cell r="DJ1477">
            <v>22.424555351348332</v>
          </cell>
          <cell r="DU1477">
            <v>5.8847421078417614</v>
          </cell>
          <cell r="DV1477">
            <v>11.644336226312735</v>
          </cell>
          <cell r="DW1477">
            <v>9.8476005987137558</v>
          </cell>
          <cell r="DX1477">
            <v>7.1073990168282446</v>
          </cell>
          <cell r="DY1477">
            <v>12.587802180599267</v>
          </cell>
        </row>
        <row r="1478">
          <cell r="A1478">
            <v>41533</v>
          </cell>
          <cell r="DF1478">
            <v>13.008696079294404</v>
          </cell>
          <cell r="DG1478">
            <v>21.679348620667902</v>
          </cell>
          <cell r="DH1478">
            <v>18.362277992096409</v>
          </cell>
          <cell r="DI1478">
            <v>14.300000632844487</v>
          </cell>
          <cell r="DJ1478">
            <v>22.424555351348332</v>
          </cell>
          <cell r="DU1478">
            <v>5.8187555713860544</v>
          </cell>
          <cell r="DV1478">
            <v>11.644336226312735</v>
          </cell>
          <cell r="DW1478">
            <v>9.8476005987137558</v>
          </cell>
          <cell r="DX1478">
            <v>7.1073990168282446</v>
          </cell>
          <cell r="DY1478">
            <v>12.587802180599267</v>
          </cell>
        </row>
        <row r="1479">
          <cell r="A1479">
            <v>41534</v>
          </cell>
          <cell r="DF1479">
            <v>13.086256585785836</v>
          </cell>
          <cell r="DG1479">
            <v>21.679348620667902</v>
          </cell>
          <cell r="DH1479">
            <v>18.362277992096409</v>
          </cell>
          <cell r="DI1479">
            <v>14.300000632844487</v>
          </cell>
          <cell r="DJ1479">
            <v>22.424555351348332</v>
          </cell>
          <cell r="DU1479">
            <v>5.8617907929501722</v>
          </cell>
          <cell r="DV1479">
            <v>11.644336226312735</v>
          </cell>
          <cell r="DW1479">
            <v>9.8476005987137558</v>
          </cell>
          <cell r="DX1479">
            <v>7.1073990168282446</v>
          </cell>
          <cell r="DY1479">
            <v>12.587802180599267</v>
          </cell>
        </row>
        <row r="1480">
          <cell r="A1480">
            <v>41535</v>
          </cell>
          <cell r="DF1480">
            <v>13.267215589761886</v>
          </cell>
          <cell r="DG1480">
            <v>21.679348620667902</v>
          </cell>
          <cell r="DH1480">
            <v>18.362277992096409</v>
          </cell>
          <cell r="DI1480">
            <v>14.300000632844487</v>
          </cell>
          <cell r="DJ1480">
            <v>22.424555351348332</v>
          </cell>
          <cell r="DU1480">
            <v>5.9621977034051898</v>
          </cell>
          <cell r="DV1480">
            <v>11.644336226312735</v>
          </cell>
          <cell r="DW1480">
            <v>9.8476005987137558</v>
          </cell>
          <cell r="DX1480">
            <v>7.1073990168282446</v>
          </cell>
          <cell r="DY1480">
            <v>12.587802180599267</v>
          </cell>
        </row>
        <row r="1481">
          <cell r="A1481">
            <v>41536</v>
          </cell>
          <cell r="DF1481">
            <v>12.956996830552097</v>
          </cell>
          <cell r="DG1481">
            <v>21.679348620667902</v>
          </cell>
          <cell r="DH1481">
            <v>18.362277992096409</v>
          </cell>
          <cell r="DI1481">
            <v>14.300000632844487</v>
          </cell>
          <cell r="DJ1481">
            <v>22.424555351348332</v>
          </cell>
          <cell r="DU1481">
            <v>5.7900697269406036</v>
          </cell>
          <cell r="DV1481">
            <v>11.644336226312735</v>
          </cell>
          <cell r="DW1481">
            <v>9.8476005987137558</v>
          </cell>
          <cell r="DX1481">
            <v>7.1073990168282446</v>
          </cell>
          <cell r="DY1481">
            <v>12.587802180599267</v>
          </cell>
        </row>
        <row r="1482">
          <cell r="A1482">
            <v>41537</v>
          </cell>
          <cell r="DF1482">
            <v>12.80705137816879</v>
          </cell>
          <cell r="DG1482">
            <v>21.679348620667902</v>
          </cell>
          <cell r="DH1482">
            <v>18.362277992096409</v>
          </cell>
          <cell r="DI1482">
            <v>14.300000632844487</v>
          </cell>
          <cell r="DJ1482">
            <v>22.424555351348332</v>
          </cell>
          <cell r="DU1482">
            <v>5.7068709952953913</v>
          </cell>
          <cell r="DV1482">
            <v>11.644336226312735</v>
          </cell>
          <cell r="DW1482">
            <v>9.8476005987137558</v>
          </cell>
          <cell r="DX1482">
            <v>7.1073990168282446</v>
          </cell>
          <cell r="DY1482">
            <v>12.587802180599267</v>
          </cell>
        </row>
        <row r="1483">
          <cell r="A1483">
            <v>41540</v>
          </cell>
          <cell r="DF1483">
            <v>12.607993940303935</v>
          </cell>
          <cell r="DG1483">
            <v>21.679348620667902</v>
          </cell>
          <cell r="DH1483">
            <v>18.362277992096409</v>
          </cell>
          <cell r="DI1483">
            <v>14.300000632844487</v>
          </cell>
          <cell r="DJ1483">
            <v>22.424555351348332</v>
          </cell>
          <cell r="DU1483">
            <v>5.5964219880619774</v>
          </cell>
          <cell r="DV1483">
            <v>11.644336226312735</v>
          </cell>
          <cell r="DW1483">
            <v>9.8476005987137558</v>
          </cell>
          <cell r="DX1483">
            <v>7.1073990168282446</v>
          </cell>
          <cell r="DY1483">
            <v>12.587802180599267</v>
          </cell>
        </row>
        <row r="1484">
          <cell r="A1484">
            <v>41541</v>
          </cell>
          <cell r="DF1484">
            <v>12.684116035249245</v>
          </cell>
          <cell r="DG1484">
            <v>21.679348620667902</v>
          </cell>
          <cell r="DH1484">
            <v>18.362277992096409</v>
          </cell>
          <cell r="DI1484">
            <v>14.300000632844487</v>
          </cell>
          <cell r="DJ1484">
            <v>22.424555351348332</v>
          </cell>
          <cell r="DU1484">
            <v>5.6655384218972076</v>
          </cell>
          <cell r="DV1484">
            <v>11.644336226312735</v>
          </cell>
          <cell r="DW1484">
            <v>9.8476005987137558</v>
          </cell>
          <cell r="DX1484">
            <v>7.1073990168282446</v>
          </cell>
          <cell r="DY1484">
            <v>12.587802180599267</v>
          </cell>
        </row>
        <row r="1485">
          <cell r="A1485">
            <v>41542</v>
          </cell>
          <cell r="DF1485">
            <v>13.054606547888376</v>
          </cell>
          <cell r="DG1485">
            <v>21.679348620667902</v>
          </cell>
          <cell r="DH1485">
            <v>18.362277992096409</v>
          </cell>
          <cell r="DI1485">
            <v>14.300000632844487</v>
          </cell>
          <cell r="DJ1485">
            <v>22.424555351348332</v>
          </cell>
          <cell r="DU1485">
            <v>5.8718441311230283</v>
          </cell>
          <cell r="DV1485">
            <v>11.644336226312735</v>
          </cell>
          <cell r="DW1485">
            <v>9.8476005987137558</v>
          </cell>
          <cell r="DX1485">
            <v>7.1073990168282446</v>
          </cell>
          <cell r="DY1485">
            <v>12.587802180599267</v>
          </cell>
        </row>
        <row r="1486">
          <cell r="A1486">
            <v>41543</v>
          </cell>
          <cell r="DF1486">
            <v>12.956836946035919</v>
          </cell>
          <cell r="DG1486">
            <v>21.679348620667902</v>
          </cell>
          <cell r="DH1486">
            <v>18.362277992096409</v>
          </cell>
          <cell r="DI1486">
            <v>14.300000632844487</v>
          </cell>
          <cell r="DJ1486">
            <v>22.424555351348332</v>
          </cell>
          <cell r="DU1486">
            <v>5.8748250364551007</v>
          </cell>
          <cell r="DV1486">
            <v>11.644336226312735</v>
          </cell>
          <cell r="DW1486">
            <v>9.8476005987137558</v>
          </cell>
          <cell r="DX1486">
            <v>7.1073990168282446</v>
          </cell>
          <cell r="DY1486">
            <v>12.587802180599267</v>
          </cell>
        </row>
        <row r="1487">
          <cell r="A1487">
            <v>41544</v>
          </cell>
          <cell r="DF1487">
            <v>12.535139022645421</v>
          </cell>
          <cell r="DG1487">
            <v>21.679348620667902</v>
          </cell>
          <cell r="DH1487">
            <v>18.362277992096409</v>
          </cell>
          <cell r="DI1487">
            <v>14.300000632844487</v>
          </cell>
          <cell r="DJ1487">
            <v>22.424555351348332</v>
          </cell>
          <cell r="DU1487">
            <v>5.8273526302829053</v>
          </cell>
          <cell r="DV1487">
            <v>11.644336226312735</v>
          </cell>
          <cell r="DW1487">
            <v>9.8476005987137558</v>
          </cell>
          <cell r="DX1487">
            <v>7.1073990168282446</v>
          </cell>
          <cell r="DY1487">
            <v>12.587802180599267</v>
          </cell>
        </row>
        <row r="1488">
          <cell r="A1488">
            <v>41547</v>
          </cell>
          <cell r="DF1488">
            <v>12.915742828498983</v>
          </cell>
          <cell r="DG1488">
            <v>21.679348620667902</v>
          </cell>
          <cell r="DH1488">
            <v>18.362277992096409</v>
          </cell>
          <cell r="DI1488">
            <v>14.300000632844487</v>
          </cell>
          <cell r="DJ1488">
            <v>22.424555351348332</v>
          </cell>
          <cell r="DU1488">
            <v>5.8917725521020436</v>
          </cell>
          <cell r="DV1488">
            <v>11.644336226312735</v>
          </cell>
          <cell r="DW1488">
            <v>9.8476005987137558</v>
          </cell>
          <cell r="DX1488">
            <v>7.1073990168282446</v>
          </cell>
          <cell r="DY1488">
            <v>12.587802180599267</v>
          </cell>
        </row>
        <row r="1489">
          <cell r="A1489">
            <v>41548</v>
          </cell>
          <cell r="DF1489">
            <v>13.143118809557887</v>
          </cell>
          <cell r="DG1489">
            <v>21.679348620667902</v>
          </cell>
          <cell r="DH1489">
            <v>18.362277992096409</v>
          </cell>
          <cell r="DI1489">
            <v>14.300000632844487</v>
          </cell>
          <cell r="DJ1489">
            <v>22.424555351348332</v>
          </cell>
          <cell r="DU1489">
            <v>6.0186925879802962</v>
          </cell>
          <cell r="DV1489">
            <v>11.644336226312735</v>
          </cell>
          <cell r="DW1489">
            <v>9.8476005987137558</v>
          </cell>
          <cell r="DX1489">
            <v>7.1073990168282446</v>
          </cell>
          <cell r="DY1489">
            <v>12.587802180599267</v>
          </cell>
        </row>
        <row r="1490">
          <cell r="A1490">
            <v>41549</v>
          </cell>
          <cell r="DF1490">
            <v>13.21430699130428</v>
          </cell>
          <cell r="DG1490">
            <v>21.679348620667902</v>
          </cell>
          <cell r="DH1490">
            <v>18.362277992096409</v>
          </cell>
          <cell r="DI1490">
            <v>14.300000632844487</v>
          </cell>
          <cell r="DJ1490">
            <v>22.424555351348332</v>
          </cell>
          <cell r="DU1490">
            <v>6.0887252138076882</v>
          </cell>
          <cell r="DV1490">
            <v>11.644336226312735</v>
          </cell>
          <cell r="DW1490">
            <v>9.8476005987137558</v>
          </cell>
          <cell r="DX1490">
            <v>7.1073990168282446</v>
          </cell>
          <cell r="DY1490">
            <v>12.587802180599267</v>
          </cell>
        </row>
        <row r="1491">
          <cell r="A1491">
            <v>41550</v>
          </cell>
          <cell r="DF1491">
            <v>13.233938484585659</v>
          </cell>
          <cell r="DG1491">
            <v>21.679348620667902</v>
          </cell>
          <cell r="DH1491">
            <v>18.362277992096409</v>
          </cell>
          <cell r="DI1491">
            <v>14.300000632844487</v>
          </cell>
          <cell r="DJ1491">
            <v>22.424555351348332</v>
          </cell>
          <cell r="DU1491">
            <v>6.099721680295823</v>
          </cell>
          <cell r="DV1491">
            <v>11.644336226312735</v>
          </cell>
          <cell r="DW1491">
            <v>9.8476005987137558</v>
          </cell>
          <cell r="DX1491">
            <v>7.1073990168282446</v>
          </cell>
          <cell r="DY1491">
            <v>12.587802180599267</v>
          </cell>
        </row>
        <row r="1492">
          <cell r="A1492">
            <v>41551</v>
          </cell>
          <cell r="DF1492">
            <v>13.073749130757713</v>
          </cell>
          <cell r="DG1492">
            <v>21.679348620667902</v>
          </cell>
          <cell r="DH1492">
            <v>18.362277992096409</v>
          </cell>
          <cell r="DI1492">
            <v>14.300000632844487</v>
          </cell>
          <cell r="DJ1492">
            <v>22.424555351348332</v>
          </cell>
          <cell r="DU1492">
            <v>6.0435792722894091</v>
          </cell>
          <cell r="DV1492">
            <v>11.644336226312735</v>
          </cell>
          <cell r="DW1492">
            <v>9.8476005987137558</v>
          </cell>
          <cell r="DX1492">
            <v>7.1073990168282446</v>
          </cell>
          <cell r="DY1492">
            <v>12.587802180599267</v>
          </cell>
        </row>
        <row r="1493">
          <cell r="A1493">
            <v>41554</v>
          </cell>
          <cell r="DF1493">
            <v>12.659961921589954</v>
          </cell>
          <cell r="DG1493">
            <v>21.679348620667902</v>
          </cell>
          <cell r="DH1493">
            <v>18.362277992096409</v>
          </cell>
          <cell r="DI1493">
            <v>14.300000632844487</v>
          </cell>
          <cell r="DJ1493">
            <v>22.424555351348332</v>
          </cell>
          <cell r="DU1493">
            <v>5.8103236122446251</v>
          </cell>
          <cell r="DV1493">
            <v>11.644336226312735</v>
          </cell>
          <cell r="DW1493">
            <v>9.8476005987137558</v>
          </cell>
          <cell r="DX1493">
            <v>7.1073990168282446</v>
          </cell>
          <cell r="DY1493">
            <v>12.587802180599267</v>
          </cell>
        </row>
        <row r="1494">
          <cell r="A1494">
            <v>41555</v>
          </cell>
          <cell r="DF1494">
            <v>13.034339699167077</v>
          </cell>
          <cell r="DG1494">
            <v>21.679348620667902</v>
          </cell>
          <cell r="DH1494">
            <v>18.362277992096409</v>
          </cell>
          <cell r="DI1494">
            <v>14.300000632844487</v>
          </cell>
          <cell r="DJ1494">
            <v>22.424555351348332</v>
          </cell>
          <cell r="DU1494">
            <v>6.0213638128116935</v>
          </cell>
          <cell r="DV1494">
            <v>11.644336226312735</v>
          </cell>
          <cell r="DW1494">
            <v>9.8476005987137558</v>
          </cell>
          <cell r="DX1494">
            <v>7.1073990168282446</v>
          </cell>
          <cell r="DY1494">
            <v>12.587802180599267</v>
          </cell>
        </row>
        <row r="1495">
          <cell r="A1495">
            <v>41556</v>
          </cell>
          <cell r="DF1495">
            <v>13.107738915760011</v>
          </cell>
          <cell r="DG1495">
            <v>21.679348620667902</v>
          </cell>
          <cell r="DH1495">
            <v>18.362277992096409</v>
          </cell>
          <cell r="DI1495">
            <v>14.300000632844487</v>
          </cell>
          <cell r="DJ1495">
            <v>22.424555351348332</v>
          </cell>
          <cell r="DU1495">
            <v>6.0627396270800693</v>
          </cell>
          <cell r="DV1495">
            <v>11.644336226312735</v>
          </cell>
          <cell r="DW1495">
            <v>9.8476005987137558</v>
          </cell>
          <cell r="DX1495">
            <v>7.1073990168282446</v>
          </cell>
          <cell r="DY1495">
            <v>12.587802180599267</v>
          </cell>
        </row>
        <row r="1496">
          <cell r="A1496">
            <v>41557</v>
          </cell>
          <cell r="DF1496">
            <v>13.590986467305076</v>
          </cell>
          <cell r="DG1496">
            <v>21.679348620667902</v>
          </cell>
          <cell r="DH1496">
            <v>18.362277992096409</v>
          </cell>
          <cell r="DI1496">
            <v>14.300000632844487</v>
          </cell>
          <cell r="DJ1496">
            <v>22.424555351348332</v>
          </cell>
          <cell r="DU1496">
            <v>6.3351507217279259</v>
          </cell>
          <cell r="DV1496">
            <v>11.644336226312735</v>
          </cell>
          <cell r="DW1496">
            <v>9.8476005987137558</v>
          </cell>
          <cell r="DX1496">
            <v>7.1073990168282446</v>
          </cell>
          <cell r="DY1496">
            <v>12.587802180599267</v>
          </cell>
        </row>
        <row r="1497">
          <cell r="A1497">
            <v>41558</v>
          </cell>
          <cell r="DF1497">
            <v>13.96536375227662</v>
          </cell>
          <cell r="DG1497">
            <v>21.679348620667902</v>
          </cell>
          <cell r="DH1497">
            <v>18.362277992096409</v>
          </cell>
          <cell r="DI1497">
            <v>14.300000632844487</v>
          </cell>
          <cell r="DJ1497">
            <v>22.424555351348332</v>
          </cell>
          <cell r="DU1497">
            <v>6.5461906446086937</v>
          </cell>
          <cell r="DV1497">
            <v>11.644336226312735</v>
          </cell>
          <cell r="DW1497">
            <v>9.8476005987137558</v>
          </cell>
          <cell r="DX1497">
            <v>7.1073990168282446</v>
          </cell>
          <cell r="DY1497">
            <v>12.587802180599267</v>
          </cell>
        </row>
        <row r="1498">
          <cell r="A1498">
            <v>41561</v>
          </cell>
          <cell r="DF1498">
            <v>14.083592047048526</v>
          </cell>
          <cell r="DG1498">
            <v>21.679348620667902</v>
          </cell>
          <cell r="DH1498">
            <v>18.362277992096409</v>
          </cell>
          <cell r="DI1498">
            <v>14.300000632844487</v>
          </cell>
          <cell r="DJ1498">
            <v>22.424555351348332</v>
          </cell>
          <cell r="DU1498">
            <v>6.6128370230418412</v>
          </cell>
          <cell r="DV1498">
            <v>11.644336226312735</v>
          </cell>
          <cell r="DW1498">
            <v>9.8476005987137558</v>
          </cell>
          <cell r="DX1498">
            <v>7.1073990168282446</v>
          </cell>
          <cell r="DY1498">
            <v>12.587802180599267</v>
          </cell>
        </row>
        <row r="1499">
          <cell r="A1499">
            <v>41562</v>
          </cell>
          <cell r="DF1499">
            <v>14.182111685180478</v>
          </cell>
          <cell r="DG1499">
            <v>21.679348620667902</v>
          </cell>
          <cell r="DH1499">
            <v>18.362277992096409</v>
          </cell>
          <cell r="DI1499">
            <v>14.300000632844487</v>
          </cell>
          <cell r="DJ1499">
            <v>22.424555351348332</v>
          </cell>
          <cell r="DU1499">
            <v>6.6683734502457197</v>
          </cell>
          <cell r="DV1499">
            <v>11.644336226312735</v>
          </cell>
          <cell r="DW1499">
            <v>9.8476005987137558</v>
          </cell>
          <cell r="DX1499">
            <v>7.1073990168282446</v>
          </cell>
          <cell r="DY1499">
            <v>12.587802180599267</v>
          </cell>
        </row>
        <row r="1500">
          <cell r="A1500">
            <v>41563</v>
          </cell>
          <cell r="DF1500">
            <v>14.32496385506702</v>
          </cell>
          <cell r="DG1500">
            <v>21.679348620667902</v>
          </cell>
          <cell r="DH1500">
            <v>18.362277992096409</v>
          </cell>
          <cell r="DI1500">
            <v>14.300000632844487</v>
          </cell>
          <cell r="DJ1500">
            <v>22.424555351348332</v>
          </cell>
          <cell r="DU1500">
            <v>6.7489005338226464</v>
          </cell>
          <cell r="DV1500">
            <v>11.644336226312735</v>
          </cell>
          <cell r="DW1500">
            <v>9.8476005987137558</v>
          </cell>
          <cell r="DX1500">
            <v>7.1073990168282446</v>
          </cell>
          <cell r="DY1500">
            <v>12.587802180599267</v>
          </cell>
        </row>
        <row r="1501">
          <cell r="A1501">
            <v>41564</v>
          </cell>
          <cell r="DF1501">
            <v>14.216590134917881</v>
          </cell>
          <cell r="DG1501">
            <v>21.679348620667902</v>
          </cell>
          <cell r="DH1501">
            <v>18.362277992096409</v>
          </cell>
          <cell r="DI1501">
            <v>14.300000632844487</v>
          </cell>
          <cell r="DJ1501">
            <v>22.424555351348332</v>
          </cell>
          <cell r="DU1501">
            <v>6.6878092698472829</v>
          </cell>
          <cell r="DV1501">
            <v>11.644336226312735</v>
          </cell>
          <cell r="DW1501">
            <v>9.8476005987137558</v>
          </cell>
          <cell r="DX1501">
            <v>7.1073990168282446</v>
          </cell>
          <cell r="DY1501">
            <v>12.587802180599267</v>
          </cell>
        </row>
        <row r="1502">
          <cell r="A1502">
            <v>41565</v>
          </cell>
          <cell r="DF1502">
            <v>15.098358063503296</v>
          </cell>
          <cell r="DG1502">
            <v>21.679348620667902</v>
          </cell>
          <cell r="DH1502">
            <v>18.362277992096409</v>
          </cell>
          <cell r="DI1502">
            <v>14.300000632844487</v>
          </cell>
          <cell r="DJ1502">
            <v>22.424555351348332</v>
          </cell>
          <cell r="DU1502">
            <v>7.1848699706896042</v>
          </cell>
          <cell r="DV1502">
            <v>11.644336226312735</v>
          </cell>
          <cell r="DW1502">
            <v>9.8476005987137558</v>
          </cell>
          <cell r="DX1502">
            <v>7.1073990168282446</v>
          </cell>
          <cell r="DY1502">
            <v>12.587802180599267</v>
          </cell>
        </row>
        <row r="1503">
          <cell r="A1503">
            <v>41568</v>
          </cell>
          <cell r="DF1503">
            <v>15.098358063503296</v>
          </cell>
          <cell r="DG1503">
            <v>21.679348620667902</v>
          </cell>
          <cell r="DH1503">
            <v>18.362277992096409</v>
          </cell>
          <cell r="DI1503">
            <v>14.300000632844487</v>
          </cell>
          <cell r="DJ1503">
            <v>22.424555351348332</v>
          </cell>
          <cell r="DU1503">
            <v>7.1848699706896042</v>
          </cell>
          <cell r="DV1503">
            <v>11.644336226312735</v>
          </cell>
          <cell r="DW1503">
            <v>9.8476005987137558</v>
          </cell>
          <cell r="DX1503">
            <v>7.1073990168282446</v>
          </cell>
          <cell r="DY1503">
            <v>12.587802180599267</v>
          </cell>
        </row>
        <row r="1504">
          <cell r="A1504">
            <v>41569</v>
          </cell>
          <cell r="DF1504">
            <v>14.65501599736767</v>
          </cell>
          <cell r="DG1504">
            <v>21.679348620667902</v>
          </cell>
          <cell r="DH1504">
            <v>18.362277992096409</v>
          </cell>
          <cell r="DI1504">
            <v>14.300000632844487</v>
          </cell>
          <cell r="DJ1504">
            <v>22.424555351348332</v>
          </cell>
          <cell r="DU1504">
            <v>6.934953965624886</v>
          </cell>
          <cell r="DV1504">
            <v>11.644336226312735</v>
          </cell>
          <cell r="DW1504">
            <v>9.8476005987137558</v>
          </cell>
          <cell r="DX1504">
            <v>7.1073990168282446</v>
          </cell>
          <cell r="DY1504">
            <v>12.587802180599267</v>
          </cell>
        </row>
        <row r="1505">
          <cell r="A1505">
            <v>41570</v>
          </cell>
          <cell r="DF1505">
            <v>13.288543677843888</v>
          </cell>
          <cell r="DG1505">
            <v>21.679348620667902</v>
          </cell>
          <cell r="DH1505">
            <v>18.362277992096409</v>
          </cell>
          <cell r="DI1505">
            <v>14.300000632844487</v>
          </cell>
          <cell r="DJ1505">
            <v>22.424555351348332</v>
          </cell>
          <cell r="DU1505">
            <v>6.1849460899900892</v>
          </cell>
          <cell r="DV1505">
            <v>11.644336226312735</v>
          </cell>
          <cell r="DW1505">
            <v>9.8476005987137558</v>
          </cell>
          <cell r="DX1505">
            <v>7.1073990168282446</v>
          </cell>
          <cell r="DY1505">
            <v>12.587802180599267</v>
          </cell>
        </row>
        <row r="1506">
          <cell r="A1506">
            <v>41571</v>
          </cell>
          <cell r="DF1506">
            <v>12.602621642484912</v>
          </cell>
          <cell r="DG1506">
            <v>21.679348620667902</v>
          </cell>
          <cell r="DH1506">
            <v>18.362277992096409</v>
          </cell>
          <cell r="DI1506">
            <v>14.300000632844487</v>
          </cell>
          <cell r="DJ1506">
            <v>22.424555351348332</v>
          </cell>
          <cell r="DU1506">
            <v>5.7858084542818551</v>
          </cell>
          <cell r="DV1506">
            <v>11.644336226312735</v>
          </cell>
          <cell r="DW1506">
            <v>9.8476005987137558</v>
          </cell>
          <cell r="DX1506">
            <v>7.1073990168282446</v>
          </cell>
          <cell r="DY1506">
            <v>12.587802180599267</v>
          </cell>
        </row>
        <row r="1507">
          <cell r="A1507">
            <v>41572</v>
          </cell>
          <cell r="DF1507">
            <v>12.785130872491498</v>
          </cell>
          <cell r="DG1507">
            <v>21.679348620667902</v>
          </cell>
          <cell r="DH1507">
            <v>18.362277992096409</v>
          </cell>
          <cell r="DI1507">
            <v>14.300000632844487</v>
          </cell>
          <cell r="DJ1507">
            <v>22.424555351348332</v>
          </cell>
          <cell r="DU1507">
            <v>5.888860729634934</v>
          </cell>
          <cell r="DV1507">
            <v>11.644336226312735</v>
          </cell>
          <cell r="DW1507">
            <v>9.8476005987137558</v>
          </cell>
          <cell r="DX1507">
            <v>7.1073990168282446</v>
          </cell>
          <cell r="DY1507">
            <v>12.587802180599267</v>
          </cell>
        </row>
        <row r="1508">
          <cell r="A1508">
            <v>41575</v>
          </cell>
          <cell r="DF1508">
            <v>12.523706997541131</v>
          </cell>
          <cell r="DG1508">
            <v>21.679348620667902</v>
          </cell>
          <cell r="DH1508">
            <v>18.362277992096409</v>
          </cell>
          <cell r="DI1508">
            <v>14.300000632844487</v>
          </cell>
          <cell r="DJ1508">
            <v>22.424555351348332</v>
          </cell>
          <cell r="DU1508">
            <v>5.8908541531686431</v>
          </cell>
          <cell r="DV1508">
            <v>11.644336226312735</v>
          </cell>
          <cell r="DW1508">
            <v>9.8476005987137558</v>
          </cell>
          <cell r="DX1508">
            <v>7.1073990168282446</v>
          </cell>
          <cell r="DY1508">
            <v>12.587802180599267</v>
          </cell>
        </row>
        <row r="1509">
          <cell r="A1509">
            <v>41576</v>
          </cell>
          <cell r="DF1509">
            <v>12.553300729275337</v>
          </cell>
          <cell r="DG1509">
            <v>21.679348620667902</v>
          </cell>
          <cell r="DH1509">
            <v>18.362277992096409</v>
          </cell>
          <cell r="DI1509">
            <v>14.300000632844487</v>
          </cell>
          <cell r="DJ1509">
            <v>22.424555351348332</v>
          </cell>
          <cell r="DU1509">
            <v>5.9079175178237611</v>
          </cell>
          <cell r="DV1509">
            <v>11.644336226312735</v>
          </cell>
          <cell r="DW1509">
            <v>9.8476005987137558</v>
          </cell>
          <cell r="DX1509">
            <v>7.1073990168282446</v>
          </cell>
          <cell r="DY1509">
            <v>12.587802180599267</v>
          </cell>
        </row>
        <row r="1510">
          <cell r="A1510">
            <v>41577</v>
          </cell>
          <cell r="DF1510">
            <v>12.203087767065956</v>
          </cell>
          <cell r="DG1510">
            <v>21.679348620667902</v>
          </cell>
          <cell r="DH1510">
            <v>18.362277992096409</v>
          </cell>
          <cell r="DI1510">
            <v>14.300000632844487</v>
          </cell>
          <cell r="DJ1510">
            <v>22.424555351348332</v>
          </cell>
          <cell r="DU1510">
            <v>5.7059892333208397</v>
          </cell>
          <cell r="DV1510">
            <v>11.644336226312735</v>
          </cell>
          <cell r="DW1510">
            <v>9.8476005987137558</v>
          </cell>
          <cell r="DX1510">
            <v>7.1073990168282446</v>
          </cell>
          <cell r="DY1510">
            <v>12.587802180599267</v>
          </cell>
        </row>
        <row r="1511">
          <cell r="A1511">
            <v>41578</v>
          </cell>
          <cell r="DF1511">
            <v>11.870140157989104</v>
          </cell>
          <cell r="DG1511">
            <v>21.679348620667902</v>
          </cell>
          <cell r="DH1511">
            <v>18.362277992096409</v>
          </cell>
          <cell r="DI1511">
            <v>14.300000632844487</v>
          </cell>
          <cell r="DJ1511">
            <v>22.424555351348332</v>
          </cell>
          <cell r="DU1511">
            <v>5.514015929117317</v>
          </cell>
          <cell r="DV1511">
            <v>11.644336226312735</v>
          </cell>
          <cell r="DW1511">
            <v>9.8476005987137558</v>
          </cell>
          <cell r="DX1511">
            <v>7.1073990168282446</v>
          </cell>
          <cell r="DY1511">
            <v>12.587802180599267</v>
          </cell>
        </row>
        <row r="1512">
          <cell r="A1512">
            <v>41579</v>
          </cell>
          <cell r="DF1512">
            <v>11.857811779387429</v>
          </cell>
          <cell r="DG1512">
            <v>21.679348620667902</v>
          </cell>
          <cell r="DH1512">
            <v>18.362277992096409</v>
          </cell>
          <cell r="DI1512">
            <v>14.300000632844487</v>
          </cell>
          <cell r="DJ1512">
            <v>22.424555351348332</v>
          </cell>
          <cell r="DU1512">
            <v>5.5069075447615994</v>
          </cell>
          <cell r="DV1512">
            <v>11.644336226312735</v>
          </cell>
          <cell r="DW1512">
            <v>9.8476005987137558</v>
          </cell>
          <cell r="DX1512">
            <v>7.1073990168282446</v>
          </cell>
          <cell r="DY1512">
            <v>12.587802180599267</v>
          </cell>
        </row>
        <row r="1513">
          <cell r="A1513">
            <v>41582</v>
          </cell>
          <cell r="DF1513">
            <v>11.961397979140308</v>
          </cell>
          <cell r="DG1513">
            <v>21.679348620667902</v>
          </cell>
          <cell r="DH1513">
            <v>18.362277992096409</v>
          </cell>
          <cell r="DI1513">
            <v>14.300000632844487</v>
          </cell>
          <cell r="DJ1513">
            <v>22.424555351348332</v>
          </cell>
          <cell r="DU1513">
            <v>5.5666340137144266</v>
          </cell>
          <cell r="DV1513">
            <v>11.644336226312735</v>
          </cell>
          <cell r="DW1513">
            <v>9.8476005987137558</v>
          </cell>
          <cell r="DX1513">
            <v>7.1073990168282446</v>
          </cell>
          <cell r="DY1513">
            <v>12.587802180599267</v>
          </cell>
        </row>
        <row r="1514">
          <cell r="A1514">
            <v>41583</v>
          </cell>
          <cell r="DF1514">
            <v>11.857655077411728</v>
          </cell>
          <cell r="DG1514">
            <v>21.679348620667902</v>
          </cell>
          <cell r="DH1514">
            <v>18.362277992096409</v>
          </cell>
          <cell r="DI1514">
            <v>14.300000632844487</v>
          </cell>
          <cell r="DJ1514">
            <v>22.424555351348332</v>
          </cell>
          <cell r="DU1514">
            <v>5.4793689529322567</v>
          </cell>
          <cell r="DV1514">
            <v>11.644336226312735</v>
          </cell>
          <cell r="DW1514">
            <v>9.8476005987137558</v>
          </cell>
          <cell r="DX1514">
            <v>7.1073990168282446</v>
          </cell>
          <cell r="DY1514">
            <v>12.587802180599267</v>
          </cell>
        </row>
        <row r="1515">
          <cell r="A1515">
            <v>41584</v>
          </cell>
          <cell r="DF1515">
            <v>11.639627769615554</v>
          </cell>
          <cell r="DG1515">
            <v>21.679348620667902</v>
          </cell>
          <cell r="DH1515">
            <v>18.362277992096409</v>
          </cell>
          <cell r="DI1515">
            <v>14.300000632844487</v>
          </cell>
          <cell r="DJ1515">
            <v>22.424555351348332</v>
          </cell>
          <cell r="DU1515">
            <v>5.354145174430057</v>
          </cell>
          <cell r="DV1515">
            <v>11.644336226312735</v>
          </cell>
          <cell r="DW1515">
            <v>9.8476005987137558</v>
          </cell>
          <cell r="DX1515">
            <v>7.1073990168282446</v>
          </cell>
          <cell r="DY1515">
            <v>12.587802180599267</v>
          </cell>
        </row>
        <row r="1516">
          <cell r="A1516">
            <v>41585</v>
          </cell>
          <cell r="DF1516">
            <v>11.892344550952501</v>
          </cell>
          <cell r="DG1516">
            <v>21.679348620667902</v>
          </cell>
          <cell r="DH1516">
            <v>18.362277992096409</v>
          </cell>
          <cell r="DI1516">
            <v>14.300000632844487</v>
          </cell>
          <cell r="DJ1516">
            <v>22.424555351348332</v>
          </cell>
          <cell r="DU1516">
            <v>5.499292819327418</v>
          </cell>
          <cell r="DV1516">
            <v>11.644336226312735</v>
          </cell>
          <cell r="DW1516">
            <v>9.8476005987137558</v>
          </cell>
          <cell r="DX1516">
            <v>7.1073990168282446</v>
          </cell>
          <cell r="DY1516">
            <v>12.587802180599267</v>
          </cell>
        </row>
        <row r="1517">
          <cell r="A1517">
            <v>41586</v>
          </cell>
          <cell r="DF1517">
            <v>12.154966664271679</v>
          </cell>
          <cell r="DG1517">
            <v>21.679348620667902</v>
          </cell>
          <cell r="DH1517">
            <v>18.362277992096409</v>
          </cell>
          <cell r="DI1517">
            <v>14.300000632844487</v>
          </cell>
          <cell r="DJ1517">
            <v>22.424555351348332</v>
          </cell>
          <cell r="DU1517">
            <v>5.6501295823021023</v>
          </cell>
          <cell r="DV1517">
            <v>11.644336226312735</v>
          </cell>
          <cell r="DW1517">
            <v>9.8476005987137558</v>
          </cell>
          <cell r="DX1517">
            <v>7.1073990168282446</v>
          </cell>
          <cell r="DY1517">
            <v>12.587802180599267</v>
          </cell>
        </row>
        <row r="1518">
          <cell r="A1518">
            <v>41589</v>
          </cell>
          <cell r="DF1518">
            <v>12.08559514990548</v>
          </cell>
          <cell r="DG1518">
            <v>21.679348620667902</v>
          </cell>
          <cell r="DH1518">
            <v>18.362277992096409</v>
          </cell>
          <cell r="DI1518">
            <v>14.300000632844487</v>
          </cell>
          <cell r="DJ1518">
            <v>22.424555351348332</v>
          </cell>
          <cell r="DU1518">
            <v>5.6102861184848249</v>
          </cell>
          <cell r="DV1518">
            <v>11.644336226312735</v>
          </cell>
          <cell r="DW1518">
            <v>9.8476005987137558</v>
          </cell>
          <cell r="DX1518">
            <v>7.1073990168282446</v>
          </cell>
          <cell r="DY1518">
            <v>12.587802180599267</v>
          </cell>
        </row>
        <row r="1519">
          <cell r="A1519">
            <v>41590</v>
          </cell>
          <cell r="DF1519">
            <v>11.892344550952501</v>
          </cell>
          <cell r="DG1519">
            <v>21.679348620667902</v>
          </cell>
          <cell r="DH1519">
            <v>18.362277992096409</v>
          </cell>
          <cell r="DI1519">
            <v>14.300000632844487</v>
          </cell>
          <cell r="DJ1519">
            <v>22.424555351348332</v>
          </cell>
          <cell r="DU1519">
            <v>5.499292819327418</v>
          </cell>
          <cell r="DV1519">
            <v>11.644336226312735</v>
          </cell>
          <cell r="DW1519">
            <v>9.8476005987137558</v>
          </cell>
          <cell r="DX1519">
            <v>7.1073990168282446</v>
          </cell>
          <cell r="DY1519">
            <v>12.587802180599267</v>
          </cell>
        </row>
        <row r="1520">
          <cell r="A1520">
            <v>41591</v>
          </cell>
          <cell r="DF1520">
            <v>11.822965603870957</v>
          </cell>
          <cell r="DG1520">
            <v>21.679348620667902</v>
          </cell>
          <cell r="DH1520">
            <v>18.362277992096409</v>
          </cell>
          <cell r="DI1520">
            <v>14.300000632844487</v>
          </cell>
          <cell r="DJ1520">
            <v>22.424555351348332</v>
          </cell>
          <cell r="DU1520">
            <v>5.4594450865370954</v>
          </cell>
          <cell r="DV1520">
            <v>11.644336226312735</v>
          </cell>
          <cell r="DW1520">
            <v>9.8476005987137558</v>
          </cell>
          <cell r="DX1520">
            <v>7.1073990168282446</v>
          </cell>
          <cell r="DY1520">
            <v>12.587802180599267</v>
          </cell>
        </row>
        <row r="1521">
          <cell r="A1521">
            <v>41592</v>
          </cell>
          <cell r="DF1521">
            <v>11.98153366648415</v>
          </cell>
          <cell r="DG1521">
            <v>21.679348620667902</v>
          </cell>
          <cell r="DH1521">
            <v>18.362277992096409</v>
          </cell>
          <cell r="DI1521">
            <v>14.300000632844487</v>
          </cell>
          <cell r="DJ1521">
            <v>22.424555351348332</v>
          </cell>
          <cell r="DU1521">
            <v>5.5505185036741844</v>
          </cell>
          <cell r="DV1521">
            <v>11.644336226312735</v>
          </cell>
          <cell r="DW1521">
            <v>9.8476005987137558</v>
          </cell>
          <cell r="DX1521">
            <v>7.1073990168282446</v>
          </cell>
          <cell r="DY1521">
            <v>12.587802180599267</v>
          </cell>
        </row>
        <row r="1522">
          <cell r="A1522">
            <v>41593</v>
          </cell>
          <cell r="DF1522">
            <v>11.98153366648415</v>
          </cell>
          <cell r="DG1522">
            <v>21.679348620667902</v>
          </cell>
          <cell r="DH1522">
            <v>18.362277992096409</v>
          </cell>
          <cell r="DI1522">
            <v>14.300000632844487</v>
          </cell>
          <cell r="DJ1522">
            <v>22.424555351348332</v>
          </cell>
          <cell r="DU1522">
            <v>5.5505185036741844</v>
          </cell>
          <cell r="DV1522">
            <v>11.644336226312735</v>
          </cell>
          <cell r="DW1522">
            <v>9.8476005987137558</v>
          </cell>
          <cell r="DX1522">
            <v>7.1073990168282446</v>
          </cell>
          <cell r="DY1522">
            <v>12.587802180599267</v>
          </cell>
        </row>
        <row r="1523">
          <cell r="A1523">
            <v>41596</v>
          </cell>
          <cell r="DF1523">
            <v>11.986486332475266</v>
          </cell>
          <cell r="DG1523">
            <v>21.679348620667902</v>
          </cell>
          <cell r="DH1523">
            <v>18.362277992096409</v>
          </cell>
          <cell r="DI1523">
            <v>14.300000632844487</v>
          </cell>
          <cell r="DJ1523">
            <v>22.424555351348332</v>
          </cell>
          <cell r="DU1523">
            <v>5.5533630627128474</v>
          </cell>
          <cell r="DV1523">
            <v>11.644336226312735</v>
          </cell>
          <cell r="DW1523">
            <v>9.8476005987137558</v>
          </cell>
          <cell r="DX1523">
            <v>7.1073990168282446</v>
          </cell>
          <cell r="DY1523">
            <v>12.587802180599267</v>
          </cell>
        </row>
        <row r="1524">
          <cell r="A1524">
            <v>41597</v>
          </cell>
          <cell r="DF1524">
            <v>11.961716560833057</v>
          </cell>
          <cell r="DG1524">
            <v>21.679348620667902</v>
          </cell>
          <cell r="DH1524">
            <v>18.362277992096409</v>
          </cell>
          <cell r="DI1524">
            <v>14.300000632844487</v>
          </cell>
          <cell r="DJ1524">
            <v>22.424555351348332</v>
          </cell>
          <cell r="DU1524">
            <v>5.5353496142934047</v>
          </cell>
          <cell r="DV1524">
            <v>11.644336226312735</v>
          </cell>
          <cell r="DW1524">
            <v>9.8476005987137558</v>
          </cell>
          <cell r="DX1524">
            <v>7.1073990168282446</v>
          </cell>
          <cell r="DY1524">
            <v>12.587802180599267</v>
          </cell>
        </row>
        <row r="1525">
          <cell r="A1525">
            <v>41598</v>
          </cell>
          <cell r="DF1525">
            <v>10.836164340721629</v>
          </cell>
          <cell r="DG1525">
            <v>21.679348620667902</v>
          </cell>
          <cell r="DH1525">
            <v>18.362277992096409</v>
          </cell>
          <cell r="DI1525">
            <v>14.300000632844487</v>
          </cell>
          <cell r="DJ1525">
            <v>22.424555351348332</v>
          </cell>
          <cell r="DU1525">
            <v>4.7334413572846632</v>
          </cell>
          <cell r="DV1525">
            <v>11.644336226312735</v>
          </cell>
          <cell r="DW1525">
            <v>9.8476005987137558</v>
          </cell>
          <cell r="DX1525">
            <v>7.1073990168282446</v>
          </cell>
          <cell r="DY1525">
            <v>12.587802180599267</v>
          </cell>
        </row>
        <row r="1526">
          <cell r="A1526">
            <v>41599</v>
          </cell>
          <cell r="DF1526">
            <v>10.909155008306662</v>
          </cell>
          <cell r="DG1526">
            <v>21.679348620667902</v>
          </cell>
          <cell r="DH1526">
            <v>18.362277992096409</v>
          </cell>
          <cell r="DI1526">
            <v>14.300000632844487</v>
          </cell>
          <cell r="DJ1526">
            <v>22.424555351348332</v>
          </cell>
          <cell r="DU1526">
            <v>4.7892573640957474</v>
          </cell>
          <cell r="DV1526">
            <v>11.644336226312735</v>
          </cell>
          <cell r="DW1526">
            <v>9.8476005987137558</v>
          </cell>
          <cell r="DX1526">
            <v>7.1073990168282446</v>
          </cell>
          <cell r="DY1526">
            <v>12.587802180599267</v>
          </cell>
        </row>
        <row r="1527">
          <cell r="A1527">
            <v>41600</v>
          </cell>
          <cell r="DF1527">
            <v>10.966277123312951</v>
          </cell>
          <cell r="DG1527">
            <v>21.679348620667902</v>
          </cell>
          <cell r="DH1527">
            <v>18.362277992096409</v>
          </cell>
          <cell r="DI1527">
            <v>14.300000632844487</v>
          </cell>
          <cell r="DJ1527">
            <v>22.424555351348332</v>
          </cell>
          <cell r="DU1527">
            <v>4.8240321038920442</v>
          </cell>
          <cell r="DV1527">
            <v>11.644336226312735</v>
          </cell>
          <cell r="DW1527">
            <v>9.8476005987137558</v>
          </cell>
          <cell r="DX1527">
            <v>7.1073990168282446</v>
          </cell>
          <cell r="DY1527">
            <v>12.587802180599267</v>
          </cell>
        </row>
        <row r="1528">
          <cell r="A1528">
            <v>41603</v>
          </cell>
          <cell r="DF1528">
            <v>11.353071067815149</v>
          </cell>
          <cell r="DG1528">
            <v>21.679348620667902</v>
          </cell>
          <cell r="DH1528">
            <v>18.362277992096409</v>
          </cell>
          <cell r="DI1528">
            <v>14.300000632844487</v>
          </cell>
          <cell r="DJ1528">
            <v>22.424555351348332</v>
          </cell>
          <cell r="DU1528">
            <v>5.0429939545389919</v>
          </cell>
          <cell r="DV1528">
            <v>11.644336226312735</v>
          </cell>
          <cell r="DW1528">
            <v>9.8476005987137558</v>
          </cell>
          <cell r="DX1528">
            <v>7.1073990168282446</v>
          </cell>
          <cell r="DY1528">
            <v>12.587802180599267</v>
          </cell>
        </row>
        <row r="1529">
          <cell r="A1529">
            <v>41604</v>
          </cell>
          <cell r="DF1529">
            <v>11.081271994303679</v>
          </cell>
          <cell r="DG1529">
            <v>21.679348620667902</v>
          </cell>
          <cell r="DH1529">
            <v>18.362277992096409</v>
          </cell>
          <cell r="DI1529">
            <v>14.300000632844487</v>
          </cell>
          <cell r="DJ1529">
            <v>22.424555351348332</v>
          </cell>
          <cell r="DU1529">
            <v>4.8891300458969074</v>
          </cell>
          <cell r="DV1529">
            <v>11.644336226312735</v>
          </cell>
          <cell r="DW1529">
            <v>9.8476005987137558</v>
          </cell>
          <cell r="DX1529">
            <v>7.1073990168282446</v>
          </cell>
          <cell r="DY1529">
            <v>12.587802180599267</v>
          </cell>
        </row>
        <row r="1530">
          <cell r="A1530">
            <v>41605</v>
          </cell>
          <cell r="DF1530">
            <v>11.104417345879812</v>
          </cell>
          <cell r="DG1530">
            <v>21.679348620667902</v>
          </cell>
          <cell r="DH1530">
            <v>18.362277992096409</v>
          </cell>
          <cell r="DI1530">
            <v>14.300000632844487</v>
          </cell>
          <cell r="DJ1530">
            <v>22.424555351348332</v>
          </cell>
          <cell r="DU1530">
            <v>4.8423160683080386</v>
          </cell>
          <cell r="DV1530">
            <v>11.644336226312735</v>
          </cell>
          <cell r="DW1530">
            <v>9.8476005987137558</v>
          </cell>
          <cell r="DX1530">
            <v>7.1073990168282446</v>
          </cell>
          <cell r="DY1530">
            <v>12.587802180599267</v>
          </cell>
        </row>
        <row r="1531">
          <cell r="A1531">
            <v>41606</v>
          </cell>
          <cell r="DF1531">
            <v>11.226261110717212</v>
          </cell>
          <cell r="DG1531">
            <v>21.679348620667902</v>
          </cell>
          <cell r="DH1531">
            <v>18.362277992096409</v>
          </cell>
          <cell r="DI1531">
            <v>14.300000632844487</v>
          </cell>
          <cell r="DJ1531">
            <v>22.424555351348332</v>
          </cell>
          <cell r="DU1531">
            <v>4.930918805337428</v>
          </cell>
          <cell r="DV1531">
            <v>11.644336226312735</v>
          </cell>
          <cell r="DW1531">
            <v>9.8476005987137558</v>
          </cell>
          <cell r="DX1531">
            <v>7.1073990168282446</v>
          </cell>
          <cell r="DY1531">
            <v>12.587802180599267</v>
          </cell>
        </row>
        <row r="1532">
          <cell r="A1532">
            <v>41607</v>
          </cell>
          <cell r="DF1532">
            <v>11.402255919790685</v>
          </cell>
          <cell r="DG1532">
            <v>21.679348620667902</v>
          </cell>
          <cell r="DH1532">
            <v>18.362277992096409</v>
          </cell>
          <cell r="DI1532">
            <v>14.300000632844487</v>
          </cell>
          <cell r="DJ1532">
            <v>22.424555351348332</v>
          </cell>
          <cell r="DU1532">
            <v>5.0303027698768226</v>
          </cell>
          <cell r="DV1532">
            <v>11.644336226312735</v>
          </cell>
          <cell r="DW1532">
            <v>9.8476005987137558</v>
          </cell>
          <cell r="DX1532">
            <v>7.1073990168282446</v>
          </cell>
          <cell r="DY1532">
            <v>12.587802180599267</v>
          </cell>
        </row>
        <row r="1533">
          <cell r="A1533">
            <v>41610</v>
          </cell>
          <cell r="DF1533">
            <v>11.952903744158903</v>
          </cell>
          <cell r="DG1533">
            <v>21.679348620667902</v>
          </cell>
          <cell r="DH1533">
            <v>18.362277992096409</v>
          </cell>
          <cell r="DI1533">
            <v>14.300000632844487</v>
          </cell>
          <cell r="DJ1533">
            <v>22.424555351348332</v>
          </cell>
          <cell r="DU1533">
            <v>5.4208891320978436</v>
          </cell>
          <cell r="DV1533">
            <v>11.644336226312735</v>
          </cell>
          <cell r="DW1533">
            <v>9.8476005987137558</v>
          </cell>
          <cell r="DX1533">
            <v>7.1073990168282446</v>
          </cell>
          <cell r="DY1533">
            <v>12.587802180599267</v>
          </cell>
        </row>
        <row r="1534">
          <cell r="A1534">
            <v>41611</v>
          </cell>
          <cell r="DF1534">
            <v>12.657177353077117</v>
          </cell>
          <cell r="DG1534">
            <v>21.679348620667902</v>
          </cell>
          <cell r="DH1534">
            <v>18.362277992096409</v>
          </cell>
          <cell r="DI1534">
            <v>14.300000632844487</v>
          </cell>
          <cell r="DJ1534">
            <v>22.424555351348332</v>
          </cell>
          <cell r="DU1534">
            <v>5.8493524780947608</v>
          </cell>
          <cell r="DV1534">
            <v>11.644336226312735</v>
          </cell>
          <cell r="DW1534">
            <v>9.8476005987137558</v>
          </cell>
          <cell r="DX1534">
            <v>7.1073990168282446</v>
          </cell>
          <cell r="DY1534">
            <v>12.587802180599267</v>
          </cell>
        </row>
        <row r="1535">
          <cell r="A1535">
            <v>41612</v>
          </cell>
          <cell r="DF1535">
            <v>12.448366051566961</v>
          </cell>
          <cell r="DG1535">
            <v>21.679348620667902</v>
          </cell>
          <cell r="DH1535">
            <v>18.362277992096409</v>
          </cell>
          <cell r="DI1535">
            <v>14.300000632844487</v>
          </cell>
          <cell r="DJ1535">
            <v>22.424555351348332</v>
          </cell>
          <cell r="DU1535">
            <v>5.7290525925530282</v>
          </cell>
          <cell r="DV1535">
            <v>11.644336226312735</v>
          </cell>
          <cell r="DW1535">
            <v>9.8476005987137558</v>
          </cell>
          <cell r="DX1535">
            <v>7.1073990168282446</v>
          </cell>
          <cell r="DY1535">
            <v>12.587802180599267</v>
          </cell>
        </row>
        <row r="1536">
          <cell r="A1536">
            <v>41613</v>
          </cell>
          <cell r="DF1536">
            <v>13.122984502454878</v>
          </cell>
          <cell r="DG1536">
            <v>21.679348620667902</v>
          </cell>
          <cell r="DH1536">
            <v>18.362277992096409</v>
          </cell>
          <cell r="DI1536">
            <v>14.300000632844487</v>
          </cell>
          <cell r="DJ1536">
            <v>22.424555351348332</v>
          </cell>
          <cell r="DU1536">
            <v>6.1177122189200945</v>
          </cell>
          <cell r="DV1536">
            <v>11.644336226312735</v>
          </cell>
          <cell r="DW1536">
            <v>9.8476005987137558</v>
          </cell>
          <cell r="DX1536">
            <v>7.1073990168282446</v>
          </cell>
          <cell r="DY1536">
            <v>12.587802180599267</v>
          </cell>
        </row>
        <row r="1537">
          <cell r="A1537">
            <v>41614</v>
          </cell>
          <cell r="DF1537">
            <v>13.546336262818722</v>
          </cell>
          <cell r="DG1537">
            <v>21.679348620667902</v>
          </cell>
          <cell r="DH1537">
            <v>18.362277992096409</v>
          </cell>
          <cell r="DI1537">
            <v>14.300000632844487</v>
          </cell>
          <cell r="DJ1537">
            <v>22.424555351348332</v>
          </cell>
          <cell r="DU1537">
            <v>6.3620564823128252</v>
          </cell>
          <cell r="DV1537">
            <v>11.644336226312735</v>
          </cell>
          <cell r="DW1537">
            <v>9.8476005987137558</v>
          </cell>
          <cell r="DX1537">
            <v>7.1073990168282446</v>
          </cell>
          <cell r="DY1537">
            <v>12.587802180599267</v>
          </cell>
        </row>
        <row r="1538">
          <cell r="A1538">
            <v>41617</v>
          </cell>
          <cell r="DF1538">
            <v>14.021653974831494</v>
          </cell>
          <cell r="DG1538">
            <v>21.679348620667902</v>
          </cell>
          <cell r="DH1538">
            <v>18.362277992096409</v>
          </cell>
          <cell r="DI1538">
            <v>14.300000632844487</v>
          </cell>
          <cell r="DJ1538">
            <v>22.424555351348332</v>
          </cell>
          <cell r="DU1538">
            <v>6.5078261778731354</v>
          </cell>
          <cell r="DV1538">
            <v>11.644336226312735</v>
          </cell>
          <cell r="DW1538">
            <v>9.8476005987137558</v>
          </cell>
          <cell r="DX1538">
            <v>7.1073990168282446</v>
          </cell>
          <cell r="DY1538">
            <v>12.587802180599267</v>
          </cell>
        </row>
        <row r="1539">
          <cell r="A1539">
            <v>41618</v>
          </cell>
          <cell r="DF1539">
            <v>13.688324800516524</v>
          </cell>
          <cell r="DG1539">
            <v>21.679348620667902</v>
          </cell>
          <cell r="DH1539">
            <v>18.362277992096409</v>
          </cell>
          <cell r="DI1539">
            <v>14.300000632844487</v>
          </cell>
          <cell r="DJ1539">
            <v>22.424555351348332</v>
          </cell>
          <cell r="DU1539">
            <v>6.3186358143175569</v>
          </cell>
          <cell r="DV1539">
            <v>11.644336226312735</v>
          </cell>
          <cell r="DW1539">
            <v>9.8476005987137558</v>
          </cell>
          <cell r="DX1539">
            <v>7.1073990168282446</v>
          </cell>
          <cell r="DY1539">
            <v>12.587802180599267</v>
          </cell>
        </row>
        <row r="1540">
          <cell r="A1540">
            <v>41619</v>
          </cell>
          <cell r="DF1540">
            <v>13.688324800516524</v>
          </cell>
          <cell r="DG1540">
            <v>21.679348620667902</v>
          </cell>
          <cell r="DH1540">
            <v>18.362277992096409</v>
          </cell>
          <cell r="DI1540">
            <v>14.300000632844487</v>
          </cell>
          <cell r="DJ1540">
            <v>22.424555351348332</v>
          </cell>
          <cell r="DU1540">
            <v>6.3186358143175569</v>
          </cell>
          <cell r="DV1540">
            <v>11.644336226312735</v>
          </cell>
          <cell r="DW1540">
            <v>9.8476005987137558</v>
          </cell>
          <cell r="DX1540">
            <v>7.1073990168282446</v>
          </cell>
          <cell r="DY1540">
            <v>12.587802180599267</v>
          </cell>
        </row>
        <row r="1541">
          <cell r="A1541">
            <v>41620</v>
          </cell>
          <cell r="DF1541">
            <v>13.79761943251399</v>
          </cell>
          <cell r="DG1541">
            <v>21.679348620667902</v>
          </cell>
          <cell r="DH1541">
            <v>18.362277992096409</v>
          </cell>
          <cell r="DI1541">
            <v>14.300000632844487</v>
          </cell>
          <cell r="DJ1541">
            <v>22.424555351348332</v>
          </cell>
          <cell r="DU1541">
            <v>6.3806690617966249</v>
          </cell>
          <cell r="DV1541">
            <v>11.644336226312735</v>
          </cell>
          <cell r="DW1541">
            <v>9.8476005987137558</v>
          </cell>
          <cell r="DX1541">
            <v>7.1073990168282446</v>
          </cell>
          <cell r="DY1541">
            <v>12.587802180599267</v>
          </cell>
        </row>
        <row r="1542">
          <cell r="A1542">
            <v>41621</v>
          </cell>
          <cell r="DF1542">
            <v>13.524399245731535</v>
          </cell>
          <cell r="DG1542">
            <v>21.679348620667902</v>
          </cell>
          <cell r="DH1542">
            <v>18.362277992096409</v>
          </cell>
          <cell r="DI1542">
            <v>14.300000632844487</v>
          </cell>
          <cell r="DJ1542">
            <v>22.424555351348332</v>
          </cell>
          <cell r="DU1542">
            <v>6.2255952475278136</v>
          </cell>
          <cell r="DV1542">
            <v>11.644336226312735</v>
          </cell>
          <cell r="DW1542">
            <v>9.8476005987137558</v>
          </cell>
          <cell r="DX1542">
            <v>7.1073990168282446</v>
          </cell>
          <cell r="DY1542">
            <v>12.587802180599267</v>
          </cell>
        </row>
        <row r="1543">
          <cell r="A1543">
            <v>41624</v>
          </cell>
          <cell r="DF1543">
            <v>13.704717465283098</v>
          </cell>
          <cell r="DG1543">
            <v>21.679348620667902</v>
          </cell>
          <cell r="DH1543">
            <v>18.362277992096409</v>
          </cell>
          <cell r="DI1543">
            <v>14.300000632844487</v>
          </cell>
          <cell r="DJ1543">
            <v>22.424555351348332</v>
          </cell>
          <cell r="DU1543">
            <v>6.3279399330260571</v>
          </cell>
          <cell r="DV1543">
            <v>11.644336226312735</v>
          </cell>
          <cell r="DW1543">
            <v>9.8476005987137558</v>
          </cell>
          <cell r="DX1543">
            <v>7.1073990168282446</v>
          </cell>
          <cell r="DY1543">
            <v>12.587802180599267</v>
          </cell>
        </row>
        <row r="1544">
          <cell r="A1544">
            <v>41625</v>
          </cell>
          <cell r="DF1544">
            <v>14.066230909813275</v>
          </cell>
          <cell r="DG1544">
            <v>21.679348620667902</v>
          </cell>
          <cell r="DH1544">
            <v>18.362277992096409</v>
          </cell>
          <cell r="DI1544">
            <v>14.300000632844487</v>
          </cell>
          <cell r="DJ1544">
            <v>22.424555351348332</v>
          </cell>
          <cell r="DU1544">
            <v>6.5306994665317433</v>
          </cell>
          <cell r="DV1544">
            <v>11.644336226312735</v>
          </cell>
          <cell r="DW1544">
            <v>9.8476005987137558</v>
          </cell>
          <cell r="DX1544">
            <v>7.1073990168282446</v>
          </cell>
          <cell r="DY1544">
            <v>12.587802180599267</v>
          </cell>
        </row>
        <row r="1545">
          <cell r="A1545">
            <v>41626</v>
          </cell>
          <cell r="DF1545">
            <v>14.017012200403419</v>
          </cell>
          <cell r="DG1545">
            <v>21.679348620667902</v>
          </cell>
          <cell r="DH1545">
            <v>18.362277992096409</v>
          </cell>
          <cell r="DI1545">
            <v>14.300000632844487</v>
          </cell>
          <cell r="DJ1545">
            <v>22.424555351348332</v>
          </cell>
          <cell r="DU1545">
            <v>6.50276917859183</v>
          </cell>
          <cell r="DV1545">
            <v>11.644336226312735</v>
          </cell>
          <cell r="DW1545">
            <v>9.8476005987137558</v>
          </cell>
          <cell r="DX1545">
            <v>7.1073990168282446</v>
          </cell>
          <cell r="DY1545">
            <v>12.587802180599267</v>
          </cell>
        </row>
        <row r="1546">
          <cell r="A1546">
            <v>41627</v>
          </cell>
          <cell r="DF1546">
            <v>14.54301610702761</v>
          </cell>
          <cell r="DG1546">
            <v>21.679348620667902</v>
          </cell>
          <cell r="DH1546">
            <v>18.362277992096409</v>
          </cell>
          <cell r="DI1546">
            <v>14.300000632844487</v>
          </cell>
          <cell r="DJ1546">
            <v>22.424555351348332</v>
          </cell>
          <cell r="DU1546">
            <v>6.7634622110418832</v>
          </cell>
          <cell r="DV1546">
            <v>11.644336226312735</v>
          </cell>
          <cell r="DW1546">
            <v>9.8476005987137558</v>
          </cell>
          <cell r="DX1546">
            <v>7.1073990168282446</v>
          </cell>
          <cell r="DY1546">
            <v>12.587802180599267</v>
          </cell>
        </row>
        <row r="1547">
          <cell r="A1547">
            <v>41628</v>
          </cell>
          <cell r="DF1547">
            <v>15.163858177590916</v>
          </cell>
          <cell r="DG1547">
            <v>21.679348620667902</v>
          </cell>
          <cell r="DH1547">
            <v>18.362277992096409</v>
          </cell>
          <cell r="DI1547">
            <v>14.300000632844487</v>
          </cell>
          <cell r="DJ1547">
            <v>22.424555351348332</v>
          </cell>
          <cell r="DU1547">
            <v>7.1350336473615554</v>
          </cell>
          <cell r="DV1547">
            <v>11.644336226312735</v>
          </cell>
          <cell r="DW1547">
            <v>9.8476005987137558</v>
          </cell>
          <cell r="DX1547">
            <v>7.1073990168282446</v>
          </cell>
          <cell r="DY1547">
            <v>12.587802180599267</v>
          </cell>
        </row>
        <row r="1548">
          <cell r="A1548">
            <v>41631</v>
          </cell>
          <cell r="DF1548">
            <v>14.889150512331334</v>
          </cell>
          <cell r="DG1548">
            <v>21.679348620667902</v>
          </cell>
          <cell r="DH1548">
            <v>18.362277992096409</v>
          </cell>
          <cell r="DI1548">
            <v>14.300000632844487</v>
          </cell>
          <cell r="DJ1548">
            <v>22.424555351348332</v>
          </cell>
          <cell r="DU1548">
            <v>6.9794031770479394</v>
          </cell>
          <cell r="DV1548">
            <v>11.644336226312735</v>
          </cell>
          <cell r="DW1548">
            <v>9.8476005987137558</v>
          </cell>
          <cell r="DX1548">
            <v>7.1073990168282446</v>
          </cell>
          <cell r="DY1548">
            <v>12.587802180599267</v>
          </cell>
        </row>
        <row r="1549">
          <cell r="A1549">
            <v>41632</v>
          </cell>
          <cell r="DF1549">
            <v>15.18034008809116</v>
          </cell>
          <cell r="DG1549">
            <v>21.679348620667902</v>
          </cell>
          <cell r="DH1549">
            <v>18.362277992096409</v>
          </cell>
          <cell r="DI1549">
            <v>14.300000632844487</v>
          </cell>
          <cell r="DJ1549">
            <v>22.424555351348332</v>
          </cell>
          <cell r="DU1549">
            <v>6.7657665163189291</v>
          </cell>
          <cell r="DV1549">
            <v>11.644336226312735</v>
          </cell>
          <cell r="DW1549">
            <v>9.8476005987137558</v>
          </cell>
          <cell r="DX1549">
            <v>7.1073990168282446</v>
          </cell>
          <cell r="DY1549">
            <v>12.587802180599267</v>
          </cell>
        </row>
        <row r="1550">
          <cell r="A1550">
            <v>41633</v>
          </cell>
          <cell r="DF1550">
            <v>15.23940031679432</v>
          </cell>
          <cell r="DG1550">
            <v>21.679348620667902</v>
          </cell>
          <cell r="DH1550">
            <v>18.362277992096409</v>
          </cell>
          <cell r="DI1550">
            <v>14.300000632844487</v>
          </cell>
          <cell r="DJ1550">
            <v>22.424555351348332</v>
          </cell>
          <cell r="DU1550">
            <v>6.7904407100716151</v>
          </cell>
          <cell r="DV1550">
            <v>11.644336226312735</v>
          </cell>
          <cell r="DW1550">
            <v>9.8476005987137558</v>
          </cell>
          <cell r="DX1550">
            <v>7.1073990168282446</v>
          </cell>
          <cell r="DY1550">
            <v>12.587802180599267</v>
          </cell>
        </row>
        <row r="1551">
          <cell r="A1551">
            <v>41634</v>
          </cell>
          <cell r="DF1551">
            <v>15.085441453710061</v>
          </cell>
          <cell r="DG1551">
            <v>21.679348620667902</v>
          </cell>
          <cell r="DH1551">
            <v>18.362277992096409</v>
          </cell>
          <cell r="DI1551">
            <v>14.300000632844487</v>
          </cell>
          <cell r="DJ1551">
            <v>22.424555351348332</v>
          </cell>
          <cell r="DU1551">
            <v>6.7322353632472192</v>
          </cell>
          <cell r="DV1551">
            <v>11.644336226312735</v>
          </cell>
          <cell r="DW1551">
            <v>9.8476005987137558</v>
          </cell>
          <cell r="DX1551">
            <v>7.1073990168282446</v>
          </cell>
          <cell r="DY1551">
            <v>12.587802180599267</v>
          </cell>
        </row>
        <row r="1552">
          <cell r="A1552">
            <v>41635</v>
          </cell>
          <cell r="DF1552">
            <v>16.641518886808463</v>
          </cell>
          <cell r="DG1552">
            <v>21.679348620667902</v>
          </cell>
          <cell r="DH1552">
            <v>18.362277992096409</v>
          </cell>
          <cell r="DI1552">
            <v>14.300000632844487</v>
          </cell>
          <cell r="DJ1552">
            <v>22.424555351348332</v>
          </cell>
          <cell r="DU1552">
            <v>7.8149825331073233</v>
          </cell>
          <cell r="DV1552">
            <v>11.644336226312735</v>
          </cell>
          <cell r="DW1552">
            <v>9.8476005987137558</v>
          </cell>
          <cell r="DX1552">
            <v>7.1073990168282446</v>
          </cell>
          <cell r="DY1552">
            <v>12.587802180599267</v>
          </cell>
        </row>
        <row r="1553">
          <cell r="A1553">
            <v>41638</v>
          </cell>
          <cell r="DF1553">
            <v>16.25858783734834</v>
          </cell>
          <cell r="DG1553">
            <v>21.679348620667902</v>
          </cell>
          <cell r="DH1553">
            <v>18.362277992096409</v>
          </cell>
          <cell r="DI1553">
            <v>14.300000632844487</v>
          </cell>
          <cell r="DJ1553">
            <v>22.424555351348332</v>
          </cell>
          <cell r="DU1553">
            <v>7.6022052473650481</v>
          </cell>
          <cell r="DV1553">
            <v>11.644336226312735</v>
          </cell>
          <cell r="DW1553">
            <v>9.8476005987137558</v>
          </cell>
          <cell r="DX1553">
            <v>7.1073990168282446</v>
          </cell>
          <cell r="DY1553">
            <v>12.587802180599267</v>
          </cell>
        </row>
        <row r="1554">
          <cell r="A1554">
            <v>41639</v>
          </cell>
          <cell r="DF1554">
            <v>17.141457015164697</v>
          </cell>
          <cell r="DG1554">
            <v>21.679348620667902</v>
          </cell>
          <cell r="DH1554">
            <v>18.362277992096409</v>
          </cell>
          <cell r="DI1554">
            <v>14.300000632844487</v>
          </cell>
          <cell r="DJ1554">
            <v>22.424555351348332</v>
          </cell>
          <cell r="DU1554">
            <v>8.0927753058289031</v>
          </cell>
          <cell r="DV1554">
            <v>11.644336226312735</v>
          </cell>
          <cell r="DW1554">
            <v>9.8476005987137558</v>
          </cell>
          <cell r="DX1554">
            <v>7.1073990168282446</v>
          </cell>
          <cell r="DY1554">
            <v>12.587802180599267</v>
          </cell>
        </row>
        <row r="1555">
          <cell r="A1555">
            <v>41640</v>
          </cell>
          <cell r="DF1555">
            <v>16.504109271211835</v>
          </cell>
          <cell r="DG1555">
            <v>21.679348620667902</v>
          </cell>
          <cell r="DH1555">
            <v>18.362277992096409</v>
          </cell>
          <cell r="DI1555">
            <v>14.300000632844487</v>
          </cell>
          <cell r="DJ1555">
            <v>22.424555351348332</v>
          </cell>
          <cell r="DU1555">
            <v>7.8544275718080057</v>
          </cell>
          <cell r="DV1555">
            <v>11.644336226312735</v>
          </cell>
          <cell r="DW1555">
            <v>9.8476005987137558</v>
          </cell>
          <cell r="DX1555">
            <v>7.1073990168282446</v>
          </cell>
          <cell r="DY1555">
            <v>12.587802180599267</v>
          </cell>
        </row>
        <row r="1556">
          <cell r="A1556">
            <v>41641</v>
          </cell>
          <cell r="DF1556">
            <v>16.022272681854396</v>
          </cell>
          <cell r="DG1556">
            <v>21.679348620667902</v>
          </cell>
          <cell r="DH1556">
            <v>18.362277992096409</v>
          </cell>
          <cell r="DI1556">
            <v>14.300000632844487</v>
          </cell>
          <cell r="DJ1556">
            <v>22.424555351348332</v>
          </cell>
          <cell r="DU1556">
            <v>7.5593097807798113</v>
          </cell>
          <cell r="DV1556">
            <v>11.644336226312735</v>
          </cell>
          <cell r="DW1556">
            <v>9.8476005987137558</v>
          </cell>
          <cell r="DX1556">
            <v>7.1073990168282446</v>
          </cell>
          <cell r="DY1556">
            <v>12.587802180599267</v>
          </cell>
        </row>
        <row r="1557">
          <cell r="A1557">
            <v>41642</v>
          </cell>
          <cell r="DF1557">
            <v>15.953633912596644</v>
          </cell>
          <cell r="DG1557">
            <v>21.679348620667902</v>
          </cell>
          <cell r="DH1557">
            <v>18.362277992096409</v>
          </cell>
          <cell r="DI1557">
            <v>14.300000632844487</v>
          </cell>
          <cell r="DJ1557">
            <v>22.424555351348332</v>
          </cell>
          <cell r="DU1557">
            <v>7.4813904491920917</v>
          </cell>
          <cell r="DV1557">
            <v>11.644336226312735</v>
          </cell>
          <cell r="DW1557">
            <v>9.8476005987137558</v>
          </cell>
          <cell r="DX1557">
            <v>7.1073990168282446</v>
          </cell>
          <cell r="DY1557">
            <v>12.587802180599267</v>
          </cell>
        </row>
        <row r="1558">
          <cell r="A1558">
            <v>41645</v>
          </cell>
          <cell r="DF1558">
            <v>16.015929927908264</v>
          </cell>
          <cell r="DG1558">
            <v>21.679348620667902</v>
          </cell>
          <cell r="DH1558">
            <v>18.362277992096409</v>
          </cell>
          <cell r="DI1558">
            <v>14.300000632844487</v>
          </cell>
          <cell r="DJ1558">
            <v>22.424555351348332</v>
          </cell>
          <cell r="DU1558">
            <v>7.5160725311224184</v>
          </cell>
          <cell r="DV1558">
            <v>11.644336226312735</v>
          </cell>
          <cell r="DW1558">
            <v>9.8476005987137558</v>
          </cell>
          <cell r="DX1558">
            <v>7.1073990168282446</v>
          </cell>
          <cell r="DY1558">
            <v>12.587802180599267</v>
          </cell>
        </row>
        <row r="1559">
          <cell r="A1559">
            <v>41646</v>
          </cell>
          <cell r="DF1559">
            <v>16.322229874954473</v>
          </cell>
          <cell r="DG1559">
            <v>21.679348620667902</v>
          </cell>
          <cell r="DH1559">
            <v>18.362277992096409</v>
          </cell>
          <cell r="DI1559">
            <v>14.300000632844487</v>
          </cell>
          <cell r="DJ1559">
            <v>22.424555351348332</v>
          </cell>
          <cell r="DU1559">
            <v>7.6865990054975768</v>
          </cell>
          <cell r="DV1559">
            <v>11.644336226312735</v>
          </cell>
          <cell r="DW1559">
            <v>9.8476005987137558</v>
          </cell>
          <cell r="DX1559">
            <v>7.1073990168282446</v>
          </cell>
          <cell r="DY1559">
            <v>12.587802180599267</v>
          </cell>
        </row>
        <row r="1560">
          <cell r="A1560">
            <v>41647</v>
          </cell>
          <cell r="DF1560">
            <v>16.322229874954473</v>
          </cell>
          <cell r="DG1560">
            <v>21.679348620667902</v>
          </cell>
          <cell r="DH1560">
            <v>18.362277992096409</v>
          </cell>
          <cell r="DI1560">
            <v>14.300000632844487</v>
          </cell>
          <cell r="DJ1560">
            <v>22.424555351348332</v>
          </cell>
          <cell r="DU1560">
            <v>7.6865990054975768</v>
          </cell>
          <cell r="DV1560">
            <v>11.644336226312735</v>
          </cell>
          <cell r="DW1560">
            <v>9.8476005987137558</v>
          </cell>
          <cell r="DX1560">
            <v>7.1073990168282446</v>
          </cell>
          <cell r="DY1560">
            <v>12.587802180599267</v>
          </cell>
        </row>
        <row r="1561">
          <cell r="A1561">
            <v>41648</v>
          </cell>
          <cell r="DF1561">
            <v>18.186002367349037</v>
          </cell>
          <cell r="DG1561">
            <v>21.679348620667902</v>
          </cell>
          <cell r="DH1561">
            <v>18.362277992096409</v>
          </cell>
          <cell r="DI1561">
            <v>14.300000632844487</v>
          </cell>
          <cell r="DJ1561">
            <v>22.424555351348332</v>
          </cell>
          <cell r="DU1561">
            <v>8.7242177032164392</v>
          </cell>
          <cell r="DV1561">
            <v>11.644336226312735</v>
          </cell>
          <cell r="DW1561">
            <v>9.8476005987137558</v>
          </cell>
          <cell r="DX1561">
            <v>7.1073990168282446</v>
          </cell>
          <cell r="DY1561">
            <v>12.587802180599267</v>
          </cell>
        </row>
        <row r="1562">
          <cell r="A1562">
            <v>41649</v>
          </cell>
          <cell r="DF1562">
            <v>17.869317760989702</v>
          </cell>
          <cell r="DG1562">
            <v>21.679348620667902</v>
          </cell>
          <cell r="DH1562">
            <v>18.362277992096409</v>
          </cell>
          <cell r="DI1562">
            <v>14.300000632844487</v>
          </cell>
          <cell r="DJ1562">
            <v>22.424555351348332</v>
          </cell>
          <cell r="DU1562">
            <v>8.5479097739068894</v>
          </cell>
          <cell r="DV1562">
            <v>11.644336226312735</v>
          </cell>
          <cell r="DW1562">
            <v>9.8476005987137558</v>
          </cell>
          <cell r="DX1562">
            <v>7.1073990168282446</v>
          </cell>
          <cell r="DY1562">
            <v>12.587802180599267</v>
          </cell>
        </row>
        <row r="1563">
          <cell r="A1563">
            <v>41652</v>
          </cell>
          <cell r="DF1563">
            <v>18.840135187987944</v>
          </cell>
          <cell r="DG1563">
            <v>21.679348620667902</v>
          </cell>
          <cell r="DH1563">
            <v>18.362277992096409</v>
          </cell>
          <cell r="DI1563">
            <v>14.300000632844487</v>
          </cell>
          <cell r="DJ1563">
            <v>22.424555351348332</v>
          </cell>
          <cell r="DU1563">
            <v>9.0883932923810082</v>
          </cell>
          <cell r="DV1563">
            <v>11.644336226312735</v>
          </cell>
          <cell r="DW1563">
            <v>9.8476005987137558</v>
          </cell>
          <cell r="DX1563">
            <v>7.1073990168282446</v>
          </cell>
          <cell r="DY1563">
            <v>12.587802180599267</v>
          </cell>
        </row>
        <row r="1564">
          <cell r="A1564">
            <v>41653</v>
          </cell>
          <cell r="DF1564">
            <v>19.39562698360702</v>
          </cell>
          <cell r="DG1564">
            <v>21.679348620667902</v>
          </cell>
          <cell r="DH1564">
            <v>18.362277992096409</v>
          </cell>
          <cell r="DI1564">
            <v>14.300000632844487</v>
          </cell>
          <cell r="DJ1564">
            <v>22.424555351348332</v>
          </cell>
          <cell r="DU1564">
            <v>9.3976524299183595</v>
          </cell>
          <cell r="DV1564">
            <v>11.644336226312735</v>
          </cell>
          <cell r="DW1564">
            <v>9.8476005987137558</v>
          </cell>
          <cell r="DX1564">
            <v>7.1073990168282446</v>
          </cell>
          <cell r="DY1564">
            <v>12.587802180599267</v>
          </cell>
        </row>
        <row r="1565">
          <cell r="A1565">
            <v>41654</v>
          </cell>
          <cell r="DF1565">
            <v>19.800575223844351</v>
          </cell>
          <cell r="DG1565">
            <v>21.679348620667902</v>
          </cell>
          <cell r="DH1565">
            <v>18.362277992096409</v>
          </cell>
          <cell r="DI1565">
            <v>14.300000632844487</v>
          </cell>
          <cell r="DJ1565">
            <v>22.424555351348332</v>
          </cell>
          <cell r="DU1565">
            <v>9.623099402332226</v>
          </cell>
          <cell r="DV1565">
            <v>11.644336226312735</v>
          </cell>
          <cell r="DW1565">
            <v>9.8476005987137558</v>
          </cell>
          <cell r="DX1565">
            <v>7.1073990168282446</v>
          </cell>
          <cell r="DY1565">
            <v>12.587802180599267</v>
          </cell>
        </row>
        <row r="1566">
          <cell r="A1566">
            <v>41655</v>
          </cell>
          <cell r="DF1566">
            <v>19.419689051612789</v>
          </cell>
          <cell r="DG1566">
            <v>21.679348620667902</v>
          </cell>
          <cell r="DH1566">
            <v>18.362277992096409</v>
          </cell>
          <cell r="DI1566">
            <v>14.300000632844487</v>
          </cell>
          <cell r="DJ1566">
            <v>22.424555351348332</v>
          </cell>
          <cell r="DU1566">
            <v>9.5045961953672542</v>
          </cell>
          <cell r="DV1566">
            <v>11.644336226312735</v>
          </cell>
          <cell r="DW1566">
            <v>9.8476005987137558</v>
          </cell>
          <cell r="DX1566">
            <v>7.1073990168282446</v>
          </cell>
          <cell r="DY1566">
            <v>12.587802180599267</v>
          </cell>
        </row>
        <row r="1567">
          <cell r="A1567">
            <v>41656</v>
          </cell>
          <cell r="DF1567">
            <v>19.296158095743291</v>
          </cell>
          <cell r="DG1567">
            <v>21.679348620667902</v>
          </cell>
          <cell r="DH1567">
            <v>18.362277992096409</v>
          </cell>
          <cell r="DI1567">
            <v>14.300000632844487</v>
          </cell>
          <cell r="DJ1567">
            <v>22.424555351348332</v>
          </cell>
          <cell r="DU1567">
            <v>9.4352276960657182</v>
          </cell>
          <cell r="DV1567">
            <v>11.644336226312735</v>
          </cell>
          <cell r="DW1567">
            <v>9.8476005987137558</v>
          </cell>
          <cell r="DX1567">
            <v>7.1073990168282446</v>
          </cell>
          <cell r="DY1567">
            <v>12.587802180599267</v>
          </cell>
        </row>
        <row r="1568">
          <cell r="A1568">
            <v>41659</v>
          </cell>
          <cell r="DF1568">
            <v>18.849924439041086</v>
          </cell>
          <cell r="DG1568">
            <v>21.679348620667902</v>
          </cell>
          <cell r="DH1568">
            <v>18.362277992096409</v>
          </cell>
          <cell r="DI1568">
            <v>14.300000632844487</v>
          </cell>
          <cell r="DJ1568">
            <v>22.424555351348332</v>
          </cell>
          <cell r="DU1568">
            <v>9.186662129649088</v>
          </cell>
          <cell r="DV1568">
            <v>11.644336226312735</v>
          </cell>
          <cell r="DW1568">
            <v>9.8476005987137558</v>
          </cell>
          <cell r="DX1568">
            <v>7.1073990168282446</v>
          </cell>
          <cell r="DY1568">
            <v>12.587802180599267</v>
          </cell>
        </row>
        <row r="1569">
          <cell r="A1569">
            <v>41660</v>
          </cell>
          <cell r="DF1569">
            <v>18.633791959492267</v>
          </cell>
          <cell r="DG1569">
            <v>21.679348620667902</v>
          </cell>
          <cell r="DH1569">
            <v>18.362277992096409</v>
          </cell>
          <cell r="DI1569">
            <v>14.300000632844487</v>
          </cell>
          <cell r="DJ1569">
            <v>22.424555351348332</v>
          </cell>
          <cell r="DU1569">
            <v>9.0652703629373654</v>
          </cell>
          <cell r="DV1569">
            <v>11.644336226312735</v>
          </cell>
          <cell r="DW1569">
            <v>9.8476005987137558</v>
          </cell>
          <cell r="DX1569">
            <v>7.1073990168282446</v>
          </cell>
          <cell r="DY1569">
            <v>12.587802180599267</v>
          </cell>
        </row>
        <row r="1570">
          <cell r="A1570">
            <v>41661</v>
          </cell>
          <cell r="DF1570">
            <v>19.319054143992485</v>
          </cell>
          <cell r="DG1570">
            <v>21.679348620667902</v>
          </cell>
          <cell r="DH1570">
            <v>18.362277992096409</v>
          </cell>
          <cell r="DI1570">
            <v>14.300000632844487</v>
          </cell>
          <cell r="DJ1570">
            <v>22.424555351348332</v>
          </cell>
          <cell r="DU1570">
            <v>9.437858334626462</v>
          </cell>
          <cell r="DV1570">
            <v>11.644336226312735</v>
          </cell>
          <cell r="DW1570">
            <v>9.8476005987137558</v>
          </cell>
          <cell r="DX1570">
            <v>7.1073990168282446</v>
          </cell>
          <cell r="DY1570">
            <v>12.587802180599267</v>
          </cell>
        </row>
        <row r="1571">
          <cell r="A1571">
            <v>41662</v>
          </cell>
          <cell r="DF1571">
            <v>19.368250047255433</v>
          </cell>
          <cell r="DG1571">
            <v>21.679348620667902</v>
          </cell>
          <cell r="DH1571">
            <v>18.362277992096409</v>
          </cell>
          <cell r="DI1571">
            <v>14.300000632844487</v>
          </cell>
          <cell r="DJ1571">
            <v>22.424555351348332</v>
          </cell>
          <cell r="DU1571">
            <v>9.5522935600063921</v>
          </cell>
          <cell r="DV1571">
            <v>11.644336226312735</v>
          </cell>
          <cell r="DW1571">
            <v>9.8476005987137558</v>
          </cell>
          <cell r="DX1571">
            <v>7.1073990168282446</v>
          </cell>
          <cell r="DY1571">
            <v>12.587802180599267</v>
          </cell>
        </row>
        <row r="1572">
          <cell r="A1572">
            <v>41663</v>
          </cell>
          <cell r="DF1572">
            <v>19.388961649305152</v>
          </cell>
          <cell r="DG1572">
            <v>21.679348620667902</v>
          </cell>
          <cell r="DH1572">
            <v>18.362277992096409</v>
          </cell>
          <cell r="DI1572">
            <v>14.300000632844487</v>
          </cell>
          <cell r="DJ1572">
            <v>22.424555351348332</v>
          </cell>
          <cell r="DU1572">
            <v>9.5640287757475733</v>
          </cell>
          <cell r="DV1572">
            <v>11.644336226312735</v>
          </cell>
          <cell r="DW1572">
            <v>9.8476005987137558</v>
          </cell>
          <cell r="DX1572">
            <v>7.1073990168282446</v>
          </cell>
          <cell r="DY1572">
            <v>12.587802180599267</v>
          </cell>
        </row>
        <row r="1573">
          <cell r="A1573">
            <v>41666</v>
          </cell>
          <cell r="DF1573">
            <v>19.368250047255433</v>
          </cell>
          <cell r="DG1573">
            <v>21.679348620667902</v>
          </cell>
          <cell r="DH1573">
            <v>18.362277992096409</v>
          </cell>
          <cell r="DI1573">
            <v>14.300000632844487</v>
          </cell>
          <cell r="DJ1573">
            <v>22.424555351348332</v>
          </cell>
          <cell r="DU1573">
            <v>9.5522935600063921</v>
          </cell>
          <cell r="DV1573">
            <v>11.644336226312735</v>
          </cell>
          <cell r="DW1573">
            <v>9.8476005987137558</v>
          </cell>
          <cell r="DX1573">
            <v>7.1073990168282446</v>
          </cell>
          <cell r="DY1573">
            <v>12.587802180599267</v>
          </cell>
        </row>
        <row r="1574">
          <cell r="A1574">
            <v>41667</v>
          </cell>
          <cell r="DF1574">
            <v>19.767010789774183</v>
          </cell>
          <cell r="DG1574">
            <v>21.679348620667902</v>
          </cell>
          <cell r="DH1574">
            <v>18.362277992096409</v>
          </cell>
          <cell r="DI1574">
            <v>14.300000632844487</v>
          </cell>
          <cell r="DJ1574">
            <v>22.424555351348332</v>
          </cell>
          <cell r="DU1574">
            <v>9.7782318206652015</v>
          </cell>
          <cell r="DV1574">
            <v>11.644336226312735</v>
          </cell>
          <cell r="DW1574">
            <v>9.8476005987137558</v>
          </cell>
          <cell r="DX1574">
            <v>7.1073990168282446</v>
          </cell>
          <cell r="DY1574">
            <v>12.587802180599267</v>
          </cell>
        </row>
        <row r="1575">
          <cell r="A1575">
            <v>41668</v>
          </cell>
          <cell r="DF1575">
            <v>19.549506860452773</v>
          </cell>
          <cell r="DG1575">
            <v>21.679348620667902</v>
          </cell>
          <cell r="DH1575">
            <v>18.362277992096409</v>
          </cell>
          <cell r="DI1575">
            <v>14.300000632844487</v>
          </cell>
          <cell r="DJ1575">
            <v>22.424555351348332</v>
          </cell>
          <cell r="DU1575">
            <v>9.6549938630695511</v>
          </cell>
          <cell r="DV1575">
            <v>11.644336226312735</v>
          </cell>
          <cell r="DW1575">
            <v>9.8476005987137558</v>
          </cell>
          <cell r="DX1575">
            <v>7.1073990168282446</v>
          </cell>
          <cell r="DY1575">
            <v>12.587802180599267</v>
          </cell>
        </row>
        <row r="1576">
          <cell r="A1576">
            <v>41669</v>
          </cell>
          <cell r="DF1576">
            <v>17.928408633100982</v>
          </cell>
          <cell r="DG1576">
            <v>21.679348620667902</v>
          </cell>
          <cell r="DH1576">
            <v>18.362277992096409</v>
          </cell>
          <cell r="DI1576">
            <v>14.300000632844487</v>
          </cell>
          <cell r="DJ1576">
            <v>22.424555351348332</v>
          </cell>
          <cell r="DU1576">
            <v>8.7307043395994555</v>
          </cell>
          <cell r="DV1576">
            <v>11.644336226312735</v>
          </cell>
          <cell r="DW1576">
            <v>9.8476005987137558</v>
          </cell>
          <cell r="DX1576">
            <v>7.1073990168282446</v>
          </cell>
          <cell r="DY1576">
            <v>12.587802180599267</v>
          </cell>
        </row>
        <row r="1577">
          <cell r="A1577">
            <v>41670</v>
          </cell>
          <cell r="DF1577">
            <v>18.234122796677028</v>
          </cell>
          <cell r="DG1577">
            <v>21.679348620667902</v>
          </cell>
          <cell r="DH1577">
            <v>18.362277992096409</v>
          </cell>
          <cell r="DI1577">
            <v>14.300000632844487</v>
          </cell>
          <cell r="DJ1577">
            <v>22.424555351348332</v>
          </cell>
          <cell r="DU1577">
            <v>8.9038238595686945</v>
          </cell>
          <cell r="DV1577">
            <v>11.644336226312735</v>
          </cell>
          <cell r="DW1577">
            <v>9.8476005987137558</v>
          </cell>
          <cell r="DX1577">
            <v>7.1073990168282446</v>
          </cell>
          <cell r="DY1577">
            <v>12.587802180599267</v>
          </cell>
        </row>
        <row r="1578">
          <cell r="A1578">
            <v>41673</v>
          </cell>
          <cell r="DF1578">
            <v>18.078680344422438</v>
          </cell>
          <cell r="DG1578">
            <v>21.679348620667902</v>
          </cell>
          <cell r="DH1578">
            <v>18.362277992096409</v>
          </cell>
          <cell r="DI1578">
            <v>14.300000632844487</v>
          </cell>
          <cell r="DJ1578">
            <v>22.424555351348332</v>
          </cell>
          <cell r="DU1578">
            <v>8.8158000585043972</v>
          </cell>
          <cell r="DV1578">
            <v>11.644336226312735</v>
          </cell>
          <cell r="DW1578">
            <v>9.8476005987137558</v>
          </cell>
          <cell r="DX1578">
            <v>7.1073990168282446</v>
          </cell>
          <cell r="DY1578">
            <v>12.587802180599267</v>
          </cell>
        </row>
        <row r="1579">
          <cell r="A1579">
            <v>41674</v>
          </cell>
          <cell r="DF1579">
            <v>18.140857221691828</v>
          </cell>
          <cell r="DG1579">
            <v>21.679348620667902</v>
          </cell>
          <cell r="DH1579">
            <v>18.362277992096409</v>
          </cell>
          <cell r="DI1579">
            <v>14.300000632844487</v>
          </cell>
          <cell r="DJ1579">
            <v>22.424555351348332</v>
          </cell>
          <cell r="DU1579">
            <v>8.8510095202452366</v>
          </cell>
          <cell r="DV1579">
            <v>11.644336226312735</v>
          </cell>
          <cell r="DW1579">
            <v>9.8476005987137558</v>
          </cell>
          <cell r="DX1579">
            <v>7.1073990168282446</v>
          </cell>
          <cell r="DY1579">
            <v>12.587802180599267</v>
          </cell>
        </row>
        <row r="1580">
          <cell r="A1580">
            <v>41675</v>
          </cell>
          <cell r="DF1580">
            <v>18.135678190162952</v>
          </cell>
          <cell r="DG1580">
            <v>21.679348620667902</v>
          </cell>
          <cell r="DH1580">
            <v>18.362277992096409</v>
          </cell>
          <cell r="DI1580">
            <v>14.300000632844487</v>
          </cell>
          <cell r="DJ1580">
            <v>22.424555351348332</v>
          </cell>
          <cell r="DU1580">
            <v>8.8480767432953655</v>
          </cell>
          <cell r="DV1580">
            <v>11.644336226312735</v>
          </cell>
          <cell r="DW1580">
            <v>9.8476005987137558</v>
          </cell>
          <cell r="DX1580">
            <v>7.1073990168282446</v>
          </cell>
          <cell r="DY1580">
            <v>12.587802180599267</v>
          </cell>
        </row>
        <row r="1581">
          <cell r="A1581">
            <v>41676</v>
          </cell>
          <cell r="DF1581">
            <v>18.679742317921029</v>
          </cell>
          <cell r="DG1581">
            <v>21.679348620667902</v>
          </cell>
          <cell r="DH1581">
            <v>18.362277992096409</v>
          </cell>
          <cell r="DI1581">
            <v>14.300000632844487</v>
          </cell>
          <cell r="DJ1581">
            <v>22.424555351348332</v>
          </cell>
          <cell r="DU1581">
            <v>9.156168849752623</v>
          </cell>
          <cell r="DV1581">
            <v>11.644336226312735</v>
          </cell>
          <cell r="DW1581">
            <v>9.8476005987137558</v>
          </cell>
          <cell r="DX1581">
            <v>7.1073990168282446</v>
          </cell>
          <cell r="DY1581">
            <v>12.587802180599267</v>
          </cell>
        </row>
        <row r="1582">
          <cell r="A1582">
            <v>41677</v>
          </cell>
          <cell r="DF1582">
            <v>18.638288302876191</v>
          </cell>
          <cell r="DG1582">
            <v>21.679348620667902</v>
          </cell>
          <cell r="DH1582">
            <v>18.362277992096409</v>
          </cell>
          <cell r="DI1582">
            <v>14.300000632844487</v>
          </cell>
          <cell r="DJ1582">
            <v>22.424555351348332</v>
          </cell>
          <cell r="DU1582">
            <v>9.1326943103285583</v>
          </cell>
          <cell r="DV1582">
            <v>11.644336226312735</v>
          </cell>
          <cell r="DW1582">
            <v>9.8476005987137558</v>
          </cell>
          <cell r="DX1582">
            <v>7.1073990168282446</v>
          </cell>
          <cell r="DY1582">
            <v>12.587802180599267</v>
          </cell>
        </row>
        <row r="1583">
          <cell r="A1583">
            <v>41680</v>
          </cell>
          <cell r="DF1583">
            <v>18.96991213263917</v>
          </cell>
          <cell r="DG1583">
            <v>21.679348620667902</v>
          </cell>
          <cell r="DH1583">
            <v>18.362277992096409</v>
          </cell>
          <cell r="DI1583">
            <v>14.300000632844487</v>
          </cell>
          <cell r="DJ1583">
            <v>22.424555351348332</v>
          </cell>
          <cell r="DU1583">
            <v>9.3204859309305501</v>
          </cell>
          <cell r="DV1583">
            <v>11.644336226312735</v>
          </cell>
          <cell r="DW1583">
            <v>9.8476005987137558</v>
          </cell>
          <cell r="DX1583">
            <v>7.1073990168282446</v>
          </cell>
          <cell r="DY1583">
            <v>12.587802180599267</v>
          </cell>
        </row>
        <row r="1584">
          <cell r="A1584">
            <v>41681</v>
          </cell>
          <cell r="DF1584">
            <v>18.047583874273119</v>
          </cell>
          <cell r="DG1584">
            <v>21.679348620667902</v>
          </cell>
          <cell r="DH1584">
            <v>18.362277992096409</v>
          </cell>
          <cell r="DI1584">
            <v>14.300000632844487</v>
          </cell>
          <cell r="DJ1584">
            <v>22.424555351348332</v>
          </cell>
          <cell r="DU1584">
            <v>8.7981907795556697</v>
          </cell>
          <cell r="DV1584">
            <v>11.644336226312735</v>
          </cell>
          <cell r="DW1584">
            <v>9.8476005987137558</v>
          </cell>
          <cell r="DX1584">
            <v>7.1073990168282446</v>
          </cell>
          <cell r="DY1584">
            <v>12.587802180599267</v>
          </cell>
        </row>
        <row r="1585">
          <cell r="A1585">
            <v>41682</v>
          </cell>
          <cell r="DF1585">
            <v>17.43615606528326</v>
          </cell>
          <cell r="DG1585">
            <v>21.679348620667902</v>
          </cell>
          <cell r="DH1585">
            <v>18.362277992096409</v>
          </cell>
          <cell r="DI1585">
            <v>14.300000632844487</v>
          </cell>
          <cell r="DJ1585">
            <v>22.424555351348332</v>
          </cell>
          <cell r="DU1585">
            <v>8.4519520330415947</v>
          </cell>
          <cell r="DV1585">
            <v>11.644336226312735</v>
          </cell>
          <cell r="DW1585">
            <v>9.8476005987137558</v>
          </cell>
          <cell r="DX1585">
            <v>7.1073990168282446</v>
          </cell>
          <cell r="DY1585">
            <v>12.587802180599267</v>
          </cell>
        </row>
        <row r="1586">
          <cell r="A1586">
            <v>41683</v>
          </cell>
          <cell r="DF1586">
            <v>17.829956772315633</v>
          </cell>
          <cell r="DG1586">
            <v>21.679348620667902</v>
          </cell>
          <cell r="DH1586">
            <v>18.362277992096409</v>
          </cell>
          <cell r="DI1586">
            <v>14.300000632844487</v>
          </cell>
          <cell r="DJ1586">
            <v>22.424555351348332</v>
          </cell>
          <cell r="DU1586">
            <v>8.6749531153844242</v>
          </cell>
          <cell r="DV1586">
            <v>11.644336226312735</v>
          </cell>
          <cell r="DW1586">
            <v>9.8476005987137558</v>
          </cell>
          <cell r="DX1586">
            <v>7.1073990168282446</v>
          </cell>
          <cell r="DY1586">
            <v>12.587802180599267</v>
          </cell>
        </row>
        <row r="1587">
          <cell r="A1587">
            <v>41684</v>
          </cell>
          <cell r="DF1587">
            <v>16.969813163652475</v>
          </cell>
          <cell r="DG1587">
            <v>21.679348620667902</v>
          </cell>
          <cell r="DH1587">
            <v>18.362277992096409</v>
          </cell>
          <cell r="DI1587">
            <v>14.300000632844487</v>
          </cell>
          <cell r="DJ1587">
            <v>22.424555351348332</v>
          </cell>
          <cell r="DU1587">
            <v>8.1878718271164868</v>
          </cell>
          <cell r="DV1587">
            <v>11.644336226312735</v>
          </cell>
          <cell r="DW1587">
            <v>9.8476005987137558</v>
          </cell>
          <cell r="DX1587">
            <v>7.1073990168282446</v>
          </cell>
          <cell r="DY1587">
            <v>12.587802180599267</v>
          </cell>
        </row>
        <row r="1588">
          <cell r="A1588">
            <v>41687</v>
          </cell>
          <cell r="DF1588">
            <v>17.291071676086425</v>
          </cell>
          <cell r="DG1588">
            <v>21.679348620667902</v>
          </cell>
          <cell r="DH1588">
            <v>18.362277992096409</v>
          </cell>
          <cell r="DI1588">
            <v>14.300000632844487</v>
          </cell>
          <cell r="DJ1588">
            <v>22.424555351348332</v>
          </cell>
          <cell r="DU1588">
            <v>8.3697937858770377</v>
          </cell>
          <cell r="DV1588">
            <v>11.644336226312735</v>
          </cell>
          <cell r="DW1588">
            <v>9.8476005987137558</v>
          </cell>
          <cell r="DX1588">
            <v>7.1073990168282446</v>
          </cell>
          <cell r="DY1588">
            <v>12.587802180599267</v>
          </cell>
        </row>
        <row r="1589">
          <cell r="A1589">
            <v>41688</v>
          </cell>
          <cell r="DF1589">
            <v>17.031990559084097</v>
          </cell>
          <cell r="DG1589">
            <v>21.679348620667902</v>
          </cell>
          <cell r="DH1589">
            <v>18.362277992096409</v>
          </cell>
          <cell r="DI1589">
            <v>14.300000632844487</v>
          </cell>
          <cell r="DJ1589">
            <v>22.424555351348332</v>
          </cell>
          <cell r="DU1589">
            <v>8.2230815822817309</v>
          </cell>
          <cell r="DV1589">
            <v>11.644336226312735</v>
          </cell>
          <cell r="DW1589">
            <v>9.8476005987137558</v>
          </cell>
          <cell r="DX1589">
            <v>7.1073990168282446</v>
          </cell>
          <cell r="DY1589">
            <v>12.587802180599267</v>
          </cell>
        </row>
        <row r="1590">
          <cell r="A1590">
            <v>41689</v>
          </cell>
          <cell r="DF1590">
            <v>17.448322531257972</v>
          </cell>
          <cell r="DG1590">
            <v>21.679348620667902</v>
          </cell>
          <cell r="DH1590">
            <v>18.362277992096409</v>
          </cell>
          <cell r="DI1590">
            <v>14.300000632844487</v>
          </cell>
          <cell r="DJ1590">
            <v>22.424555351348332</v>
          </cell>
          <cell r="DU1590">
            <v>8.7010310929897443</v>
          </cell>
          <cell r="DV1590">
            <v>11.644336226312735</v>
          </cell>
          <cell r="DW1590">
            <v>9.8476005987137558</v>
          </cell>
          <cell r="DX1590">
            <v>7.1073990168282446</v>
          </cell>
          <cell r="DY1590">
            <v>12.587802180599267</v>
          </cell>
        </row>
        <row r="1591">
          <cell r="A1591">
            <v>41690</v>
          </cell>
          <cell r="DF1591">
            <v>18.143493117689484</v>
          </cell>
          <cell r="DG1591">
            <v>21.679348620667902</v>
          </cell>
          <cell r="DH1591">
            <v>18.362277992096409</v>
          </cell>
          <cell r="DI1591">
            <v>14.300000632844487</v>
          </cell>
          <cell r="DJ1591">
            <v>22.424555351348332</v>
          </cell>
          <cell r="DU1591">
            <v>9.1367682640357675</v>
          </cell>
          <cell r="DV1591">
            <v>11.644336226312735</v>
          </cell>
          <cell r="DW1591">
            <v>9.8476005987137558</v>
          </cell>
          <cell r="DX1591">
            <v>7.1073990168282446</v>
          </cell>
          <cell r="DY1591">
            <v>12.587802180599267</v>
          </cell>
        </row>
        <row r="1592">
          <cell r="A1592">
            <v>41691</v>
          </cell>
          <cell r="DF1592">
            <v>19.940145454177447</v>
          </cell>
          <cell r="DG1592">
            <v>21.679348620667902</v>
          </cell>
          <cell r="DH1592">
            <v>18.362277992096409</v>
          </cell>
          <cell r="DI1592">
            <v>14.300000632844487</v>
          </cell>
          <cell r="DJ1592">
            <v>22.424555351348332</v>
          </cell>
          <cell r="DU1592">
            <v>10.019238329232694</v>
          </cell>
          <cell r="DV1592">
            <v>11.644336226312735</v>
          </cell>
          <cell r="DW1592">
            <v>9.8476005987137558</v>
          </cell>
          <cell r="DX1592">
            <v>7.1073990168282446</v>
          </cell>
          <cell r="DY1592">
            <v>12.587802180599267</v>
          </cell>
        </row>
        <row r="1593">
          <cell r="A1593">
            <v>41694</v>
          </cell>
          <cell r="DF1593">
            <v>20.484711534548822</v>
          </cell>
          <cell r="DG1593">
            <v>21.679348620667902</v>
          </cell>
          <cell r="DH1593">
            <v>18.362277992096409</v>
          </cell>
          <cell r="DI1593">
            <v>14.300000632844487</v>
          </cell>
          <cell r="DJ1593">
            <v>22.424555351348332</v>
          </cell>
          <cell r="DU1593">
            <v>10.331479550319395</v>
          </cell>
          <cell r="DV1593">
            <v>11.644336226312735</v>
          </cell>
          <cell r="DW1593">
            <v>9.8476005987137558</v>
          </cell>
          <cell r="DX1593">
            <v>7.1073990168282446</v>
          </cell>
          <cell r="DY1593">
            <v>12.587802180599267</v>
          </cell>
        </row>
        <row r="1594">
          <cell r="A1594">
            <v>41695</v>
          </cell>
          <cell r="DF1594">
            <v>20.129790770940357</v>
          </cell>
          <cell r="DG1594">
            <v>21.679348620667902</v>
          </cell>
          <cell r="DH1594">
            <v>18.362277992096409</v>
          </cell>
          <cell r="DI1594">
            <v>14.300000632844487</v>
          </cell>
          <cell r="DJ1594">
            <v>22.424555351348332</v>
          </cell>
          <cell r="DU1594">
            <v>10.243394296843228</v>
          </cell>
          <cell r="DV1594">
            <v>11.644336226312735</v>
          </cell>
          <cell r="DW1594">
            <v>9.8476005987137558</v>
          </cell>
          <cell r="DX1594">
            <v>7.1073990168282446</v>
          </cell>
          <cell r="DY1594">
            <v>12.587802180599267</v>
          </cell>
        </row>
        <row r="1595">
          <cell r="A1595">
            <v>41696</v>
          </cell>
          <cell r="DF1595">
            <v>20.068267141546333</v>
          </cell>
          <cell r="DG1595">
            <v>21.679348620667902</v>
          </cell>
          <cell r="DH1595">
            <v>18.362277992096409</v>
          </cell>
          <cell r="DI1595">
            <v>14.300000632844487</v>
          </cell>
          <cell r="DJ1595">
            <v>22.424555351348332</v>
          </cell>
          <cell r="DU1595">
            <v>10.209387596160557</v>
          </cell>
          <cell r="DV1595">
            <v>11.644336226312735</v>
          </cell>
          <cell r="DW1595">
            <v>9.8476005987137558</v>
          </cell>
          <cell r="DX1595">
            <v>7.1073990168282446</v>
          </cell>
          <cell r="DY1595">
            <v>12.587802180599267</v>
          </cell>
        </row>
        <row r="1596">
          <cell r="A1596">
            <v>41697</v>
          </cell>
          <cell r="DF1596">
            <v>19.726431497172602</v>
          </cell>
          <cell r="DG1596">
            <v>21.679348620667902</v>
          </cell>
          <cell r="DH1596">
            <v>18.362277992096409</v>
          </cell>
          <cell r="DI1596">
            <v>14.300000632844487</v>
          </cell>
          <cell r="DJ1596">
            <v>22.424555351348332</v>
          </cell>
          <cell r="DU1596">
            <v>9.9759773329506416</v>
          </cell>
          <cell r="DV1596">
            <v>11.644336226312735</v>
          </cell>
          <cell r="DW1596">
            <v>9.8476005987137558</v>
          </cell>
          <cell r="DX1596">
            <v>7.1073990168282446</v>
          </cell>
          <cell r="DY1596">
            <v>12.587802180599267</v>
          </cell>
        </row>
        <row r="1597">
          <cell r="A1597">
            <v>41698</v>
          </cell>
          <cell r="DF1597">
            <v>19.464371156581578</v>
          </cell>
          <cell r="DG1597">
            <v>21.679348620667902</v>
          </cell>
          <cell r="DH1597">
            <v>18.362277992096409</v>
          </cell>
          <cell r="DI1597">
            <v>14.300000632844487</v>
          </cell>
          <cell r="DJ1597">
            <v>22.424555351348332</v>
          </cell>
          <cell r="DU1597">
            <v>10.025991093265876</v>
          </cell>
          <cell r="DV1597">
            <v>11.644336226312735</v>
          </cell>
          <cell r="DW1597">
            <v>9.8476005987137558</v>
          </cell>
          <cell r="DX1597">
            <v>7.1073990168282446</v>
          </cell>
          <cell r="DY1597">
            <v>12.587802180599267</v>
          </cell>
        </row>
        <row r="1598">
          <cell r="A1598">
            <v>41701</v>
          </cell>
          <cell r="DF1598">
            <v>18.563132154033593</v>
          </cell>
          <cell r="DG1598">
            <v>21.679348620667902</v>
          </cell>
          <cell r="DH1598">
            <v>18.362277992096409</v>
          </cell>
          <cell r="DI1598">
            <v>14.300000632844487</v>
          </cell>
          <cell r="DJ1598">
            <v>22.424555351348332</v>
          </cell>
          <cell r="DU1598">
            <v>9.4961169578105924</v>
          </cell>
          <cell r="DV1598">
            <v>11.644336226312735</v>
          </cell>
          <cell r="DW1598">
            <v>9.8476005987137558</v>
          </cell>
          <cell r="DX1598">
            <v>7.1073990168282446</v>
          </cell>
          <cell r="DY1598">
            <v>12.587802180599267</v>
          </cell>
        </row>
        <row r="1599">
          <cell r="A1599">
            <v>41702</v>
          </cell>
          <cell r="DF1599">
            <v>18.636404744673385</v>
          </cell>
          <cell r="DG1599">
            <v>21.679348620667902</v>
          </cell>
          <cell r="DH1599">
            <v>18.362277992096409</v>
          </cell>
          <cell r="DI1599">
            <v>14.300000632844487</v>
          </cell>
          <cell r="DJ1599">
            <v>22.424555351348332</v>
          </cell>
          <cell r="DU1599">
            <v>9.5390782160402168</v>
          </cell>
          <cell r="DV1599">
            <v>11.644336226312735</v>
          </cell>
          <cell r="DW1599">
            <v>9.8476005987137558</v>
          </cell>
          <cell r="DX1599">
            <v>7.1073990168282446</v>
          </cell>
          <cell r="DY1599">
            <v>12.587802180599267</v>
          </cell>
        </row>
        <row r="1600">
          <cell r="A1600">
            <v>41703</v>
          </cell>
          <cell r="DF1600">
            <v>18.490030129398217</v>
          </cell>
          <cell r="DG1600">
            <v>21.679348620667902</v>
          </cell>
          <cell r="DH1600">
            <v>18.362277992096409</v>
          </cell>
          <cell r="DI1600">
            <v>14.300000632844487</v>
          </cell>
          <cell r="DJ1600">
            <v>22.424555351348332</v>
          </cell>
          <cell r="DU1600">
            <v>9.4160083436014244</v>
          </cell>
          <cell r="DV1600">
            <v>11.644336226312735</v>
          </cell>
          <cell r="DW1600">
            <v>9.8476005987137558</v>
          </cell>
          <cell r="DX1600">
            <v>7.1073990168282446</v>
          </cell>
          <cell r="DY1600">
            <v>12.587802180599267</v>
          </cell>
        </row>
        <row r="1601">
          <cell r="A1601">
            <v>41704</v>
          </cell>
          <cell r="DF1601">
            <v>18.80054921862687</v>
          </cell>
          <cell r="DG1601">
            <v>21.679348620667902</v>
          </cell>
          <cell r="DH1601">
            <v>18.362277992096409</v>
          </cell>
          <cell r="DI1601">
            <v>14.300000632844487</v>
          </cell>
          <cell r="DJ1601">
            <v>22.424555351348332</v>
          </cell>
          <cell r="DU1601">
            <v>9.5971736472798064</v>
          </cell>
          <cell r="DV1601">
            <v>11.644336226312735</v>
          </cell>
          <cell r="DW1601">
            <v>9.8476005987137558</v>
          </cell>
          <cell r="DX1601">
            <v>7.1073990168282446</v>
          </cell>
          <cell r="DY1601">
            <v>12.587802180599267</v>
          </cell>
        </row>
        <row r="1602">
          <cell r="A1602">
            <v>41705</v>
          </cell>
          <cell r="DF1602">
            <v>18.596769216589113</v>
          </cell>
          <cell r="DG1602">
            <v>21.679348620667902</v>
          </cell>
          <cell r="DH1602">
            <v>18.362277992096409</v>
          </cell>
          <cell r="DI1602">
            <v>14.300000632844487</v>
          </cell>
          <cell r="DJ1602">
            <v>22.424555351348332</v>
          </cell>
          <cell r="DU1602">
            <v>9.2830387607210927</v>
          </cell>
          <cell r="DV1602">
            <v>11.644336226312735</v>
          </cell>
          <cell r="DW1602">
            <v>9.8476005987137558</v>
          </cell>
          <cell r="DX1602">
            <v>7.1073990168282446</v>
          </cell>
          <cell r="DY1602">
            <v>12.587802180599267</v>
          </cell>
        </row>
        <row r="1603">
          <cell r="A1603">
            <v>41708</v>
          </cell>
          <cell r="DF1603">
            <v>18.422105564479306</v>
          </cell>
          <cell r="DG1603">
            <v>21.679348620667902</v>
          </cell>
          <cell r="DH1603">
            <v>18.362277992096409</v>
          </cell>
          <cell r="DI1603">
            <v>14.300000632844487</v>
          </cell>
          <cell r="DJ1603">
            <v>22.424555351348332</v>
          </cell>
          <cell r="DU1603">
            <v>9.1832343444192297</v>
          </cell>
          <cell r="DV1603">
            <v>11.644336226312735</v>
          </cell>
          <cell r="DW1603">
            <v>9.8476005987137558</v>
          </cell>
          <cell r="DX1603">
            <v>7.1073990168282446</v>
          </cell>
          <cell r="DY1603">
            <v>12.587802180599267</v>
          </cell>
        </row>
        <row r="1604">
          <cell r="A1604">
            <v>41709</v>
          </cell>
          <cell r="DF1604">
            <v>18.420541555390908</v>
          </cell>
          <cell r="DG1604">
            <v>21.679348620667902</v>
          </cell>
          <cell r="DH1604">
            <v>18.362277992096409</v>
          </cell>
          <cell r="DI1604">
            <v>14.300000632844487</v>
          </cell>
          <cell r="DJ1604">
            <v>22.424555351348332</v>
          </cell>
          <cell r="DU1604">
            <v>9.181071823014312</v>
          </cell>
          <cell r="DV1604">
            <v>11.644336226312735</v>
          </cell>
          <cell r="DW1604">
            <v>9.8476005987137558</v>
          </cell>
          <cell r="DX1604">
            <v>7.1073990168282446</v>
          </cell>
          <cell r="DY1604">
            <v>12.587802180599267</v>
          </cell>
        </row>
        <row r="1605">
          <cell r="A1605">
            <v>41710</v>
          </cell>
          <cell r="DF1605">
            <v>18.512718522671037</v>
          </cell>
          <cell r="DG1605">
            <v>21.679348620667902</v>
          </cell>
          <cell r="DH1605">
            <v>18.362277992096409</v>
          </cell>
          <cell r="DI1605">
            <v>14.300000632844487</v>
          </cell>
          <cell r="DJ1605">
            <v>22.424555351348332</v>
          </cell>
          <cell r="DU1605">
            <v>9.2337346571745389</v>
          </cell>
          <cell r="DV1605">
            <v>11.644336226312735</v>
          </cell>
          <cell r="DW1605">
            <v>9.8476005987137558</v>
          </cell>
          <cell r="DX1605">
            <v>7.1073990168282446</v>
          </cell>
          <cell r="DY1605">
            <v>12.587802180599267</v>
          </cell>
        </row>
        <row r="1606">
          <cell r="A1606">
            <v>41711</v>
          </cell>
          <cell r="DF1606">
            <v>19.02246437512116</v>
          </cell>
          <cell r="DG1606">
            <v>21.679348620667902</v>
          </cell>
          <cell r="DH1606">
            <v>18.362277992096409</v>
          </cell>
          <cell r="DI1606">
            <v>14.300000632844487</v>
          </cell>
          <cell r="DJ1606">
            <v>22.424555351348332</v>
          </cell>
          <cell r="DU1606">
            <v>9.4970639421260135</v>
          </cell>
          <cell r="DV1606">
            <v>11.644336226312735</v>
          </cell>
          <cell r="DW1606">
            <v>9.8476005987137558</v>
          </cell>
          <cell r="DX1606">
            <v>7.1073990168282446</v>
          </cell>
          <cell r="DY1606">
            <v>12.587802180599267</v>
          </cell>
        </row>
        <row r="1607">
          <cell r="A1607">
            <v>41712</v>
          </cell>
          <cell r="DF1607">
            <v>19.157648938920069</v>
          </cell>
          <cell r="DG1607">
            <v>21.679348620667902</v>
          </cell>
          <cell r="DH1607">
            <v>18.362277992096409</v>
          </cell>
          <cell r="DI1607">
            <v>14.300000632844487</v>
          </cell>
          <cell r="DJ1607">
            <v>22.424555351348332</v>
          </cell>
          <cell r="DU1607">
            <v>9.5740196534232727</v>
          </cell>
          <cell r="DV1607">
            <v>11.644336226312735</v>
          </cell>
          <cell r="DW1607">
            <v>9.8476005987137558</v>
          </cell>
          <cell r="DX1607">
            <v>7.1073990168282446</v>
          </cell>
          <cell r="DY1607">
            <v>12.587802180599267</v>
          </cell>
        </row>
        <row r="1608">
          <cell r="A1608">
            <v>41715</v>
          </cell>
          <cell r="DF1608">
            <v>19.350767537244277</v>
          </cell>
          <cell r="DG1608">
            <v>21.679348620667902</v>
          </cell>
          <cell r="DH1608">
            <v>18.362277992096409</v>
          </cell>
          <cell r="DI1608">
            <v>14.300000632844487</v>
          </cell>
          <cell r="DJ1608">
            <v>22.424555351348332</v>
          </cell>
          <cell r="DU1608">
            <v>9.6839551274236602</v>
          </cell>
          <cell r="DV1608">
            <v>11.644336226312735</v>
          </cell>
          <cell r="DW1608">
            <v>9.8476005987137558</v>
          </cell>
          <cell r="DX1608">
            <v>7.1073990168282446</v>
          </cell>
          <cell r="DY1608">
            <v>12.587802180599267</v>
          </cell>
        </row>
        <row r="1609">
          <cell r="A1609">
            <v>41716</v>
          </cell>
          <cell r="DF1609">
            <v>18.739663133336613</v>
          </cell>
          <cell r="DG1609">
            <v>21.679348620667902</v>
          </cell>
          <cell r="DH1609">
            <v>18.362277992096409</v>
          </cell>
          <cell r="DI1609">
            <v>14.300000632844487</v>
          </cell>
          <cell r="DJ1609">
            <v>22.424555351348332</v>
          </cell>
          <cell r="DU1609">
            <v>9.3376548388502165</v>
          </cell>
          <cell r="DV1609">
            <v>11.644336226312735</v>
          </cell>
          <cell r="DW1609">
            <v>9.8476005987137558</v>
          </cell>
          <cell r="DX1609">
            <v>7.1073990168282446</v>
          </cell>
          <cell r="DY1609">
            <v>12.587802180599267</v>
          </cell>
        </row>
        <row r="1610">
          <cell r="A1610">
            <v>41717</v>
          </cell>
          <cell r="DF1610">
            <v>18.841039805299935</v>
          </cell>
          <cell r="DG1610">
            <v>21.679348620667902</v>
          </cell>
          <cell r="DH1610">
            <v>18.362277992096409</v>
          </cell>
          <cell r="DI1610">
            <v>14.300000632844487</v>
          </cell>
          <cell r="DJ1610">
            <v>22.424555351348332</v>
          </cell>
          <cell r="DU1610">
            <v>9.3953734775121092</v>
          </cell>
          <cell r="DV1610">
            <v>11.644336226312735</v>
          </cell>
          <cell r="DW1610">
            <v>9.8476005987137558</v>
          </cell>
          <cell r="DX1610">
            <v>7.1073990168282446</v>
          </cell>
          <cell r="DY1610">
            <v>12.587802180599267</v>
          </cell>
        </row>
        <row r="1611">
          <cell r="A1611">
            <v>41718</v>
          </cell>
          <cell r="DF1611">
            <v>19.582304056337343</v>
          </cell>
          <cell r="DG1611">
            <v>21.679348620667902</v>
          </cell>
          <cell r="DH1611">
            <v>18.362277992096409</v>
          </cell>
          <cell r="DI1611">
            <v>14.300000632844487</v>
          </cell>
          <cell r="DJ1611">
            <v>22.424555351348332</v>
          </cell>
          <cell r="DU1611">
            <v>9.8080105600637708</v>
          </cell>
          <cell r="DV1611">
            <v>11.644336226312735</v>
          </cell>
          <cell r="DW1611">
            <v>9.8476005987137558</v>
          </cell>
          <cell r="DX1611">
            <v>7.1073990168282446</v>
          </cell>
          <cell r="DY1611">
            <v>12.587802180599267</v>
          </cell>
        </row>
        <row r="1612">
          <cell r="A1612">
            <v>41719</v>
          </cell>
          <cell r="DF1612">
            <v>20.358844354412952</v>
          </cell>
          <cell r="DG1612">
            <v>21.679348620667902</v>
          </cell>
          <cell r="DH1612">
            <v>18.362277992096409</v>
          </cell>
          <cell r="DI1612">
            <v>14.300000632844487</v>
          </cell>
          <cell r="DJ1612">
            <v>22.424555351348332</v>
          </cell>
          <cell r="DU1612">
            <v>10.249658325958736</v>
          </cell>
          <cell r="DV1612">
            <v>11.644336226312735</v>
          </cell>
          <cell r="DW1612">
            <v>9.8476005987137558</v>
          </cell>
          <cell r="DX1612">
            <v>7.1073990168282446</v>
          </cell>
          <cell r="DY1612">
            <v>12.587802180599267</v>
          </cell>
        </row>
        <row r="1613">
          <cell r="A1613">
            <v>41722</v>
          </cell>
          <cell r="DF1613">
            <v>19.391327508334374</v>
          </cell>
          <cell r="DG1613">
            <v>21.679348620667902</v>
          </cell>
          <cell r="DH1613">
            <v>18.362277992096409</v>
          </cell>
          <cell r="DI1613">
            <v>14.300000632844487</v>
          </cell>
          <cell r="DJ1613">
            <v>22.424555351348332</v>
          </cell>
          <cell r="DU1613">
            <v>9.7165686570616785</v>
          </cell>
          <cell r="DV1613">
            <v>11.644336226312735</v>
          </cell>
          <cell r="DW1613">
            <v>9.8476005987137558</v>
          </cell>
          <cell r="DX1613">
            <v>7.1073990168282446</v>
          </cell>
          <cell r="DY1613">
            <v>12.587802180599267</v>
          </cell>
        </row>
        <row r="1614">
          <cell r="A1614">
            <v>41723</v>
          </cell>
          <cell r="DF1614">
            <v>19.430140256062675</v>
          </cell>
          <cell r="DG1614">
            <v>21.679348620667902</v>
          </cell>
          <cell r="DH1614">
            <v>18.362277992096409</v>
          </cell>
          <cell r="DI1614">
            <v>14.300000632844487</v>
          </cell>
          <cell r="DJ1614">
            <v>22.424555351348332</v>
          </cell>
          <cell r="DU1614">
            <v>10.019476006514697</v>
          </cell>
          <cell r="DV1614">
            <v>11.644336226312735</v>
          </cell>
          <cell r="DW1614">
            <v>9.8476005987137558</v>
          </cell>
          <cell r="DX1614">
            <v>7.1073990168282446</v>
          </cell>
          <cell r="DY1614">
            <v>12.587802180599267</v>
          </cell>
        </row>
        <row r="1615">
          <cell r="A1615">
            <v>41724</v>
          </cell>
          <cell r="DF1615">
            <v>19.871626164961775</v>
          </cell>
          <cell r="DG1615">
            <v>21.679348620667902</v>
          </cell>
          <cell r="DH1615">
            <v>18.362277992096409</v>
          </cell>
          <cell r="DI1615">
            <v>14.300000632844487</v>
          </cell>
          <cell r="DJ1615">
            <v>22.424555351348332</v>
          </cell>
          <cell r="DU1615">
            <v>10.281401787876096</v>
          </cell>
          <cell r="DV1615">
            <v>11.644336226312735</v>
          </cell>
          <cell r="DW1615">
            <v>9.8476005987137558</v>
          </cell>
          <cell r="DX1615">
            <v>7.1073990168282446</v>
          </cell>
          <cell r="DY1615">
            <v>12.587802180599267</v>
          </cell>
        </row>
        <row r="1616">
          <cell r="A1616">
            <v>41725</v>
          </cell>
          <cell r="DF1616">
            <v>19.830704856092336</v>
          </cell>
          <cell r="DG1616">
            <v>21.679348620667902</v>
          </cell>
          <cell r="DH1616">
            <v>18.362277992096409</v>
          </cell>
          <cell r="DI1616">
            <v>14.300000632844487</v>
          </cell>
          <cell r="DJ1616">
            <v>22.424555351348332</v>
          </cell>
          <cell r="DU1616">
            <v>11.035707214485839</v>
          </cell>
          <cell r="DV1616">
            <v>11.644336226312735</v>
          </cell>
          <cell r="DW1616">
            <v>9.8476005987137558</v>
          </cell>
          <cell r="DX1616">
            <v>7.1073990168282446</v>
          </cell>
          <cell r="DY1616">
            <v>12.587802180599267</v>
          </cell>
        </row>
        <row r="1617">
          <cell r="A1617">
            <v>41726</v>
          </cell>
          <cell r="DF1617">
            <v>17.046076577902454</v>
          </cell>
          <cell r="DG1617">
            <v>21.679348620667902</v>
          </cell>
          <cell r="DH1617">
            <v>18.362277992096409</v>
          </cell>
          <cell r="DI1617">
            <v>14.300000632844487</v>
          </cell>
          <cell r="DJ1617">
            <v>22.424555351348332</v>
          </cell>
          <cell r="DU1617">
            <v>9.6370146447797769</v>
          </cell>
          <cell r="DV1617">
            <v>11.644336226312735</v>
          </cell>
          <cell r="DW1617">
            <v>9.8476005987137558</v>
          </cell>
          <cell r="DX1617">
            <v>7.1073990168282446</v>
          </cell>
          <cell r="DY1617">
            <v>12.587802180599267</v>
          </cell>
        </row>
        <row r="1618">
          <cell r="A1618">
            <v>41729</v>
          </cell>
          <cell r="DF1618">
            <v>16.306926513841752</v>
          </cell>
          <cell r="DG1618">
            <v>21.679348620667902</v>
          </cell>
          <cell r="DH1618">
            <v>18.362277992096409</v>
          </cell>
          <cell r="DI1618">
            <v>14.300000632844487</v>
          </cell>
          <cell r="DJ1618">
            <v>22.424555351348332</v>
          </cell>
          <cell r="DU1618">
            <v>9.0456150082731508</v>
          </cell>
          <cell r="DV1618">
            <v>11.644336226312735</v>
          </cell>
          <cell r="DW1618">
            <v>9.8476005987137558</v>
          </cell>
          <cell r="DX1618">
            <v>7.1073990168282446</v>
          </cell>
          <cell r="DY1618">
            <v>12.587802180599267</v>
          </cell>
        </row>
        <row r="1619">
          <cell r="A1619">
            <v>41730</v>
          </cell>
          <cell r="DF1619">
            <v>16.435182813596128</v>
          </cell>
          <cell r="DG1619">
            <v>21.679348620667902</v>
          </cell>
          <cell r="DH1619">
            <v>18.362277992096409</v>
          </cell>
          <cell r="DI1619">
            <v>14.300000632844487</v>
          </cell>
          <cell r="DJ1619">
            <v>22.424555351348332</v>
          </cell>
          <cell r="DU1619">
            <v>9.1229169288408496</v>
          </cell>
          <cell r="DV1619">
            <v>11.644336226312735</v>
          </cell>
          <cell r="DW1619">
            <v>9.8476005987137558</v>
          </cell>
          <cell r="DX1619">
            <v>7.1073990168282446</v>
          </cell>
          <cell r="DY1619">
            <v>12.587802180599267</v>
          </cell>
        </row>
        <row r="1620">
          <cell r="A1620">
            <v>41731</v>
          </cell>
          <cell r="DF1620">
            <v>16.517637250955499</v>
          </cell>
          <cell r="DG1620">
            <v>21.679348620667902</v>
          </cell>
          <cell r="DH1620">
            <v>18.362277992096409</v>
          </cell>
          <cell r="DI1620">
            <v>14.300000632844487</v>
          </cell>
          <cell r="DJ1620">
            <v>22.424555351348332</v>
          </cell>
          <cell r="DU1620">
            <v>9.1726134067480896</v>
          </cell>
          <cell r="DV1620">
            <v>11.644336226312735</v>
          </cell>
          <cell r="DW1620">
            <v>9.8476005987137558</v>
          </cell>
          <cell r="DX1620">
            <v>7.1073990168282446</v>
          </cell>
          <cell r="DY1620">
            <v>12.587802180599267</v>
          </cell>
        </row>
        <row r="1621">
          <cell r="A1621">
            <v>41732</v>
          </cell>
          <cell r="DF1621">
            <v>16.333652393332812</v>
          </cell>
          <cell r="DG1621">
            <v>21.679348620667902</v>
          </cell>
          <cell r="DH1621">
            <v>18.362277992096409</v>
          </cell>
          <cell r="DI1621">
            <v>14.300000632844487</v>
          </cell>
          <cell r="DJ1621">
            <v>22.424555351348332</v>
          </cell>
          <cell r="DU1621">
            <v>9.0482711484139369</v>
          </cell>
          <cell r="DV1621">
            <v>11.644336226312735</v>
          </cell>
          <cell r="DW1621">
            <v>9.8476005987137558</v>
          </cell>
          <cell r="DX1621">
            <v>7.1073990168282446</v>
          </cell>
          <cell r="DY1621">
            <v>12.587802180599267</v>
          </cell>
        </row>
        <row r="1622">
          <cell r="A1622">
            <v>41733</v>
          </cell>
          <cell r="DF1622">
            <v>17.156968828378677</v>
          </cell>
          <cell r="DG1622">
            <v>21.679348620667902</v>
          </cell>
          <cell r="DH1622">
            <v>18.362277992096409</v>
          </cell>
          <cell r="DI1622">
            <v>14.300000632844487</v>
          </cell>
          <cell r="DJ1622">
            <v>22.424555351348332</v>
          </cell>
          <cell r="DU1622">
            <v>9.5436972885390929</v>
          </cell>
          <cell r="DV1622">
            <v>11.644336226312735</v>
          </cell>
          <cell r="DW1622">
            <v>9.8476005987137558</v>
          </cell>
          <cell r="DX1622">
            <v>7.1073990168282446</v>
          </cell>
          <cell r="DY1622">
            <v>12.587802180599267</v>
          </cell>
        </row>
        <row r="1623">
          <cell r="A1623">
            <v>41736</v>
          </cell>
          <cell r="DF1623">
            <v>17.304239280141687</v>
          </cell>
          <cell r="DG1623">
            <v>21.679348620667902</v>
          </cell>
          <cell r="DH1623">
            <v>18.362277992096409</v>
          </cell>
          <cell r="DI1623">
            <v>14.300000632844487</v>
          </cell>
          <cell r="DJ1623">
            <v>22.424555351348332</v>
          </cell>
          <cell r="DU1623">
            <v>9.6427826266586365</v>
          </cell>
          <cell r="DV1623">
            <v>11.644336226312735</v>
          </cell>
          <cell r="DW1623">
            <v>9.8476005987137558</v>
          </cell>
          <cell r="DX1623">
            <v>7.1073990168282446</v>
          </cell>
          <cell r="DY1623">
            <v>12.587802180599267</v>
          </cell>
        </row>
        <row r="1624">
          <cell r="A1624">
            <v>41737</v>
          </cell>
          <cell r="DF1624">
            <v>16.929546485253869</v>
          </cell>
          <cell r="DG1624">
            <v>21.679348620667902</v>
          </cell>
          <cell r="DH1624">
            <v>18.362277992096409</v>
          </cell>
          <cell r="DI1624">
            <v>14.300000632844487</v>
          </cell>
          <cell r="DJ1624">
            <v>22.424555351348332</v>
          </cell>
          <cell r="DU1624">
            <v>9.4170866704231475</v>
          </cell>
          <cell r="DV1624">
            <v>11.644336226312735</v>
          </cell>
          <cell r="DW1624">
            <v>9.8476005987137558</v>
          </cell>
          <cell r="DX1624">
            <v>7.1073990168282446</v>
          </cell>
          <cell r="DY1624">
            <v>12.587802180599267</v>
          </cell>
        </row>
        <row r="1625">
          <cell r="A1625">
            <v>41738</v>
          </cell>
          <cell r="DF1625">
            <v>17.171723154990932</v>
          </cell>
          <cell r="DG1625">
            <v>21.679348620667902</v>
          </cell>
          <cell r="DH1625">
            <v>18.362277992096409</v>
          </cell>
          <cell r="DI1625">
            <v>14.300000632844487</v>
          </cell>
          <cell r="DJ1625">
            <v>22.424555351348332</v>
          </cell>
          <cell r="DU1625">
            <v>9.5629616266538857</v>
          </cell>
          <cell r="DV1625">
            <v>11.644336226312735</v>
          </cell>
          <cell r="DW1625">
            <v>9.8476005987137558</v>
          </cell>
          <cell r="DX1625">
            <v>7.1073990168282446</v>
          </cell>
          <cell r="DY1625">
            <v>12.587802180599267</v>
          </cell>
        </row>
        <row r="1626">
          <cell r="A1626">
            <v>41739</v>
          </cell>
          <cell r="DF1626">
            <v>16.701077497824588</v>
          </cell>
          <cell r="DG1626">
            <v>21.679348620667902</v>
          </cell>
          <cell r="DH1626">
            <v>18.362277992096409</v>
          </cell>
          <cell r="DI1626">
            <v>14.300000632844487</v>
          </cell>
          <cell r="DJ1626">
            <v>22.424555351348332</v>
          </cell>
          <cell r="DU1626">
            <v>9.2794685275297315</v>
          </cell>
          <cell r="DV1626">
            <v>11.644336226312735</v>
          </cell>
          <cell r="DW1626">
            <v>9.8476005987137558</v>
          </cell>
          <cell r="DX1626">
            <v>7.1073990168282446</v>
          </cell>
          <cell r="DY1626">
            <v>12.587802180599267</v>
          </cell>
        </row>
        <row r="1627">
          <cell r="A1627">
            <v>41740</v>
          </cell>
          <cell r="DF1627">
            <v>16.038912617596132</v>
          </cell>
          <cell r="DG1627">
            <v>21.679348620667902</v>
          </cell>
          <cell r="DH1627">
            <v>18.362277992096409</v>
          </cell>
          <cell r="DI1627">
            <v>14.300000632844487</v>
          </cell>
          <cell r="DJ1627">
            <v>22.424555351348332</v>
          </cell>
          <cell r="DU1627">
            <v>8.8955158763476287</v>
          </cell>
          <cell r="DV1627">
            <v>11.644336226312735</v>
          </cell>
          <cell r="DW1627">
            <v>9.8476005987137558</v>
          </cell>
          <cell r="DX1627">
            <v>7.1073990168282446</v>
          </cell>
          <cell r="DY1627">
            <v>12.587802180599267</v>
          </cell>
        </row>
        <row r="1628">
          <cell r="A1628">
            <v>41743</v>
          </cell>
          <cell r="DF1628">
            <v>15.264902960812242</v>
          </cell>
          <cell r="DG1628">
            <v>21.679348620667902</v>
          </cell>
          <cell r="DH1628">
            <v>18.362277992096409</v>
          </cell>
          <cell r="DI1628">
            <v>14.300000632844487</v>
          </cell>
          <cell r="DJ1628">
            <v>22.424555351348332</v>
          </cell>
          <cell r="DU1628">
            <v>8.5993069754207649</v>
          </cell>
          <cell r="DV1628">
            <v>11.644336226312735</v>
          </cell>
          <cell r="DW1628">
            <v>9.8476005987137558</v>
          </cell>
          <cell r="DX1628">
            <v>7.1073990168282446</v>
          </cell>
          <cell r="DY1628">
            <v>12.587802180599267</v>
          </cell>
        </row>
        <row r="1629">
          <cell r="A1629">
            <v>41744</v>
          </cell>
          <cell r="DF1629">
            <v>15.082460276293986</v>
          </cell>
          <cell r="DG1629">
            <v>21.679348620667902</v>
          </cell>
          <cell r="DH1629">
            <v>18.362277992096409</v>
          </cell>
          <cell r="DI1629">
            <v>14.300000632844487</v>
          </cell>
          <cell r="DJ1629">
            <v>22.424555351348332</v>
          </cell>
          <cell r="DU1629">
            <v>8.5682872593089758</v>
          </cell>
          <cell r="DV1629">
            <v>11.644336226312735</v>
          </cell>
          <cell r="DW1629">
            <v>9.8476005987137558</v>
          </cell>
          <cell r="DX1629">
            <v>7.1073990168282446</v>
          </cell>
          <cell r="DY1629">
            <v>12.587802180599267</v>
          </cell>
        </row>
        <row r="1630">
          <cell r="A1630">
            <v>41745</v>
          </cell>
          <cell r="DF1630">
            <v>15.140781985410728</v>
          </cell>
          <cell r="DG1630">
            <v>21.679348620667902</v>
          </cell>
          <cell r="DH1630">
            <v>18.362277992096409</v>
          </cell>
          <cell r="DI1630">
            <v>14.300000632844487</v>
          </cell>
          <cell r="DJ1630">
            <v>22.424555351348332</v>
          </cell>
          <cell r="DU1630">
            <v>8.5682872593089758</v>
          </cell>
          <cell r="DV1630">
            <v>11.644336226312735</v>
          </cell>
          <cell r="DW1630">
            <v>9.8476005987137558</v>
          </cell>
          <cell r="DX1630">
            <v>7.1073990168282446</v>
          </cell>
          <cell r="DY1630">
            <v>12.587802180599267</v>
          </cell>
        </row>
        <row r="1631">
          <cell r="A1631">
            <v>41746</v>
          </cell>
          <cell r="DF1631">
            <v>15.468939658657781</v>
          </cell>
          <cell r="DG1631">
            <v>21.679348620667902</v>
          </cell>
          <cell r="DH1631">
            <v>18.362277992096409</v>
          </cell>
          <cell r="DI1631">
            <v>14.300000632844487</v>
          </cell>
          <cell r="DJ1631">
            <v>22.424555351348332</v>
          </cell>
          <cell r="DU1631">
            <v>8.771324119336775</v>
          </cell>
          <cell r="DV1631">
            <v>11.644336226312735</v>
          </cell>
          <cell r="DW1631">
            <v>9.8476005987137558</v>
          </cell>
          <cell r="DX1631">
            <v>7.1073990168282446</v>
          </cell>
          <cell r="DY1631">
            <v>12.587802180599267</v>
          </cell>
        </row>
        <row r="1632">
          <cell r="A1632">
            <v>41747</v>
          </cell>
          <cell r="DF1632">
            <v>15.086091470660381</v>
          </cell>
          <cell r="DG1632">
            <v>21.679348620667902</v>
          </cell>
          <cell r="DH1632">
            <v>18.362277992096409</v>
          </cell>
          <cell r="DI1632">
            <v>14.300000632844487</v>
          </cell>
          <cell r="DJ1632">
            <v>22.424555351348332</v>
          </cell>
          <cell r="DU1632">
            <v>8.5344492866102417</v>
          </cell>
          <cell r="DV1632">
            <v>11.644336226312735</v>
          </cell>
          <cell r="DW1632">
            <v>9.8476005987137558</v>
          </cell>
          <cell r="DX1632">
            <v>7.1073990168282446</v>
          </cell>
          <cell r="DY1632">
            <v>12.587802180599267</v>
          </cell>
        </row>
        <row r="1633">
          <cell r="A1633">
            <v>41750</v>
          </cell>
          <cell r="DF1633">
            <v>15.303370760862201</v>
          </cell>
          <cell r="DG1633">
            <v>21.679348620667902</v>
          </cell>
          <cell r="DH1633">
            <v>18.362277992096409</v>
          </cell>
          <cell r="DI1633">
            <v>14.300000632844487</v>
          </cell>
          <cell r="DJ1633">
            <v>22.424555351348332</v>
          </cell>
          <cell r="DU1633">
            <v>8.7981759771835613</v>
          </cell>
          <cell r="DV1633">
            <v>11.644336226312735</v>
          </cell>
          <cell r="DW1633">
            <v>9.8476005987137558</v>
          </cell>
          <cell r="DX1633">
            <v>7.1073990168282446</v>
          </cell>
          <cell r="DY1633">
            <v>12.587802180599267</v>
          </cell>
        </row>
        <row r="1634">
          <cell r="A1634">
            <v>41751</v>
          </cell>
          <cell r="DF1634">
            <v>15.1435297466655</v>
          </cell>
          <cell r="DG1634">
            <v>21.679348620667902</v>
          </cell>
          <cell r="DH1634">
            <v>18.362277992096409</v>
          </cell>
          <cell r="DI1634">
            <v>14.300000632844487</v>
          </cell>
          <cell r="DJ1634">
            <v>22.424555351348332</v>
          </cell>
          <cell r="DU1634">
            <v>8.6977861324921104</v>
          </cell>
          <cell r="DV1634">
            <v>11.644336226312735</v>
          </cell>
          <cell r="DW1634">
            <v>9.8476005987137558</v>
          </cell>
          <cell r="DX1634">
            <v>7.1073990168282446</v>
          </cell>
          <cell r="DY1634">
            <v>12.587802180599267</v>
          </cell>
        </row>
        <row r="1635">
          <cell r="A1635">
            <v>41752</v>
          </cell>
          <cell r="DF1635">
            <v>15.482954011660572</v>
          </cell>
          <cell r="DG1635">
            <v>21.679348620667902</v>
          </cell>
          <cell r="DH1635">
            <v>18.362277992096409</v>
          </cell>
          <cell r="DI1635">
            <v>14.300000632844487</v>
          </cell>
          <cell r="DJ1635">
            <v>22.424555351348332</v>
          </cell>
          <cell r="DU1635">
            <v>8.9563740576897288</v>
          </cell>
          <cell r="DV1635">
            <v>11.644336226312735</v>
          </cell>
          <cell r="DW1635">
            <v>9.8476005987137558</v>
          </cell>
          <cell r="DX1635">
            <v>7.1073990168282446</v>
          </cell>
          <cell r="DY1635">
            <v>12.587802180599267</v>
          </cell>
        </row>
        <row r="1636">
          <cell r="A1636">
            <v>41753</v>
          </cell>
          <cell r="DF1636">
            <v>15.910917444404699</v>
          </cell>
          <cell r="DG1636">
            <v>21.679348620667902</v>
          </cell>
          <cell r="DH1636">
            <v>18.362277992096409</v>
          </cell>
          <cell r="DI1636">
            <v>14.300000632844487</v>
          </cell>
          <cell r="DJ1636">
            <v>22.424555351348332</v>
          </cell>
          <cell r="DU1636">
            <v>9.1396656550613962</v>
          </cell>
          <cell r="DV1636">
            <v>11.644336226312735</v>
          </cell>
          <cell r="DW1636">
            <v>9.8476005987137558</v>
          </cell>
          <cell r="DX1636">
            <v>7.1073990168282446</v>
          </cell>
          <cell r="DY1636">
            <v>12.587802180599267</v>
          </cell>
        </row>
        <row r="1637">
          <cell r="A1637">
            <v>41754</v>
          </cell>
          <cell r="DF1637">
            <v>16.036341929100022</v>
          </cell>
          <cell r="DG1637">
            <v>21.679348620667902</v>
          </cell>
          <cell r="DH1637">
            <v>18.362277992096409</v>
          </cell>
          <cell r="DI1637">
            <v>14.300000632844487</v>
          </cell>
          <cell r="DJ1637">
            <v>22.424555351348332</v>
          </cell>
          <cell r="DU1637">
            <v>9.218215788670669</v>
          </cell>
          <cell r="DV1637">
            <v>11.644336226312735</v>
          </cell>
          <cell r="DW1637">
            <v>9.8476005987137558</v>
          </cell>
          <cell r="DX1637">
            <v>7.1073990168282446</v>
          </cell>
          <cell r="DY1637">
            <v>12.587802180599267</v>
          </cell>
        </row>
        <row r="1638">
          <cell r="A1638">
            <v>41757</v>
          </cell>
          <cell r="DF1638">
            <v>16.510074658323418</v>
          </cell>
          <cell r="DG1638">
            <v>21.679348620667902</v>
          </cell>
          <cell r="DH1638">
            <v>18.362277992096409</v>
          </cell>
          <cell r="DI1638">
            <v>14.300000632844487</v>
          </cell>
          <cell r="DJ1638">
            <v>22.424555351348332</v>
          </cell>
          <cell r="DU1638">
            <v>9.5580399147990374</v>
          </cell>
          <cell r="DV1638">
            <v>11.644336226312735</v>
          </cell>
          <cell r="DW1638">
            <v>9.8476005987137558</v>
          </cell>
          <cell r="DX1638">
            <v>7.1073990168282446</v>
          </cell>
          <cell r="DY1638">
            <v>12.587802180599267</v>
          </cell>
        </row>
        <row r="1639">
          <cell r="A1639">
            <v>41758</v>
          </cell>
          <cell r="DF1639">
            <v>16.538175976319167</v>
          </cell>
          <cell r="DG1639">
            <v>21.679348620667902</v>
          </cell>
          <cell r="DH1639">
            <v>18.362277992096409</v>
          </cell>
          <cell r="DI1639">
            <v>14.300000632844487</v>
          </cell>
          <cell r="DJ1639">
            <v>22.424555351348332</v>
          </cell>
          <cell r="DU1639">
            <v>9.5757314453518987</v>
          </cell>
          <cell r="DV1639">
            <v>11.644336226312735</v>
          </cell>
          <cell r="DW1639">
            <v>9.8476005987137558</v>
          </cell>
          <cell r="DX1639">
            <v>7.1073990168282446</v>
          </cell>
          <cell r="DY1639">
            <v>12.587802180599267</v>
          </cell>
        </row>
        <row r="1640">
          <cell r="A1640">
            <v>41759</v>
          </cell>
          <cell r="DF1640">
            <v>16.182209399267467</v>
          </cell>
          <cell r="DG1640">
            <v>21.679348620667902</v>
          </cell>
          <cell r="DH1640">
            <v>18.362277992096409</v>
          </cell>
          <cell r="DI1640">
            <v>14.300000632844487</v>
          </cell>
          <cell r="DJ1640">
            <v>22.424555351348332</v>
          </cell>
          <cell r="DU1640">
            <v>9.3516283063226044</v>
          </cell>
          <cell r="DV1640">
            <v>11.644336226312735</v>
          </cell>
          <cell r="DW1640">
            <v>9.8476005987137558</v>
          </cell>
          <cell r="DX1640">
            <v>7.1073990168282446</v>
          </cell>
          <cell r="DY1640">
            <v>12.587802180599267</v>
          </cell>
        </row>
        <row r="1641">
          <cell r="A1641">
            <v>41760</v>
          </cell>
          <cell r="DF1641">
            <v>16.154108549642633</v>
          </cell>
          <cell r="DG1641">
            <v>21.679348620667902</v>
          </cell>
          <cell r="DH1641">
            <v>18.362277992096409</v>
          </cell>
          <cell r="DI1641">
            <v>14.300000632844487</v>
          </cell>
          <cell r="DJ1641">
            <v>22.424555351348332</v>
          </cell>
          <cell r="DU1641">
            <v>9.3339370706384166</v>
          </cell>
          <cell r="DV1641">
            <v>11.644336226312735</v>
          </cell>
          <cell r="DW1641">
            <v>9.8476005987137558</v>
          </cell>
          <cell r="DX1641">
            <v>7.1073990168282446</v>
          </cell>
          <cell r="DY1641">
            <v>12.587802180599267</v>
          </cell>
        </row>
        <row r="1642">
          <cell r="A1642">
            <v>41761</v>
          </cell>
          <cell r="DF1642">
            <v>15.685737637349771</v>
          </cell>
          <cell r="DG1642">
            <v>21.679348620667902</v>
          </cell>
          <cell r="DH1642">
            <v>18.362277992096409</v>
          </cell>
          <cell r="DI1642">
            <v>14.300000632844487</v>
          </cell>
          <cell r="DJ1642">
            <v>22.424555351348332</v>
          </cell>
          <cell r="DU1642">
            <v>9.0390683991350276</v>
          </cell>
          <cell r="DV1642">
            <v>11.644336226312735</v>
          </cell>
          <cell r="DW1642">
            <v>9.8476005987137558</v>
          </cell>
          <cell r="DX1642">
            <v>7.1073990168282446</v>
          </cell>
          <cell r="DY1642">
            <v>12.587802180599267</v>
          </cell>
        </row>
        <row r="1643">
          <cell r="A1643">
            <v>41764</v>
          </cell>
          <cell r="DF1643">
            <v>15.863720925875619</v>
          </cell>
          <cell r="DG1643">
            <v>21.679348620667902</v>
          </cell>
          <cell r="DH1643">
            <v>18.362277992096409</v>
          </cell>
          <cell r="DI1643">
            <v>14.300000632844487</v>
          </cell>
          <cell r="DJ1643">
            <v>22.424555351348332</v>
          </cell>
          <cell r="DU1643">
            <v>9.151119968649672</v>
          </cell>
          <cell r="DV1643">
            <v>11.644336226312735</v>
          </cell>
          <cell r="DW1643">
            <v>9.8476005987137558</v>
          </cell>
          <cell r="DX1643">
            <v>7.1073990168282446</v>
          </cell>
          <cell r="DY1643">
            <v>12.587802180599267</v>
          </cell>
        </row>
        <row r="1644">
          <cell r="A1644">
            <v>41765</v>
          </cell>
          <cell r="DF1644">
            <v>16.402344664786938</v>
          </cell>
          <cell r="DG1644">
            <v>21.679348620667902</v>
          </cell>
          <cell r="DH1644">
            <v>18.362277992096409</v>
          </cell>
          <cell r="DI1644">
            <v>14.300000632844487</v>
          </cell>
          <cell r="DJ1644">
            <v>22.424555351348332</v>
          </cell>
          <cell r="DU1644">
            <v>9.4902171716665435</v>
          </cell>
          <cell r="DV1644">
            <v>11.644336226312735</v>
          </cell>
          <cell r="DW1644">
            <v>9.8476005987137558</v>
          </cell>
          <cell r="DX1644">
            <v>7.1073990168282446</v>
          </cell>
          <cell r="DY1644">
            <v>12.587802180599267</v>
          </cell>
        </row>
        <row r="1645">
          <cell r="A1645">
            <v>41766</v>
          </cell>
          <cell r="DF1645">
            <v>17.165791125307951</v>
          </cell>
          <cell r="DG1645">
            <v>21.679348620667902</v>
          </cell>
          <cell r="DH1645">
            <v>18.362277992096409</v>
          </cell>
          <cell r="DI1645">
            <v>14.300000632844487</v>
          </cell>
          <cell r="DJ1645">
            <v>22.424555351348332</v>
          </cell>
          <cell r="DU1645">
            <v>9.9708542856917557</v>
          </cell>
          <cell r="DV1645">
            <v>11.644336226312735</v>
          </cell>
          <cell r="DW1645">
            <v>9.8476005987137558</v>
          </cell>
          <cell r="DX1645">
            <v>7.1073990168282446</v>
          </cell>
          <cell r="DY1645">
            <v>12.587802180599267</v>
          </cell>
        </row>
        <row r="1646">
          <cell r="A1646">
            <v>41767</v>
          </cell>
          <cell r="DF1646">
            <v>17.217312394031083</v>
          </cell>
          <cell r="DG1646">
            <v>21.679348620667902</v>
          </cell>
          <cell r="DH1646">
            <v>18.362277992096409</v>
          </cell>
          <cell r="DI1646">
            <v>14.300000632844487</v>
          </cell>
          <cell r="DJ1646">
            <v>22.424555351348332</v>
          </cell>
          <cell r="DU1646">
            <v>10.003290134425802</v>
          </cell>
          <cell r="DV1646">
            <v>11.644336226312735</v>
          </cell>
          <cell r="DW1646">
            <v>9.8476005987137558</v>
          </cell>
          <cell r="DX1646">
            <v>7.1073990168282446</v>
          </cell>
          <cell r="DY1646">
            <v>12.587802180599267</v>
          </cell>
        </row>
        <row r="1647">
          <cell r="A1647">
            <v>41768</v>
          </cell>
          <cell r="DF1647">
            <v>17.331596301743275</v>
          </cell>
          <cell r="DG1647">
            <v>21.679348620667902</v>
          </cell>
          <cell r="DH1647">
            <v>18.362277992096409</v>
          </cell>
          <cell r="DI1647">
            <v>14.300000632844487</v>
          </cell>
          <cell r="DJ1647">
            <v>22.424555351348332</v>
          </cell>
          <cell r="DU1647">
            <v>10.075238974878642</v>
          </cell>
          <cell r="DV1647">
            <v>11.644336226312735</v>
          </cell>
          <cell r="DW1647">
            <v>9.8476005987137558</v>
          </cell>
          <cell r="DX1647">
            <v>7.1073990168282446</v>
          </cell>
          <cell r="DY1647">
            <v>12.587802180599267</v>
          </cell>
        </row>
        <row r="1648">
          <cell r="A1648">
            <v>41771</v>
          </cell>
          <cell r="DF1648">
            <v>17.47491780090489</v>
          </cell>
          <cell r="DG1648">
            <v>21.679348620667902</v>
          </cell>
          <cell r="DH1648">
            <v>18.362277992096409</v>
          </cell>
          <cell r="DI1648">
            <v>14.300000632844487</v>
          </cell>
          <cell r="DJ1648">
            <v>22.424555351348332</v>
          </cell>
          <cell r="DU1648">
            <v>10.16546878835868</v>
          </cell>
          <cell r="DV1648">
            <v>11.644336226312735</v>
          </cell>
          <cell r="DW1648">
            <v>9.8476005987137558</v>
          </cell>
          <cell r="DX1648">
            <v>7.1073990168282446</v>
          </cell>
          <cell r="DY1648">
            <v>12.587802180599267</v>
          </cell>
        </row>
        <row r="1649">
          <cell r="A1649">
            <v>41772</v>
          </cell>
          <cell r="DF1649">
            <v>17.460867141907016</v>
          </cell>
          <cell r="DG1649">
            <v>21.679348620667902</v>
          </cell>
          <cell r="DH1649">
            <v>18.362277992096409</v>
          </cell>
          <cell r="DI1649">
            <v>14.300000632844487</v>
          </cell>
          <cell r="DJ1649">
            <v>22.424555351348332</v>
          </cell>
          <cell r="DU1649">
            <v>10.156623023082249</v>
          </cell>
          <cell r="DV1649">
            <v>11.644336226312735</v>
          </cell>
          <cell r="DW1649">
            <v>9.8476005987137558</v>
          </cell>
          <cell r="DX1649">
            <v>7.1073990168282446</v>
          </cell>
          <cell r="DY1649">
            <v>12.587802180599267</v>
          </cell>
        </row>
        <row r="1650">
          <cell r="A1650">
            <v>41773</v>
          </cell>
          <cell r="DF1650">
            <v>17.334405122104297</v>
          </cell>
          <cell r="DG1650">
            <v>21.679348620667902</v>
          </cell>
          <cell r="DH1650">
            <v>18.362277992096409</v>
          </cell>
          <cell r="DI1650">
            <v>14.300000632844487</v>
          </cell>
          <cell r="DJ1650">
            <v>22.424555351348332</v>
          </cell>
          <cell r="DU1650">
            <v>9.9866854417177642</v>
          </cell>
          <cell r="DV1650">
            <v>11.644336226312735</v>
          </cell>
          <cell r="DW1650">
            <v>9.8476005987137558</v>
          </cell>
          <cell r="DX1650">
            <v>7.1073990168282446</v>
          </cell>
          <cell r="DY1650">
            <v>12.587802180599267</v>
          </cell>
        </row>
        <row r="1651">
          <cell r="A1651">
            <v>41774</v>
          </cell>
          <cell r="DF1651">
            <v>17.390607289724876</v>
          </cell>
          <cell r="DG1651">
            <v>21.679348620667902</v>
          </cell>
          <cell r="DH1651">
            <v>18.362277992096409</v>
          </cell>
          <cell r="DI1651">
            <v>14.300000632844487</v>
          </cell>
          <cell r="DJ1651">
            <v>22.424555351348332</v>
          </cell>
          <cell r="DU1651">
            <v>10.021751066448088</v>
          </cell>
          <cell r="DV1651">
            <v>11.644336226312735</v>
          </cell>
          <cell r="DW1651">
            <v>9.8476005987137558</v>
          </cell>
          <cell r="DX1651">
            <v>7.1073990168282446</v>
          </cell>
          <cell r="DY1651">
            <v>12.587802180599267</v>
          </cell>
        </row>
        <row r="1652">
          <cell r="A1652">
            <v>41775</v>
          </cell>
          <cell r="DF1652">
            <v>17.69036467359231</v>
          </cell>
          <cell r="DG1652">
            <v>21.679348620667902</v>
          </cell>
          <cell r="DH1652">
            <v>18.362277992096409</v>
          </cell>
          <cell r="DI1652">
            <v>14.300000632844487</v>
          </cell>
          <cell r="DJ1652">
            <v>22.424555351348332</v>
          </cell>
          <cell r="DU1652">
            <v>10.208775524362229</v>
          </cell>
          <cell r="DV1652">
            <v>11.644336226312735</v>
          </cell>
          <cell r="DW1652">
            <v>9.8476005987137558</v>
          </cell>
          <cell r="DX1652">
            <v>7.1073990168282446</v>
          </cell>
          <cell r="DY1652">
            <v>12.587802180599267</v>
          </cell>
        </row>
        <row r="1653">
          <cell r="A1653">
            <v>41778</v>
          </cell>
          <cell r="DF1653">
            <v>17.42807789945013</v>
          </cell>
          <cell r="DG1653">
            <v>21.679348620667902</v>
          </cell>
          <cell r="DH1653">
            <v>18.362277992096409</v>
          </cell>
          <cell r="DI1653">
            <v>14.300000632844487</v>
          </cell>
          <cell r="DJ1653">
            <v>22.424555351348332</v>
          </cell>
          <cell r="DU1653">
            <v>10.045129708138788</v>
          </cell>
          <cell r="DV1653">
            <v>11.644336226312735</v>
          </cell>
          <cell r="DW1653">
            <v>9.8476005987137558</v>
          </cell>
          <cell r="DX1653">
            <v>7.1073990168282446</v>
          </cell>
          <cell r="DY1653">
            <v>12.587802180599267</v>
          </cell>
        </row>
        <row r="1654">
          <cell r="A1654">
            <v>41779</v>
          </cell>
          <cell r="DF1654">
            <v>18.177474169344187</v>
          </cell>
          <cell r="DG1654">
            <v>21.679348620667902</v>
          </cell>
          <cell r="DH1654">
            <v>18.362277992096409</v>
          </cell>
          <cell r="DI1654">
            <v>14.300000632844487</v>
          </cell>
          <cell r="DJ1654">
            <v>22.424555351348332</v>
          </cell>
          <cell r="DU1654">
            <v>10.512692606278433</v>
          </cell>
          <cell r="DV1654">
            <v>11.644336226312735</v>
          </cell>
          <cell r="DW1654">
            <v>9.8476005987137558</v>
          </cell>
          <cell r="DX1654">
            <v>7.1073990168282446</v>
          </cell>
          <cell r="DY1654">
            <v>12.587802180599267</v>
          </cell>
        </row>
        <row r="1655">
          <cell r="A1655">
            <v>41780</v>
          </cell>
          <cell r="DF1655">
            <v>18.228995438067312</v>
          </cell>
          <cell r="DG1655">
            <v>21.679348620667902</v>
          </cell>
          <cell r="DH1655">
            <v>18.362277992096409</v>
          </cell>
          <cell r="DI1655">
            <v>14.300000632844487</v>
          </cell>
          <cell r="DJ1655">
            <v>22.424555351348332</v>
          </cell>
          <cell r="DU1655">
            <v>10.54483772720814</v>
          </cell>
          <cell r="DV1655">
            <v>11.644336226312735</v>
          </cell>
          <cell r="DW1655">
            <v>9.8476005987137558</v>
          </cell>
          <cell r="DX1655">
            <v>7.1073990168282446</v>
          </cell>
          <cell r="DY1655">
            <v>12.587802180599267</v>
          </cell>
        </row>
        <row r="1656">
          <cell r="A1656">
            <v>41781</v>
          </cell>
          <cell r="DF1656">
            <v>18.225787514753574</v>
          </cell>
          <cell r="DG1656">
            <v>21.679348620667902</v>
          </cell>
          <cell r="DH1656">
            <v>18.362277992096409</v>
          </cell>
          <cell r="DI1656">
            <v>14.300000632844487</v>
          </cell>
          <cell r="DJ1656">
            <v>22.424555351348332</v>
          </cell>
          <cell r="DU1656">
            <v>10.601300504728515</v>
          </cell>
          <cell r="DV1656">
            <v>11.644336226312735</v>
          </cell>
          <cell r="DW1656">
            <v>9.8476005987137558</v>
          </cell>
          <cell r="DX1656">
            <v>7.1073990168282446</v>
          </cell>
          <cell r="DY1656">
            <v>12.587802180599267</v>
          </cell>
        </row>
        <row r="1657">
          <cell r="A1657">
            <v>41782</v>
          </cell>
          <cell r="DF1657">
            <v>17.895253147616756</v>
          </cell>
          <cell r="DG1657">
            <v>21.679348620667902</v>
          </cell>
          <cell r="DH1657">
            <v>18.362277992096409</v>
          </cell>
          <cell r="DI1657">
            <v>14.300000632844487</v>
          </cell>
          <cell r="DJ1657">
            <v>22.424555351348332</v>
          </cell>
          <cell r="DU1657">
            <v>10.394028627119749</v>
          </cell>
          <cell r="DV1657">
            <v>11.644336226312735</v>
          </cell>
          <cell r="DW1657">
            <v>9.8476005987137558</v>
          </cell>
          <cell r="DX1657">
            <v>7.1073990168282446</v>
          </cell>
          <cell r="DY1657">
            <v>12.587802180599267</v>
          </cell>
        </row>
        <row r="1658">
          <cell r="A1658">
            <v>41785</v>
          </cell>
          <cell r="DF1658">
            <v>17.643865729696799</v>
          </cell>
          <cell r="DG1658">
            <v>21.679348620667902</v>
          </cell>
          <cell r="DH1658">
            <v>18.362277992096409</v>
          </cell>
          <cell r="DI1658">
            <v>14.300000632844487</v>
          </cell>
          <cell r="DJ1658">
            <v>22.424555351348332</v>
          </cell>
          <cell r="DU1658">
            <v>10.236388311013311</v>
          </cell>
          <cell r="DV1658">
            <v>11.644336226312735</v>
          </cell>
          <cell r="DW1658">
            <v>9.8476005987137558</v>
          </cell>
          <cell r="DX1658">
            <v>7.1073990168282446</v>
          </cell>
          <cell r="DY1658">
            <v>12.587802180599267</v>
          </cell>
        </row>
        <row r="1659">
          <cell r="A1659">
            <v>41786</v>
          </cell>
          <cell r="DF1659">
            <v>17.643865729696799</v>
          </cell>
          <cell r="DG1659">
            <v>21.679348620667902</v>
          </cell>
          <cell r="DH1659">
            <v>18.362277992096409</v>
          </cell>
          <cell r="DI1659">
            <v>14.300000632844487</v>
          </cell>
          <cell r="DJ1659">
            <v>22.424555351348332</v>
          </cell>
          <cell r="DU1659">
            <v>10.236388311013311</v>
          </cell>
          <cell r="DV1659">
            <v>11.644336226312735</v>
          </cell>
          <cell r="DW1659">
            <v>9.8476005987137558</v>
          </cell>
          <cell r="DX1659">
            <v>7.1073990168282446</v>
          </cell>
          <cell r="DY1659">
            <v>12.587802180599267</v>
          </cell>
        </row>
        <row r="1660">
          <cell r="A1660">
            <v>41787</v>
          </cell>
          <cell r="DF1660">
            <v>17.527753366859503</v>
          </cell>
          <cell r="DG1660">
            <v>21.679348620667902</v>
          </cell>
          <cell r="DH1660">
            <v>18.362277992096409</v>
          </cell>
          <cell r="DI1660">
            <v>14.300000632844487</v>
          </cell>
          <cell r="DJ1660">
            <v>22.424555351348332</v>
          </cell>
          <cell r="DU1660">
            <v>10.163405872270269</v>
          </cell>
          <cell r="DV1660">
            <v>11.644336226312735</v>
          </cell>
          <cell r="DW1660">
            <v>9.8476005987137558</v>
          </cell>
          <cell r="DX1660">
            <v>7.1073990168282446</v>
          </cell>
          <cell r="DY1660">
            <v>12.587802180599267</v>
          </cell>
        </row>
        <row r="1661">
          <cell r="A1661">
            <v>41788</v>
          </cell>
          <cell r="DF1661">
            <v>17.248423782195136</v>
          </cell>
          <cell r="DG1661">
            <v>21.679348620667902</v>
          </cell>
          <cell r="DH1661">
            <v>18.362277992096409</v>
          </cell>
          <cell r="DI1661">
            <v>14.300000632844487</v>
          </cell>
          <cell r="DJ1661">
            <v>22.424555351348332</v>
          </cell>
          <cell r="DU1661">
            <v>9.9882462677084405</v>
          </cell>
          <cell r="DV1661">
            <v>11.644336226312735</v>
          </cell>
          <cell r="DW1661">
            <v>9.8476005987137558</v>
          </cell>
          <cell r="DX1661">
            <v>7.1073990168282446</v>
          </cell>
          <cell r="DY1661">
            <v>12.587802180599267</v>
          </cell>
        </row>
        <row r="1662">
          <cell r="A1662">
            <v>41789</v>
          </cell>
          <cell r="DF1662">
            <v>17.551031996109835</v>
          </cell>
          <cell r="DG1662">
            <v>21.679348620667902</v>
          </cell>
          <cell r="DH1662">
            <v>18.362277992096409</v>
          </cell>
          <cell r="DI1662">
            <v>14.300000632844487</v>
          </cell>
          <cell r="DJ1662">
            <v>22.424555351348332</v>
          </cell>
          <cell r="DU1662">
            <v>10.178003235808143</v>
          </cell>
          <cell r="DV1662">
            <v>11.644336226312735</v>
          </cell>
          <cell r="DW1662">
            <v>9.8476005987137558</v>
          </cell>
          <cell r="DX1662">
            <v>7.1073990168282446</v>
          </cell>
          <cell r="DY1662">
            <v>12.587802180599267</v>
          </cell>
        </row>
        <row r="1663">
          <cell r="A1663">
            <v>41792</v>
          </cell>
          <cell r="DF1663">
            <v>17.504474737609176</v>
          </cell>
          <cell r="DG1663">
            <v>21.679348620667902</v>
          </cell>
          <cell r="DH1663">
            <v>18.362277992096409</v>
          </cell>
          <cell r="DI1663">
            <v>14.300000632844487</v>
          </cell>
          <cell r="DJ1663">
            <v>22.424555351348332</v>
          </cell>
          <cell r="DU1663">
            <v>10.148808508732397</v>
          </cell>
          <cell r="DV1663">
            <v>11.644336226312735</v>
          </cell>
          <cell r="DW1663">
            <v>9.8476005987137558</v>
          </cell>
          <cell r="DX1663">
            <v>7.1073990168282446</v>
          </cell>
          <cell r="DY1663">
            <v>12.587802180599267</v>
          </cell>
        </row>
        <row r="1664">
          <cell r="A1664">
            <v>41793</v>
          </cell>
          <cell r="DF1664">
            <v>17.718628536492357</v>
          </cell>
          <cell r="DG1664">
            <v>21.679348620667902</v>
          </cell>
          <cell r="DH1664">
            <v>18.362277992096409</v>
          </cell>
          <cell r="DI1664">
            <v>14.300000632844487</v>
          </cell>
          <cell r="DJ1664">
            <v>22.424555351348332</v>
          </cell>
          <cell r="DU1664">
            <v>10.283098239527877</v>
          </cell>
          <cell r="DV1664">
            <v>11.644336226312735</v>
          </cell>
          <cell r="DW1664">
            <v>9.8476005987137558</v>
          </cell>
          <cell r="DX1664">
            <v>7.1073990168282446</v>
          </cell>
          <cell r="DY1664">
            <v>12.587802180599267</v>
          </cell>
        </row>
        <row r="1665">
          <cell r="A1665">
            <v>41794</v>
          </cell>
          <cell r="DF1665">
            <v>18.659763901514395</v>
          </cell>
          <cell r="DG1665">
            <v>21.679348620667902</v>
          </cell>
          <cell r="DH1665">
            <v>18.362277992096409</v>
          </cell>
          <cell r="DI1665">
            <v>14.300000632844487</v>
          </cell>
          <cell r="DJ1665">
            <v>22.424555351348332</v>
          </cell>
          <cell r="DU1665">
            <v>10.809924696453738</v>
          </cell>
          <cell r="DV1665">
            <v>11.644336226312735</v>
          </cell>
          <cell r="DW1665">
            <v>9.8476005987137558</v>
          </cell>
          <cell r="DX1665">
            <v>7.1073990168282446</v>
          </cell>
          <cell r="DY1665">
            <v>12.587802180599267</v>
          </cell>
        </row>
        <row r="1666">
          <cell r="A1666">
            <v>41795</v>
          </cell>
          <cell r="DF1666">
            <v>18.059472991975657</v>
          </cell>
          <cell r="DG1666">
            <v>21.679348620667902</v>
          </cell>
          <cell r="DH1666">
            <v>18.362277992096409</v>
          </cell>
          <cell r="DI1666">
            <v>14.300000632844487</v>
          </cell>
          <cell r="DJ1666">
            <v>22.424555351348332</v>
          </cell>
          <cell r="DU1666">
            <v>10.435923336738187</v>
          </cell>
          <cell r="DV1666">
            <v>11.644336226312735</v>
          </cell>
          <cell r="DW1666">
            <v>9.8476005987137558</v>
          </cell>
          <cell r="DX1666">
            <v>7.1073990168282446</v>
          </cell>
          <cell r="DY1666">
            <v>12.587802180599267</v>
          </cell>
        </row>
        <row r="1667">
          <cell r="A1667">
            <v>41796</v>
          </cell>
          <cell r="DF1667">
            <v>17.781093226233423</v>
          </cell>
          <cell r="DG1667">
            <v>21.679348620667902</v>
          </cell>
          <cell r="DH1667">
            <v>18.362277992096409</v>
          </cell>
          <cell r="DI1667">
            <v>14.300000632844487</v>
          </cell>
          <cell r="DJ1667">
            <v>22.424555351348332</v>
          </cell>
          <cell r="DU1667">
            <v>10.251294768912794</v>
          </cell>
          <cell r="DV1667">
            <v>11.644336226312735</v>
          </cell>
          <cell r="DW1667">
            <v>9.8476005987137558</v>
          </cell>
          <cell r="DX1667">
            <v>7.1073990168282446</v>
          </cell>
          <cell r="DY1667">
            <v>12.587802180599267</v>
          </cell>
        </row>
        <row r="1668">
          <cell r="A1668">
            <v>41799</v>
          </cell>
          <cell r="DF1668">
            <v>17.249092092089224</v>
          </cell>
          <cell r="DG1668">
            <v>21.679348620667902</v>
          </cell>
          <cell r="DH1668">
            <v>18.362277992096409</v>
          </cell>
          <cell r="DI1668">
            <v>14.300000632844487</v>
          </cell>
          <cell r="DJ1668">
            <v>22.424555351348332</v>
          </cell>
          <cell r="DU1668">
            <v>9.9154654459491702</v>
          </cell>
          <cell r="DV1668">
            <v>11.644336226312735</v>
          </cell>
          <cell r="DW1668">
            <v>9.8476005987137558</v>
          </cell>
          <cell r="DX1668">
            <v>7.1073990168282446</v>
          </cell>
          <cell r="DY1668">
            <v>12.587802180599267</v>
          </cell>
        </row>
        <row r="1669">
          <cell r="A1669">
            <v>41800</v>
          </cell>
          <cell r="DF1669">
            <v>17.895129829679675</v>
          </cell>
          <cell r="DG1669">
            <v>21.679348620667902</v>
          </cell>
          <cell r="DH1669">
            <v>18.362277992096409</v>
          </cell>
          <cell r="DI1669">
            <v>14.300000632844487</v>
          </cell>
          <cell r="DJ1669">
            <v>22.424555351348332</v>
          </cell>
          <cell r="DU1669">
            <v>10.317315769294151</v>
          </cell>
          <cell r="DV1669">
            <v>11.644336226312735</v>
          </cell>
          <cell r="DW1669">
            <v>9.8476005987137558</v>
          </cell>
          <cell r="DX1669">
            <v>7.1073990168282446</v>
          </cell>
          <cell r="DY1669">
            <v>12.587802180599267</v>
          </cell>
        </row>
        <row r="1670">
          <cell r="A1670">
            <v>41801</v>
          </cell>
          <cell r="DF1670">
            <v>17.624628690899563</v>
          </cell>
          <cell r="DG1670">
            <v>21.679348620667902</v>
          </cell>
          <cell r="DH1670">
            <v>18.362277992096409</v>
          </cell>
          <cell r="DI1670">
            <v>14.300000632844487</v>
          </cell>
          <cell r="DJ1670">
            <v>22.424555351348332</v>
          </cell>
          <cell r="DU1670">
            <v>10.084814416828818</v>
          </cell>
          <cell r="DV1670">
            <v>11.644336226312735</v>
          </cell>
          <cell r="DW1670">
            <v>9.8476005987137558</v>
          </cell>
          <cell r="DX1670">
            <v>7.1073990168282446</v>
          </cell>
          <cell r="DY1670">
            <v>12.587802180599267</v>
          </cell>
        </row>
        <row r="1671">
          <cell r="A1671">
            <v>41802</v>
          </cell>
          <cell r="DF1671">
            <v>17.260273508244151</v>
          </cell>
          <cell r="DG1671">
            <v>21.679348620667902</v>
          </cell>
          <cell r="DH1671">
            <v>18.362277992096409</v>
          </cell>
          <cell r="DI1671">
            <v>14.300000632844487</v>
          </cell>
          <cell r="DJ1671">
            <v>22.424555351348332</v>
          </cell>
          <cell r="DU1671">
            <v>9.6659263963726509</v>
          </cell>
          <cell r="DV1671">
            <v>11.644336226312735</v>
          </cell>
          <cell r="DW1671">
            <v>9.8476005987137558</v>
          </cell>
          <cell r="DX1671">
            <v>7.1073990168282446</v>
          </cell>
          <cell r="DY1671">
            <v>12.587802180599267</v>
          </cell>
        </row>
        <row r="1672">
          <cell r="A1672">
            <v>41803</v>
          </cell>
          <cell r="DF1672">
            <v>17.473875087069342</v>
          </cell>
          <cell r="DG1672">
            <v>21.679348620667902</v>
          </cell>
          <cell r="DH1672">
            <v>18.362277992096409</v>
          </cell>
          <cell r="DI1672">
            <v>14.300000632844487</v>
          </cell>
          <cell r="DJ1672">
            <v>22.424555351348332</v>
          </cell>
          <cell r="DU1672">
            <v>9.7954238632100186</v>
          </cell>
          <cell r="DV1672">
            <v>11.644336226312735</v>
          </cell>
          <cell r="DW1672">
            <v>9.8476005987137558</v>
          </cell>
          <cell r="DX1672">
            <v>7.1073990168282446</v>
          </cell>
          <cell r="DY1672">
            <v>12.587802180599267</v>
          </cell>
        </row>
        <row r="1673">
          <cell r="A1673">
            <v>41806</v>
          </cell>
          <cell r="DF1673">
            <v>17.343854655214212</v>
          </cell>
          <cell r="DG1673">
            <v>21.679348620667902</v>
          </cell>
          <cell r="DH1673">
            <v>18.362277992096409</v>
          </cell>
          <cell r="DI1673">
            <v>14.300000632844487</v>
          </cell>
          <cell r="DJ1673">
            <v>22.424555351348332</v>
          </cell>
          <cell r="DU1673">
            <v>9.7165980574507849</v>
          </cell>
          <cell r="DV1673">
            <v>11.644336226312735</v>
          </cell>
          <cell r="DW1673">
            <v>9.8476005987137558</v>
          </cell>
          <cell r="DX1673">
            <v>7.1073990168282446</v>
          </cell>
          <cell r="DY1673">
            <v>12.587802180599267</v>
          </cell>
        </row>
        <row r="1674">
          <cell r="A1674">
            <v>41807</v>
          </cell>
          <cell r="DF1674">
            <v>17.190615277457056</v>
          </cell>
          <cell r="DG1674">
            <v>21.679348620667902</v>
          </cell>
          <cell r="DH1674">
            <v>18.362277992096409</v>
          </cell>
          <cell r="DI1674">
            <v>14.300000632844487</v>
          </cell>
          <cell r="DJ1674">
            <v>22.424555351348332</v>
          </cell>
          <cell r="DU1674">
            <v>9.6236956016336119</v>
          </cell>
          <cell r="DV1674">
            <v>11.644336226312735</v>
          </cell>
          <cell r="DW1674">
            <v>9.8476005987137558</v>
          </cell>
          <cell r="DX1674">
            <v>7.1073990168282446</v>
          </cell>
          <cell r="DY1674">
            <v>12.587802180599267</v>
          </cell>
        </row>
        <row r="1675">
          <cell r="A1675">
            <v>41808</v>
          </cell>
          <cell r="DF1675">
            <v>16.76696845570806</v>
          </cell>
          <cell r="DG1675">
            <v>21.679348620667902</v>
          </cell>
          <cell r="DH1675">
            <v>18.362277992096409</v>
          </cell>
          <cell r="DI1675">
            <v>14.300000632844487</v>
          </cell>
          <cell r="DJ1675">
            <v>22.424555351348332</v>
          </cell>
          <cell r="DU1675">
            <v>9.3675096918834875</v>
          </cell>
          <cell r="DV1675">
            <v>11.644336226312735</v>
          </cell>
          <cell r="DW1675">
            <v>9.8476005987137558</v>
          </cell>
          <cell r="DX1675">
            <v>7.1073990168282446</v>
          </cell>
          <cell r="DY1675">
            <v>12.587802180599267</v>
          </cell>
        </row>
        <row r="1676">
          <cell r="A1676">
            <v>41809</v>
          </cell>
          <cell r="DF1676">
            <v>17.203440070022793</v>
          </cell>
          <cell r="DG1676">
            <v>21.679348620667902</v>
          </cell>
          <cell r="DH1676">
            <v>18.362277992096409</v>
          </cell>
          <cell r="DI1676">
            <v>14.300000632844487</v>
          </cell>
          <cell r="DJ1676">
            <v>22.424555351348332</v>
          </cell>
          <cell r="DU1676">
            <v>9.6321406907988063</v>
          </cell>
          <cell r="DV1676">
            <v>11.644336226312735</v>
          </cell>
          <cell r="DW1676">
            <v>9.8476005987137558</v>
          </cell>
          <cell r="DX1676">
            <v>7.1073990168282446</v>
          </cell>
          <cell r="DY1676">
            <v>12.587802180599267</v>
          </cell>
        </row>
        <row r="1677">
          <cell r="A1677">
            <v>41810</v>
          </cell>
          <cell r="DF1677">
            <v>17.050210070866314</v>
          </cell>
          <cell r="DG1677">
            <v>21.679348620667902</v>
          </cell>
          <cell r="DH1677">
            <v>18.362277992096409</v>
          </cell>
          <cell r="DI1677">
            <v>14.300000632844487</v>
          </cell>
          <cell r="DJ1677">
            <v>22.424555351348332</v>
          </cell>
          <cell r="DU1677">
            <v>9.5392379534598923</v>
          </cell>
          <cell r="DV1677">
            <v>11.644336226312735</v>
          </cell>
          <cell r="DW1677">
            <v>9.8476005987137558</v>
          </cell>
          <cell r="DX1677">
            <v>7.1073990168282446</v>
          </cell>
          <cell r="DY1677">
            <v>12.587802180599267</v>
          </cell>
        </row>
        <row r="1678">
          <cell r="A1678">
            <v>41813</v>
          </cell>
          <cell r="DF1678">
            <v>16.762327472194116</v>
          </cell>
          <cell r="DG1678">
            <v>21.679348620667902</v>
          </cell>
          <cell r="DH1678">
            <v>18.362277992096409</v>
          </cell>
          <cell r="DI1678">
            <v>14.300000632844487</v>
          </cell>
          <cell r="DJ1678">
            <v>22.424555351348332</v>
          </cell>
          <cell r="DU1678">
            <v>9.3646958820892969</v>
          </cell>
          <cell r="DV1678">
            <v>11.644336226312735</v>
          </cell>
          <cell r="DW1678">
            <v>9.8476005987137558</v>
          </cell>
          <cell r="DX1678">
            <v>7.1073990168282446</v>
          </cell>
          <cell r="DY1678">
            <v>12.587802180599267</v>
          </cell>
        </row>
        <row r="1679">
          <cell r="A1679">
            <v>41814</v>
          </cell>
          <cell r="DF1679">
            <v>17.136260367778952</v>
          </cell>
          <cell r="DG1679">
            <v>21.679348620667902</v>
          </cell>
          <cell r="DH1679">
            <v>18.362277992096409</v>
          </cell>
          <cell r="DI1679">
            <v>14.300000632844487</v>
          </cell>
          <cell r="DJ1679">
            <v>22.424555351348332</v>
          </cell>
          <cell r="DU1679">
            <v>9.3905766016469592</v>
          </cell>
          <cell r="DV1679">
            <v>11.644336226312735</v>
          </cell>
          <cell r="DW1679">
            <v>9.8476005987137558</v>
          </cell>
          <cell r="DX1679">
            <v>7.1073990168282446</v>
          </cell>
          <cell r="DY1679">
            <v>12.587802180599267</v>
          </cell>
        </row>
        <row r="1680">
          <cell r="A1680">
            <v>41815</v>
          </cell>
          <cell r="DF1680">
            <v>17.159344002463882</v>
          </cell>
          <cell r="DG1680">
            <v>21.679348620667902</v>
          </cell>
          <cell r="DH1680">
            <v>18.362277992096409</v>
          </cell>
          <cell r="DI1680">
            <v>14.300000632844487</v>
          </cell>
          <cell r="DJ1680">
            <v>22.424555351348332</v>
          </cell>
          <cell r="DU1680">
            <v>9.5725047917087096</v>
          </cell>
          <cell r="DV1680">
            <v>11.644336226312735</v>
          </cell>
          <cell r="DW1680">
            <v>9.8476005987137558</v>
          </cell>
          <cell r="DX1680">
            <v>7.1073990168282446</v>
          </cell>
          <cell r="DY1680">
            <v>12.587802180599267</v>
          </cell>
        </row>
        <row r="1681">
          <cell r="A1681">
            <v>41816</v>
          </cell>
          <cell r="DF1681">
            <v>17.076244210204123</v>
          </cell>
          <cell r="DG1681">
            <v>21.679348620667902</v>
          </cell>
          <cell r="DH1681">
            <v>18.362277992096409</v>
          </cell>
          <cell r="DI1681">
            <v>14.300000632844487</v>
          </cell>
          <cell r="DJ1681">
            <v>22.424555351348332</v>
          </cell>
          <cell r="DU1681">
            <v>9.5222026422735322</v>
          </cell>
          <cell r="DV1681">
            <v>11.644336226312735</v>
          </cell>
          <cell r="DW1681">
            <v>9.8476005987137558</v>
          </cell>
          <cell r="DX1681">
            <v>7.1073990168282446</v>
          </cell>
          <cell r="DY1681">
            <v>12.587802180599267</v>
          </cell>
        </row>
        <row r="1682">
          <cell r="A1682">
            <v>41817</v>
          </cell>
          <cell r="DF1682">
            <v>17.034697545589207</v>
          </cell>
          <cell r="DG1682">
            <v>21.679348620667902</v>
          </cell>
          <cell r="DH1682">
            <v>18.362277992096409</v>
          </cell>
          <cell r="DI1682">
            <v>14.300000632844487</v>
          </cell>
          <cell r="DJ1682">
            <v>22.424555351348332</v>
          </cell>
          <cell r="DU1682">
            <v>9.4970535236637037</v>
          </cell>
          <cell r="DV1682">
            <v>11.644336226312735</v>
          </cell>
          <cell r="DW1682">
            <v>9.8476005987137558</v>
          </cell>
          <cell r="DX1682">
            <v>7.1073990168282446</v>
          </cell>
          <cell r="DY1682">
            <v>12.587802180599267</v>
          </cell>
        </row>
        <row r="1683">
          <cell r="A1683">
            <v>41820</v>
          </cell>
          <cell r="DF1683">
            <v>17.233201661923765</v>
          </cell>
          <cell r="DG1683">
            <v>21.679348620667902</v>
          </cell>
          <cell r="DH1683">
            <v>18.362277992096409</v>
          </cell>
          <cell r="DI1683">
            <v>14.300000632844487</v>
          </cell>
          <cell r="DJ1683">
            <v>22.424555351348332</v>
          </cell>
          <cell r="DU1683">
            <v>9.617212472944189</v>
          </cell>
          <cell r="DV1683">
            <v>11.644336226312735</v>
          </cell>
          <cell r="DW1683">
            <v>9.8476005987137558</v>
          </cell>
          <cell r="DX1683">
            <v>7.1073990168282446</v>
          </cell>
          <cell r="DY1683">
            <v>12.587802180599267</v>
          </cell>
        </row>
        <row r="1684">
          <cell r="A1684">
            <v>41821</v>
          </cell>
          <cell r="DF1684">
            <v>17.544331213252594</v>
          </cell>
          <cell r="DG1684">
            <v>21.679348620667902</v>
          </cell>
          <cell r="DH1684">
            <v>18.362277992096409</v>
          </cell>
          <cell r="DI1684">
            <v>14.300000632844487</v>
          </cell>
          <cell r="DJ1684">
            <v>22.424555351348332</v>
          </cell>
          <cell r="DU1684">
            <v>9.7566110113130637</v>
          </cell>
          <cell r="DV1684">
            <v>11.644336226312735</v>
          </cell>
          <cell r="DW1684">
            <v>9.8476005987137558</v>
          </cell>
          <cell r="DX1684">
            <v>7.1073990168282446</v>
          </cell>
          <cell r="DY1684">
            <v>12.587802180599267</v>
          </cell>
        </row>
        <row r="1685">
          <cell r="A1685">
            <v>41822</v>
          </cell>
          <cell r="DF1685">
            <v>17.790713836891602</v>
          </cell>
          <cell r="DG1685">
            <v>21.679348620667902</v>
          </cell>
          <cell r="DH1685">
            <v>18.362277992096409</v>
          </cell>
          <cell r="DI1685">
            <v>14.300000632844487</v>
          </cell>
          <cell r="DJ1685">
            <v>22.424555351348332</v>
          </cell>
          <cell r="DU1685">
            <v>9.9050938438276113</v>
          </cell>
          <cell r="DV1685">
            <v>11.644336226312735</v>
          </cell>
          <cell r="DW1685">
            <v>9.8476005987137558</v>
          </cell>
          <cell r="DX1685">
            <v>7.1073990168282446</v>
          </cell>
          <cell r="DY1685">
            <v>12.587802180599267</v>
          </cell>
        </row>
        <row r="1686">
          <cell r="A1686">
            <v>41823</v>
          </cell>
          <cell r="DF1686">
            <v>18.372942465996264</v>
          </cell>
          <cell r="DG1686">
            <v>21.679348620667902</v>
          </cell>
          <cell r="DH1686">
            <v>18.362277992096409</v>
          </cell>
          <cell r="DI1686">
            <v>14.300000632844487</v>
          </cell>
          <cell r="DJ1686">
            <v>22.424555351348332</v>
          </cell>
          <cell r="DU1686">
            <v>10.109611121339354</v>
          </cell>
          <cell r="DV1686">
            <v>11.644336226312735</v>
          </cell>
          <cell r="DW1686">
            <v>9.8476005987137558</v>
          </cell>
          <cell r="DX1686">
            <v>7.1073990168282446</v>
          </cell>
          <cell r="DY1686">
            <v>12.587802180599267</v>
          </cell>
        </row>
        <row r="1687">
          <cell r="A1687">
            <v>41824</v>
          </cell>
          <cell r="DF1687">
            <v>17.654818511302192</v>
          </cell>
          <cell r="DG1687">
            <v>21.679348620667902</v>
          </cell>
          <cell r="DH1687">
            <v>18.362277992096409</v>
          </cell>
          <cell r="DI1687">
            <v>14.300000632844487</v>
          </cell>
          <cell r="DJ1687">
            <v>22.424555351348332</v>
          </cell>
          <cell r="DU1687">
            <v>9.4470846252569718</v>
          </cell>
          <cell r="DV1687">
            <v>11.644336226312735</v>
          </cell>
          <cell r="DW1687">
            <v>9.8476005987137558</v>
          </cell>
          <cell r="DX1687">
            <v>7.1073990168282446</v>
          </cell>
          <cell r="DY1687">
            <v>12.587802180599267</v>
          </cell>
        </row>
        <row r="1688">
          <cell r="A1688">
            <v>41827</v>
          </cell>
          <cell r="DF1688">
            <v>17.65702942104792</v>
          </cell>
          <cell r="DG1688">
            <v>21.679348620667902</v>
          </cell>
          <cell r="DH1688">
            <v>18.362277992096409</v>
          </cell>
          <cell r="DI1688">
            <v>14.300000632844487</v>
          </cell>
          <cell r="DJ1688">
            <v>22.424555351348332</v>
          </cell>
          <cell r="DU1688">
            <v>9.4616326285738115</v>
          </cell>
          <cell r="DV1688">
            <v>11.644336226312735</v>
          </cell>
          <cell r="DW1688">
            <v>9.8476005987137558</v>
          </cell>
          <cell r="DX1688">
            <v>7.1073990168282446</v>
          </cell>
          <cell r="DY1688">
            <v>12.587802180599267</v>
          </cell>
        </row>
        <row r="1689">
          <cell r="A1689">
            <v>41828</v>
          </cell>
          <cell r="DF1689">
            <v>17.789267334352971</v>
          </cell>
          <cell r="DG1689">
            <v>21.679348620667902</v>
          </cell>
          <cell r="DH1689">
            <v>18.362277992096409</v>
          </cell>
          <cell r="DI1689">
            <v>14.300000632844487</v>
          </cell>
          <cell r="DJ1689">
            <v>22.424555351348332</v>
          </cell>
          <cell r="DU1689">
            <v>9.5343535590893058</v>
          </cell>
          <cell r="DV1689">
            <v>11.644336226312735</v>
          </cell>
          <cell r="DW1689">
            <v>9.8476005987137558</v>
          </cell>
          <cell r="DX1689">
            <v>7.1073990168282446</v>
          </cell>
          <cell r="DY1689">
            <v>12.587802180599267</v>
          </cell>
        </row>
        <row r="1690">
          <cell r="A1690">
            <v>41829</v>
          </cell>
          <cell r="DF1690">
            <v>18.422095297193007</v>
          </cell>
          <cell r="DG1690">
            <v>21.679348620667902</v>
          </cell>
          <cell r="DH1690">
            <v>18.362277992096409</v>
          </cell>
          <cell r="DI1690">
            <v>14.300000632844487</v>
          </cell>
          <cell r="DJ1690">
            <v>22.424555351348332</v>
          </cell>
          <cell r="DU1690">
            <v>9.8177619670024932</v>
          </cell>
          <cell r="DV1690">
            <v>11.644336226312735</v>
          </cell>
          <cell r="DW1690">
            <v>9.8476005987137558</v>
          </cell>
          <cell r="DX1690">
            <v>7.1073990168282446</v>
          </cell>
          <cell r="DY1690">
            <v>12.587802180599267</v>
          </cell>
        </row>
        <row r="1691">
          <cell r="A1691">
            <v>41830</v>
          </cell>
          <cell r="DF1691">
            <v>18.678851511145172</v>
          </cell>
          <cell r="DG1691">
            <v>21.679348620667902</v>
          </cell>
          <cell r="DH1691">
            <v>18.362277992096409</v>
          </cell>
          <cell r="DI1691">
            <v>14.300000632844487</v>
          </cell>
          <cell r="DJ1691">
            <v>22.424555351348332</v>
          </cell>
          <cell r="DU1691">
            <v>9.8875082730686703</v>
          </cell>
          <cell r="DV1691">
            <v>11.644336226312735</v>
          </cell>
          <cell r="DW1691">
            <v>9.8476005987137558</v>
          </cell>
          <cell r="DX1691">
            <v>7.1073990168282446</v>
          </cell>
          <cell r="DY1691">
            <v>12.587802180599267</v>
          </cell>
        </row>
        <row r="1692">
          <cell r="A1692">
            <v>41831</v>
          </cell>
          <cell r="DF1692">
            <v>18.79408920554955</v>
          </cell>
          <cell r="DG1692">
            <v>21.679348620667902</v>
          </cell>
          <cell r="DH1692">
            <v>18.362277992096409</v>
          </cell>
          <cell r="DI1692">
            <v>14.300000632844487</v>
          </cell>
          <cell r="DJ1692">
            <v>22.424555351348332</v>
          </cell>
          <cell r="DU1692">
            <v>10.055242816004723</v>
          </cell>
          <cell r="DV1692">
            <v>11.644336226312735</v>
          </cell>
          <cell r="DW1692">
            <v>9.8476005987137558</v>
          </cell>
          <cell r="DX1692">
            <v>7.1073990168282446</v>
          </cell>
          <cell r="DY1692">
            <v>12.587802180599267</v>
          </cell>
        </row>
        <row r="1693">
          <cell r="A1693">
            <v>41834</v>
          </cell>
          <cell r="DF1693">
            <v>18.70250720967173</v>
          </cell>
          <cell r="DG1693">
            <v>21.679348620667902</v>
          </cell>
          <cell r="DH1693">
            <v>18.362277992096409</v>
          </cell>
          <cell r="DI1693">
            <v>14.300000632844487</v>
          </cell>
          <cell r="DJ1693">
            <v>22.424555351348332</v>
          </cell>
          <cell r="DU1693">
            <v>9.9919450613870797</v>
          </cell>
          <cell r="DV1693">
            <v>11.644336226312735</v>
          </cell>
          <cell r="DW1693">
            <v>9.8476005987137558</v>
          </cell>
          <cell r="DX1693">
            <v>7.1073990168282446</v>
          </cell>
          <cell r="DY1693">
            <v>12.587802180599267</v>
          </cell>
        </row>
        <row r="1694">
          <cell r="A1694">
            <v>41835</v>
          </cell>
          <cell r="DF1694">
            <v>18.422333697756578</v>
          </cell>
          <cell r="DG1694">
            <v>21.679348620667902</v>
          </cell>
          <cell r="DH1694">
            <v>18.362277992096409</v>
          </cell>
          <cell r="DI1694">
            <v>14.300000632844487</v>
          </cell>
          <cell r="DJ1694">
            <v>22.424555351348332</v>
          </cell>
          <cell r="DU1694">
            <v>9.8311745125423062</v>
          </cell>
          <cell r="DV1694">
            <v>11.644336226312735</v>
          </cell>
          <cell r="DW1694">
            <v>9.8476005987137558</v>
          </cell>
          <cell r="DX1694">
            <v>7.1073990168282446</v>
          </cell>
          <cell r="DY1694">
            <v>12.587802180599267</v>
          </cell>
        </row>
        <row r="1695">
          <cell r="A1695">
            <v>41836</v>
          </cell>
          <cell r="DF1695">
            <v>18.427377007823011</v>
          </cell>
          <cell r="DG1695">
            <v>21.679348620667902</v>
          </cell>
          <cell r="DH1695">
            <v>18.362277992096409</v>
          </cell>
          <cell r="DI1695">
            <v>14.300000632844487</v>
          </cell>
          <cell r="DJ1695">
            <v>22.424555351348332</v>
          </cell>
          <cell r="DU1695">
            <v>9.8340689703971211</v>
          </cell>
          <cell r="DV1695">
            <v>11.644336226312735</v>
          </cell>
          <cell r="DW1695">
            <v>9.8476005987137558</v>
          </cell>
          <cell r="DX1695">
            <v>7.1073990168282446</v>
          </cell>
          <cell r="DY1695">
            <v>12.587802180599267</v>
          </cell>
        </row>
        <row r="1696">
          <cell r="A1696">
            <v>41837</v>
          </cell>
          <cell r="DF1696">
            <v>18.291144563116919</v>
          </cell>
          <cell r="DG1696">
            <v>21.679348620667902</v>
          </cell>
          <cell r="DH1696">
            <v>18.362277992096409</v>
          </cell>
          <cell r="DI1696">
            <v>14.300000632844487</v>
          </cell>
          <cell r="DJ1696">
            <v>22.424555351348332</v>
          </cell>
          <cell r="DU1696">
            <v>9.7558824094944949</v>
          </cell>
          <cell r="DV1696">
            <v>11.644336226312735</v>
          </cell>
          <cell r="DW1696">
            <v>9.8476005987137558</v>
          </cell>
          <cell r="DX1696">
            <v>7.1073990168282446</v>
          </cell>
          <cell r="DY1696">
            <v>12.587802180599267</v>
          </cell>
        </row>
        <row r="1697">
          <cell r="A1697">
            <v>41838</v>
          </cell>
          <cell r="DF1697">
            <v>18.053989908335964</v>
          </cell>
          <cell r="DG1697">
            <v>21.679348620667902</v>
          </cell>
          <cell r="DH1697">
            <v>18.362277992096409</v>
          </cell>
          <cell r="DI1697">
            <v>14.300000632844487</v>
          </cell>
          <cell r="DJ1697">
            <v>22.424555351348332</v>
          </cell>
          <cell r="DU1697">
            <v>9.6197745469410822</v>
          </cell>
          <cell r="DV1697">
            <v>11.644336226312735</v>
          </cell>
          <cell r="DW1697">
            <v>9.8476005987137558</v>
          </cell>
          <cell r="DX1697">
            <v>7.1073990168282446</v>
          </cell>
          <cell r="DY1697">
            <v>12.587802180599267</v>
          </cell>
        </row>
        <row r="1698">
          <cell r="A1698">
            <v>41841</v>
          </cell>
          <cell r="DF1698">
            <v>18.169965646433504</v>
          </cell>
          <cell r="DG1698">
            <v>21.679348620667902</v>
          </cell>
          <cell r="DH1698">
            <v>18.362277992096409</v>
          </cell>
          <cell r="DI1698">
            <v>14.300000632844487</v>
          </cell>
          <cell r="DJ1698">
            <v>22.424555351348332</v>
          </cell>
          <cell r="DU1698">
            <v>9.6864113339219102</v>
          </cell>
          <cell r="DV1698">
            <v>11.644336226312735</v>
          </cell>
          <cell r="DW1698">
            <v>9.8476005987137558</v>
          </cell>
          <cell r="DX1698">
            <v>7.1073990168282446</v>
          </cell>
          <cell r="DY1698">
            <v>12.587802180599267</v>
          </cell>
        </row>
        <row r="1699">
          <cell r="A1699">
            <v>41842</v>
          </cell>
          <cell r="DF1699">
            <v>18.260786726153135</v>
          </cell>
          <cell r="DG1699">
            <v>21.679348620667902</v>
          </cell>
          <cell r="DH1699">
            <v>18.362277992096409</v>
          </cell>
          <cell r="DI1699">
            <v>14.300000632844487</v>
          </cell>
          <cell r="DJ1699">
            <v>22.424555351348332</v>
          </cell>
          <cell r="DU1699">
            <v>9.7385357841264142</v>
          </cell>
          <cell r="DV1699">
            <v>11.644336226312735</v>
          </cell>
          <cell r="DW1699">
            <v>9.8476005987137558</v>
          </cell>
          <cell r="DX1699">
            <v>7.1073990168282446</v>
          </cell>
          <cell r="DY1699">
            <v>12.587802180599267</v>
          </cell>
        </row>
        <row r="1700">
          <cell r="A1700">
            <v>41843</v>
          </cell>
          <cell r="DF1700">
            <v>18.056623674691281</v>
          </cell>
          <cell r="DG1700">
            <v>21.679348620667902</v>
          </cell>
          <cell r="DH1700">
            <v>18.362277992096409</v>
          </cell>
          <cell r="DI1700">
            <v>14.300000632844487</v>
          </cell>
          <cell r="DJ1700">
            <v>22.424555351348332</v>
          </cell>
          <cell r="DU1700">
            <v>9.706890205674588</v>
          </cell>
          <cell r="DV1700">
            <v>11.644336226312735</v>
          </cell>
          <cell r="DW1700">
            <v>9.8476005987137558</v>
          </cell>
          <cell r="DX1700">
            <v>7.1073990168282446</v>
          </cell>
          <cell r="DY1700">
            <v>12.587802180599267</v>
          </cell>
        </row>
        <row r="1701">
          <cell r="A1701">
            <v>41844</v>
          </cell>
          <cell r="DF1701">
            <v>17.682418859922667</v>
          </cell>
          <cell r="DG1701">
            <v>21.679348620667902</v>
          </cell>
          <cell r="DH1701">
            <v>18.362277992096409</v>
          </cell>
          <cell r="DI1701">
            <v>14.300000632844487</v>
          </cell>
          <cell r="DJ1701">
            <v>22.424555351348332</v>
          </cell>
          <cell r="DU1701">
            <v>9.4904023254568166</v>
          </cell>
          <cell r="DV1701">
            <v>11.644336226312735</v>
          </cell>
          <cell r="DW1701">
            <v>9.8476005987137558</v>
          </cell>
          <cell r="DX1701">
            <v>7.1073990168282446</v>
          </cell>
          <cell r="DY1701">
            <v>12.587802180599267</v>
          </cell>
        </row>
        <row r="1702">
          <cell r="A1702">
            <v>41845</v>
          </cell>
          <cell r="DF1702">
            <v>17.802166895347391</v>
          </cell>
          <cell r="DG1702">
            <v>21.679348620667902</v>
          </cell>
          <cell r="DH1702">
            <v>18.362277992096409</v>
          </cell>
          <cell r="DI1702">
            <v>14.300000632844487</v>
          </cell>
          <cell r="DJ1702">
            <v>22.424555351348332</v>
          </cell>
          <cell r="DU1702">
            <v>9.5596798903790372</v>
          </cell>
          <cell r="DV1702">
            <v>11.644336226312735</v>
          </cell>
          <cell r="DW1702">
            <v>9.8476005987137558</v>
          </cell>
          <cell r="DX1702">
            <v>7.1073990168282446</v>
          </cell>
          <cell r="DY1702">
            <v>12.587802180599267</v>
          </cell>
        </row>
        <row r="1703">
          <cell r="A1703">
            <v>41848</v>
          </cell>
          <cell r="DF1703">
            <v>17.867031557939381</v>
          </cell>
          <cell r="DG1703">
            <v>21.679348620667902</v>
          </cell>
          <cell r="DH1703">
            <v>18.362277992096409</v>
          </cell>
          <cell r="DI1703">
            <v>14.300000632844487</v>
          </cell>
          <cell r="DJ1703">
            <v>22.424555351348332</v>
          </cell>
          <cell r="DU1703">
            <v>9.5972058995359859</v>
          </cell>
          <cell r="DV1703">
            <v>11.644336226312735</v>
          </cell>
          <cell r="DW1703">
            <v>9.8476005987137558</v>
          </cell>
          <cell r="DX1703">
            <v>7.1073990168282446</v>
          </cell>
          <cell r="DY1703">
            <v>12.587802180599267</v>
          </cell>
        </row>
        <row r="1704">
          <cell r="A1704">
            <v>41849</v>
          </cell>
          <cell r="DF1704">
            <v>18.106520643632283</v>
          </cell>
          <cell r="DG1704">
            <v>21.679348620667902</v>
          </cell>
          <cell r="DH1704">
            <v>18.362277992096409</v>
          </cell>
          <cell r="DI1704">
            <v>14.300000632844487</v>
          </cell>
          <cell r="DJ1704">
            <v>22.424555351348332</v>
          </cell>
          <cell r="DU1704">
            <v>9.7357569882733319</v>
          </cell>
          <cell r="DV1704">
            <v>11.644336226312735</v>
          </cell>
          <cell r="DW1704">
            <v>9.8476005987137558</v>
          </cell>
          <cell r="DX1704">
            <v>7.1073990168282446</v>
          </cell>
          <cell r="DY1704">
            <v>12.587802180599267</v>
          </cell>
        </row>
        <row r="1705">
          <cell r="A1705">
            <v>41850</v>
          </cell>
          <cell r="DF1705">
            <v>18.380939004615193</v>
          </cell>
          <cell r="DG1705">
            <v>21.679348620667902</v>
          </cell>
          <cell r="DH1705">
            <v>18.362277992096409</v>
          </cell>
          <cell r="DI1705">
            <v>14.300000632844487</v>
          </cell>
          <cell r="DJ1705">
            <v>22.424555351348332</v>
          </cell>
          <cell r="DU1705">
            <v>9.8945156330512187</v>
          </cell>
          <cell r="DV1705">
            <v>11.644336226312735</v>
          </cell>
          <cell r="DW1705">
            <v>9.8476005987137558</v>
          </cell>
          <cell r="DX1705">
            <v>7.1073990168282446</v>
          </cell>
          <cell r="DY1705">
            <v>12.587802180599267</v>
          </cell>
        </row>
        <row r="1706">
          <cell r="A1706">
            <v>41851</v>
          </cell>
          <cell r="DF1706">
            <v>18.251209679431213</v>
          </cell>
          <cell r="DG1706">
            <v>21.679348620667902</v>
          </cell>
          <cell r="DH1706">
            <v>18.362277992096409</v>
          </cell>
          <cell r="DI1706">
            <v>14.300000632844487</v>
          </cell>
          <cell r="DJ1706">
            <v>22.424555351348332</v>
          </cell>
          <cell r="DU1706">
            <v>9.8194636147373213</v>
          </cell>
          <cell r="DV1706">
            <v>11.644336226312735</v>
          </cell>
          <cell r="DW1706">
            <v>9.8476005987137558</v>
          </cell>
          <cell r="DX1706">
            <v>7.1073990168282446</v>
          </cell>
          <cell r="DY1706">
            <v>12.587802180599267</v>
          </cell>
        </row>
        <row r="1707">
          <cell r="A1707">
            <v>41852</v>
          </cell>
          <cell r="DF1707">
            <v>18.241236372707998</v>
          </cell>
          <cell r="DG1707">
            <v>21.679348620667902</v>
          </cell>
          <cell r="DH1707">
            <v>18.362277992096409</v>
          </cell>
          <cell r="DI1707">
            <v>14.300000632844487</v>
          </cell>
          <cell r="DJ1707">
            <v>22.424555351348332</v>
          </cell>
          <cell r="DU1707">
            <v>9.8136937797537573</v>
          </cell>
          <cell r="DV1707">
            <v>11.644336226312735</v>
          </cell>
          <cell r="DW1707">
            <v>9.8476005987137558</v>
          </cell>
          <cell r="DX1707">
            <v>7.1073990168282446</v>
          </cell>
          <cell r="DY1707">
            <v>12.587802180599267</v>
          </cell>
        </row>
        <row r="1708">
          <cell r="A1708">
            <v>41855</v>
          </cell>
          <cell r="DF1708">
            <v>18.246223275539478</v>
          </cell>
          <cell r="DG1708">
            <v>21.679348620667902</v>
          </cell>
          <cell r="DH1708">
            <v>18.362277992096409</v>
          </cell>
          <cell r="DI1708">
            <v>14.300000632844487</v>
          </cell>
          <cell r="DJ1708">
            <v>22.424555351348332</v>
          </cell>
          <cell r="DU1708">
            <v>9.8165788415707915</v>
          </cell>
          <cell r="DV1708">
            <v>11.644336226312735</v>
          </cell>
          <cell r="DW1708">
            <v>9.8476005987137558</v>
          </cell>
          <cell r="DX1708">
            <v>7.1073990168282446</v>
          </cell>
          <cell r="DY1708">
            <v>12.587802180599267</v>
          </cell>
        </row>
        <row r="1709">
          <cell r="A1709">
            <v>41856</v>
          </cell>
          <cell r="DF1709">
            <v>18.226268679057004</v>
          </cell>
          <cell r="DG1709">
            <v>21.679348620667902</v>
          </cell>
          <cell r="DH1709">
            <v>18.362277992096409</v>
          </cell>
          <cell r="DI1709">
            <v>14.300000632844487</v>
          </cell>
          <cell r="DJ1709">
            <v>22.424555351348332</v>
          </cell>
          <cell r="DU1709">
            <v>9.8050345531955525</v>
          </cell>
          <cell r="DV1709">
            <v>11.644336226312735</v>
          </cell>
          <cell r="DW1709">
            <v>9.8476005987137558</v>
          </cell>
          <cell r="DX1709">
            <v>7.1073990168282446</v>
          </cell>
          <cell r="DY1709">
            <v>12.587802180599267</v>
          </cell>
        </row>
        <row r="1710">
          <cell r="A1710">
            <v>41857</v>
          </cell>
          <cell r="DF1710">
            <v>18.161404016465013</v>
          </cell>
          <cell r="DG1710">
            <v>21.679348620667902</v>
          </cell>
          <cell r="DH1710">
            <v>18.362277992096409</v>
          </cell>
          <cell r="DI1710">
            <v>14.300000632844487</v>
          </cell>
          <cell r="DJ1710">
            <v>22.424555351348332</v>
          </cell>
          <cell r="DU1710">
            <v>9.7675085440386056</v>
          </cell>
          <cell r="DV1710">
            <v>11.644336226312735</v>
          </cell>
          <cell r="DW1710">
            <v>9.8476005987137558</v>
          </cell>
          <cell r="DX1710">
            <v>7.1073990168282446</v>
          </cell>
          <cell r="DY1710">
            <v>12.587802180599267</v>
          </cell>
        </row>
        <row r="1711">
          <cell r="A1711">
            <v>41858</v>
          </cell>
          <cell r="DF1711">
            <v>18.964697517774731</v>
          </cell>
          <cell r="DG1711">
            <v>21.679348620667902</v>
          </cell>
          <cell r="DH1711">
            <v>18.362277992096409</v>
          </cell>
          <cell r="DI1711">
            <v>14.300000632844487</v>
          </cell>
          <cell r="DJ1711">
            <v>22.424555351348332</v>
          </cell>
          <cell r="DU1711">
            <v>10.193081114295223</v>
          </cell>
          <cell r="DV1711">
            <v>11.644336226312735</v>
          </cell>
          <cell r="DW1711">
            <v>9.8476005987137558</v>
          </cell>
          <cell r="DX1711">
            <v>7.1073990168282446</v>
          </cell>
          <cell r="DY1711">
            <v>12.587802180599267</v>
          </cell>
        </row>
        <row r="1712">
          <cell r="A1712">
            <v>41859</v>
          </cell>
          <cell r="DF1712">
            <v>19.019581389547213</v>
          </cell>
          <cell r="DG1712">
            <v>21.679348620667902</v>
          </cell>
          <cell r="DH1712">
            <v>18.362277992096409</v>
          </cell>
          <cell r="DI1712">
            <v>14.300000632844487</v>
          </cell>
          <cell r="DJ1712">
            <v>22.424555351348332</v>
          </cell>
          <cell r="DU1712">
            <v>10.224711455986823</v>
          </cell>
          <cell r="DV1712">
            <v>11.644336226312735</v>
          </cell>
          <cell r="DW1712">
            <v>9.8476005987137558</v>
          </cell>
          <cell r="DX1712">
            <v>7.1073990168282446</v>
          </cell>
          <cell r="DY1712">
            <v>12.587802180599267</v>
          </cell>
        </row>
        <row r="1713">
          <cell r="A1713">
            <v>41862</v>
          </cell>
          <cell r="DF1713">
            <v>18.820000498939752</v>
          </cell>
          <cell r="DG1713">
            <v>21.679348620667902</v>
          </cell>
          <cell r="DH1713">
            <v>18.362277992096409</v>
          </cell>
          <cell r="DI1713">
            <v>14.300000632844487</v>
          </cell>
          <cell r="DJ1713">
            <v>22.424555351348332</v>
          </cell>
          <cell r="DU1713">
            <v>10.109690201815889</v>
          </cell>
          <cell r="DV1713">
            <v>11.644336226312735</v>
          </cell>
          <cell r="DW1713">
            <v>9.8476005987137558</v>
          </cell>
          <cell r="DX1713">
            <v>7.1073990168282446</v>
          </cell>
          <cell r="DY1713">
            <v>12.587802180599267</v>
          </cell>
        </row>
        <row r="1714">
          <cell r="A1714">
            <v>41863</v>
          </cell>
          <cell r="DF1714">
            <v>18.71522764126232</v>
          </cell>
          <cell r="DG1714">
            <v>21.679348620667902</v>
          </cell>
          <cell r="DH1714">
            <v>18.362277992096409</v>
          </cell>
          <cell r="DI1714">
            <v>14.300000632844487</v>
          </cell>
          <cell r="DJ1714">
            <v>22.424555351348332</v>
          </cell>
          <cell r="DU1714">
            <v>10.049308140905891</v>
          </cell>
          <cell r="DV1714">
            <v>11.644336226312735</v>
          </cell>
          <cell r="DW1714">
            <v>9.8476005987137558</v>
          </cell>
          <cell r="DX1714">
            <v>7.1073990168282446</v>
          </cell>
          <cell r="DY1714">
            <v>12.587802180599267</v>
          </cell>
        </row>
        <row r="1715">
          <cell r="A1715">
            <v>41864</v>
          </cell>
          <cell r="DF1715">
            <v>18.944735437195959</v>
          </cell>
          <cell r="DG1715">
            <v>21.679348620667902</v>
          </cell>
          <cell r="DH1715">
            <v>18.362277992096409</v>
          </cell>
          <cell r="DI1715">
            <v>14.300000632844487</v>
          </cell>
          <cell r="DJ1715">
            <v>22.424555351348332</v>
          </cell>
          <cell r="DU1715">
            <v>10.181576688510555</v>
          </cell>
          <cell r="DV1715">
            <v>11.644336226312735</v>
          </cell>
          <cell r="DW1715">
            <v>9.8476005987137558</v>
          </cell>
          <cell r="DX1715">
            <v>7.1073990168282446</v>
          </cell>
          <cell r="DY1715">
            <v>12.587802180599267</v>
          </cell>
        </row>
        <row r="1716">
          <cell r="A1716">
            <v>41865</v>
          </cell>
          <cell r="DF1716">
            <v>18.899832855182737</v>
          </cell>
          <cell r="DG1716">
            <v>21.679348620667902</v>
          </cell>
          <cell r="DH1716">
            <v>18.362277992096409</v>
          </cell>
          <cell r="DI1716">
            <v>14.300000632844487</v>
          </cell>
          <cell r="DJ1716">
            <v>22.424555351348332</v>
          </cell>
          <cell r="DU1716">
            <v>10.155698703484262</v>
          </cell>
          <cell r="DV1716">
            <v>11.644336226312735</v>
          </cell>
          <cell r="DW1716">
            <v>9.8476005987137558</v>
          </cell>
          <cell r="DX1716">
            <v>7.1073990168282446</v>
          </cell>
          <cell r="DY1716">
            <v>12.587802180599267</v>
          </cell>
        </row>
        <row r="1717">
          <cell r="A1717">
            <v>41866</v>
          </cell>
          <cell r="DF1717">
            <v>19.154297118622928</v>
          </cell>
          <cell r="DG1717">
            <v>21.679348620667902</v>
          </cell>
          <cell r="DH1717">
            <v>18.362277992096409</v>
          </cell>
          <cell r="DI1717">
            <v>14.300000632844487</v>
          </cell>
          <cell r="DJ1717">
            <v>22.424555351348332</v>
          </cell>
          <cell r="DU1717">
            <v>10.302350011800849</v>
          </cell>
          <cell r="DV1717">
            <v>11.644336226312735</v>
          </cell>
          <cell r="DW1717">
            <v>9.8476005987137558</v>
          </cell>
          <cell r="DX1717">
            <v>7.1073990168282446</v>
          </cell>
          <cell r="DY1717">
            <v>12.587802180599267</v>
          </cell>
        </row>
        <row r="1718">
          <cell r="A1718">
            <v>41869</v>
          </cell>
          <cell r="DF1718">
            <v>18.977471550009856</v>
          </cell>
          <cell r="DG1718">
            <v>21.679348620667902</v>
          </cell>
          <cell r="DH1718">
            <v>18.362277992096409</v>
          </cell>
          <cell r="DI1718">
            <v>14.300000632844487</v>
          </cell>
          <cell r="DJ1718">
            <v>22.424555351348332</v>
          </cell>
          <cell r="DU1718">
            <v>10.198833183414582</v>
          </cell>
          <cell r="DV1718">
            <v>11.644336226312735</v>
          </cell>
          <cell r="DW1718">
            <v>9.8476005987137558</v>
          </cell>
          <cell r="DX1718">
            <v>7.1073990168282446</v>
          </cell>
          <cell r="DY1718">
            <v>12.587802180599267</v>
          </cell>
        </row>
        <row r="1719">
          <cell r="A1719">
            <v>41870</v>
          </cell>
          <cell r="DF1719">
            <v>18.907610200827865</v>
          </cell>
          <cell r="DG1719">
            <v>21.679348620667902</v>
          </cell>
          <cell r="DH1719">
            <v>18.362277992096409</v>
          </cell>
          <cell r="DI1719">
            <v>14.300000632844487</v>
          </cell>
          <cell r="DJ1719">
            <v>22.424555351348332</v>
          </cell>
          <cell r="DU1719">
            <v>10.158577038411517</v>
          </cell>
          <cell r="DV1719">
            <v>11.644336226312735</v>
          </cell>
          <cell r="DW1719">
            <v>9.8476005987137558</v>
          </cell>
          <cell r="DX1719">
            <v>7.1073990168282446</v>
          </cell>
          <cell r="DY1719">
            <v>12.587802180599267</v>
          </cell>
        </row>
        <row r="1720">
          <cell r="A1720">
            <v>41871</v>
          </cell>
          <cell r="DF1720">
            <v>19.396641142141416</v>
          </cell>
          <cell r="DG1720">
            <v>21.679348620667902</v>
          </cell>
          <cell r="DH1720">
            <v>18.362277992096409</v>
          </cell>
          <cell r="DI1720">
            <v>14.300000632844487</v>
          </cell>
          <cell r="DJ1720">
            <v>22.424555351348332</v>
          </cell>
          <cell r="DU1720">
            <v>10.440370916070821</v>
          </cell>
          <cell r="DV1720">
            <v>11.644336226312735</v>
          </cell>
          <cell r="DW1720">
            <v>9.8476005987137558</v>
          </cell>
          <cell r="DX1720">
            <v>7.1073990168282446</v>
          </cell>
          <cell r="DY1720">
            <v>12.587802180599267</v>
          </cell>
        </row>
        <row r="1721">
          <cell r="A1721">
            <v>41872</v>
          </cell>
          <cell r="DF1721">
            <v>19.246935684683539</v>
          </cell>
          <cell r="DG1721">
            <v>21.679348620667902</v>
          </cell>
          <cell r="DH1721">
            <v>18.362277992096409</v>
          </cell>
          <cell r="DI1721">
            <v>14.300000632844487</v>
          </cell>
          <cell r="DJ1721">
            <v>22.424555351348332</v>
          </cell>
          <cell r="DU1721">
            <v>10.354106269399381</v>
          </cell>
          <cell r="DV1721">
            <v>11.644336226312735</v>
          </cell>
          <cell r="DW1721">
            <v>9.8476005987137558</v>
          </cell>
          <cell r="DX1721">
            <v>7.1073990168282446</v>
          </cell>
          <cell r="DY1721">
            <v>12.587802180599267</v>
          </cell>
        </row>
        <row r="1722">
          <cell r="A1722">
            <v>41873</v>
          </cell>
          <cell r="DF1722">
            <v>18.891277948497248</v>
          </cell>
          <cell r="DG1722">
            <v>21.679348620667902</v>
          </cell>
          <cell r="DH1722">
            <v>18.362277992096409</v>
          </cell>
          <cell r="DI1722">
            <v>14.300000632844487</v>
          </cell>
          <cell r="DJ1722">
            <v>22.424555351348332</v>
          </cell>
          <cell r="DU1722">
            <v>10.207589514805861</v>
          </cell>
          <cell r="DV1722">
            <v>11.644336226312735</v>
          </cell>
          <cell r="DW1722">
            <v>9.8476005987137558</v>
          </cell>
          <cell r="DX1722">
            <v>7.1073990168282446</v>
          </cell>
          <cell r="DY1722">
            <v>12.587802180599267</v>
          </cell>
        </row>
        <row r="1723">
          <cell r="A1723">
            <v>41876</v>
          </cell>
          <cell r="DF1723">
            <v>18.806625738675553</v>
          </cell>
          <cell r="DG1723">
            <v>21.679348620667902</v>
          </cell>
          <cell r="DH1723">
            <v>18.362277992096409</v>
          </cell>
          <cell r="DI1723">
            <v>14.300000632844487</v>
          </cell>
          <cell r="DJ1723">
            <v>22.424555351348332</v>
          </cell>
          <cell r="DU1723">
            <v>10.176171460754347</v>
          </cell>
          <cell r="DV1723">
            <v>11.644336226312735</v>
          </cell>
          <cell r="DW1723">
            <v>9.8476005987137558</v>
          </cell>
          <cell r="DX1723">
            <v>7.1073990168282446</v>
          </cell>
          <cell r="DY1723">
            <v>12.587802180599267</v>
          </cell>
        </row>
        <row r="1724">
          <cell r="A1724">
            <v>41877</v>
          </cell>
          <cell r="DF1724">
            <v>18.353573539069465</v>
          </cell>
          <cell r="DG1724">
            <v>21.679348620667902</v>
          </cell>
          <cell r="DH1724">
            <v>18.362277992096409</v>
          </cell>
          <cell r="DI1724">
            <v>14.300000632844487</v>
          </cell>
          <cell r="DJ1724">
            <v>22.424555351348332</v>
          </cell>
          <cell r="DU1724">
            <v>9.92768464316757</v>
          </cell>
          <cell r="DV1724">
            <v>11.644336226312735</v>
          </cell>
          <cell r="DW1724">
            <v>9.8476005987137558</v>
          </cell>
          <cell r="DX1724">
            <v>7.1073990168282446</v>
          </cell>
          <cell r="DY1724">
            <v>12.587802180599267</v>
          </cell>
        </row>
        <row r="1725">
          <cell r="A1725">
            <v>41878</v>
          </cell>
          <cell r="DF1725">
            <v>18.043335521997868</v>
          </cell>
          <cell r="DG1725">
            <v>21.679348620667902</v>
          </cell>
          <cell r="DH1725">
            <v>18.362277992096409</v>
          </cell>
          <cell r="DI1725">
            <v>14.300000632844487</v>
          </cell>
          <cell r="DJ1725">
            <v>22.424555351348332</v>
          </cell>
          <cell r="DU1725">
            <v>9.7128234446891781</v>
          </cell>
          <cell r="DV1725">
            <v>11.644336226312735</v>
          </cell>
          <cell r="DW1725">
            <v>9.8476005987137558</v>
          </cell>
          <cell r="DX1725">
            <v>7.1073990168282446</v>
          </cell>
          <cell r="DY1725">
            <v>12.587802180599267</v>
          </cell>
        </row>
        <row r="1726">
          <cell r="A1726">
            <v>41879</v>
          </cell>
          <cell r="DF1726">
            <v>18.452061391991339</v>
          </cell>
          <cell r="DG1726">
            <v>21.679348620667902</v>
          </cell>
          <cell r="DH1726">
            <v>18.362277992096409</v>
          </cell>
          <cell r="DI1726">
            <v>14.300000632844487</v>
          </cell>
          <cell r="DJ1726">
            <v>22.424555351348332</v>
          </cell>
          <cell r="DU1726">
            <v>9.94938019470451</v>
          </cell>
          <cell r="DV1726">
            <v>11.644336226312735</v>
          </cell>
          <cell r="DW1726">
            <v>9.8476005987137558</v>
          </cell>
          <cell r="DX1726">
            <v>7.1073990168282446</v>
          </cell>
          <cell r="DY1726">
            <v>12.587802180599267</v>
          </cell>
        </row>
        <row r="1727">
          <cell r="A1727">
            <v>41880</v>
          </cell>
          <cell r="DF1727">
            <v>18.831249671702476</v>
          </cell>
          <cell r="DG1727">
            <v>21.679348620667902</v>
          </cell>
          <cell r="DH1727">
            <v>18.362277992096409</v>
          </cell>
          <cell r="DI1727">
            <v>14.300000632844487</v>
          </cell>
          <cell r="DJ1727">
            <v>22.424555351348332</v>
          </cell>
          <cell r="DU1727">
            <v>10.168841583565957</v>
          </cell>
          <cell r="DV1727">
            <v>11.644336226312735</v>
          </cell>
          <cell r="DW1727">
            <v>9.8476005987137558</v>
          </cell>
          <cell r="DX1727">
            <v>7.1073990168282446</v>
          </cell>
          <cell r="DY1727">
            <v>12.587802180599267</v>
          </cell>
        </row>
        <row r="1728">
          <cell r="A1728">
            <v>41883</v>
          </cell>
          <cell r="DF1728">
            <v>18.841100623770764</v>
          </cell>
          <cell r="DG1728">
            <v>21.679348620667902</v>
          </cell>
          <cell r="DH1728">
            <v>18.362277992096409</v>
          </cell>
          <cell r="DI1728">
            <v>14.300000632844487</v>
          </cell>
          <cell r="DJ1728">
            <v>22.424555351348332</v>
          </cell>
          <cell r="DU1728">
            <v>10.179750906361116</v>
          </cell>
          <cell r="DV1728">
            <v>11.644336226312735</v>
          </cell>
          <cell r="DW1728">
            <v>9.8476005987137558</v>
          </cell>
          <cell r="DX1728">
            <v>7.1073990168282446</v>
          </cell>
          <cell r="DY1728">
            <v>12.587802180599267</v>
          </cell>
        </row>
        <row r="1729">
          <cell r="A1729">
            <v>41884</v>
          </cell>
          <cell r="DF1729">
            <v>18.589954038084592</v>
          </cell>
          <cell r="DG1729">
            <v>21.679348620667902</v>
          </cell>
          <cell r="DH1729">
            <v>18.362277992096409</v>
          </cell>
          <cell r="DI1729">
            <v>14.300000632844487</v>
          </cell>
          <cell r="DJ1729">
            <v>22.424555351348332</v>
          </cell>
          <cell r="DU1729">
            <v>10.179750906361116</v>
          </cell>
          <cell r="DV1729">
            <v>11.644336226312735</v>
          </cell>
          <cell r="DW1729">
            <v>9.8476005987137558</v>
          </cell>
          <cell r="DX1729">
            <v>7.1073990168282446</v>
          </cell>
          <cell r="DY1729">
            <v>12.587802180599267</v>
          </cell>
        </row>
        <row r="1730">
          <cell r="A1730">
            <v>41885</v>
          </cell>
          <cell r="DF1730">
            <v>18.644116546292082</v>
          </cell>
          <cell r="DG1730">
            <v>21.679348620667902</v>
          </cell>
          <cell r="DH1730">
            <v>18.362277992096409</v>
          </cell>
          <cell r="DI1730">
            <v>14.300000632844487</v>
          </cell>
          <cell r="DJ1730">
            <v>22.424555351348332</v>
          </cell>
          <cell r="DU1730">
            <v>10.065684809441501</v>
          </cell>
          <cell r="DV1730">
            <v>11.644336226312735</v>
          </cell>
          <cell r="DW1730">
            <v>9.8476005987137558</v>
          </cell>
          <cell r="DX1730">
            <v>7.1073990168282446</v>
          </cell>
          <cell r="DY1730">
            <v>12.587802180599267</v>
          </cell>
        </row>
        <row r="1731">
          <cell r="A1731">
            <v>41886</v>
          </cell>
          <cell r="DF1731">
            <v>18.663481453882376</v>
          </cell>
          <cell r="DG1731">
            <v>21.679348620667902</v>
          </cell>
          <cell r="DH1731">
            <v>18.362277992096409</v>
          </cell>
          <cell r="DI1731">
            <v>14.300000632844487</v>
          </cell>
          <cell r="DJ1731">
            <v>22.424555351348332</v>
          </cell>
          <cell r="DU1731">
            <v>10.014218520798401</v>
          </cell>
          <cell r="DV1731">
            <v>11.644336226312735</v>
          </cell>
          <cell r="DW1731">
            <v>9.8476005987137558</v>
          </cell>
          <cell r="DX1731">
            <v>7.1073990168282446</v>
          </cell>
          <cell r="DY1731">
            <v>12.587802180599267</v>
          </cell>
        </row>
        <row r="1732">
          <cell r="A1732">
            <v>41887</v>
          </cell>
          <cell r="DF1732">
            <v>18.958948541640179</v>
          </cell>
          <cell r="DG1732">
            <v>21.679348620667902</v>
          </cell>
          <cell r="DH1732">
            <v>18.362277992096409</v>
          </cell>
          <cell r="DI1732">
            <v>14.300000632844487</v>
          </cell>
          <cell r="DJ1732">
            <v>22.424555351348332</v>
          </cell>
          <cell r="DU1732">
            <v>10.184320136009072</v>
          </cell>
          <cell r="DV1732">
            <v>11.644336226312735</v>
          </cell>
          <cell r="DW1732">
            <v>9.8476005987137558</v>
          </cell>
          <cell r="DX1732">
            <v>7.1073990168282446</v>
          </cell>
          <cell r="DY1732">
            <v>12.587802180599267</v>
          </cell>
        </row>
        <row r="1733">
          <cell r="A1733">
            <v>41890</v>
          </cell>
          <cell r="DF1733">
            <v>18.594540315262091</v>
          </cell>
          <cell r="DG1733">
            <v>21.679348620667902</v>
          </cell>
          <cell r="DH1733">
            <v>18.362277992096409</v>
          </cell>
          <cell r="DI1733">
            <v>14.300000632844487</v>
          </cell>
          <cell r="DJ1733">
            <v>22.424555351348332</v>
          </cell>
          <cell r="DU1733">
            <v>9.9745288243155716</v>
          </cell>
          <cell r="DV1733">
            <v>11.644336226312735</v>
          </cell>
          <cell r="DW1733">
            <v>9.8476005987137558</v>
          </cell>
          <cell r="DX1733">
            <v>7.1073990168282446</v>
          </cell>
          <cell r="DY1733">
            <v>12.587802180599267</v>
          </cell>
        </row>
        <row r="1734">
          <cell r="A1734">
            <v>41891</v>
          </cell>
          <cell r="DF1734">
            <v>17.360118311135899</v>
          </cell>
          <cell r="DG1734">
            <v>21.679348620667902</v>
          </cell>
          <cell r="DH1734">
            <v>18.362277992096409</v>
          </cell>
          <cell r="DI1734">
            <v>14.300000632844487</v>
          </cell>
          <cell r="DJ1734">
            <v>22.424555351348332</v>
          </cell>
          <cell r="DU1734">
            <v>10.067827228335616</v>
          </cell>
          <cell r="DV1734">
            <v>11.644336226312735</v>
          </cell>
          <cell r="DW1734">
            <v>9.8476005987137558</v>
          </cell>
          <cell r="DX1734">
            <v>7.1073990168282446</v>
          </cell>
          <cell r="DY1734">
            <v>12.587802180599267</v>
          </cell>
        </row>
        <row r="1735">
          <cell r="A1735">
            <v>41892</v>
          </cell>
          <cell r="DF1735">
            <v>17.340639522787335</v>
          </cell>
          <cell r="DG1735">
            <v>21.679348620667902</v>
          </cell>
          <cell r="DH1735">
            <v>18.362277992096409</v>
          </cell>
          <cell r="DI1735">
            <v>14.300000632844487</v>
          </cell>
          <cell r="DJ1735">
            <v>22.424555351348332</v>
          </cell>
          <cell r="DU1735">
            <v>9.2780501884712869</v>
          </cell>
          <cell r="DV1735">
            <v>11.644336226312735</v>
          </cell>
          <cell r="DW1735">
            <v>9.8476005987137558</v>
          </cell>
          <cell r="DX1735">
            <v>7.1073990168282446</v>
          </cell>
          <cell r="DY1735">
            <v>12.587802180599267</v>
          </cell>
        </row>
        <row r="1736">
          <cell r="A1736">
            <v>41893</v>
          </cell>
          <cell r="DF1736">
            <v>18.309480698837106</v>
          </cell>
          <cell r="DG1736">
            <v>21.679348620667902</v>
          </cell>
          <cell r="DH1736">
            <v>18.362277992096409</v>
          </cell>
          <cell r="DI1736">
            <v>14.300000632844487</v>
          </cell>
          <cell r="DJ1736">
            <v>22.424555351348332</v>
          </cell>
          <cell r="DU1736">
            <v>9.758782906658384</v>
          </cell>
          <cell r="DV1736">
            <v>11.644336226312735</v>
          </cell>
          <cell r="DW1736">
            <v>9.8476005987137558</v>
          </cell>
          <cell r="DX1736">
            <v>7.1073990168282446</v>
          </cell>
          <cell r="DY1736">
            <v>12.587802180599267</v>
          </cell>
        </row>
        <row r="1737">
          <cell r="A1737">
            <v>41894</v>
          </cell>
          <cell r="DF1737">
            <v>18.768714309486072</v>
          </cell>
          <cell r="DG1737">
            <v>21.679348620667902</v>
          </cell>
          <cell r="DH1737">
            <v>18.362277992096409</v>
          </cell>
          <cell r="DI1737">
            <v>14.300000632844487</v>
          </cell>
          <cell r="DJ1737">
            <v>22.424555351348332</v>
          </cell>
          <cell r="DU1737">
            <v>10.022041824562617</v>
          </cell>
          <cell r="DV1737">
            <v>11.644336226312735</v>
          </cell>
          <cell r="DW1737">
            <v>9.8476005987137558</v>
          </cell>
          <cell r="DX1737">
            <v>7.1073990168282446</v>
          </cell>
          <cell r="DY1737">
            <v>12.587802180599267</v>
          </cell>
        </row>
        <row r="1738">
          <cell r="A1738">
            <v>41897</v>
          </cell>
          <cell r="DF1738">
            <v>18.968386023296404</v>
          </cell>
          <cell r="DG1738">
            <v>21.679348620667902</v>
          </cell>
          <cell r="DH1738">
            <v>18.362277992096409</v>
          </cell>
          <cell r="DI1738">
            <v>14.300000632844487</v>
          </cell>
          <cell r="DJ1738">
            <v>22.424555351348332</v>
          </cell>
          <cell r="DU1738">
            <v>10.136505047843489</v>
          </cell>
          <cell r="DV1738">
            <v>11.644336226312735</v>
          </cell>
          <cell r="DW1738">
            <v>9.8476005987137558</v>
          </cell>
          <cell r="DX1738">
            <v>7.1073990168282446</v>
          </cell>
          <cell r="DY1738">
            <v>12.587802180599267</v>
          </cell>
        </row>
        <row r="1739">
          <cell r="A1739">
            <v>41898</v>
          </cell>
          <cell r="DF1739">
            <v>18.44924725457755</v>
          </cell>
          <cell r="DG1739">
            <v>21.679348620667902</v>
          </cell>
          <cell r="DH1739">
            <v>18.362277992096409</v>
          </cell>
          <cell r="DI1739">
            <v>14.300000632844487</v>
          </cell>
          <cell r="DJ1739">
            <v>22.424555351348332</v>
          </cell>
          <cell r="DU1739">
            <v>9.8389050740481689</v>
          </cell>
          <cell r="DV1739">
            <v>11.644336226312735</v>
          </cell>
          <cell r="DW1739">
            <v>9.8476005987137558</v>
          </cell>
          <cell r="DX1739">
            <v>7.1073990168282446</v>
          </cell>
          <cell r="DY1739">
            <v>12.587802180599267</v>
          </cell>
        </row>
        <row r="1740">
          <cell r="A1740">
            <v>41899</v>
          </cell>
          <cell r="DF1740">
            <v>18.526911181471611</v>
          </cell>
          <cell r="DG1740">
            <v>21.679348620667902</v>
          </cell>
          <cell r="DH1740">
            <v>18.362277992096409</v>
          </cell>
          <cell r="DI1740">
            <v>14.300000632844487</v>
          </cell>
          <cell r="DJ1740">
            <v>22.424555351348332</v>
          </cell>
          <cell r="DU1740">
            <v>9.9115973006084328</v>
          </cell>
          <cell r="DV1740">
            <v>11.644336226312735</v>
          </cell>
          <cell r="DW1740">
            <v>9.8476005987137558</v>
          </cell>
          <cell r="DX1740">
            <v>7.1073990168282446</v>
          </cell>
          <cell r="DY1740">
            <v>12.587802180599267</v>
          </cell>
        </row>
        <row r="1741">
          <cell r="A1741">
            <v>41900</v>
          </cell>
          <cell r="DF1741">
            <v>18.906845359108708</v>
          </cell>
          <cell r="DG1741">
            <v>21.679348620667902</v>
          </cell>
          <cell r="DH1741">
            <v>18.362277992096409</v>
          </cell>
          <cell r="DI1741">
            <v>14.300000632844487</v>
          </cell>
          <cell r="DJ1741">
            <v>22.424555351348332</v>
          </cell>
          <cell r="DU1741">
            <v>10.130042493040467</v>
          </cell>
          <cell r="DV1741">
            <v>11.644336226312735</v>
          </cell>
          <cell r="DW1741">
            <v>9.8476005987137558</v>
          </cell>
          <cell r="DX1741">
            <v>7.1073990168282446</v>
          </cell>
          <cell r="DY1741">
            <v>12.587802180599267</v>
          </cell>
        </row>
        <row r="1742">
          <cell r="A1742">
            <v>41901</v>
          </cell>
          <cell r="DF1742">
            <v>18.996833861025067</v>
          </cell>
          <cell r="DG1742">
            <v>21.679348620667902</v>
          </cell>
          <cell r="DH1742">
            <v>18.362277992096409</v>
          </cell>
          <cell r="DI1742">
            <v>14.300000632844487</v>
          </cell>
          <cell r="DJ1742">
            <v>22.424555351348332</v>
          </cell>
          <cell r="DU1742">
            <v>10.181781864686483</v>
          </cell>
          <cell r="DV1742">
            <v>11.644336226312735</v>
          </cell>
          <cell r="DW1742">
            <v>9.8476005987137558</v>
          </cell>
          <cell r="DX1742">
            <v>7.1073990168282446</v>
          </cell>
          <cell r="DY1742">
            <v>12.587802180599267</v>
          </cell>
        </row>
        <row r="1743">
          <cell r="A1743">
            <v>41904</v>
          </cell>
          <cell r="DF1743">
            <v>18.996833861025067</v>
          </cell>
          <cell r="DG1743">
            <v>21.679348620667902</v>
          </cell>
          <cell r="DH1743">
            <v>18.362277992096409</v>
          </cell>
          <cell r="DI1743">
            <v>14.300000632844487</v>
          </cell>
          <cell r="DJ1743">
            <v>22.424555351348332</v>
          </cell>
          <cell r="DU1743">
            <v>10.181781864686483</v>
          </cell>
          <cell r="DV1743">
            <v>11.644336226312735</v>
          </cell>
          <cell r="DW1743">
            <v>9.8476005987137558</v>
          </cell>
          <cell r="DX1743">
            <v>7.1073990168282446</v>
          </cell>
          <cell r="DY1743">
            <v>12.587802180599267</v>
          </cell>
        </row>
        <row r="1744">
          <cell r="A1744">
            <v>41905</v>
          </cell>
          <cell r="DF1744">
            <v>19.741705215799346</v>
          </cell>
          <cell r="DG1744">
            <v>21.679348620667902</v>
          </cell>
          <cell r="DH1744">
            <v>18.362277992096409</v>
          </cell>
          <cell r="DI1744">
            <v>14.300000632844487</v>
          </cell>
          <cell r="DJ1744">
            <v>22.424555351348332</v>
          </cell>
          <cell r="DU1744">
            <v>10.181781864686483</v>
          </cell>
          <cell r="DV1744">
            <v>11.644336226312735</v>
          </cell>
          <cell r="DW1744">
            <v>9.8476005987137558</v>
          </cell>
          <cell r="DX1744">
            <v>7.1073990168282446</v>
          </cell>
          <cell r="DY1744">
            <v>12.587802180599267</v>
          </cell>
        </row>
        <row r="1745">
          <cell r="A1745">
            <v>41906</v>
          </cell>
          <cell r="DF1745">
            <v>19.468101625672507</v>
          </cell>
          <cell r="DG1745">
            <v>21.679348620667902</v>
          </cell>
          <cell r="DH1745">
            <v>18.362277992096409</v>
          </cell>
          <cell r="DI1745">
            <v>14.300000632844487</v>
          </cell>
          <cell r="DJ1745">
            <v>22.424555351348332</v>
          </cell>
          <cell r="DU1745">
            <v>10.512912602480784</v>
          </cell>
          <cell r="DV1745">
            <v>11.644336226312735</v>
          </cell>
          <cell r="DW1745">
            <v>9.8476005987137558</v>
          </cell>
          <cell r="DX1745">
            <v>7.1073990168282446</v>
          </cell>
          <cell r="DY1745">
            <v>12.587802180599267</v>
          </cell>
        </row>
        <row r="1746">
          <cell r="A1746">
            <v>41907</v>
          </cell>
          <cell r="DF1746">
            <v>18.190940773425073</v>
          </cell>
          <cell r="DG1746">
            <v>21.679348620667902</v>
          </cell>
          <cell r="DH1746">
            <v>18.362277992096409</v>
          </cell>
          <cell r="DI1746">
            <v>14.300000632844487</v>
          </cell>
          <cell r="DJ1746">
            <v>22.424555351348332</v>
          </cell>
          <cell r="DU1746">
            <v>9.775086362462444</v>
          </cell>
          <cell r="DV1746">
            <v>11.644336226312735</v>
          </cell>
          <cell r="DW1746">
            <v>9.8476005987137558</v>
          </cell>
          <cell r="DX1746">
            <v>7.1073990168282446</v>
          </cell>
          <cell r="DY1746">
            <v>12.587802180599267</v>
          </cell>
        </row>
        <row r="1747">
          <cell r="A1747">
            <v>41908</v>
          </cell>
          <cell r="DF1747">
            <v>16.991360798594418</v>
          </cell>
          <cell r="DG1747">
            <v>21.679348620667902</v>
          </cell>
          <cell r="DH1747">
            <v>18.362277992096409</v>
          </cell>
          <cell r="DI1747">
            <v>14.300000632844487</v>
          </cell>
          <cell r="DJ1747">
            <v>22.424555351348332</v>
          </cell>
          <cell r="DU1747">
            <v>9.2360301188311738</v>
          </cell>
          <cell r="DV1747">
            <v>11.644336226312735</v>
          </cell>
          <cell r="DW1747">
            <v>9.8476005987137558</v>
          </cell>
          <cell r="DX1747">
            <v>7.1073990168282446</v>
          </cell>
          <cell r="DY1747">
            <v>12.587802180599267</v>
          </cell>
        </row>
        <row r="1748">
          <cell r="A1748">
            <v>41911</v>
          </cell>
          <cell r="DF1748">
            <v>17.074826657940658</v>
          </cell>
          <cell r="DG1748">
            <v>21.679348620667902</v>
          </cell>
          <cell r="DH1748">
            <v>18.362277992096409</v>
          </cell>
          <cell r="DI1748">
            <v>14.300000632844487</v>
          </cell>
          <cell r="DJ1748">
            <v>22.424555351348332</v>
          </cell>
          <cell r="DU1748">
            <v>9.3700909519052935</v>
          </cell>
          <cell r="DV1748">
            <v>11.644336226312735</v>
          </cell>
          <cell r="DW1748">
            <v>9.8476005987137558</v>
          </cell>
          <cell r="DX1748">
            <v>7.1073990168282446</v>
          </cell>
          <cell r="DY1748">
            <v>12.587802180599267</v>
          </cell>
        </row>
        <row r="1749">
          <cell r="A1749">
            <v>41912</v>
          </cell>
          <cell r="DF1749">
            <v>17.128830339976421</v>
          </cell>
          <cell r="DG1749">
            <v>21.679348620667902</v>
          </cell>
          <cell r="DH1749">
            <v>18.362277992096409</v>
          </cell>
          <cell r="DI1749">
            <v>14.300000632844487</v>
          </cell>
          <cell r="DJ1749">
            <v>22.424555351348332</v>
          </cell>
          <cell r="DU1749">
            <v>9.3700909519052935</v>
          </cell>
          <cell r="DV1749">
            <v>11.644336226312735</v>
          </cell>
          <cell r="DW1749">
            <v>9.8476005987137558</v>
          </cell>
          <cell r="DX1749">
            <v>7.1073990168282446</v>
          </cell>
          <cell r="DY1749">
            <v>12.587802180599267</v>
          </cell>
        </row>
        <row r="1750">
          <cell r="A1750">
            <v>41913</v>
          </cell>
          <cell r="DF1750">
            <v>16.234826172716144</v>
          </cell>
          <cell r="DG1750">
            <v>21.679348620667902</v>
          </cell>
          <cell r="DH1750">
            <v>18.362277992096409</v>
          </cell>
          <cell r="DI1750">
            <v>14.300000632844487</v>
          </cell>
          <cell r="DJ1750">
            <v>22.424555351348332</v>
          </cell>
          <cell r="DU1750">
            <v>8.9393491423447422</v>
          </cell>
          <cell r="DV1750">
            <v>11.644336226312735</v>
          </cell>
          <cell r="DW1750">
            <v>9.8476005987137558</v>
          </cell>
          <cell r="DX1750">
            <v>7.1073990168282446</v>
          </cell>
          <cell r="DY1750">
            <v>12.587802180599267</v>
          </cell>
        </row>
        <row r="1751">
          <cell r="A1751">
            <v>41914</v>
          </cell>
          <cell r="DF1751">
            <v>16.002192031243816</v>
          </cell>
          <cell r="DG1751">
            <v>21.679348620667902</v>
          </cell>
          <cell r="DH1751">
            <v>18.362277992096409</v>
          </cell>
          <cell r="DI1751">
            <v>14.300000632844487</v>
          </cell>
          <cell r="DJ1751">
            <v>22.424555351348332</v>
          </cell>
          <cell r="DU1751">
            <v>8.8006966391566461</v>
          </cell>
          <cell r="DV1751">
            <v>11.644336226312735</v>
          </cell>
          <cell r="DW1751">
            <v>9.8476005987137558</v>
          </cell>
          <cell r="DX1751">
            <v>7.1073990168282446</v>
          </cell>
          <cell r="DY1751">
            <v>12.587802180599267</v>
          </cell>
        </row>
        <row r="1752">
          <cell r="A1752">
            <v>41915</v>
          </cell>
          <cell r="DF1752">
            <v>16.328870351566501</v>
          </cell>
          <cell r="DG1752">
            <v>21.679348620667902</v>
          </cell>
          <cell r="DH1752">
            <v>18.362277992096409</v>
          </cell>
          <cell r="DI1752">
            <v>14.300000632844487</v>
          </cell>
          <cell r="DJ1752">
            <v>22.424555351348332</v>
          </cell>
          <cell r="DU1752">
            <v>8.9954005057660549</v>
          </cell>
          <cell r="DV1752">
            <v>11.644336226312735</v>
          </cell>
          <cell r="DW1752">
            <v>9.8476005987137558</v>
          </cell>
          <cell r="DX1752">
            <v>7.1073990168282446</v>
          </cell>
          <cell r="DY1752">
            <v>12.587802180599267</v>
          </cell>
        </row>
        <row r="1753">
          <cell r="A1753">
            <v>41918</v>
          </cell>
          <cell r="DF1753">
            <v>16.552925673162171</v>
          </cell>
          <cell r="DG1753">
            <v>21.679348620667902</v>
          </cell>
          <cell r="DH1753">
            <v>18.362277992096409</v>
          </cell>
          <cell r="DI1753">
            <v>14.300000632844487</v>
          </cell>
          <cell r="DJ1753">
            <v>22.424555351348332</v>
          </cell>
          <cell r="DU1753">
            <v>9.0758224748206295</v>
          </cell>
          <cell r="DV1753">
            <v>11.644336226312735</v>
          </cell>
          <cell r="DW1753">
            <v>9.8476005987137558</v>
          </cell>
          <cell r="DX1753">
            <v>7.1073990168282446</v>
          </cell>
          <cell r="DY1753">
            <v>12.587802180599267</v>
          </cell>
        </row>
        <row r="1754">
          <cell r="A1754">
            <v>41919</v>
          </cell>
          <cell r="DF1754">
            <v>16.299787566697322</v>
          </cell>
          <cell r="DG1754">
            <v>21.679348620667902</v>
          </cell>
          <cell r="DH1754">
            <v>18.362277992096409</v>
          </cell>
          <cell r="DI1754">
            <v>14.300000632844487</v>
          </cell>
          <cell r="DJ1754">
            <v>22.424555351348332</v>
          </cell>
          <cell r="DU1754">
            <v>8.9257936044207913</v>
          </cell>
          <cell r="DV1754">
            <v>11.644336226312735</v>
          </cell>
          <cell r="DW1754">
            <v>9.8476005987137558</v>
          </cell>
          <cell r="DX1754">
            <v>7.1073990168282446</v>
          </cell>
          <cell r="DY1754">
            <v>12.587802180599267</v>
          </cell>
        </row>
        <row r="1755">
          <cell r="A1755">
            <v>41920</v>
          </cell>
          <cell r="DF1755">
            <v>16.203799332577084</v>
          </cell>
          <cell r="DG1755">
            <v>21.679348620667902</v>
          </cell>
          <cell r="DH1755">
            <v>18.362277992096409</v>
          </cell>
          <cell r="DI1755">
            <v>14.300000632844487</v>
          </cell>
          <cell r="DJ1755">
            <v>22.424555351348332</v>
          </cell>
          <cell r="DU1755">
            <v>8.8699007092568145</v>
          </cell>
          <cell r="DV1755">
            <v>11.644336226312735</v>
          </cell>
          <cell r="DW1755">
            <v>9.8476005987137558</v>
          </cell>
          <cell r="DX1755">
            <v>7.1073990168282446</v>
          </cell>
          <cell r="DY1755">
            <v>12.587802180599267</v>
          </cell>
        </row>
        <row r="1756">
          <cell r="A1756">
            <v>41921</v>
          </cell>
          <cell r="DF1756">
            <v>16.308023280870508</v>
          </cell>
          <cell r="DG1756">
            <v>21.679348620667902</v>
          </cell>
          <cell r="DH1756">
            <v>18.362277992096409</v>
          </cell>
          <cell r="DI1756">
            <v>14.300000632844487</v>
          </cell>
          <cell r="DJ1756">
            <v>22.424555351348332</v>
          </cell>
          <cell r="DU1756">
            <v>8.9316781508482705</v>
          </cell>
          <cell r="DV1756">
            <v>11.644336226312735</v>
          </cell>
          <cell r="DW1756">
            <v>9.8476005987137558</v>
          </cell>
          <cell r="DX1756">
            <v>7.1073990168282446</v>
          </cell>
          <cell r="DY1756">
            <v>12.587802180599267</v>
          </cell>
        </row>
        <row r="1757">
          <cell r="A1757">
            <v>41922</v>
          </cell>
          <cell r="DF1757">
            <v>15.960623188809052</v>
          </cell>
          <cell r="DG1757">
            <v>21.679348620667902</v>
          </cell>
          <cell r="DH1757">
            <v>18.362277992096409</v>
          </cell>
          <cell r="DI1757">
            <v>14.300000632844487</v>
          </cell>
          <cell r="DJ1757">
            <v>22.424555351348332</v>
          </cell>
          <cell r="DU1757">
            <v>8.725761091980262</v>
          </cell>
          <cell r="DV1757">
            <v>11.644336226312735</v>
          </cell>
          <cell r="DW1757">
            <v>9.8476005987137558</v>
          </cell>
          <cell r="DX1757">
            <v>7.1073990168282446</v>
          </cell>
          <cell r="DY1757">
            <v>12.587802180599267</v>
          </cell>
        </row>
        <row r="1758">
          <cell r="A1758">
            <v>41925</v>
          </cell>
          <cell r="DF1758">
            <v>15.987012111376371</v>
          </cell>
          <cell r="DG1758">
            <v>21.679348620667902</v>
          </cell>
          <cell r="DH1758">
            <v>18.362277992096409</v>
          </cell>
          <cell r="DI1758">
            <v>14.300000632844487</v>
          </cell>
          <cell r="DJ1758">
            <v>22.424555351348332</v>
          </cell>
          <cell r="DU1758">
            <v>8.6816331713124146</v>
          </cell>
          <cell r="DV1758">
            <v>11.644336226312735</v>
          </cell>
          <cell r="DW1758">
            <v>9.8476005987137558</v>
          </cell>
          <cell r="DX1758">
            <v>7.1073990168282446</v>
          </cell>
          <cell r="DY1758">
            <v>12.587802180599267</v>
          </cell>
        </row>
        <row r="1759">
          <cell r="A1759">
            <v>41926</v>
          </cell>
          <cell r="DF1759">
            <v>16.171809214635221</v>
          </cell>
          <cell r="DG1759">
            <v>21.679348620667902</v>
          </cell>
          <cell r="DH1759">
            <v>18.362277992096409</v>
          </cell>
          <cell r="DI1759">
            <v>14.300000632844487</v>
          </cell>
          <cell r="DJ1759">
            <v>22.424555351348332</v>
          </cell>
          <cell r="DU1759">
            <v>8.6816331713124146</v>
          </cell>
          <cell r="DV1759">
            <v>11.644336226312735</v>
          </cell>
          <cell r="DW1759">
            <v>9.8476005987137558</v>
          </cell>
          <cell r="DX1759">
            <v>7.1073990168282446</v>
          </cell>
          <cell r="DY1759">
            <v>12.587802180599267</v>
          </cell>
        </row>
        <row r="1760">
          <cell r="A1760">
            <v>41927</v>
          </cell>
          <cell r="DF1760">
            <v>16.531405668624522</v>
          </cell>
          <cell r="DG1760">
            <v>21.679348620667902</v>
          </cell>
          <cell r="DH1760">
            <v>18.362277992096409</v>
          </cell>
          <cell r="DI1760">
            <v>14.300000632844487</v>
          </cell>
          <cell r="DJ1760">
            <v>22.424555351348332</v>
          </cell>
          <cell r="DU1760">
            <v>9.0022803529015309</v>
          </cell>
          <cell r="DV1760">
            <v>11.644336226312735</v>
          </cell>
          <cell r="DW1760">
            <v>9.8476005987137558</v>
          </cell>
          <cell r="DX1760">
            <v>7.1073990168282446</v>
          </cell>
          <cell r="DY1760">
            <v>12.587802180599267</v>
          </cell>
        </row>
        <row r="1761">
          <cell r="A1761">
            <v>41928</v>
          </cell>
          <cell r="DF1761">
            <v>16.606317892372815</v>
          </cell>
          <cell r="DG1761">
            <v>21.679348620667902</v>
          </cell>
          <cell r="DH1761">
            <v>18.362277992096409</v>
          </cell>
          <cell r="DI1761">
            <v>14.300000632844487</v>
          </cell>
          <cell r="DJ1761">
            <v>22.424555351348332</v>
          </cell>
          <cell r="DU1761">
            <v>9.0464035668735754</v>
          </cell>
          <cell r="DV1761">
            <v>11.644336226312735</v>
          </cell>
          <cell r="DW1761">
            <v>9.8476005987137558</v>
          </cell>
          <cell r="DX1761">
            <v>7.1073990168282446</v>
          </cell>
          <cell r="DY1761">
            <v>12.587802180599267</v>
          </cell>
        </row>
        <row r="1762">
          <cell r="A1762">
            <v>41929</v>
          </cell>
          <cell r="DF1762">
            <v>16.581344487453347</v>
          </cell>
          <cell r="DG1762">
            <v>21.679348620667902</v>
          </cell>
          <cell r="DH1762">
            <v>18.362277992096409</v>
          </cell>
          <cell r="DI1762">
            <v>14.300000632844487</v>
          </cell>
          <cell r="DJ1762">
            <v>22.424555351348332</v>
          </cell>
          <cell r="DU1762">
            <v>9.0316942599842935</v>
          </cell>
          <cell r="DV1762">
            <v>11.644336226312735</v>
          </cell>
          <cell r="DW1762">
            <v>9.8476005987137558</v>
          </cell>
          <cell r="DX1762">
            <v>7.1073990168282446</v>
          </cell>
          <cell r="DY1762">
            <v>12.587802180599267</v>
          </cell>
        </row>
        <row r="1763">
          <cell r="A1763">
            <v>41932</v>
          </cell>
          <cell r="DF1763">
            <v>16.581344487453347</v>
          </cell>
          <cell r="DG1763">
            <v>21.679348620667902</v>
          </cell>
          <cell r="DH1763">
            <v>18.362277992096409</v>
          </cell>
          <cell r="DI1763">
            <v>14.300000632844487</v>
          </cell>
          <cell r="DJ1763">
            <v>22.424555351348332</v>
          </cell>
          <cell r="DU1763">
            <v>9.0316942599842935</v>
          </cell>
          <cell r="DV1763">
            <v>11.644336226312735</v>
          </cell>
          <cell r="DW1763">
            <v>9.8476005987137558</v>
          </cell>
          <cell r="DX1763">
            <v>7.1073990168282446</v>
          </cell>
          <cell r="DY1763">
            <v>12.587802180599267</v>
          </cell>
        </row>
        <row r="1764">
          <cell r="A1764">
            <v>41933</v>
          </cell>
          <cell r="DF1764">
            <v>16.746431893639674</v>
          </cell>
          <cell r="DG1764">
            <v>21.679348620667902</v>
          </cell>
          <cell r="DH1764">
            <v>18.362277992096409</v>
          </cell>
          <cell r="DI1764">
            <v>14.300000632844487</v>
          </cell>
          <cell r="DJ1764">
            <v>22.424555351348332</v>
          </cell>
          <cell r="DU1764">
            <v>9.1287704492544766</v>
          </cell>
          <cell r="DV1764">
            <v>11.644336226312735</v>
          </cell>
          <cell r="DW1764">
            <v>9.8476005987137558</v>
          </cell>
          <cell r="DX1764">
            <v>7.1073990168282446</v>
          </cell>
          <cell r="DY1764">
            <v>12.587802180599267</v>
          </cell>
        </row>
        <row r="1765">
          <cell r="A1765">
            <v>41934</v>
          </cell>
          <cell r="DF1765">
            <v>16.257837722030828</v>
          </cell>
          <cell r="DG1765">
            <v>21.679348620667902</v>
          </cell>
          <cell r="DH1765">
            <v>18.362277992096409</v>
          </cell>
          <cell r="DI1765">
            <v>14.300000632844487</v>
          </cell>
          <cell r="DJ1765">
            <v>22.424555351348332</v>
          </cell>
          <cell r="DU1765">
            <v>8.9024301951351603</v>
          </cell>
          <cell r="DV1765">
            <v>11.644336226312735</v>
          </cell>
          <cell r="DW1765">
            <v>9.8476005987137558</v>
          </cell>
          <cell r="DX1765">
            <v>7.1073990168282446</v>
          </cell>
          <cell r="DY1765">
            <v>12.587802180599267</v>
          </cell>
        </row>
        <row r="1766">
          <cell r="A1766">
            <v>41935</v>
          </cell>
          <cell r="DF1766">
            <v>16.380965866415814</v>
          </cell>
          <cell r="DG1766">
            <v>21.679348620667902</v>
          </cell>
          <cell r="DH1766">
            <v>18.362277992096409</v>
          </cell>
          <cell r="DI1766">
            <v>14.300000632844487</v>
          </cell>
          <cell r="DJ1766">
            <v>22.424555351348332</v>
          </cell>
          <cell r="DU1766">
            <v>8.9753711570303274</v>
          </cell>
          <cell r="DV1766">
            <v>11.644336226312735</v>
          </cell>
          <cell r="DW1766">
            <v>9.8476005987137558</v>
          </cell>
          <cell r="DX1766">
            <v>7.1073990168282446</v>
          </cell>
          <cell r="DY1766">
            <v>12.587802180599267</v>
          </cell>
        </row>
        <row r="1767">
          <cell r="A1767">
            <v>41936</v>
          </cell>
          <cell r="DF1767">
            <v>17.016311524055546</v>
          </cell>
          <cell r="DG1767">
            <v>21.679348620667902</v>
          </cell>
          <cell r="DH1767">
            <v>18.362277992096409</v>
          </cell>
          <cell r="DI1767">
            <v>14.300000632844487</v>
          </cell>
          <cell r="DJ1767">
            <v>22.424555351348332</v>
          </cell>
          <cell r="DU1767">
            <v>9.3517491462840194</v>
          </cell>
          <cell r="DV1767">
            <v>11.644336226312735</v>
          </cell>
          <cell r="DW1767">
            <v>9.8476005987137558</v>
          </cell>
          <cell r="DX1767">
            <v>7.1073990168282446</v>
          </cell>
          <cell r="DY1767">
            <v>12.587802180599267</v>
          </cell>
        </row>
        <row r="1768">
          <cell r="A1768">
            <v>41939</v>
          </cell>
          <cell r="DF1768">
            <v>17.21091464019851</v>
          </cell>
          <cell r="DG1768">
            <v>21.679348620667902</v>
          </cell>
          <cell r="DH1768">
            <v>18.362277992096409</v>
          </cell>
          <cell r="DI1768">
            <v>14.300000632844487</v>
          </cell>
          <cell r="DJ1768">
            <v>22.424555351348332</v>
          </cell>
          <cell r="DU1768">
            <v>9.3896752370671841</v>
          </cell>
          <cell r="DV1768">
            <v>11.644336226312735</v>
          </cell>
          <cell r="DW1768">
            <v>9.8476005987137558</v>
          </cell>
          <cell r="DX1768">
            <v>7.1073990168282446</v>
          </cell>
          <cell r="DY1768">
            <v>12.587802180599267</v>
          </cell>
        </row>
        <row r="1769">
          <cell r="A1769">
            <v>41940</v>
          </cell>
          <cell r="DF1769">
            <v>17.354839702233249</v>
          </cell>
          <cell r="DG1769">
            <v>21.679348620667902</v>
          </cell>
          <cell r="DH1769">
            <v>18.362277992096409</v>
          </cell>
          <cell r="DI1769">
            <v>14.300000632844487</v>
          </cell>
          <cell r="DJ1769">
            <v>22.424555351348332</v>
          </cell>
          <cell r="DU1769">
            <v>9.3896752370671841</v>
          </cell>
          <cell r="DV1769">
            <v>11.644336226312735</v>
          </cell>
          <cell r="DW1769">
            <v>9.8476005987137558</v>
          </cell>
          <cell r="DX1769">
            <v>7.1073990168282446</v>
          </cell>
          <cell r="DY1769">
            <v>12.587802180599267</v>
          </cell>
        </row>
        <row r="1770">
          <cell r="A1770">
            <v>41941</v>
          </cell>
          <cell r="DF1770">
            <v>17.409430272952854</v>
          </cell>
          <cell r="DG1770">
            <v>21.679348620667902</v>
          </cell>
          <cell r="DH1770">
            <v>18.362277992096409</v>
          </cell>
          <cell r="DI1770">
            <v>14.300000632844487</v>
          </cell>
          <cell r="DJ1770">
            <v>22.424555351348332</v>
          </cell>
          <cell r="DU1770">
            <v>9.5063834019740803</v>
          </cell>
          <cell r="DV1770">
            <v>11.644336226312735</v>
          </cell>
          <cell r="DW1770">
            <v>9.8476005987137558</v>
          </cell>
          <cell r="DX1770">
            <v>7.1073990168282446</v>
          </cell>
          <cell r="DY1770">
            <v>12.587802180599267</v>
          </cell>
        </row>
        <row r="1771">
          <cell r="A1771">
            <v>41942</v>
          </cell>
          <cell r="DF1771">
            <v>17.45905359801489</v>
          </cell>
          <cell r="DG1771">
            <v>21.679348620667902</v>
          </cell>
          <cell r="DH1771">
            <v>18.362277992096409</v>
          </cell>
          <cell r="DI1771">
            <v>14.300000632844487</v>
          </cell>
          <cell r="DJ1771">
            <v>22.424555351348332</v>
          </cell>
          <cell r="DU1771">
            <v>9.5355571608575183</v>
          </cell>
          <cell r="DV1771">
            <v>11.644336226312735</v>
          </cell>
          <cell r="DW1771">
            <v>9.8476005987137558</v>
          </cell>
          <cell r="DX1771">
            <v>7.1073990168282446</v>
          </cell>
          <cell r="DY1771">
            <v>12.587802180599267</v>
          </cell>
        </row>
        <row r="1772">
          <cell r="A1772">
            <v>41943</v>
          </cell>
          <cell r="DF1772">
            <v>17.344911662531018</v>
          </cell>
          <cell r="DG1772">
            <v>21.679348620667902</v>
          </cell>
          <cell r="DH1772">
            <v>18.362277992096409</v>
          </cell>
          <cell r="DI1772">
            <v>14.300000632844487</v>
          </cell>
          <cell r="DJ1772">
            <v>22.424555351348332</v>
          </cell>
          <cell r="DU1772">
            <v>9.4684526429693552</v>
          </cell>
          <cell r="DV1772">
            <v>11.644336226312735</v>
          </cell>
          <cell r="DW1772">
            <v>9.8476005987137558</v>
          </cell>
          <cell r="DX1772">
            <v>7.1073990168282446</v>
          </cell>
          <cell r="DY1772">
            <v>12.587802180599267</v>
          </cell>
        </row>
        <row r="1773">
          <cell r="A1773">
            <v>41946</v>
          </cell>
          <cell r="DF1773">
            <v>17.434245657568237</v>
          </cell>
          <cell r="DG1773">
            <v>21.679348620667902</v>
          </cell>
          <cell r="DH1773">
            <v>18.362277992096409</v>
          </cell>
          <cell r="DI1773">
            <v>14.300000632844487</v>
          </cell>
          <cell r="DJ1773">
            <v>22.424555351348332</v>
          </cell>
          <cell r="DU1773">
            <v>9.520972469644656</v>
          </cell>
          <cell r="DV1773">
            <v>11.644336226312735</v>
          </cell>
          <cell r="DW1773">
            <v>9.8476005987137558</v>
          </cell>
          <cell r="DX1773">
            <v>7.1073990168282446</v>
          </cell>
          <cell r="DY1773">
            <v>12.587802180599267</v>
          </cell>
        </row>
        <row r="1774">
          <cell r="A1774">
            <v>41947</v>
          </cell>
          <cell r="DF1774">
            <v>16.873449131513645</v>
          </cell>
          <cell r="DG1774">
            <v>21.679348620667902</v>
          </cell>
          <cell r="DH1774">
            <v>18.362277992096409</v>
          </cell>
          <cell r="DI1774">
            <v>14.300000632844487</v>
          </cell>
          <cell r="DJ1774">
            <v>22.424555351348332</v>
          </cell>
          <cell r="DU1774">
            <v>9.520972469644656</v>
          </cell>
          <cell r="DV1774">
            <v>11.644336226312735</v>
          </cell>
          <cell r="DW1774">
            <v>9.8476005987137558</v>
          </cell>
          <cell r="DX1774">
            <v>7.1073990168282446</v>
          </cell>
          <cell r="DY1774">
            <v>12.587802180599267</v>
          </cell>
        </row>
        <row r="1775">
          <cell r="A1775">
            <v>41948</v>
          </cell>
          <cell r="DF1775">
            <v>16.590320243371067</v>
          </cell>
          <cell r="DG1775">
            <v>21.679348620667902</v>
          </cell>
          <cell r="DH1775">
            <v>18.362277992096409</v>
          </cell>
          <cell r="DI1775">
            <v>14.300000632844487</v>
          </cell>
          <cell r="DJ1775">
            <v>22.424555351348332</v>
          </cell>
          <cell r="DU1775">
            <v>9.0249704275913452</v>
          </cell>
          <cell r="DV1775">
            <v>11.644336226312735</v>
          </cell>
          <cell r="DW1775">
            <v>9.8476005987137558</v>
          </cell>
          <cell r="DX1775">
            <v>7.1073990168282446</v>
          </cell>
          <cell r="DY1775">
            <v>12.587802180599267</v>
          </cell>
        </row>
        <row r="1776">
          <cell r="A1776">
            <v>41949</v>
          </cell>
          <cell r="DF1776">
            <v>16.386855282551625</v>
          </cell>
          <cell r="DG1776">
            <v>21.679348620667902</v>
          </cell>
          <cell r="DH1776">
            <v>18.362277992096409</v>
          </cell>
          <cell r="DI1776">
            <v>14.300000632844487</v>
          </cell>
          <cell r="DJ1776">
            <v>22.424555351348332</v>
          </cell>
          <cell r="DU1776">
            <v>8.9053507512494399</v>
          </cell>
          <cell r="DV1776">
            <v>11.644336226312735</v>
          </cell>
          <cell r="DW1776">
            <v>9.8476005987137558</v>
          </cell>
          <cell r="DX1776">
            <v>7.1073990168282446</v>
          </cell>
          <cell r="DY1776">
            <v>12.587802180599267</v>
          </cell>
        </row>
        <row r="1777">
          <cell r="A1777">
            <v>41950</v>
          </cell>
          <cell r="DF1777">
            <v>16.853350570462972</v>
          </cell>
          <cell r="DG1777">
            <v>21.679348620667902</v>
          </cell>
          <cell r="DH1777">
            <v>18.362277992096409</v>
          </cell>
          <cell r="DI1777">
            <v>14.300000632844487</v>
          </cell>
          <cell r="DJ1777">
            <v>22.424555351348332</v>
          </cell>
          <cell r="DU1777">
            <v>9.1796093515029664</v>
          </cell>
          <cell r="DV1777">
            <v>11.644336226312735</v>
          </cell>
          <cell r="DW1777">
            <v>9.8476005987137558</v>
          </cell>
          <cell r="DX1777">
            <v>7.1073990168282446</v>
          </cell>
          <cell r="DY1777">
            <v>12.587802180599267</v>
          </cell>
        </row>
        <row r="1778">
          <cell r="A1778">
            <v>41953</v>
          </cell>
          <cell r="DF1778">
            <v>17.652346615186872</v>
          </cell>
          <cell r="DG1778">
            <v>21.679348620667902</v>
          </cell>
          <cell r="DH1778">
            <v>18.362277992096409</v>
          </cell>
          <cell r="DI1778">
            <v>14.300000632844487</v>
          </cell>
          <cell r="DJ1778">
            <v>22.424555351348332</v>
          </cell>
          <cell r="DU1778">
            <v>9.6493494378716935</v>
          </cell>
          <cell r="DV1778">
            <v>11.644336226312735</v>
          </cell>
          <cell r="DW1778">
            <v>9.8476005987137558</v>
          </cell>
          <cell r="DX1778">
            <v>7.1073990168282446</v>
          </cell>
          <cell r="DY1778">
            <v>12.587802180599267</v>
          </cell>
        </row>
        <row r="1779">
          <cell r="A1779">
            <v>41954</v>
          </cell>
          <cell r="DF1779">
            <v>18.02903308045493</v>
          </cell>
          <cell r="DG1779">
            <v>21.679348620667902</v>
          </cell>
          <cell r="DH1779">
            <v>18.362277992096409</v>
          </cell>
          <cell r="DI1779">
            <v>14.300000632844487</v>
          </cell>
          <cell r="DJ1779">
            <v>22.424555351348332</v>
          </cell>
          <cell r="DU1779">
            <v>9.8973460824406363</v>
          </cell>
          <cell r="DV1779">
            <v>11.644336226312735</v>
          </cell>
          <cell r="DW1779">
            <v>9.8476005987137558</v>
          </cell>
          <cell r="DX1779">
            <v>7.1073990168282446</v>
          </cell>
          <cell r="DY1779">
            <v>12.587802180599267</v>
          </cell>
        </row>
        <row r="1780">
          <cell r="A1780">
            <v>41955</v>
          </cell>
          <cell r="DF1780">
            <v>17.916664682539682</v>
          </cell>
          <cell r="DG1780">
            <v>21.679348620667902</v>
          </cell>
          <cell r="DH1780">
            <v>18.362277992096409</v>
          </cell>
          <cell r="DI1780">
            <v>14.300000632844487</v>
          </cell>
          <cell r="DJ1780">
            <v>22.424555351348332</v>
          </cell>
          <cell r="DU1780">
            <v>9.8098160528748934</v>
          </cell>
          <cell r="DV1780">
            <v>11.644336226312735</v>
          </cell>
          <cell r="DW1780">
            <v>9.8476005987137558</v>
          </cell>
          <cell r="DX1780">
            <v>7.1073990168282446</v>
          </cell>
          <cell r="DY1780">
            <v>12.587802180599267</v>
          </cell>
        </row>
        <row r="1781">
          <cell r="A1781">
            <v>41956</v>
          </cell>
          <cell r="DF1781">
            <v>17.966270833333333</v>
          </cell>
          <cell r="DG1781">
            <v>21.679348620667902</v>
          </cell>
          <cell r="DH1781">
            <v>18.362277992096409</v>
          </cell>
          <cell r="DI1781">
            <v>14.300000632844487</v>
          </cell>
          <cell r="DJ1781">
            <v>22.424555351348332</v>
          </cell>
          <cell r="DU1781">
            <v>9.7630448245151484</v>
          </cell>
          <cell r="DV1781">
            <v>11.644336226312735</v>
          </cell>
          <cell r="DW1781">
            <v>9.8476005987137558</v>
          </cell>
          <cell r="DX1781">
            <v>7.1073990168282446</v>
          </cell>
          <cell r="DY1781">
            <v>12.587802180599267</v>
          </cell>
        </row>
        <row r="1782">
          <cell r="A1782">
            <v>41957</v>
          </cell>
          <cell r="DF1782">
            <v>18.105158730158731</v>
          </cell>
          <cell r="DG1782">
            <v>21.679348620667902</v>
          </cell>
          <cell r="DH1782">
            <v>18.362277992096409</v>
          </cell>
          <cell r="DI1782">
            <v>14.300000632844487</v>
          </cell>
          <cell r="DJ1782">
            <v>22.424555351348332</v>
          </cell>
          <cell r="DU1782">
            <v>9.8441075097779436</v>
          </cell>
          <cell r="DV1782">
            <v>11.644336226312735</v>
          </cell>
          <cell r="DW1782">
            <v>9.8476005987137558</v>
          </cell>
          <cell r="DX1782">
            <v>7.1073990168282446</v>
          </cell>
          <cell r="DY1782">
            <v>12.587802180599267</v>
          </cell>
        </row>
        <row r="1783">
          <cell r="A1783">
            <v>41960</v>
          </cell>
          <cell r="DF1783">
            <v>18.105158730158731</v>
          </cell>
          <cell r="DG1783">
            <v>21.679348620667902</v>
          </cell>
          <cell r="DH1783">
            <v>18.362277992096409</v>
          </cell>
          <cell r="DI1783">
            <v>14.300000632844487</v>
          </cell>
          <cell r="DJ1783">
            <v>22.424555351348332</v>
          </cell>
          <cell r="DU1783">
            <v>9.8441075097779436</v>
          </cell>
          <cell r="DV1783">
            <v>11.644336226312735</v>
          </cell>
          <cell r="DW1783">
            <v>9.8476005987137558</v>
          </cell>
          <cell r="DX1783">
            <v>7.1073990168282446</v>
          </cell>
          <cell r="DY1783">
            <v>12.587802180599267</v>
          </cell>
        </row>
        <row r="1784">
          <cell r="A1784">
            <v>41961</v>
          </cell>
          <cell r="DF1784">
            <v>18.179560515873014</v>
          </cell>
          <cell r="DG1784">
            <v>21.679348620667902</v>
          </cell>
          <cell r="DH1784">
            <v>18.362277992096409</v>
          </cell>
          <cell r="DI1784">
            <v>14.300000632844487</v>
          </cell>
          <cell r="DJ1784">
            <v>22.424555351348332</v>
          </cell>
          <cell r="DU1784">
            <v>9.8875325214326963</v>
          </cell>
          <cell r="DV1784">
            <v>11.644336226312735</v>
          </cell>
          <cell r="DW1784">
            <v>9.8476005987137558</v>
          </cell>
          <cell r="DX1784">
            <v>7.1073990168282446</v>
          </cell>
          <cell r="DY1784">
            <v>12.587802180599267</v>
          </cell>
        </row>
        <row r="1785">
          <cell r="A1785">
            <v>41962</v>
          </cell>
          <cell r="DF1785">
            <v>17.589289186507933</v>
          </cell>
          <cell r="DG1785">
            <v>21.679348620667902</v>
          </cell>
          <cell r="DH1785">
            <v>18.362277992096409</v>
          </cell>
          <cell r="DI1785">
            <v>14.300000632844487</v>
          </cell>
          <cell r="DJ1785">
            <v>22.424555351348332</v>
          </cell>
          <cell r="DU1785">
            <v>9.5430174118682807</v>
          </cell>
          <cell r="DV1785">
            <v>11.644336226312735</v>
          </cell>
          <cell r="DW1785">
            <v>9.8476005987137558</v>
          </cell>
          <cell r="DX1785">
            <v>7.1073990168282446</v>
          </cell>
          <cell r="DY1785">
            <v>12.587802180599267</v>
          </cell>
        </row>
        <row r="1786">
          <cell r="A1786">
            <v>41963</v>
          </cell>
          <cell r="DF1786">
            <v>17.276786706349206</v>
          </cell>
          <cell r="DG1786">
            <v>21.679348620667902</v>
          </cell>
          <cell r="DH1786">
            <v>18.362277992096409</v>
          </cell>
          <cell r="DI1786">
            <v>14.300000632844487</v>
          </cell>
          <cell r="DJ1786">
            <v>22.424555351348332</v>
          </cell>
          <cell r="DU1786">
            <v>9.3606236196662405</v>
          </cell>
          <cell r="DV1786">
            <v>11.644336226312735</v>
          </cell>
          <cell r="DW1786">
            <v>9.8476005987137558</v>
          </cell>
          <cell r="DX1786">
            <v>7.1073990168282446</v>
          </cell>
          <cell r="DY1786">
            <v>12.587802180599267</v>
          </cell>
        </row>
        <row r="1787">
          <cell r="A1787">
            <v>41964</v>
          </cell>
          <cell r="DF1787">
            <v>16.894840277777778</v>
          </cell>
          <cell r="DG1787">
            <v>21.679348620667902</v>
          </cell>
          <cell r="DH1787">
            <v>18.362277992096409</v>
          </cell>
          <cell r="DI1787">
            <v>14.300000632844487</v>
          </cell>
          <cell r="DJ1787">
            <v>22.424555351348332</v>
          </cell>
          <cell r="DU1787">
            <v>9.3606236196662405</v>
          </cell>
          <cell r="DV1787">
            <v>11.644336226312735</v>
          </cell>
          <cell r="DW1787">
            <v>9.8476005987137558</v>
          </cell>
          <cell r="DX1787">
            <v>7.1073990168282446</v>
          </cell>
          <cell r="DY1787">
            <v>12.587802180599267</v>
          </cell>
        </row>
        <row r="1788">
          <cell r="A1788">
            <v>41967</v>
          </cell>
          <cell r="DF1788">
            <v>16.64210617609147</v>
          </cell>
          <cell r="DG1788">
            <v>21.679348620667902</v>
          </cell>
          <cell r="DH1788">
            <v>18.362277992096409</v>
          </cell>
          <cell r="DI1788">
            <v>14.300000632844487</v>
          </cell>
          <cell r="DJ1788">
            <v>22.424555351348332</v>
          </cell>
          <cell r="DU1788">
            <v>9.0536733134229515</v>
          </cell>
          <cell r="DV1788">
            <v>11.644336226312735</v>
          </cell>
          <cell r="DW1788">
            <v>9.8476005987137558</v>
          </cell>
          <cell r="DX1788">
            <v>7.1073990168282446</v>
          </cell>
          <cell r="DY1788">
            <v>12.587802180599267</v>
          </cell>
        </row>
        <row r="1789">
          <cell r="A1789">
            <v>41968</v>
          </cell>
          <cell r="DF1789">
            <v>16.910843958259537</v>
          </cell>
          <cell r="DG1789">
            <v>21.679348620667902</v>
          </cell>
          <cell r="DH1789">
            <v>18.362277992096409</v>
          </cell>
          <cell r="DI1789">
            <v>14.300000632844487</v>
          </cell>
          <cell r="DJ1789">
            <v>22.424555351348332</v>
          </cell>
          <cell r="DU1789">
            <v>9.2114413828358934</v>
          </cell>
          <cell r="DV1789">
            <v>11.644336226312735</v>
          </cell>
          <cell r="DW1789">
            <v>9.8476005987137558</v>
          </cell>
          <cell r="DX1789">
            <v>7.1073990168282446</v>
          </cell>
          <cell r="DY1789">
            <v>12.587802180599267</v>
          </cell>
        </row>
        <row r="1790">
          <cell r="A1790">
            <v>41969</v>
          </cell>
          <cell r="DF1790">
            <v>16.635670501992095</v>
          </cell>
          <cell r="DG1790">
            <v>21.679348620667902</v>
          </cell>
          <cell r="DH1790">
            <v>18.362277992096409</v>
          </cell>
          <cell r="DI1790">
            <v>14.300000632844487</v>
          </cell>
          <cell r="DJ1790">
            <v>22.424555351348332</v>
          </cell>
          <cell r="DU1790">
            <v>9.0417780201763307</v>
          </cell>
          <cell r="DV1790">
            <v>11.644336226312735</v>
          </cell>
          <cell r="DW1790">
            <v>9.8476005987137558</v>
          </cell>
          <cell r="DX1790">
            <v>7.1073990168282446</v>
          </cell>
          <cell r="DY1790">
            <v>12.587802180599267</v>
          </cell>
        </row>
        <row r="1791">
          <cell r="A1791">
            <v>41970</v>
          </cell>
          <cell r="DF1791">
            <v>16.562553012078649</v>
          </cell>
          <cell r="DG1791">
            <v>21.679348620667902</v>
          </cell>
          <cell r="DH1791">
            <v>18.362277992096409</v>
          </cell>
          <cell r="DI1791">
            <v>14.300000632844487</v>
          </cell>
          <cell r="DJ1791">
            <v>22.424555351348332</v>
          </cell>
          <cell r="DU1791">
            <v>8.9988996597013102</v>
          </cell>
          <cell r="DV1791">
            <v>11.644336226312735</v>
          </cell>
          <cell r="DW1791">
            <v>9.8476005987137558</v>
          </cell>
          <cell r="DX1791">
            <v>7.1073990168282446</v>
          </cell>
          <cell r="DY1791">
            <v>12.587802180599267</v>
          </cell>
        </row>
        <row r="1792">
          <cell r="A1792">
            <v>41971</v>
          </cell>
          <cell r="DF1792">
            <v>17.83083789779543</v>
          </cell>
          <cell r="DG1792">
            <v>21.679348620667902</v>
          </cell>
          <cell r="DH1792">
            <v>18.362277992096409</v>
          </cell>
          <cell r="DI1792">
            <v>14.300000632844487</v>
          </cell>
          <cell r="DJ1792">
            <v>22.424555351348332</v>
          </cell>
          <cell r="DU1792">
            <v>9.6693844015602419</v>
          </cell>
          <cell r="DV1792">
            <v>11.644336226312735</v>
          </cell>
          <cell r="DW1792">
            <v>9.8476005987137558</v>
          </cell>
          <cell r="DX1792">
            <v>7.1073990168282446</v>
          </cell>
          <cell r="DY1792">
            <v>12.587802180599267</v>
          </cell>
        </row>
        <row r="1793">
          <cell r="A1793">
            <v>41974</v>
          </cell>
          <cell r="DF1793">
            <v>18.126082523294592</v>
          </cell>
          <cell r="DG1793">
            <v>21.679348620667902</v>
          </cell>
          <cell r="DH1793">
            <v>18.362277992096409</v>
          </cell>
          <cell r="DI1793">
            <v>14.300000632844487</v>
          </cell>
          <cell r="DJ1793">
            <v>22.424555351348332</v>
          </cell>
          <cell r="DU1793">
            <v>9.8411346382321181</v>
          </cell>
          <cell r="DV1793">
            <v>11.644336226312735</v>
          </cell>
          <cell r="DW1793">
            <v>9.8476005987137558</v>
          </cell>
          <cell r="DX1793">
            <v>7.1073990168282446</v>
          </cell>
          <cell r="DY1793">
            <v>12.587802180599267</v>
          </cell>
        </row>
        <row r="1794">
          <cell r="A1794">
            <v>41975</v>
          </cell>
          <cell r="DF1794">
            <v>18.440692292180998</v>
          </cell>
          <cell r="DG1794">
            <v>21.679348620667902</v>
          </cell>
          <cell r="DH1794">
            <v>18.362277992096409</v>
          </cell>
          <cell r="DI1794">
            <v>14.300000632844487</v>
          </cell>
          <cell r="DJ1794">
            <v>22.424555351348332</v>
          </cell>
          <cell r="DU1794">
            <v>10.024150001083076</v>
          </cell>
          <cell r="DV1794">
            <v>11.644336226312735</v>
          </cell>
          <cell r="DW1794">
            <v>9.8476005987137558</v>
          </cell>
          <cell r="DX1794">
            <v>7.1073990168282446</v>
          </cell>
          <cell r="DY1794">
            <v>12.587802180599267</v>
          </cell>
        </row>
        <row r="1795">
          <cell r="A1795">
            <v>41976</v>
          </cell>
          <cell r="DF1795">
            <v>18.842411809786817</v>
          </cell>
          <cell r="DG1795">
            <v>21.679348620667902</v>
          </cell>
          <cell r="DH1795">
            <v>18.362277992096409</v>
          </cell>
          <cell r="DI1795">
            <v>14.300000632844487</v>
          </cell>
          <cell r="DJ1795">
            <v>22.424555351348332</v>
          </cell>
          <cell r="DU1795">
            <v>10.257839004254128</v>
          </cell>
          <cell r="DV1795">
            <v>11.644336226312735</v>
          </cell>
          <cell r="DW1795">
            <v>9.8476005987137558</v>
          </cell>
          <cell r="DX1795">
            <v>7.1073990168282446</v>
          </cell>
          <cell r="DY1795">
            <v>12.587802180599267</v>
          </cell>
        </row>
        <row r="1796">
          <cell r="A1796">
            <v>41977</v>
          </cell>
          <cell r="DF1796">
            <v>19.079578429397209</v>
          </cell>
          <cell r="DG1796">
            <v>21.679348620667902</v>
          </cell>
          <cell r="DH1796">
            <v>18.362277992096409</v>
          </cell>
          <cell r="DI1796">
            <v>14.300000632844487</v>
          </cell>
          <cell r="DJ1796">
            <v>22.424555351348332</v>
          </cell>
          <cell r="DU1796">
            <v>10.257839004254128</v>
          </cell>
          <cell r="DV1796">
            <v>11.644336226312735</v>
          </cell>
          <cell r="DW1796">
            <v>9.8476005987137558</v>
          </cell>
          <cell r="DX1796">
            <v>7.1073990168282446</v>
          </cell>
          <cell r="DY1796">
            <v>12.587802180599267</v>
          </cell>
        </row>
        <row r="1797">
          <cell r="A1797">
            <v>41978</v>
          </cell>
          <cell r="DF1797">
            <v>19.112884174440946</v>
          </cell>
          <cell r="DG1797">
            <v>21.679348620667902</v>
          </cell>
          <cell r="DH1797">
            <v>18.362277992096409</v>
          </cell>
          <cell r="DI1797">
            <v>14.300000632844487</v>
          </cell>
          <cell r="DJ1797">
            <v>22.424555351348332</v>
          </cell>
          <cell r="DU1797">
            <v>10.415515012925153</v>
          </cell>
          <cell r="DV1797">
            <v>11.644336226312735</v>
          </cell>
          <cell r="DW1797">
            <v>9.8476005987137558</v>
          </cell>
          <cell r="DX1797">
            <v>7.1073990168282446</v>
          </cell>
          <cell r="DY1797">
            <v>12.587802180599267</v>
          </cell>
        </row>
        <row r="1798">
          <cell r="A1798">
            <v>41981</v>
          </cell>
          <cell r="DF1798">
            <v>19.093520100833686</v>
          </cell>
          <cell r="DG1798">
            <v>21.679348620667902</v>
          </cell>
          <cell r="DH1798">
            <v>18.362277992096409</v>
          </cell>
          <cell r="DI1798">
            <v>14.300000632844487</v>
          </cell>
          <cell r="DJ1798">
            <v>22.424555351348332</v>
          </cell>
          <cell r="DU1798">
            <v>10.404250168303836</v>
          </cell>
          <cell r="DV1798">
            <v>11.644336226312735</v>
          </cell>
          <cell r="DW1798">
            <v>9.8476005987137558</v>
          </cell>
          <cell r="DX1798">
            <v>7.1073990168282446</v>
          </cell>
          <cell r="DY1798">
            <v>12.587802180599267</v>
          </cell>
        </row>
        <row r="1799">
          <cell r="A1799">
            <v>41982</v>
          </cell>
          <cell r="DF1799">
            <v>18.832736982214517</v>
          </cell>
          <cell r="DG1799">
            <v>21.679348620667902</v>
          </cell>
          <cell r="DH1799">
            <v>18.362277992096409</v>
          </cell>
          <cell r="DI1799">
            <v>14.300000632844487</v>
          </cell>
          <cell r="DJ1799">
            <v>22.424555351348332</v>
          </cell>
          <cell r="DU1799">
            <v>10.404250168303836</v>
          </cell>
          <cell r="DV1799">
            <v>11.644336226312735</v>
          </cell>
          <cell r="DW1799">
            <v>9.8476005987137558</v>
          </cell>
          <cell r="DX1799">
            <v>7.1073990168282446</v>
          </cell>
          <cell r="DY1799">
            <v>12.587802180599267</v>
          </cell>
        </row>
        <row r="1800">
          <cell r="A1800">
            <v>41983</v>
          </cell>
          <cell r="DF1800">
            <v>18.821349887134978</v>
          </cell>
          <cell r="DG1800">
            <v>21.679348620667902</v>
          </cell>
          <cell r="DH1800">
            <v>18.362277992096409</v>
          </cell>
          <cell r="DI1800">
            <v>14.300000632844487</v>
          </cell>
          <cell r="DJ1800">
            <v>22.424555351348332</v>
          </cell>
          <cell r="DU1800">
            <v>10.242609228462529</v>
          </cell>
          <cell r="DV1800">
            <v>11.644336226312735</v>
          </cell>
          <cell r="DW1800">
            <v>9.8476005987137558</v>
          </cell>
          <cell r="DX1800">
            <v>7.1073990168282446</v>
          </cell>
          <cell r="DY1800">
            <v>12.587802180599267</v>
          </cell>
        </row>
        <row r="1801">
          <cell r="A1801">
            <v>41984</v>
          </cell>
          <cell r="DF1801">
            <v>18.37149113189469</v>
          </cell>
          <cell r="DG1801">
            <v>21.679348620667902</v>
          </cell>
          <cell r="DH1801">
            <v>18.362277992096409</v>
          </cell>
          <cell r="DI1801">
            <v>14.300000632844487</v>
          </cell>
          <cell r="DJ1801">
            <v>22.424555351348332</v>
          </cell>
          <cell r="DU1801">
            <v>10.242609228462529</v>
          </cell>
          <cell r="DV1801">
            <v>11.644336226312735</v>
          </cell>
          <cell r="DW1801">
            <v>9.8476005987137558</v>
          </cell>
          <cell r="DX1801">
            <v>7.1073990168282446</v>
          </cell>
          <cell r="DY1801">
            <v>12.587802180599267</v>
          </cell>
        </row>
        <row r="1802">
          <cell r="A1802">
            <v>41985</v>
          </cell>
          <cell r="DF1802">
            <v>17.68607838039026</v>
          </cell>
          <cell r="DG1802">
            <v>21.679348620667902</v>
          </cell>
          <cell r="DH1802">
            <v>18.362277992096409</v>
          </cell>
          <cell r="DI1802">
            <v>14.300000632844487</v>
          </cell>
          <cell r="DJ1802">
            <v>22.424555351348332</v>
          </cell>
          <cell r="DU1802">
            <v>9.5815664718480509</v>
          </cell>
          <cell r="DV1802">
            <v>11.644336226312735</v>
          </cell>
          <cell r="DW1802">
            <v>9.8476005987137558</v>
          </cell>
          <cell r="DX1802">
            <v>7.1073990168282446</v>
          </cell>
          <cell r="DY1802">
            <v>12.587802180599267</v>
          </cell>
        </row>
        <row r="1803">
          <cell r="A1803">
            <v>41988</v>
          </cell>
          <cell r="DF1803">
            <v>17.730463207160398</v>
          </cell>
          <cell r="DG1803">
            <v>21.679348620667902</v>
          </cell>
          <cell r="DH1803">
            <v>18.362277992096409</v>
          </cell>
          <cell r="DI1803">
            <v>14.300000632844487</v>
          </cell>
          <cell r="DJ1803">
            <v>22.424555351348332</v>
          </cell>
          <cell r="DU1803">
            <v>9.6434514489493584</v>
          </cell>
          <cell r="DV1803">
            <v>11.644336226312735</v>
          </cell>
          <cell r="DW1803">
            <v>9.8476005987137558</v>
          </cell>
          <cell r="DX1803">
            <v>7.1073990168282446</v>
          </cell>
          <cell r="DY1803">
            <v>12.587802180599267</v>
          </cell>
        </row>
        <row r="1804">
          <cell r="A1804">
            <v>41989</v>
          </cell>
          <cell r="DF1804">
            <v>17.416404618717081</v>
          </cell>
          <cell r="DG1804">
            <v>21.679348620667902</v>
          </cell>
          <cell r="DH1804">
            <v>18.362277992096409</v>
          </cell>
          <cell r="DI1804">
            <v>14.300000632844487</v>
          </cell>
          <cell r="DJ1804">
            <v>22.424555351348332</v>
          </cell>
          <cell r="DU1804">
            <v>9.4803003246875885</v>
          </cell>
          <cell r="DV1804">
            <v>11.644336226312735</v>
          </cell>
          <cell r="DW1804">
            <v>9.8476005987137558</v>
          </cell>
          <cell r="DX1804">
            <v>7.1073990168282446</v>
          </cell>
          <cell r="DY1804">
            <v>12.587802180599267</v>
          </cell>
        </row>
        <row r="1805">
          <cell r="A1805">
            <v>41990</v>
          </cell>
          <cell r="DF1805">
            <v>17.632905460670433</v>
          </cell>
          <cell r="DG1805">
            <v>21.679348620667902</v>
          </cell>
          <cell r="DH1805">
            <v>18.362277992096409</v>
          </cell>
          <cell r="DI1805">
            <v>14.300000632844487</v>
          </cell>
          <cell r="DJ1805">
            <v>22.424555351348332</v>
          </cell>
          <cell r="DU1805">
            <v>9.6068818131383615</v>
          </cell>
          <cell r="DV1805">
            <v>11.644336226312735</v>
          </cell>
          <cell r="DW1805">
            <v>9.8476005987137558</v>
          </cell>
          <cell r="DX1805">
            <v>7.1073990168282446</v>
          </cell>
          <cell r="DY1805">
            <v>12.587802180599267</v>
          </cell>
        </row>
        <row r="1806">
          <cell r="A1806">
            <v>41991</v>
          </cell>
          <cell r="DF1806">
            <v>18.219868174165796</v>
          </cell>
          <cell r="DG1806">
            <v>21.679348620667902</v>
          </cell>
          <cell r="DH1806">
            <v>18.362277992096409</v>
          </cell>
          <cell r="DI1806">
            <v>14.300000632844487</v>
          </cell>
          <cell r="DJ1806">
            <v>22.424555351348332</v>
          </cell>
          <cell r="DU1806">
            <v>9.9500611433848274</v>
          </cell>
          <cell r="DV1806">
            <v>11.644336226312735</v>
          </cell>
          <cell r="DW1806">
            <v>9.8476005987137558</v>
          </cell>
          <cell r="DX1806">
            <v>7.1073990168282446</v>
          </cell>
          <cell r="DY1806">
            <v>12.587802180599267</v>
          </cell>
        </row>
        <row r="1807">
          <cell r="A1807">
            <v>41992</v>
          </cell>
          <cell r="DF1807">
            <v>18.181377916768632</v>
          </cell>
          <cell r="DG1807">
            <v>21.679348620667902</v>
          </cell>
          <cell r="DH1807">
            <v>18.362277992096409</v>
          </cell>
          <cell r="DI1807">
            <v>14.300000632844487</v>
          </cell>
          <cell r="DJ1807">
            <v>22.424555351348332</v>
          </cell>
          <cell r="DU1807">
            <v>9.9275570550485952</v>
          </cell>
          <cell r="DV1807">
            <v>11.644336226312735</v>
          </cell>
          <cell r="DW1807">
            <v>9.8476005987137558</v>
          </cell>
          <cell r="DX1807">
            <v>7.1073990168282446</v>
          </cell>
          <cell r="DY1807">
            <v>12.587802180599267</v>
          </cell>
        </row>
        <row r="1808">
          <cell r="A1808">
            <v>41995</v>
          </cell>
          <cell r="DF1808">
            <v>18.445993264375101</v>
          </cell>
          <cell r="DG1808">
            <v>21.679348620667902</v>
          </cell>
          <cell r="DH1808">
            <v>18.362277992096409</v>
          </cell>
          <cell r="DI1808">
            <v>14.300000632844487</v>
          </cell>
          <cell r="DJ1808">
            <v>22.424555351348332</v>
          </cell>
          <cell r="DU1808">
            <v>10.012231813834029</v>
          </cell>
          <cell r="DV1808">
            <v>11.644336226312735</v>
          </cell>
          <cell r="DW1808">
            <v>9.8476005987137558</v>
          </cell>
          <cell r="DX1808">
            <v>7.1073990168282446</v>
          </cell>
          <cell r="DY1808">
            <v>12.587802180599267</v>
          </cell>
        </row>
        <row r="1809">
          <cell r="A1809">
            <v>41996</v>
          </cell>
          <cell r="DF1809">
            <v>18.003367332212441</v>
          </cell>
          <cell r="DG1809">
            <v>21.679348620667902</v>
          </cell>
          <cell r="DH1809">
            <v>18.362277992096409</v>
          </cell>
          <cell r="DI1809">
            <v>14.300000632844487</v>
          </cell>
          <cell r="DJ1809">
            <v>22.424555351348332</v>
          </cell>
          <cell r="DU1809">
            <v>10.012231813834029</v>
          </cell>
          <cell r="DV1809">
            <v>11.644336226312735</v>
          </cell>
          <cell r="DW1809">
            <v>9.8476005987137558</v>
          </cell>
          <cell r="DX1809">
            <v>7.1073990168282446</v>
          </cell>
          <cell r="DY1809">
            <v>12.587802180599267</v>
          </cell>
        </row>
        <row r="1810">
          <cell r="A1810">
            <v>41997</v>
          </cell>
          <cell r="DF1810">
            <v>17.713376806904911</v>
          </cell>
          <cell r="DG1810">
            <v>21.679348620667902</v>
          </cell>
          <cell r="DH1810">
            <v>18.362277992096409</v>
          </cell>
          <cell r="DI1810">
            <v>14.300000632844487</v>
          </cell>
          <cell r="DJ1810">
            <v>22.424555351348332</v>
          </cell>
          <cell r="DU1810">
            <v>9.641514246654511</v>
          </cell>
          <cell r="DV1810">
            <v>11.644336226312735</v>
          </cell>
          <cell r="DW1810">
            <v>9.8476005987137558</v>
          </cell>
          <cell r="DX1810">
            <v>7.1073990168282446</v>
          </cell>
          <cell r="DY1810">
            <v>12.587802180599267</v>
          </cell>
        </row>
        <row r="1811">
          <cell r="A1811">
            <v>41998</v>
          </cell>
          <cell r="DF1811">
            <v>18.056792692652618</v>
          </cell>
          <cell r="DG1811">
            <v>21.679348620667902</v>
          </cell>
          <cell r="DH1811">
            <v>18.362277992096409</v>
          </cell>
          <cell r="DI1811">
            <v>14.300000632844487</v>
          </cell>
          <cell r="DJ1811">
            <v>22.424555351348332</v>
          </cell>
          <cell r="DU1811">
            <v>9.8418156666305698</v>
          </cell>
          <cell r="DV1811">
            <v>11.644336226312735</v>
          </cell>
          <cell r="DW1811">
            <v>9.8476005987137558</v>
          </cell>
          <cell r="DX1811">
            <v>7.1073990168282446</v>
          </cell>
          <cell r="DY1811">
            <v>12.587802180599267</v>
          </cell>
        </row>
        <row r="1812">
          <cell r="A1812">
            <v>41999</v>
          </cell>
          <cell r="DF1812">
            <v>18.279738106554447</v>
          </cell>
          <cell r="DG1812">
            <v>21.679348620667902</v>
          </cell>
          <cell r="DH1812">
            <v>18.362277992096409</v>
          </cell>
          <cell r="DI1812">
            <v>14.300000632844487</v>
          </cell>
          <cell r="DJ1812">
            <v>22.424555351348332</v>
          </cell>
          <cell r="DU1812">
            <v>10.113570104734805</v>
          </cell>
          <cell r="DV1812">
            <v>11.644336226312735</v>
          </cell>
          <cell r="DW1812">
            <v>9.8476005987137558</v>
          </cell>
          <cell r="DX1812">
            <v>7.1073990168282446</v>
          </cell>
          <cell r="DY1812">
            <v>12.587802180599267</v>
          </cell>
        </row>
        <row r="1813">
          <cell r="A1813">
            <v>42002</v>
          </cell>
          <cell r="DF1813">
            <v>18.194368029741597</v>
          </cell>
          <cell r="DG1813">
            <v>21.679348620667902</v>
          </cell>
          <cell r="DH1813">
            <v>18.362277992096409</v>
          </cell>
          <cell r="DI1813">
            <v>14.300000632844487</v>
          </cell>
          <cell r="DJ1813">
            <v>22.424555351348332</v>
          </cell>
          <cell r="DU1813">
            <v>10.183004807842744</v>
          </cell>
          <cell r="DV1813">
            <v>11.644336226312735</v>
          </cell>
          <cell r="DW1813">
            <v>9.8476005987137558</v>
          </cell>
          <cell r="DX1813">
            <v>7.1073990168282446</v>
          </cell>
          <cell r="DY1813">
            <v>12.587802180599267</v>
          </cell>
        </row>
        <row r="1814">
          <cell r="A1814">
            <v>42003</v>
          </cell>
          <cell r="DF1814">
            <v>17.229001003222589</v>
          </cell>
          <cell r="DG1814">
            <v>21.679348620667902</v>
          </cell>
          <cell r="DH1814">
            <v>18.362277992096409</v>
          </cell>
          <cell r="DI1814">
            <v>14.300000632844487</v>
          </cell>
          <cell r="DJ1814">
            <v>22.424555351348332</v>
          </cell>
          <cell r="DU1814">
            <v>9.7912362418168328</v>
          </cell>
          <cell r="DV1814">
            <v>11.644336226312735</v>
          </cell>
          <cell r="DW1814">
            <v>9.8476005987137558</v>
          </cell>
          <cell r="DX1814">
            <v>7.1073990168282446</v>
          </cell>
          <cell r="DY1814">
            <v>12.587802180599267</v>
          </cell>
        </row>
        <row r="1815">
          <cell r="A1815">
            <v>42004</v>
          </cell>
          <cell r="DF1815">
            <v>18.318807863503316</v>
          </cell>
          <cell r="DG1815">
            <v>21.679348620667902</v>
          </cell>
          <cell r="DH1815">
            <v>18.362277992096409</v>
          </cell>
          <cell r="DI1815">
            <v>14.300000632844487</v>
          </cell>
          <cell r="DJ1815">
            <v>22.424555351348332</v>
          </cell>
          <cell r="DU1815">
            <v>9.422756126241719</v>
          </cell>
          <cell r="DV1815">
            <v>11.644336226312735</v>
          </cell>
          <cell r="DW1815">
            <v>9.8476005987137558</v>
          </cell>
          <cell r="DX1815">
            <v>7.1073990168282446</v>
          </cell>
          <cell r="DY1815">
            <v>12.587802180599267</v>
          </cell>
        </row>
        <row r="1816">
          <cell r="A1816">
            <v>42005</v>
          </cell>
          <cell r="DF1816">
            <v>18.505190096441023</v>
          </cell>
          <cell r="DG1816">
            <v>21.679348620667902</v>
          </cell>
          <cell r="DH1816">
            <v>18.362277992096409</v>
          </cell>
          <cell r="DI1816">
            <v>14.300000632844487</v>
          </cell>
          <cell r="DJ1816">
            <v>22.424555351348332</v>
          </cell>
          <cell r="DU1816">
            <v>9.5269597247137732</v>
          </cell>
          <cell r="DV1816">
            <v>11.644336226312735</v>
          </cell>
          <cell r="DW1816">
            <v>9.8476005987137558</v>
          </cell>
          <cell r="DX1816">
            <v>7.1073990168282446</v>
          </cell>
          <cell r="DY1816">
            <v>12.587802180599267</v>
          </cell>
        </row>
        <row r="1817">
          <cell r="A1817">
            <v>42006</v>
          </cell>
          <cell r="DF1817">
            <v>18.334572891455942</v>
          </cell>
          <cell r="DG1817">
            <v>21.679348620667902</v>
          </cell>
          <cell r="DH1817">
            <v>18.362277992096409</v>
          </cell>
          <cell r="DI1817">
            <v>14.300000632844487</v>
          </cell>
          <cell r="DJ1817">
            <v>22.424555351348332</v>
          </cell>
          <cell r="DU1817">
            <v>9.3916475613179013</v>
          </cell>
          <cell r="DV1817">
            <v>11.644336226312735</v>
          </cell>
          <cell r="DW1817">
            <v>9.8476005987137558</v>
          </cell>
          <cell r="DX1817">
            <v>7.1073990168282446</v>
          </cell>
          <cell r="DY1817">
            <v>12.587802180599267</v>
          </cell>
        </row>
        <row r="1818">
          <cell r="A1818">
            <v>42009</v>
          </cell>
          <cell r="DF1818">
            <v>18.781418730219716</v>
          </cell>
          <cell r="DG1818">
            <v>21.679348620667902</v>
          </cell>
          <cell r="DH1818">
            <v>18.362277992096409</v>
          </cell>
          <cell r="DI1818">
            <v>14.300000632844487</v>
          </cell>
          <cell r="DJ1818">
            <v>22.424555351348332</v>
          </cell>
          <cell r="DU1818">
            <v>9.640499594323078</v>
          </cell>
          <cell r="DV1818">
            <v>11.644336226312735</v>
          </cell>
          <cell r="DW1818">
            <v>9.8476005987137558</v>
          </cell>
          <cell r="DX1818">
            <v>7.1073990168282446</v>
          </cell>
          <cell r="DY1818">
            <v>12.587802180599267</v>
          </cell>
        </row>
        <row r="1819">
          <cell r="A1819">
            <v>42010</v>
          </cell>
          <cell r="DF1819">
            <v>19.007633029232956</v>
          </cell>
          <cell r="DG1819">
            <v>21.679348620667902</v>
          </cell>
          <cell r="DH1819">
            <v>18.362277992096409</v>
          </cell>
          <cell r="DI1819">
            <v>14.300000632844487</v>
          </cell>
          <cell r="DJ1819">
            <v>22.424555351348332</v>
          </cell>
          <cell r="DU1819">
            <v>9.640499594323078</v>
          </cell>
          <cell r="DV1819">
            <v>11.644336226312735</v>
          </cell>
          <cell r="DW1819">
            <v>9.8476005987137558</v>
          </cell>
          <cell r="DX1819">
            <v>7.1073990168282446</v>
          </cell>
          <cell r="DY1819">
            <v>12.587802180599267</v>
          </cell>
        </row>
        <row r="1820">
          <cell r="A1820">
            <v>42011</v>
          </cell>
          <cell r="DF1820">
            <v>19.007633029232956</v>
          </cell>
          <cell r="DG1820">
            <v>21.679348620667902</v>
          </cell>
          <cell r="DH1820">
            <v>18.362277992096409</v>
          </cell>
          <cell r="DI1820">
            <v>14.300000632844487</v>
          </cell>
          <cell r="DJ1820">
            <v>22.424555351348332</v>
          </cell>
          <cell r="DU1820">
            <v>9.7664801525398133</v>
          </cell>
          <cell r="DV1820">
            <v>11.644336226312735</v>
          </cell>
          <cell r="DW1820">
            <v>9.8476005987137558</v>
          </cell>
          <cell r="DX1820">
            <v>7.1073990168282446</v>
          </cell>
          <cell r="DY1820">
            <v>12.587802180599267</v>
          </cell>
        </row>
        <row r="1821">
          <cell r="A1821">
            <v>42012</v>
          </cell>
          <cell r="DF1821">
            <v>18.770245391921446</v>
          </cell>
          <cell r="DG1821">
            <v>21.679348620667902</v>
          </cell>
          <cell r="DH1821">
            <v>18.362277992096409</v>
          </cell>
          <cell r="DI1821">
            <v>14.300000632844487</v>
          </cell>
          <cell r="DJ1821">
            <v>22.424555351348332</v>
          </cell>
          <cell r="DU1821">
            <v>9.6342770725722389</v>
          </cell>
          <cell r="DV1821">
            <v>11.644336226312735</v>
          </cell>
          <cell r="DW1821">
            <v>9.8476005987137558</v>
          </cell>
          <cell r="DX1821">
            <v>7.1073990168282446</v>
          </cell>
          <cell r="DY1821">
            <v>12.587802180599267</v>
          </cell>
        </row>
        <row r="1822">
          <cell r="A1822">
            <v>42013</v>
          </cell>
          <cell r="DF1822">
            <v>18.867994228264781</v>
          </cell>
          <cell r="DG1822">
            <v>21.679348620667902</v>
          </cell>
          <cell r="DH1822">
            <v>18.362277992096409</v>
          </cell>
          <cell r="DI1822">
            <v>14.300000632844487</v>
          </cell>
          <cell r="DJ1822">
            <v>22.424555351348332</v>
          </cell>
          <cell r="DU1822">
            <v>9.6887141838480773</v>
          </cell>
          <cell r="DV1822">
            <v>11.644336226312735</v>
          </cell>
          <cell r="DW1822">
            <v>9.8476005987137558</v>
          </cell>
          <cell r="DX1822">
            <v>7.1073990168282446</v>
          </cell>
          <cell r="DY1822">
            <v>12.587802180599267</v>
          </cell>
        </row>
        <row r="1823">
          <cell r="A1823">
            <v>42016</v>
          </cell>
          <cell r="DF1823">
            <v>18.974121392666209</v>
          </cell>
          <cell r="DG1823">
            <v>21.679348620667902</v>
          </cell>
          <cell r="DH1823">
            <v>18.362277992096409</v>
          </cell>
          <cell r="DI1823">
            <v>14.300000632844487</v>
          </cell>
          <cell r="DJ1823">
            <v>22.424555351348332</v>
          </cell>
          <cell r="DU1823">
            <v>9.7478172532454224</v>
          </cell>
          <cell r="DV1823">
            <v>11.644336226312735</v>
          </cell>
          <cell r="DW1823">
            <v>9.8476005987137558</v>
          </cell>
          <cell r="DX1823">
            <v>7.1073990168282446</v>
          </cell>
          <cell r="DY1823">
            <v>12.587802180599267</v>
          </cell>
        </row>
        <row r="1824">
          <cell r="A1824">
            <v>42017</v>
          </cell>
          <cell r="DF1824">
            <v>19.16961906535288</v>
          </cell>
          <cell r="DG1824">
            <v>21.679348620667902</v>
          </cell>
          <cell r="DH1824">
            <v>18.362277992096409</v>
          </cell>
          <cell r="DI1824">
            <v>14.300000632844487</v>
          </cell>
          <cell r="DJ1824">
            <v>22.424555351348332</v>
          </cell>
          <cell r="DU1824">
            <v>9.7478172532454224</v>
          </cell>
          <cell r="DV1824">
            <v>11.644336226312735</v>
          </cell>
          <cell r="DW1824">
            <v>9.8476005987137558</v>
          </cell>
          <cell r="DX1824">
            <v>7.1073990168282446</v>
          </cell>
          <cell r="DY1824">
            <v>12.587802180599267</v>
          </cell>
        </row>
        <row r="1825">
          <cell r="A1825">
            <v>42018</v>
          </cell>
          <cell r="DF1825">
            <v>19.588535468257408</v>
          </cell>
          <cell r="DG1825">
            <v>21.679348620667902</v>
          </cell>
          <cell r="DH1825">
            <v>18.362277992096409</v>
          </cell>
          <cell r="DI1825">
            <v>14.300000632844487</v>
          </cell>
          <cell r="DJ1825">
            <v>22.424555351348332</v>
          </cell>
          <cell r="DU1825">
            <v>10.089989381872304</v>
          </cell>
          <cell r="DV1825">
            <v>11.644336226312735</v>
          </cell>
          <cell r="DW1825">
            <v>9.8476005987137558</v>
          </cell>
          <cell r="DX1825">
            <v>7.1073990168282446</v>
          </cell>
          <cell r="DY1825">
            <v>12.587802180599267</v>
          </cell>
        </row>
        <row r="1826">
          <cell r="A1826">
            <v>42019</v>
          </cell>
          <cell r="DF1826">
            <v>19.018806926086434</v>
          </cell>
          <cell r="DG1826">
            <v>21.679348620667902</v>
          </cell>
          <cell r="DH1826">
            <v>18.362277992096409</v>
          </cell>
          <cell r="DI1826">
            <v>14.300000632844487</v>
          </cell>
          <cell r="DJ1826">
            <v>22.424555351348332</v>
          </cell>
          <cell r="DU1826">
            <v>9.7727029853545275</v>
          </cell>
          <cell r="DV1826">
            <v>11.644336226312735</v>
          </cell>
          <cell r="DW1826">
            <v>9.8476005987137558</v>
          </cell>
          <cell r="DX1826">
            <v>7.1073990168282446</v>
          </cell>
          <cell r="DY1826">
            <v>12.587802180599267</v>
          </cell>
        </row>
        <row r="1827">
          <cell r="A1827">
            <v>42020</v>
          </cell>
          <cell r="DF1827">
            <v>19.784024762616017</v>
          </cell>
          <cell r="DG1827">
            <v>21.679348620667902</v>
          </cell>
          <cell r="DH1827">
            <v>18.362277992096409</v>
          </cell>
          <cell r="DI1827">
            <v>14.300000632844487</v>
          </cell>
          <cell r="DJ1827">
            <v>22.424555351348332</v>
          </cell>
          <cell r="DU1827">
            <v>10.198858938465857</v>
          </cell>
          <cell r="DV1827">
            <v>11.644336226312735</v>
          </cell>
          <cell r="DW1827">
            <v>9.8476005987137558</v>
          </cell>
          <cell r="DX1827">
            <v>7.1073990168282446</v>
          </cell>
          <cell r="DY1827">
            <v>12.587802180599267</v>
          </cell>
        </row>
        <row r="1828">
          <cell r="A1828">
            <v>42023</v>
          </cell>
          <cell r="DF1828">
            <v>19.527093837276205</v>
          </cell>
          <cell r="DG1828">
            <v>21.679348620667902</v>
          </cell>
          <cell r="DH1828">
            <v>18.362277992096409</v>
          </cell>
          <cell r="DI1828">
            <v>14.300000632844487</v>
          </cell>
          <cell r="DJ1828">
            <v>22.424555351348332</v>
          </cell>
          <cell r="DU1828">
            <v>10.198858938465857</v>
          </cell>
          <cell r="DV1828">
            <v>11.644336226312735</v>
          </cell>
          <cell r="DW1828">
            <v>9.8476005987137558</v>
          </cell>
          <cell r="DX1828">
            <v>7.1073990168282446</v>
          </cell>
          <cell r="DY1828">
            <v>12.587802180599267</v>
          </cell>
        </row>
        <row r="1829">
          <cell r="A1829">
            <v>42024</v>
          </cell>
          <cell r="DF1829">
            <v>19.029980264384701</v>
          </cell>
          <cell r="DG1829">
            <v>21.679348620667902</v>
          </cell>
          <cell r="DH1829">
            <v>18.362277992096409</v>
          </cell>
          <cell r="DI1829">
            <v>14.300000632844487</v>
          </cell>
          <cell r="DJ1829">
            <v>22.424555351348332</v>
          </cell>
          <cell r="DU1829">
            <v>10.055772044584064</v>
          </cell>
          <cell r="DV1829">
            <v>11.644336226312735</v>
          </cell>
          <cell r="DW1829">
            <v>9.8476005987137558</v>
          </cell>
          <cell r="DX1829">
            <v>7.1073990168282446</v>
          </cell>
          <cell r="DY1829">
            <v>12.587802180599267</v>
          </cell>
        </row>
        <row r="1830">
          <cell r="A1830">
            <v>42025</v>
          </cell>
          <cell r="DF1830">
            <v>18.363265798492119</v>
          </cell>
          <cell r="DG1830">
            <v>21.679348620667902</v>
          </cell>
          <cell r="DH1830">
            <v>18.362277992096409</v>
          </cell>
          <cell r="DI1830">
            <v>14.300000632844487</v>
          </cell>
          <cell r="DJ1830">
            <v>22.424555351348332</v>
          </cell>
          <cell r="DU1830">
            <v>9.464176877433097</v>
          </cell>
          <cell r="DV1830">
            <v>11.644336226312735</v>
          </cell>
          <cell r="DW1830">
            <v>9.8476005987137558</v>
          </cell>
          <cell r="DX1830">
            <v>7.1073990168282446</v>
          </cell>
          <cell r="DY1830">
            <v>12.587802180599267</v>
          </cell>
        </row>
        <row r="1831">
          <cell r="A1831">
            <v>42026</v>
          </cell>
          <cell r="DF1831">
            <v>18.599039890335845</v>
          </cell>
          <cell r="DG1831">
            <v>21.679348620667902</v>
          </cell>
          <cell r="DH1831">
            <v>18.362277992096409</v>
          </cell>
          <cell r="DI1831">
            <v>14.300000632844487</v>
          </cell>
          <cell r="DJ1831">
            <v>22.424555351348332</v>
          </cell>
          <cell r="DU1831">
            <v>9.5960602630582645</v>
          </cell>
          <cell r="DV1831">
            <v>11.644336226312735</v>
          </cell>
          <cell r="DW1831">
            <v>9.8476005987137558</v>
          </cell>
          <cell r="DX1831">
            <v>7.1073990168282446</v>
          </cell>
          <cell r="DY1831">
            <v>12.587802180599267</v>
          </cell>
        </row>
        <row r="1832">
          <cell r="A1832">
            <v>42027</v>
          </cell>
          <cell r="DF1832">
            <v>18.807404523646333</v>
          </cell>
          <cell r="DG1832">
            <v>21.679348620667902</v>
          </cell>
          <cell r="DH1832">
            <v>18.362277992096409</v>
          </cell>
          <cell r="DI1832">
            <v>14.300000632844487</v>
          </cell>
          <cell r="DJ1832">
            <v>22.424555351348332</v>
          </cell>
          <cell r="DU1832">
            <v>9.7126118021635381</v>
          </cell>
          <cell r="DV1832">
            <v>11.644336226312735</v>
          </cell>
          <cell r="DW1832">
            <v>9.8476005987137558</v>
          </cell>
          <cell r="DX1832">
            <v>7.1073990168282446</v>
          </cell>
          <cell r="DY1832">
            <v>12.587802180599267</v>
          </cell>
        </row>
        <row r="1833">
          <cell r="A1833">
            <v>42030</v>
          </cell>
          <cell r="DF1833">
            <v>19.076076216586703</v>
          </cell>
          <cell r="DG1833">
            <v>21.679348620667902</v>
          </cell>
          <cell r="DH1833">
            <v>18.362277992096409</v>
          </cell>
          <cell r="DI1833">
            <v>14.300000632844487</v>
          </cell>
          <cell r="DJ1833">
            <v>22.424555351348332</v>
          </cell>
          <cell r="DU1833">
            <v>9.8628969001127533</v>
          </cell>
          <cell r="DV1833">
            <v>11.644336226312735</v>
          </cell>
          <cell r="DW1833">
            <v>9.8476005987137558</v>
          </cell>
          <cell r="DX1833">
            <v>7.1073990168282446</v>
          </cell>
          <cell r="DY1833">
            <v>12.587802180599267</v>
          </cell>
        </row>
        <row r="1834">
          <cell r="A1834">
            <v>42031</v>
          </cell>
          <cell r="DF1834">
            <v>19.26251130911583</v>
          </cell>
          <cell r="DG1834">
            <v>21.679348620667902</v>
          </cell>
          <cell r="DH1834">
            <v>18.362277992096409</v>
          </cell>
          <cell r="DI1834">
            <v>14.300000632844487</v>
          </cell>
          <cell r="DJ1834">
            <v>22.424555351348332</v>
          </cell>
          <cell r="DU1834">
            <v>9.8628969001127533</v>
          </cell>
          <cell r="DV1834">
            <v>11.644336226312735</v>
          </cell>
          <cell r="DW1834">
            <v>9.8476005987137558</v>
          </cell>
          <cell r="DX1834">
            <v>7.1073990168282446</v>
          </cell>
          <cell r="DY1834">
            <v>12.587802180599267</v>
          </cell>
        </row>
        <row r="1835">
          <cell r="A1835">
            <v>42032</v>
          </cell>
          <cell r="DF1835">
            <v>19.150222034546626</v>
          </cell>
          <cell r="DG1835">
            <v>21.679348620667902</v>
          </cell>
          <cell r="DH1835">
            <v>18.362277992096409</v>
          </cell>
          <cell r="DI1835">
            <v>14.300000632844487</v>
          </cell>
          <cell r="DJ1835">
            <v>22.424555351348332</v>
          </cell>
          <cell r="DU1835">
            <v>9.9027708039860727</v>
          </cell>
          <cell r="DV1835">
            <v>11.644336226312735</v>
          </cell>
          <cell r="DW1835">
            <v>9.8476005987137558</v>
          </cell>
          <cell r="DX1835">
            <v>7.1073990168282446</v>
          </cell>
          <cell r="DY1835">
            <v>12.587802180599267</v>
          </cell>
        </row>
        <row r="1836">
          <cell r="A1836">
            <v>42033</v>
          </cell>
          <cell r="DF1836">
            <v>18.946111671227616</v>
          </cell>
          <cell r="DG1836">
            <v>21.679348620667902</v>
          </cell>
          <cell r="DH1836">
            <v>18.362277992096409</v>
          </cell>
          <cell r="DI1836">
            <v>14.300000632844487</v>
          </cell>
          <cell r="DJ1836">
            <v>22.424555351348332</v>
          </cell>
          <cell r="DU1836">
            <v>9.8248258293961754</v>
          </cell>
          <cell r="DV1836">
            <v>11.644336226312735</v>
          </cell>
          <cell r="DW1836">
            <v>9.8476005987137558</v>
          </cell>
          <cell r="DX1836">
            <v>7.1073990168282446</v>
          </cell>
          <cell r="DY1836">
            <v>12.587802180599267</v>
          </cell>
        </row>
        <row r="1837">
          <cell r="A1837">
            <v>42034</v>
          </cell>
          <cell r="DF1837">
            <v>19.116203095958245</v>
          </cell>
          <cell r="DG1837">
            <v>21.679348620667902</v>
          </cell>
          <cell r="DH1837">
            <v>18.362277992096409</v>
          </cell>
          <cell r="DI1837">
            <v>14.300000632844487</v>
          </cell>
          <cell r="DJ1837">
            <v>22.424555351348332</v>
          </cell>
          <cell r="DU1837">
            <v>9.9203104831591045</v>
          </cell>
          <cell r="DV1837">
            <v>11.644336226312735</v>
          </cell>
          <cell r="DW1837">
            <v>9.8476005987137558</v>
          </cell>
          <cell r="DX1837">
            <v>7.1073990168282446</v>
          </cell>
          <cell r="DY1837">
            <v>12.587802180599267</v>
          </cell>
        </row>
        <row r="1838">
          <cell r="A1838">
            <v>42037</v>
          </cell>
          <cell r="DF1838">
            <v>19.220454448811065</v>
          </cell>
          <cell r="DG1838">
            <v>21.679348620667902</v>
          </cell>
          <cell r="DH1838">
            <v>18.362277992096409</v>
          </cell>
          <cell r="DI1838">
            <v>14.300000632844487</v>
          </cell>
          <cell r="DJ1838">
            <v>22.424555351348332</v>
          </cell>
          <cell r="DU1838">
            <v>9.9788343290686417</v>
          </cell>
          <cell r="DV1838">
            <v>11.644336226312735</v>
          </cell>
          <cell r="DW1838">
            <v>9.8476005987137558</v>
          </cell>
          <cell r="DX1838">
            <v>7.1073990168282446</v>
          </cell>
          <cell r="DY1838">
            <v>12.587802180599267</v>
          </cell>
        </row>
        <row r="1839">
          <cell r="A1839">
            <v>42038</v>
          </cell>
          <cell r="DF1839">
            <v>19.352142274164454</v>
          </cell>
          <cell r="DG1839">
            <v>21.679348620667902</v>
          </cell>
          <cell r="DH1839">
            <v>18.362277992096409</v>
          </cell>
          <cell r="DI1839">
            <v>14.300000632844487</v>
          </cell>
          <cell r="DJ1839">
            <v>22.424555351348332</v>
          </cell>
          <cell r="DU1839">
            <v>9.9788343290686417</v>
          </cell>
          <cell r="DV1839">
            <v>11.644336226312735</v>
          </cell>
          <cell r="DW1839">
            <v>9.8476005987137558</v>
          </cell>
          <cell r="DX1839">
            <v>7.1073990168282446</v>
          </cell>
          <cell r="DY1839">
            <v>12.587802180599267</v>
          </cell>
        </row>
        <row r="1840">
          <cell r="A1840">
            <v>42039</v>
          </cell>
          <cell r="DF1840">
            <v>19.964280705214598</v>
          </cell>
          <cell r="DG1840">
            <v>21.679348620667902</v>
          </cell>
          <cell r="DH1840">
            <v>18.362277992096409</v>
          </cell>
          <cell r="DI1840">
            <v>14.300000632844487</v>
          </cell>
          <cell r="DJ1840">
            <v>22.424555351348332</v>
          </cell>
          <cell r="DU1840">
            <v>10.413139530212989</v>
          </cell>
          <cell r="DV1840">
            <v>11.644336226312735</v>
          </cell>
          <cell r="DW1840">
            <v>9.8476005987137558</v>
          </cell>
          <cell r="DX1840">
            <v>7.1073990168282446</v>
          </cell>
          <cell r="DY1840">
            <v>12.587802180599267</v>
          </cell>
        </row>
        <row r="1841">
          <cell r="A1841">
            <v>42040</v>
          </cell>
          <cell r="DF1841">
            <v>19.931409771758542</v>
          </cell>
          <cell r="DG1841">
            <v>21.679348620667902</v>
          </cell>
          <cell r="DH1841">
            <v>18.362277992096409</v>
          </cell>
          <cell r="DI1841">
            <v>14.300000632844487</v>
          </cell>
          <cell r="DJ1841">
            <v>22.424555351348332</v>
          </cell>
          <cell r="DU1841">
            <v>10.394659126286291</v>
          </cell>
          <cell r="DV1841">
            <v>11.644336226312735</v>
          </cell>
          <cell r="DW1841">
            <v>9.8476005987137558</v>
          </cell>
          <cell r="DX1841">
            <v>7.1073990168282446</v>
          </cell>
          <cell r="DY1841">
            <v>12.587802180599267</v>
          </cell>
        </row>
        <row r="1842">
          <cell r="A1842">
            <v>42041</v>
          </cell>
          <cell r="DF1842">
            <v>19.934503479328693</v>
          </cell>
          <cell r="DG1842">
            <v>21.679348620667902</v>
          </cell>
          <cell r="DH1842">
            <v>18.362277992096409</v>
          </cell>
          <cell r="DI1842">
            <v>14.300000632844487</v>
          </cell>
          <cell r="DJ1842">
            <v>22.424555351348332</v>
          </cell>
          <cell r="DU1842">
            <v>10.376490642762935</v>
          </cell>
          <cell r="DV1842">
            <v>11.644336226312735</v>
          </cell>
          <cell r="DW1842">
            <v>9.8476005987137558</v>
          </cell>
          <cell r="DX1842">
            <v>7.1073990168282446</v>
          </cell>
          <cell r="DY1842">
            <v>12.587802180599267</v>
          </cell>
        </row>
        <row r="1843">
          <cell r="A1843">
            <v>42044</v>
          </cell>
          <cell r="DF1843">
            <v>20.281077363896848</v>
          </cell>
          <cell r="DG1843">
            <v>21.679348620667902</v>
          </cell>
          <cell r="DH1843">
            <v>18.362277992096409</v>
          </cell>
          <cell r="DI1843">
            <v>14.300000632844487</v>
          </cell>
          <cell r="DJ1843">
            <v>22.424555351348332</v>
          </cell>
          <cell r="DU1843">
            <v>10.570907363443293</v>
          </cell>
          <cell r="DV1843">
            <v>11.644336226312735</v>
          </cell>
          <cell r="DW1843">
            <v>9.8476005987137558</v>
          </cell>
          <cell r="DX1843">
            <v>7.1073990168282446</v>
          </cell>
          <cell r="DY1843">
            <v>12.587802180599267</v>
          </cell>
        </row>
        <row r="1844">
          <cell r="A1844">
            <v>42045</v>
          </cell>
          <cell r="DF1844">
            <v>20.210123618501839</v>
          </cell>
          <cell r="DG1844">
            <v>21.679348620667902</v>
          </cell>
          <cell r="DH1844">
            <v>18.362277992096409</v>
          </cell>
          <cell r="DI1844">
            <v>14.300000632844487</v>
          </cell>
          <cell r="DJ1844">
            <v>22.424555351348332</v>
          </cell>
          <cell r="DU1844">
            <v>10.570907363443293</v>
          </cell>
          <cell r="DV1844">
            <v>11.644336226312735</v>
          </cell>
          <cell r="DW1844">
            <v>9.8476005987137558</v>
          </cell>
          <cell r="DX1844">
            <v>7.1073990168282446</v>
          </cell>
          <cell r="DY1844">
            <v>12.587802180599267</v>
          </cell>
        </row>
        <row r="1845">
          <cell r="A1845">
            <v>42046</v>
          </cell>
          <cell r="DF1845">
            <v>20.616249621426054</v>
          </cell>
          <cell r="DG1845">
            <v>21.679348620667902</v>
          </cell>
          <cell r="DH1845">
            <v>18.362277992096409</v>
          </cell>
          <cell r="DI1845">
            <v>14.300000632844487</v>
          </cell>
          <cell r="DJ1845">
            <v>22.424555351348332</v>
          </cell>
          <cell r="DU1845">
            <v>10.760727043036084</v>
          </cell>
          <cell r="DV1845">
            <v>11.644336226312735</v>
          </cell>
          <cell r="DW1845">
            <v>9.8476005987137558</v>
          </cell>
          <cell r="DX1845">
            <v>7.1073990168282446</v>
          </cell>
          <cell r="DY1845">
            <v>12.587802180599267</v>
          </cell>
        </row>
        <row r="1846">
          <cell r="A1846">
            <v>42047</v>
          </cell>
          <cell r="DF1846">
            <v>20.534399070140541</v>
          </cell>
          <cell r="DG1846">
            <v>21.679348620667902</v>
          </cell>
          <cell r="DH1846">
            <v>18.362277992096409</v>
          </cell>
          <cell r="DI1846">
            <v>14.300000632844487</v>
          </cell>
          <cell r="DJ1846">
            <v>22.424555351348332</v>
          </cell>
          <cell r="DU1846">
            <v>10.714804393626265</v>
          </cell>
          <cell r="DV1846">
            <v>11.644336226312735</v>
          </cell>
          <cell r="DW1846">
            <v>9.8476005987137558</v>
          </cell>
          <cell r="DX1846">
            <v>7.1073990168282446</v>
          </cell>
          <cell r="DY1846">
            <v>12.587802180599267</v>
          </cell>
        </row>
        <row r="1847">
          <cell r="A1847">
            <v>42048</v>
          </cell>
          <cell r="DF1847">
            <v>19.751332443855098</v>
          </cell>
          <cell r="DG1847">
            <v>21.679348620667902</v>
          </cell>
          <cell r="DH1847">
            <v>18.362277992096409</v>
          </cell>
          <cell r="DI1847">
            <v>14.300000632844487</v>
          </cell>
          <cell r="DJ1847">
            <v>22.424555351348332</v>
          </cell>
          <cell r="DU1847">
            <v>10.275461058991926</v>
          </cell>
          <cell r="DV1847">
            <v>11.644336226312735</v>
          </cell>
          <cell r="DW1847">
            <v>9.8476005987137558</v>
          </cell>
          <cell r="DX1847">
            <v>7.1073990168282446</v>
          </cell>
          <cell r="DY1847">
            <v>12.587802180599267</v>
          </cell>
        </row>
        <row r="1848">
          <cell r="A1848">
            <v>42051</v>
          </cell>
          <cell r="DF1848">
            <v>19.524923245915147</v>
          </cell>
          <cell r="DG1848">
            <v>21.679348620667902</v>
          </cell>
          <cell r="DH1848">
            <v>18.362277992096409</v>
          </cell>
          <cell r="DI1848">
            <v>14.300000632844487</v>
          </cell>
          <cell r="DJ1848">
            <v>22.424555351348332</v>
          </cell>
          <cell r="DU1848">
            <v>10.153637671019373</v>
          </cell>
          <cell r="DV1848">
            <v>11.644336226312735</v>
          </cell>
          <cell r="DW1848">
            <v>9.8476005987137558</v>
          </cell>
          <cell r="DX1848">
            <v>7.1073990168282446</v>
          </cell>
          <cell r="DY1848">
            <v>12.587802180599267</v>
          </cell>
        </row>
        <row r="1849">
          <cell r="A1849">
            <v>42052</v>
          </cell>
          <cell r="DF1849">
            <v>19.64025538926267</v>
          </cell>
          <cell r="DG1849">
            <v>21.679348620667902</v>
          </cell>
          <cell r="DH1849">
            <v>18.362277992096409</v>
          </cell>
          <cell r="DI1849">
            <v>14.300000632844487</v>
          </cell>
          <cell r="DJ1849">
            <v>22.424555351348332</v>
          </cell>
          <cell r="DU1849">
            <v>10.153637671019373</v>
          </cell>
          <cell r="DV1849">
            <v>11.644336226312735</v>
          </cell>
          <cell r="DW1849">
            <v>9.8476005987137558</v>
          </cell>
          <cell r="DX1849">
            <v>7.1073990168282446</v>
          </cell>
          <cell r="DY1849">
            <v>12.587802180599267</v>
          </cell>
        </row>
        <row r="1850">
          <cell r="A1850">
            <v>42053</v>
          </cell>
          <cell r="DF1850">
            <v>19.420568996292737</v>
          </cell>
          <cell r="DG1850">
            <v>21.679348620667902</v>
          </cell>
          <cell r="DH1850">
            <v>18.362277992096409</v>
          </cell>
          <cell r="DI1850">
            <v>14.300000632844487</v>
          </cell>
          <cell r="DJ1850">
            <v>22.424555351348332</v>
          </cell>
          <cell r="DU1850">
            <v>10.095024426087003</v>
          </cell>
          <cell r="DV1850">
            <v>11.644336226312735</v>
          </cell>
          <cell r="DW1850">
            <v>9.8476005987137558</v>
          </cell>
          <cell r="DX1850">
            <v>7.1073990168282446</v>
          </cell>
          <cell r="DY1850">
            <v>12.587802180599267</v>
          </cell>
        </row>
        <row r="1851">
          <cell r="A1851">
            <v>42054</v>
          </cell>
          <cell r="DF1851">
            <v>19.445257471182291</v>
          </cell>
          <cell r="DG1851">
            <v>21.679348620667902</v>
          </cell>
          <cell r="DH1851">
            <v>18.362277992096409</v>
          </cell>
          <cell r="DI1851">
            <v>14.300000632844487</v>
          </cell>
          <cell r="DJ1851">
            <v>22.424555351348332</v>
          </cell>
          <cell r="DU1851">
            <v>10.258816931142404</v>
          </cell>
          <cell r="DV1851">
            <v>11.644336226312735</v>
          </cell>
          <cell r="DW1851">
            <v>9.8476005987137558</v>
          </cell>
          <cell r="DX1851">
            <v>7.1073990168282446</v>
          </cell>
          <cell r="DY1851">
            <v>12.587802180599267</v>
          </cell>
        </row>
        <row r="1852">
          <cell r="A1852">
            <v>42055</v>
          </cell>
          <cell r="DF1852">
            <v>18.812392804005469</v>
          </cell>
          <cell r="DG1852">
            <v>21.679348620667902</v>
          </cell>
          <cell r="DH1852">
            <v>18.362277992096409</v>
          </cell>
          <cell r="DI1852">
            <v>14.300000632844487</v>
          </cell>
          <cell r="DJ1852">
            <v>22.424555351348332</v>
          </cell>
          <cell r="DU1852">
            <v>9.8698371823312634</v>
          </cell>
          <cell r="DV1852">
            <v>11.644336226312735</v>
          </cell>
          <cell r="DW1852">
            <v>9.8476005987137558</v>
          </cell>
          <cell r="DX1852">
            <v>7.1073990168282446</v>
          </cell>
          <cell r="DY1852">
            <v>12.587802180599267</v>
          </cell>
        </row>
        <row r="1853">
          <cell r="A1853">
            <v>42058</v>
          </cell>
          <cell r="DF1853">
            <v>18.990941160558982</v>
          </cell>
          <cell r="DG1853">
            <v>21.679348620667902</v>
          </cell>
          <cell r="DH1853">
            <v>18.362277992096409</v>
          </cell>
          <cell r="DI1853">
            <v>14.300000632844487</v>
          </cell>
          <cell r="DJ1853">
            <v>22.424555351348332</v>
          </cell>
          <cell r="DU1853">
            <v>9.9696294210554406</v>
          </cell>
          <cell r="DV1853">
            <v>11.644336226312735</v>
          </cell>
          <cell r="DW1853">
            <v>9.8476005987137558</v>
          </cell>
          <cell r="DX1853">
            <v>7.1073990168282446</v>
          </cell>
          <cell r="DY1853">
            <v>12.587802180599267</v>
          </cell>
        </row>
        <row r="1854">
          <cell r="A1854">
            <v>42059</v>
          </cell>
          <cell r="DF1854">
            <v>18.990941160558982</v>
          </cell>
          <cell r="DG1854">
            <v>21.679348620667902</v>
          </cell>
          <cell r="DH1854">
            <v>18.362277992096409</v>
          </cell>
          <cell r="DI1854">
            <v>14.300000632844487</v>
          </cell>
          <cell r="DJ1854">
            <v>22.424555351348332</v>
          </cell>
          <cell r="DU1854">
            <v>9.9696294210554406</v>
          </cell>
          <cell r="DV1854">
            <v>11.644336226312735</v>
          </cell>
          <cell r="DW1854">
            <v>9.8476005987137558</v>
          </cell>
          <cell r="DX1854">
            <v>7.1073990168282446</v>
          </cell>
          <cell r="DY1854">
            <v>12.587802180599267</v>
          </cell>
        </row>
        <row r="1855">
          <cell r="A1855">
            <v>42060</v>
          </cell>
          <cell r="DF1855">
            <v>18.996348437713049</v>
          </cell>
          <cell r="DG1855">
            <v>21.679348620667902</v>
          </cell>
          <cell r="DH1855">
            <v>18.362277992096409</v>
          </cell>
          <cell r="DI1855">
            <v>14.300000632844487</v>
          </cell>
          <cell r="DJ1855">
            <v>22.424555351348332</v>
          </cell>
          <cell r="DU1855">
            <v>9.9726982717699997</v>
          </cell>
          <cell r="DV1855">
            <v>11.644336226312735</v>
          </cell>
          <cell r="DW1855">
            <v>9.8476005987137558</v>
          </cell>
          <cell r="DX1855">
            <v>7.1073990168282446</v>
          </cell>
          <cell r="DY1855">
            <v>12.587802180599267</v>
          </cell>
        </row>
        <row r="1856">
          <cell r="A1856">
            <v>42061</v>
          </cell>
          <cell r="DF1856">
            <v>19.056471405377856</v>
          </cell>
          <cell r="DG1856">
            <v>21.679348620667902</v>
          </cell>
          <cell r="DH1856">
            <v>18.362277992096409</v>
          </cell>
          <cell r="DI1856">
            <v>14.300000632844487</v>
          </cell>
          <cell r="DJ1856">
            <v>22.424555351348332</v>
          </cell>
          <cell r="DU1856">
            <v>10.010358568326636</v>
          </cell>
          <cell r="DV1856">
            <v>11.644336226312735</v>
          </cell>
          <cell r="DW1856">
            <v>9.8476005987137558</v>
          </cell>
          <cell r="DX1856">
            <v>7.1073990168282446</v>
          </cell>
          <cell r="DY1856">
            <v>12.587802180599267</v>
          </cell>
        </row>
        <row r="1857">
          <cell r="A1857">
            <v>42062</v>
          </cell>
          <cell r="DF1857">
            <v>19.682425658608764</v>
          </cell>
          <cell r="DG1857">
            <v>21.679348620667902</v>
          </cell>
          <cell r="DH1857">
            <v>18.362277992096409</v>
          </cell>
          <cell r="DI1857">
            <v>14.300000632844487</v>
          </cell>
          <cell r="DJ1857">
            <v>22.424555351348332</v>
          </cell>
          <cell r="DU1857">
            <v>10.354101276272148</v>
          </cell>
          <cell r="DV1857">
            <v>11.644336226312735</v>
          </cell>
          <cell r="DW1857">
            <v>9.8476005987137558</v>
          </cell>
          <cell r="DX1857">
            <v>7.1073990168282446</v>
          </cell>
          <cell r="DY1857">
            <v>12.587802180599267</v>
          </cell>
        </row>
        <row r="1858">
          <cell r="A1858">
            <v>42065</v>
          </cell>
          <cell r="DF1858">
            <v>19.438832912307767</v>
          </cell>
          <cell r="DG1858">
            <v>21.679348620667902</v>
          </cell>
          <cell r="DH1858">
            <v>18.362277992096409</v>
          </cell>
          <cell r="DI1858">
            <v>14.300000632844487</v>
          </cell>
          <cell r="DJ1858">
            <v>22.424555351348332</v>
          </cell>
          <cell r="DU1858">
            <v>10.215953415546123</v>
          </cell>
          <cell r="DV1858">
            <v>11.644336226312735</v>
          </cell>
          <cell r="DW1858">
            <v>9.8476005987137558</v>
          </cell>
          <cell r="DX1858">
            <v>7.1073990168282446</v>
          </cell>
          <cell r="DY1858">
            <v>12.587802180599267</v>
          </cell>
        </row>
        <row r="1859">
          <cell r="A1859">
            <v>42066</v>
          </cell>
          <cell r="DF1859">
            <v>19.216889209673319</v>
          </cell>
          <cell r="DG1859">
            <v>21.679348620667902</v>
          </cell>
          <cell r="DH1859">
            <v>18.362277992096409</v>
          </cell>
          <cell r="DI1859">
            <v>14.300000632844487</v>
          </cell>
          <cell r="DJ1859">
            <v>22.424555351348332</v>
          </cell>
          <cell r="DU1859">
            <v>10.090087902506697</v>
          </cell>
          <cell r="DV1859">
            <v>11.644336226312735</v>
          </cell>
          <cell r="DW1859">
            <v>9.8476005987137558</v>
          </cell>
          <cell r="DX1859">
            <v>7.1073990168282446</v>
          </cell>
          <cell r="DY1859">
            <v>12.587802180599267</v>
          </cell>
        </row>
        <row r="1860">
          <cell r="A1860">
            <v>42067</v>
          </cell>
          <cell r="DF1860">
            <v>19.094877317340867</v>
          </cell>
          <cell r="DG1860">
            <v>21.679348620667902</v>
          </cell>
          <cell r="DH1860">
            <v>18.362277992096409</v>
          </cell>
          <cell r="DI1860">
            <v>14.300000632844487</v>
          </cell>
          <cell r="DJ1860">
            <v>22.424555351348332</v>
          </cell>
          <cell r="DU1860">
            <v>9.9427307369940632</v>
          </cell>
          <cell r="DV1860">
            <v>11.644336226312735</v>
          </cell>
          <cell r="DW1860">
            <v>9.8476005987137558</v>
          </cell>
          <cell r="DX1860">
            <v>7.1073990168282446</v>
          </cell>
          <cell r="DY1860">
            <v>12.587802180599267</v>
          </cell>
        </row>
        <row r="1861">
          <cell r="A1861">
            <v>42068</v>
          </cell>
          <cell r="DF1861">
            <v>18.794984732826119</v>
          </cell>
          <cell r="DG1861">
            <v>21.679348620667902</v>
          </cell>
          <cell r="DH1861">
            <v>18.362277992096409</v>
          </cell>
          <cell r="DI1861">
            <v>14.300000632844487</v>
          </cell>
          <cell r="DJ1861">
            <v>22.424555351348332</v>
          </cell>
          <cell r="DU1861">
            <v>9.7738813050136386</v>
          </cell>
          <cell r="DV1861">
            <v>11.644336226312735</v>
          </cell>
          <cell r="DW1861">
            <v>9.8476005987137558</v>
          </cell>
          <cell r="DX1861">
            <v>7.1073990168282446</v>
          </cell>
          <cell r="DY1861">
            <v>12.587802180599267</v>
          </cell>
        </row>
        <row r="1862">
          <cell r="A1862">
            <v>42069</v>
          </cell>
          <cell r="DF1862">
            <v>18.822249182117289</v>
          </cell>
          <cell r="DG1862">
            <v>21.679348620667902</v>
          </cell>
          <cell r="DH1862">
            <v>18.362277992096409</v>
          </cell>
          <cell r="DI1862">
            <v>14.300000632844487</v>
          </cell>
          <cell r="DJ1862">
            <v>22.424555351348332</v>
          </cell>
          <cell r="DU1862">
            <v>9.7892320906408372</v>
          </cell>
          <cell r="DV1862">
            <v>11.644336226312735</v>
          </cell>
          <cell r="DW1862">
            <v>9.8476005987137558</v>
          </cell>
          <cell r="DX1862">
            <v>7.1073990168282446</v>
          </cell>
          <cell r="DY1862">
            <v>12.587802180599267</v>
          </cell>
        </row>
        <row r="1863">
          <cell r="A1863">
            <v>42072</v>
          </cell>
          <cell r="DF1863">
            <v>19.353869138496837</v>
          </cell>
          <cell r="DG1863">
            <v>21.679348620667902</v>
          </cell>
          <cell r="DH1863">
            <v>18.362277992096409</v>
          </cell>
          <cell r="DI1863">
            <v>14.300000632844487</v>
          </cell>
          <cell r="DJ1863">
            <v>22.424555351348332</v>
          </cell>
          <cell r="DU1863">
            <v>10.088551688053993</v>
          </cell>
          <cell r="DV1863">
            <v>11.644336226312735</v>
          </cell>
          <cell r="DW1863">
            <v>9.8476005987137558</v>
          </cell>
          <cell r="DX1863">
            <v>7.1073990168282446</v>
          </cell>
          <cell r="DY1863">
            <v>12.587802180599267</v>
          </cell>
        </row>
        <row r="1864">
          <cell r="A1864">
            <v>42073</v>
          </cell>
          <cell r="DF1864">
            <v>19.269354961833795</v>
          </cell>
          <cell r="DG1864">
            <v>21.679348620667902</v>
          </cell>
          <cell r="DH1864">
            <v>18.362277992096409</v>
          </cell>
          <cell r="DI1864">
            <v>14.300000632844487</v>
          </cell>
          <cell r="DJ1864">
            <v>22.424555351348332</v>
          </cell>
          <cell r="DU1864">
            <v>10.040967414681784</v>
          </cell>
          <cell r="DV1864">
            <v>11.644336226312735</v>
          </cell>
          <cell r="DW1864">
            <v>9.8476005987137558</v>
          </cell>
          <cell r="DX1864">
            <v>7.1073990168282446</v>
          </cell>
          <cell r="DY1864">
            <v>12.587802180599267</v>
          </cell>
        </row>
        <row r="1865">
          <cell r="A1865">
            <v>42074</v>
          </cell>
          <cell r="DF1865">
            <v>18.685935114505497</v>
          </cell>
          <cell r="DG1865">
            <v>21.679348620667902</v>
          </cell>
          <cell r="DH1865">
            <v>18.362277992096409</v>
          </cell>
          <cell r="DI1865">
            <v>14.300000632844487</v>
          </cell>
          <cell r="DJ1865">
            <v>22.424555351348332</v>
          </cell>
          <cell r="DU1865">
            <v>9.7124827674642233</v>
          </cell>
          <cell r="DV1865">
            <v>11.644336226312735</v>
          </cell>
          <cell r="DW1865">
            <v>9.8476005987137558</v>
          </cell>
          <cell r="DX1865">
            <v>7.1073990168282446</v>
          </cell>
          <cell r="DY1865">
            <v>12.587802180599267</v>
          </cell>
        </row>
        <row r="1866">
          <cell r="A1866">
            <v>42075</v>
          </cell>
          <cell r="DF1866">
            <v>18.24427862595584</v>
          </cell>
          <cell r="DG1866">
            <v>21.679348620667902</v>
          </cell>
          <cell r="DH1866">
            <v>18.362277992096409</v>
          </cell>
          <cell r="DI1866">
            <v>14.300000632844487</v>
          </cell>
          <cell r="DJ1866">
            <v>22.424555351348332</v>
          </cell>
          <cell r="DU1866">
            <v>9.463815574366583</v>
          </cell>
          <cell r="DV1866">
            <v>11.644336226312735</v>
          </cell>
          <cell r="DW1866">
            <v>9.8476005987137558</v>
          </cell>
          <cell r="DX1866">
            <v>7.1073990168282446</v>
          </cell>
          <cell r="DY1866">
            <v>12.587802180599267</v>
          </cell>
        </row>
        <row r="1867">
          <cell r="A1867">
            <v>42076</v>
          </cell>
          <cell r="DF1867">
            <v>18.394220828791184</v>
          </cell>
          <cell r="DG1867">
            <v>21.679348620667902</v>
          </cell>
          <cell r="DH1867">
            <v>18.362277992096409</v>
          </cell>
          <cell r="DI1867">
            <v>14.300000632844487</v>
          </cell>
          <cell r="DJ1867">
            <v>22.424555351348332</v>
          </cell>
          <cell r="DU1867">
            <v>9.5482379878771013</v>
          </cell>
          <cell r="DV1867">
            <v>11.644336226312735</v>
          </cell>
          <cell r="DW1867">
            <v>9.8476005987137558</v>
          </cell>
          <cell r="DX1867">
            <v>7.1073990168282446</v>
          </cell>
          <cell r="DY1867">
            <v>12.587802180599267</v>
          </cell>
        </row>
        <row r="1868">
          <cell r="A1868">
            <v>42079</v>
          </cell>
          <cell r="DF1868">
            <v>18.735005997820661</v>
          </cell>
          <cell r="DG1868">
            <v>21.679348620667902</v>
          </cell>
          <cell r="DH1868">
            <v>18.362277992096409</v>
          </cell>
          <cell r="DI1868">
            <v>14.300000632844487</v>
          </cell>
          <cell r="DJ1868">
            <v>22.424555351348332</v>
          </cell>
          <cell r="DU1868">
            <v>9.7401112958186342</v>
          </cell>
          <cell r="DV1868">
            <v>11.644336226312735</v>
          </cell>
          <cell r="DW1868">
            <v>9.8476005987137558</v>
          </cell>
          <cell r="DX1868">
            <v>7.1073990168282446</v>
          </cell>
          <cell r="DY1868">
            <v>12.587802180599267</v>
          </cell>
        </row>
        <row r="1869">
          <cell r="A1869">
            <v>42080</v>
          </cell>
          <cell r="DF1869">
            <v>18.315156488551267</v>
          </cell>
          <cell r="DG1869">
            <v>21.679348620667902</v>
          </cell>
          <cell r="DH1869">
            <v>18.362277992096409</v>
          </cell>
          <cell r="DI1869">
            <v>14.300000632844487</v>
          </cell>
          <cell r="DJ1869">
            <v>22.424555351348332</v>
          </cell>
          <cell r="DU1869">
            <v>9.503722152445496</v>
          </cell>
          <cell r="DV1869">
            <v>11.644336226312735</v>
          </cell>
          <cell r="DW1869">
            <v>9.8476005987137558</v>
          </cell>
          <cell r="DX1869">
            <v>7.1073990168282446</v>
          </cell>
          <cell r="DY1869">
            <v>12.587802180599267</v>
          </cell>
        </row>
        <row r="1870">
          <cell r="A1870">
            <v>42081</v>
          </cell>
          <cell r="DF1870">
            <v>18.538713195203414</v>
          </cell>
          <cell r="DG1870">
            <v>21.679348620667902</v>
          </cell>
          <cell r="DH1870">
            <v>18.362277992096409</v>
          </cell>
          <cell r="DI1870">
            <v>14.300000632844487</v>
          </cell>
          <cell r="DJ1870">
            <v>22.424555351348332</v>
          </cell>
          <cell r="DU1870">
            <v>9.6295919634470195</v>
          </cell>
          <cell r="DV1870">
            <v>11.644336226312735</v>
          </cell>
          <cell r="DW1870">
            <v>9.8476005987137558</v>
          </cell>
          <cell r="DX1870">
            <v>7.1073990168282446</v>
          </cell>
          <cell r="DY1870">
            <v>12.587802180599267</v>
          </cell>
        </row>
        <row r="1871">
          <cell r="A1871">
            <v>42082</v>
          </cell>
          <cell r="DF1871">
            <v>18.298799345694125</v>
          </cell>
          <cell r="DG1871">
            <v>21.679348620667902</v>
          </cell>
          <cell r="DH1871">
            <v>18.362277992096409</v>
          </cell>
          <cell r="DI1871">
            <v>14.300000632844487</v>
          </cell>
          <cell r="DJ1871">
            <v>22.424555351348332</v>
          </cell>
          <cell r="DU1871">
            <v>9.4945125406615958</v>
          </cell>
          <cell r="DV1871">
            <v>11.644336226312735</v>
          </cell>
          <cell r="DW1871">
            <v>9.8476005987137558</v>
          </cell>
          <cell r="DX1871">
            <v>7.1073990168282446</v>
          </cell>
          <cell r="DY1871">
            <v>12.587802180599267</v>
          </cell>
        </row>
        <row r="1872">
          <cell r="A1872">
            <v>42083</v>
          </cell>
          <cell r="DF1872">
            <v>18.274138795532572</v>
          </cell>
          <cell r="DG1872">
            <v>21.679348620667902</v>
          </cell>
          <cell r="DH1872">
            <v>18.362277992096409</v>
          </cell>
          <cell r="DI1872">
            <v>14.300000632844487</v>
          </cell>
          <cell r="DJ1872">
            <v>22.424555351348332</v>
          </cell>
          <cell r="DU1872">
            <v>9.4908064329522759</v>
          </cell>
          <cell r="DV1872">
            <v>11.644336226312735</v>
          </cell>
          <cell r="DW1872">
            <v>9.8476005987137558</v>
          </cell>
          <cell r="DX1872">
            <v>7.1073990168282446</v>
          </cell>
          <cell r="DY1872">
            <v>12.587802180599267</v>
          </cell>
        </row>
        <row r="1873">
          <cell r="A1873">
            <v>42086</v>
          </cell>
          <cell r="DF1873">
            <v>18.001634480880899</v>
          </cell>
          <cell r="DG1873">
            <v>21.679348620667902</v>
          </cell>
          <cell r="DH1873">
            <v>18.362277992096409</v>
          </cell>
          <cell r="DI1873">
            <v>14.300000632844487</v>
          </cell>
          <cell r="DJ1873">
            <v>22.424555351348332</v>
          </cell>
          <cell r="DU1873">
            <v>9.3372187245593903</v>
          </cell>
          <cell r="DV1873">
            <v>11.644336226312735</v>
          </cell>
          <cell r="DW1873">
            <v>9.8476005987137558</v>
          </cell>
          <cell r="DX1873">
            <v>7.1073990168282446</v>
          </cell>
          <cell r="DY1873">
            <v>12.587802180599267</v>
          </cell>
        </row>
        <row r="1874">
          <cell r="A1874">
            <v>42087</v>
          </cell>
          <cell r="DF1874">
            <v>18.318070474746058</v>
          </cell>
          <cell r="DG1874">
            <v>21.679348620667902</v>
          </cell>
          <cell r="DH1874">
            <v>18.362277992096409</v>
          </cell>
          <cell r="DI1874">
            <v>14.300000632844487</v>
          </cell>
          <cell r="DJ1874">
            <v>22.424555351348332</v>
          </cell>
          <cell r="DU1874">
            <v>9.5513963069494761</v>
          </cell>
          <cell r="DV1874">
            <v>11.644336226312735</v>
          </cell>
          <cell r="DW1874">
            <v>9.8476005987137558</v>
          </cell>
          <cell r="DX1874">
            <v>7.1073990168282446</v>
          </cell>
          <cell r="DY1874">
            <v>12.587802180599267</v>
          </cell>
        </row>
        <row r="1875">
          <cell r="A1875">
            <v>42088</v>
          </cell>
          <cell r="DF1875">
            <v>18.512933184824153</v>
          </cell>
          <cell r="DG1875">
            <v>21.679348620667902</v>
          </cell>
          <cell r="DH1875">
            <v>18.362277992096409</v>
          </cell>
          <cell r="DI1875">
            <v>14.300000632844487</v>
          </cell>
          <cell r="DJ1875">
            <v>22.424555351348332</v>
          </cell>
          <cell r="DU1875">
            <v>9.406244289277355</v>
          </cell>
          <cell r="DV1875">
            <v>11.644336226312735</v>
          </cell>
          <cell r="DW1875">
            <v>9.8476005987137558</v>
          </cell>
          <cell r="DX1875">
            <v>7.1073990168282446</v>
          </cell>
          <cell r="DY1875">
            <v>12.587802180599267</v>
          </cell>
        </row>
        <row r="1876">
          <cell r="A1876">
            <v>42089</v>
          </cell>
          <cell r="DF1876">
            <v>18.518291909774664</v>
          </cell>
          <cell r="DG1876">
            <v>21.679348620667902</v>
          </cell>
          <cell r="DH1876">
            <v>18.362277992096409</v>
          </cell>
          <cell r="DI1876">
            <v>14.300000632844487</v>
          </cell>
          <cell r="DJ1876">
            <v>22.424555351348332</v>
          </cell>
          <cell r="DU1876">
            <v>9.4091976080943081</v>
          </cell>
          <cell r="DV1876">
            <v>11.644336226312735</v>
          </cell>
          <cell r="DW1876">
            <v>9.8476005987137558</v>
          </cell>
          <cell r="DX1876">
            <v>7.1073990168282446</v>
          </cell>
          <cell r="DY1876">
            <v>12.587802180599267</v>
          </cell>
        </row>
        <row r="1877">
          <cell r="A1877">
            <v>42090</v>
          </cell>
          <cell r="DF1877">
            <v>18.717227270897101</v>
          </cell>
          <cell r="DG1877">
            <v>21.679348620667902</v>
          </cell>
          <cell r="DH1877">
            <v>18.362277992096409</v>
          </cell>
          <cell r="DI1877">
            <v>14.300000632844487</v>
          </cell>
          <cell r="DJ1877">
            <v>22.424555351348332</v>
          </cell>
          <cell r="DU1877">
            <v>9.9001957616377538</v>
          </cell>
          <cell r="DV1877">
            <v>11.644336226312735</v>
          </cell>
          <cell r="DW1877">
            <v>9.8476005987137558</v>
          </cell>
          <cell r="DX1877">
            <v>7.1073990168282446</v>
          </cell>
          <cell r="DY1877">
            <v>12.587802180599267</v>
          </cell>
        </row>
        <row r="1878">
          <cell r="A1878">
            <v>42093</v>
          </cell>
          <cell r="DF1878">
            <v>18.155768805826469</v>
          </cell>
          <cell r="DG1878">
            <v>21.679348620667902</v>
          </cell>
          <cell r="DH1878">
            <v>18.362277992096409</v>
          </cell>
          <cell r="DI1878">
            <v>14.300000632844487</v>
          </cell>
          <cell r="DJ1878">
            <v>22.424555351348332</v>
          </cell>
          <cell r="DU1878">
            <v>9.5773699336544826</v>
          </cell>
          <cell r="DV1878">
            <v>11.644336226312735</v>
          </cell>
          <cell r="DW1878">
            <v>9.8476005987137558</v>
          </cell>
          <cell r="DX1878">
            <v>7.1073990168282446</v>
          </cell>
          <cell r="DY1878">
            <v>12.587802180599267</v>
          </cell>
        </row>
        <row r="1879">
          <cell r="A1879">
            <v>42094</v>
          </cell>
          <cell r="DF1879">
            <v>18.726850888682794</v>
          </cell>
          <cell r="DG1879">
            <v>21.679348620667902</v>
          </cell>
          <cell r="DH1879">
            <v>18.362277992096409</v>
          </cell>
          <cell r="DI1879">
            <v>14.300000632844487</v>
          </cell>
          <cell r="DJ1879">
            <v>22.424555351348332</v>
          </cell>
          <cell r="DU1879">
            <v>9.8027057145172058</v>
          </cell>
          <cell r="DV1879">
            <v>11.644336226312735</v>
          </cell>
          <cell r="DW1879">
            <v>9.8476005987137558</v>
          </cell>
          <cell r="DX1879">
            <v>7.1073990168282446</v>
          </cell>
          <cell r="DY1879">
            <v>12.587802180599267</v>
          </cell>
        </row>
        <row r="1880">
          <cell r="A1880">
            <v>42095</v>
          </cell>
          <cell r="DF1880">
            <v>19.263038165448581</v>
          </cell>
          <cell r="DG1880">
            <v>21.679348620667902</v>
          </cell>
          <cell r="DH1880">
            <v>18.362277992096409</v>
          </cell>
          <cell r="DI1880">
            <v>14.300000632844487</v>
          </cell>
          <cell r="DJ1880">
            <v>22.424555351348332</v>
          </cell>
          <cell r="DU1880">
            <v>10.351049268345543</v>
          </cell>
          <cell r="DV1880">
            <v>11.644336226312735</v>
          </cell>
          <cell r="DW1880">
            <v>9.8476005987137558</v>
          </cell>
          <cell r="DX1880">
            <v>7.1073990168282446</v>
          </cell>
          <cell r="DY1880">
            <v>12.587802180599267</v>
          </cell>
        </row>
        <row r="1881">
          <cell r="A1881">
            <v>42096</v>
          </cell>
          <cell r="DF1881">
            <v>19.466444257232968</v>
          </cell>
          <cell r="DG1881">
            <v>21.679348620667902</v>
          </cell>
          <cell r="DH1881">
            <v>18.362277992096409</v>
          </cell>
          <cell r="DI1881">
            <v>14.300000632844487</v>
          </cell>
          <cell r="DJ1881">
            <v>22.424555351348332</v>
          </cell>
          <cell r="DU1881">
            <v>10.459722568917329</v>
          </cell>
          <cell r="DV1881">
            <v>11.644336226312735</v>
          </cell>
          <cell r="DW1881">
            <v>9.8476005987137558</v>
          </cell>
          <cell r="DX1881">
            <v>7.1073990168282446</v>
          </cell>
          <cell r="DY1881">
            <v>12.587802180599267</v>
          </cell>
        </row>
        <row r="1882">
          <cell r="A1882">
            <v>42097</v>
          </cell>
          <cell r="DF1882">
            <v>19.135078910420244</v>
          </cell>
          <cell r="DG1882">
            <v>21.679348620667902</v>
          </cell>
          <cell r="DH1882">
            <v>18.362277992096409</v>
          </cell>
          <cell r="DI1882">
            <v>14.300000632844487</v>
          </cell>
          <cell r="DJ1882">
            <v>22.424555351348332</v>
          </cell>
          <cell r="DU1882">
            <v>10.271141489598303</v>
          </cell>
          <cell r="DV1882">
            <v>11.644336226312735</v>
          </cell>
          <cell r="DW1882">
            <v>9.8476005987137558</v>
          </cell>
          <cell r="DX1882">
            <v>7.1073990168282446</v>
          </cell>
          <cell r="DY1882">
            <v>12.587802180599267</v>
          </cell>
        </row>
        <row r="1883">
          <cell r="A1883">
            <v>42100</v>
          </cell>
          <cell r="DF1883">
            <v>19.185624262849341</v>
          </cell>
          <cell r="DG1883">
            <v>21.679348620667902</v>
          </cell>
          <cell r="DH1883">
            <v>18.362277992096409</v>
          </cell>
          <cell r="DI1883">
            <v>14.300000632844487</v>
          </cell>
          <cell r="DJ1883">
            <v>22.424555351348332</v>
          </cell>
          <cell r="DU1883">
            <v>10.299907011422849</v>
          </cell>
          <cell r="DV1883">
            <v>11.644336226312735</v>
          </cell>
          <cell r="DW1883">
            <v>9.8476005987137558</v>
          </cell>
          <cell r="DX1883">
            <v>7.1073990168282446</v>
          </cell>
          <cell r="DY1883">
            <v>12.587802180599267</v>
          </cell>
        </row>
        <row r="1884">
          <cell r="A1884">
            <v>42101</v>
          </cell>
          <cell r="DF1884">
            <v>19.084524571751324</v>
          </cell>
          <cell r="DG1884">
            <v>21.679348620667902</v>
          </cell>
          <cell r="DH1884">
            <v>18.362277992096409</v>
          </cell>
          <cell r="DI1884">
            <v>14.300000632844487</v>
          </cell>
          <cell r="DJ1884">
            <v>22.424555351348332</v>
          </cell>
          <cell r="DU1884">
            <v>10.242370853675917</v>
          </cell>
          <cell r="DV1884">
            <v>11.644336226312735</v>
          </cell>
          <cell r="DW1884">
            <v>9.8476005987137558</v>
          </cell>
          <cell r="DX1884">
            <v>7.1073990168282446</v>
          </cell>
          <cell r="DY1884">
            <v>12.587802180599267</v>
          </cell>
        </row>
        <row r="1885">
          <cell r="A1885">
            <v>42102</v>
          </cell>
          <cell r="DF1885">
            <v>19.497051960356902</v>
          </cell>
          <cell r="DG1885">
            <v>21.679348620667902</v>
          </cell>
          <cell r="DH1885">
            <v>18.362277992096409</v>
          </cell>
          <cell r="DI1885">
            <v>14.300000632844487</v>
          </cell>
          <cell r="DJ1885">
            <v>22.424555351348332</v>
          </cell>
          <cell r="DU1885">
            <v>10.337291485543076</v>
          </cell>
          <cell r="DV1885">
            <v>11.644336226312735</v>
          </cell>
          <cell r="DW1885">
            <v>9.8476005987137558</v>
          </cell>
          <cell r="DX1885">
            <v>7.1073990168282446</v>
          </cell>
          <cell r="DY1885">
            <v>12.587802180599267</v>
          </cell>
        </row>
        <row r="1886">
          <cell r="A1886">
            <v>42103</v>
          </cell>
          <cell r="DF1886">
            <v>19.56536052231413</v>
          </cell>
          <cell r="DG1886">
            <v>21.679348620667902</v>
          </cell>
          <cell r="DH1886">
            <v>18.362277992096409</v>
          </cell>
          <cell r="DI1886">
            <v>14.300000632844487</v>
          </cell>
          <cell r="DJ1886">
            <v>22.424555351348332</v>
          </cell>
          <cell r="DU1886">
            <v>10.375677946403613</v>
          </cell>
          <cell r="DV1886">
            <v>11.644336226312735</v>
          </cell>
          <cell r="DW1886">
            <v>9.8476005987137558</v>
          </cell>
          <cell r="DX1886">
            <v>7.1073990168282446</v>
          </cell>
          <cell r="DY1886">
            <v>12.587802180599267</v>
          </cell>
        </row>
        <row r="1887">
          <cell r="A1887">
            <v>42104</v>
          </cell>
          <cell r="DF1887">
            <v>19.611692440818103</v>
          </cell>
          <cell r="DG1887">
            <v>21.679348620667902</v>
          </cell>
          <cell r="DH1887">
            <v>18.362277992096409</v>
          </cell>
          <cell r="DI1887">
            <v>14.300000632844487</v>
          </cell>
          <cell r="DJ1887">
            <v>22.424555351348332</v>
          </cell>
          <cell r="DU1887">
            <v>10.401270093269371</v>
          </cell>
          <cell r="DV1887">
            <v>11.644336226312735</v>
          </cell>
          <cell r="DW1887">
            <v>9.8476005987137558</v>
          </cell>
          <cell r="DX1887">
            <v>7.1073990168282446</v>
          </cell>
          <cell r="DY1887">
            <v>12.587802180599267</v>
          </cell>
        </row>
        <row r="1888">
          <cell r="A1888">
            <v>42107</v>
          </cell>
          <cell r="DF1888">
            <v>19.623080886143036</v>
          </cell>
          <cell r="DG1888">
            <v>21.679348620667902</v>
          </cell>
          <cell r="DH1888">
            <v>18.362277992096409</v>
          </cell>
          <cell r="DI1888">
            <v>14.300000632844487</v>
          </cell>
          <cell r="DJ1888">
            <v>22.424555351348332</v>
          </cell>
          <cell r="DU1888">
            <v>10.407421972726857</v>
          </cell>
          <cell r="DV1888">
            <v>11.644336226312735</v>
          </cell>
          <cell r="DW1888">
            <v>9.8476005987137558</v>
          </cell>
          <cell r="DX1888">
            <v>7.1073990168282446</v>
          </cell>
          <cell r="DY1888">
            <v>12.587802180599267</v>
          </cell>
        </row>
        <row r="1889">
          <cell r="A1889">
            <v>42108</v>
          </cell>
          <cell r="DF1889">
            <v>19.697090125556567</v>
          </cell>
          <cell r="DG1889">
            <v>21.679348620667902</v>
          </cell>
          <cell r="DH1889">
            <v>18.362277992096409</v>
          </cell>
          <cell r="DI1889">
            <v>14.300000632844487</v>
          </cell>
          <cell r="DJ1889">
            <v>22.424555351348332</v>
          </cell>
          <cell r="DU1889">
            <v>10.449004183096303</v>
          </cell>
          <cell r="DV1889">
            <v>11.644336226312735</v>
          </cell>
          <cell r="DW1889">
            <v>9.8476005987137558</v>
          </cell>
          <cell r="DX1889">
            <v>7.1073990168282446</v>
          </cell>
          <cell r="DY1889">
            <v>12.587802180599267</v>
          </cell>
        </row>
        <row r="1890">
          <cell r="A1890">
            <v>42109</v>
          </cell>
          <cell r="DF1890">
            <v>19.699529289523692</v>
          </cell>
          <cell r="DG1890">
            <v>21.679348620667902</v>
          </cell>
          <cell r="DH1890">
            <v>18.362277992096409</v>
          </cell>
          <cell r="DI1890">
            <v>14.300000632844487</v>
          </cell>
          <cell r="DJ1890">
            <v>22.424555351348332</v>
          </cell>
          <cell r="DU1890">
            <v>10.44900930133989</v>
          </cell>
          <cell r="DV1890">
            <v>11.644336226312735</v>
          </cell>
          <cell r="DW1890">
            <v>9.8476005987137558</v>
          </cell>
          <cell r="DX1890">
            <v>7.1073990168282446</v>
          </cell>
          <cell r="DY1890">
            <v>12.587802180599267</v>
          </cell>
        </row>
        <row r="1891">
          <cell r="A1891">
            <v>42110</v>
          </cell>
          <cell r="DF1891">
            <v>19.845316528217303</v>
          </cell>
          <cell r="DG1891">
            <v>21.679348620667902</v>
          </cell>
          <cell r="DH1891">
            <v>18.362277992096409</v>
          </cell>
          <cell r="DI1891">
            <v>14.300000632844487</v>
          </cell>
          <cell r="DJ1891">
            <v>22.424555351348332</v>
          </cell>
          <cell r="DU1891">
            <v>10.544839885841178</v>
          </cell>
          <cell r="DV1891">
            <v>11.644336226312735</v>
          </cell>
          <cell r="DW1891">
            <v>9.8476005987137558</v>
          </cell>
          <cell r="DX1891">
            <v>7.1073990168282446</v>
          </cell>
          <cell r="DY1891">
            <v>12.587802180599267</v>
          </cell>
        </row>
        <row r="1892">
          <cell r="A1892">
            <v>42111</v>
          </cell>
          <cell r="DF1892">
            <v>19.633345746206398</v>
          </cell>
          <cell r="DG1892">
            <v>21.679348620667902</v>
          </cell>
          <cell r="DH1892">
            <v>18.362277992096409</v>
          </cell>
          <cell r="DI1892">
            <v>14.300000632844487</v>
          </cell>
          <cell r="DJ1892">
            <v>22.424555351348332</v>
          </cell>
          <cell r="DU1892">
            <v>10.425542675217198</v>
          </cell>
          <cell r="DV1892">
            <v>11.644336226312735</v>
          </cell>
          <cell r="DW1892">
            <v>9.8476005987137558</v>
          </cell>
          <cell r="DX1892">
            <v>7.1073990168282446</v>
          </cell>
          <cell r="DY1892">
            <v>12.587802180599267</v>
          </cell>
        </row>
        <row r="1893">
          <cell r="A1893">
            <v>42114</v>
          </cell>
          <cell r="DF1893">
            <v>19.392728158122729</v>
          </cell>
          <cell r="DG1893">
            <v>21.679348620667902</v>
          </cell>
          <cell r="DH1893">
            <v>18.362277992096409</v>
          </cell>
          <cell r="DI1893">
            <v>14.300000632844487</v>
          </cell>
          <cell r="DJ1893">
            <v>22.424555351348332</v>
          </cell>
          <cell r="DU1893">
            <v>10.29011787590094</v>
          </cell>
          <cell r="DV1893">
            <v>11.644336226312735</v>
          </cell>
          <cell r="DW1893">
            <v>9.8476005987137558</v>
          </cell>
          <cell r="DX1893">
            <v>7.1073990168282446</v>
          </cell>
          <cell r="DY1893">
            <v>12.587802180599267</v>
          </cell>
        </row>
        <row r="1894">
          <cell r="A1894">
            <v>42115</v>
          </cell>
          <cell r="DF1894">
            <v>19.4500126038403</v>
          </cell>
          <cell r="DG1894">
            <v>21.679348620667902</v>
          </cell>
          <cell r="DH1894">
            <v>18.362277992096409</v>
          </cell>
          <cell r="DI1894">
            <v>14.300000632844487</v>
          </cell>
          <cell r="DJ1894">
            <v>22.424555351348332</v>
          </cell>
          <cell r="DU1894">
            <v>10.322362735549477</v>
          </cell>
          <cell r="DV1894">
            <v>11.644336226312735</v>
          </cell>
          <cell r="DW1894">
            <v>9.8476005987137558</v>
          </cell>
          <cell r="DX1894">
            <v>7.1073990168282446</v>
          </cell>
          <cell r="DY1894">
            <v>12.587802180599267</v>
          </cell>
        </row>
        <row r="1895">
          <cell r="A1895">
            <v>42116</v>
          </cell>
          <cell r="DF1895">
            <v>18.600455417607222</v>
          </cell>
          <cell r="DG1895">
            <v>21.679348620667902</v>
          </cell>
          <cell r="DH1895">
            <v>18.362277992096409</v>
          </cell>
          <cell r="DI1895">
            <v>14.300000632844487</v>
          </cell>
          <cell r="DJ1895">
            <v>22.424555351348332</v>
          </cell>
          <cell r="DU1895">
            <v>9.877909966755114</v>
          </cell>
          <cell r="DV1895">
            <v>11.644336226312735</v>
          </cell>
          <cell r="DW1895">
            <v>9.8476005987137558</v>
          </cell>
          <cell r="DX1895">
            <v>7.1073990168282446</v>
          </cell>
          <cell r="DY1895">
            <v>12.587802180599267</v>
          </cell>
        </row>
        <row r="1896">
          <cell r="A1896">
            <v>42117</v>
          </cell>
          <cell r="DF1896">
            <v>18.560948081264108</v>
          </cell>
          <cell r="DG1896">
            <v>21.679348620667902</v>
          </cell>
          <cell r="DH1896">
            <v>18.362277992096409</v>
          </cell>
          <cell r="DI1896">
            <v>14.300000632844487</v>
          </cell>
          <cell r="DJ1896">
            <v>22.424555351348332</v>
          </cell>
          <cell r="DU1896">
            <v>9.8556202933099826</v>
          </cell>
          <cell r="DV1896">
            <v>11.644336226312735</v>
          </cell>
          <cell r="DW1896">
            <v>9.8476005987137558</v>
          </cell>
          <cell r="DX1896">
            <v>7.1073990168282446</v>
          </cell>
          <cell r="DY1896">
            <v>12.587802180599267</v>
          </cell>
        </row>
        <row r="1897">
          <cell r="A1897">
            <v>42118</v>
          </cell>
          <cell r="DF1897">
            <v>19.509033860045147</v>
          </cell>
          <cell r="DG1897">
            <v>21.679348620667902</v>
          </cell>
          <cell r="DH1897">
            <v>18.362277992096409</v>
          </cell>
          <cell r="DI1897">
            <v>14.300000632844487</v>
          </cell>
          <cell r="DJ1897">
            <v>22.424555351348332</v>
          </cell>
          <cell r="DU1897">
            <v>10.390521513262398</v>
          </cell>
          <cell r="DV1897">
            <v>11.644336226312735</v>
          </cell>
          <cell r="DW1897">
            <v>9.8476005987137558</v>
          </cell>
          <cell r="DX1897">
            <v>7.1073990168282446</v>
          </cell>
          <cell r="DY1897">
            <v>12.587802180599267</v>
          </cell>
        </row>
        <row r="1898">
          <cell r="A1898">
            <v>42121</v>
          </cell>
          <cell r="DF1898">
            <v>19.023705981941308</v>
          </cell>
          <cell r="DG1898">
            <v>21.679348620667902</v>
          </cell>
          <cell r="DH1898">
            <v>18.362277992096409</v>
          </cell>
          <cell r="DI1898">
            <v>14.300000632844487</v>
          </cell>
          <cell r="DJ1898">
            <v>22.424555351348332</v>
          </cell>
          <cell r="DU1898">
            <v>10.116704017119345</v>
          </cell>
          <cell r="DV1898">
            <v>11.644336226312735</v>
          </cell>
          <cell r="DW1898">
            <v>9.8476005987137558</v>
          </cell>
          <cell r="DX1898">
            <v>7.1073990168282446</v>
          </cell>
          <cell r="DY1898">
            <v>12.587802180599267</v>
          </cell>
        </row>
        <row r="1899">
          <cell r="A1899">
            <v>42122</v>
          </cell>
          <cell r="DF1899">
            <v>18.781037810383744</v>
          </cell>
          <cell r="DG1899">
            <v>21.679348620667902</v>
          </cell>
          <cell r="DH1899">
            <v>18.362277992096409</v>
          </cell>
          <cell r="DI1899">
            <v>14.300000632844487</v>
          </cell>
          <cell r="DJ1899">
            <v>22.424555351348332</v>
          </cell>
          <cell r="DU1899">
            <v>9.9797928811073131</v>
          </cell>
          <cell r="DV1899">
            <v>11.644336226312735</v>
          </cell>
          <cell r="DW1899">
            <v>9.8476005987137558</v>
          </cell>
          <cell r="DX1899">
            <v>7.1073990168282446</v>
          </cell>
          <cell r="DY1899">
            <v>12.587802180599267</v>
          </cell>
        </row>
        <row r="1900">
          <cell r="A1900">
            <v>42123</v>
          </cell>
          <cell r="DF1900">
            <v>18.611735891647854</v>
          </cell>
          <cell r="DG1900">
            <v>21.679348620667902</v>
          </cell>
          <cell r="DH1900">
            <v>18.362277992096409</v>
          </cell>
          <cell r="DI1900">
            <v>14.300000632844487</v>
          </cell>
          <cell r="DJ1900">
            <v>22.424555351348332</v>
          </cell>
          <cell r="DU1900">
            <v>9.8842743057854232</v>
          </cell>
          <cell r="DV1900">
            <v>11.644336226312735</v>
          </cell>
          <cell r="DW1900">
            <v>9.8476005987137558</v>
          </cell>
          <cell r="DX1900">
            <v>7.1073990168282446</v>
          </cell>
          <cell r="DY1900">
            <v>12.587802180599267</v>
          </cell>
        </row>
        <row r="1901">
          <cell r="A1901">
            <v>42124</v>
          </cell>
          <cell r="DF1901">
            <v>18.402935101580134</v>
          </cell>
          <cell r="DG1901">
            <v>21.679348620667902</v>
          </cell>
          <cell r="DH1901">
            <v>18.362277992096409</v>
          </cell>
          <cell r="DI1901">
            <v>14.300000632844487</v>
          </cell>
          <cell r="DJ1901">
            <v>22.424555351348332</v>
          </cell>
          <cell r="DU1901">
            <v>9.7664708328994028</v>
          </cell>
          <cell r="DV1901">
            <v>11.644336226312735</v>
          </cell>
          <cell r="DW1901">
            <v>9.8476005987137558</v>
          </cell>
          <cell r="DX1901">
            <v>7.1073990168282446</v>
          </cell>
          <cell r="DY1901">
            <v>12.587802180599267</v>
          </cell>
        </row>
        <row r="1902">
          <cell r="A1902">
            <v>42125</v>
          </cell>
          <cell r="DF1902">
            <v>18.453722911963883</v>
          </cell>
          <cell r="DG1902">
            <v>21.679348620667902</v>
          </cell>
          <cell r="DH1902">
            <v>18.362277992096409</v>
          </cell>
          <cell r="DI1902">
            <v>14.300000632844487</v>
          </cell>
          <cell r="DJ1902">
            <v>22.424555351348332</v>
          </cell>
          <cell r="DU1902">
            <v>9.7951248453748434</v>
          </cell>
          <cell r="DV1902">
            <v>11.644336226312735</v>
          </cell>
          <cell r="DW1902">
            <v>9.8476005987137558</v>
          </cell>
          <cell r="DX1902">
            <v>7.1073990168282446</v>
          </cell>
          <cell r="DY1902">
            <v>12.587802180599267</v>
          </cell>
        </row>
        <row r="1903">
          <cell r="A1903">
            <v>42128</v>
          </cell>
          <cell r="DF1903">
            <v>18.730249999999998</v>
          </cell>
          <cell r="DG1903">
            <v>21.679348620667902</v>
          </cell>
          <cell r="DH1903">
            <v>18.362277992096409</v>
          </cell>
          <cell r="DI1903">
            <v>14.300000632844487</v>
          </cell>
          <cell r="DJ1903">
            <v>22.424555351348332</v>
          </cell>
          <cell r="DU1903">
            <v>9.951138868631876</v>
          </cell>
          <cell r="DV1903">
            <v>11.644336226312735</v>
          </cell>
          <cell r="DW1903">
            <v>9.8476005987137558</v>
          </cell>
          <cell r="DX1903">
            <v>7.1073990168282446</v>
          </cell>
          <cell r="DY1903">
            <v>12.587802180599267</v>
          </cell>
        </row>
        <row r="1904">
          <cell r="A1904">
            <v>42129</v>
          </cell>
          <cell r="DF1904">
            <v>18.041761851015803</v>
          </cell>
          <cell r="DG1904">
            <v>21.679348620667902</v>
          </cell>
          <cell r="DH1904">
            <v>18.362277992096409</v>
          </cell>
          <cell r="DI1904">
            <v>14.300000632844487</v>
          </cell>
          <cell r="DJ1904">
            <v>22.424555351348332</v>
          </cell>
          <cell r="DU1904">
            <v>9.562700228313993</v>
          </cell>
          <cell r="DV1904">
            <v>11.644336226312735</v>
          </cell>
          <cell r="DW1904">
            <v>9.8476005987137558</v>
          </cell>
          <cell r="DX1904">
            <v>7.1073990168282446</v>
          </cell>
          <cell r="DY1904">
            <v>12.587802180599267</v>
          </cell>
        </row>
        <row r="1905">
          <cell r="A1905">
            <v>42130</v>
          </cell>
          <cell r="DF1905">
            <v>17.793453160270879</v>
          </cell>
          <cell r="DG1905">
            <v>21.679348620667902</v>
          </cell>
          <cell r="DH1905">
            <v>18.362277992096409</v>
          </cell>
          <cell r="DI1905">
            <v>14.300000632844487</v>
          </cell>
          <cell r="DJ1905">
            <v>22.424555351348332</v>
          </cell>
          <cell r="DU1905">
            <v>9.42260676359078</v>
          </cell>
          <cell r="DV1905">
            <v>11.644336226312735</v>
          </cell>
          <cell r="DW1905">
            <v>9.8476005987137558</v>
          </cell>
          <cell r="DX1905">
            <v>7.1073990168282446</v>
          </cell>
          <cell r="DY1905">
            <v>12.587802180599267</v>
          </cell>
        </row>
        <row r="1906">
          <cell r="A1906">
            <v>42131</v>
          </cell>
          <cell r="DF1906">
            <v>18.290069977426636</v>
          </cell>
          <cell r="DG1906">
            <v>21.679348620667902</v>
          </cell>
          <cell r="DH1906">
            <v>18.362277992096409</v>
          </cell>
          <cell r="DI1906">
            <v>14.300000632844487</v>
          </cell>
          <cell r="DJ1906">
            <v>22.424555351348332</v>
          </cell>
          <cell r="DU1906">
            <v>9.7027933746451449</v>
          </cell>
          <cell r="DV1906">
            <v>11.644336226312735</v>
          </cell>
          <cell r="DW1906">
            <v>9.8476005987137558</v>
          </cell>
          <cell r="DX1906">
            <v>7.1073990168282446</v>
          </cell>
          <cell r="DY1906">
            <v>12.587802180599267</v>
          </cell>
        </row>
        <row r="1907">
          <cell r="A1907">
            <v>42132</v>
          </cell>
          <cell r="DF1907">
            <v>18.261851580135438</v>
          </cell>
          <cell r="DG1907">
            <v>21.679348620667902</v>
          </cell>
          <cell r="DH1907">
            <v>18.362277992096409</v>
          </cell>
          <cell r="DI1907">
            <v>14.300000632844487</v>
          </cell>
          <cell r="DJ1907">
            <v>22.424555351348332</v>
          </cell>
          <cell r="DU1907">
            <v>9.6868680402303191</v>
          </cell>
          <cell r="DV1907">
            <v>11.644336226312735</v>
          </cell>
          <cell r="DW1907">
            <v>9.8476005987137558</v>
          </cell>
          <cell r="DX1907">
            <v>7.1073990168282446</v>
          </cell>
          <cell r="DY1907">
            <v>12.587802180599267</v>
          </cell>
        </row>
        <row r="1908">
          <cell r="A1908">
            <v>42135</v>
          </cell>
          <cell r="DF1908">
            <v>18.623024830699773</v>
          </cell>
          <cell r="DG1908">
            <v>21.679348620667902</v>
          </cell>
          <cell r="DH1908">
            <v>18.362277992096409</v>
          </cell>
          <cell r="DI1908">
            <v>14.300000632844487</v>
          </cell>
          <cell r="DJ1908">
            <v>22.424555351348332</v>
          </cell>
          <cell r="DU1908">
            <v>9.8906434206967369</v>
          </cell>
          <cell r="DV1908">
            <v>11.644336226312735</v>
          </cell>
          <cell r="DW1908">
            <v>9.8476005987137558</v>
          </cell>
          <cell r="DX1908">
            <v>7.1073990168282446</v>
          </cell>
          <cell r="DY1908">
            <v>12.587802180599267</v>
          </cell>
        </row>
        <row r="1909">
          <cell r="A1909">
            <v>42136</v>
          </cell>
          <cell r="DF1909">
            <v>19.051915914221222</v>
          </cell>
          <cell r="DG1909">
            <v>21.679348620667902</v>
          </cell>
          <cell r="DH1909">
            <v>18.362277992096409</v>
          </cell>
          <cell r="DI1909">
            <v>14.300000632844487</v>
          </cell>
          <cell r="DJ1909">
            <v>22.424555351348332</v>
          </cell>
          <cell r="DU1909">
            <v>10.132619799772158</v>
          </cell>
          <cell r="DV1909">
            <v>11.644336226312735</v>
          </cell>
          <cell r="DW1909">
            <v>9.8476005987137558</v>
          </cell>
          <cell r="DX1909">
            <v>7.1073990168282446</v>
          </cell>
          <cell r="DY1909">
            <v>12.587802180599267</v>
          </cell>
        </row>
        <row r="1910">
          <cell r="A1910">
            <v>42137</v>
          </cell>
          <cell r="DF1910">
            <v>19.659859977324263</v>
          </cell>
          <cell r="DG1910">
            <v>21.679348620667902</v>
          </cell>
          <cell r="DH1910">
            <v>18.362277992096409</v>
          </cell>
          <cell r="DI1910">
            <v>14.300000632844487</v>
          </cell>
          <cell r="DJ1910">
            <v>22.424555351348332</v>
          </cell>
          <cell r="DU1910">
            <v>10.425539864768144</v>
          </cell>
          <cell r="DV1910">
            <v>11.644336226312735</v>
          </cell>
          <cell r="DW1910">
            <v>9.8476005987137558</v>
          </cell>
          <cell r="DX1910">
            <v>7.1073990168282446</v>
          </cell>
          <cell r="DY1910">
            <v>12.587802180599267</v>
          </cell>
        </row>
        <row r="1911">
          <cell r="A1911">
            <v>42138</v>
          </cell>
          <cell r="DF1911">
            <v>19.68820634920635</v>
          </cell>
          <cell r="DG1911">
            <v>21.679348620667902</v>
          </cell>
          <cell r="DH1911">
            <v>18.362277992096409</v>
          </cell>
          <cell r="DI1911">
            <v>14.300000632844487</v>
          </cell>
          <cell r="DJ1911">
            <v>22.424555351348332</v>
          </cell>
          <cell r="DU1911">
            <v>10.441460423301962</v>
          </cell>
          <cell r="DV1911">
            <v>11.644336226312735</v>
          </cell>
          <cell r="DW1911">
            <v>9.8476005987137558</v>
          </cell>
          <cell r="DX1911">
            <v>7.1073990168282446</v>
          </cell>
          <cell r="DY1911">
            <v>12.587802180599267</v>
          </cell>
        </row>
        <row r="1912">
          <cell r="A1912">
            <v>42139</v>
          </cell>
          <cell r="DF1912">
            <v>19.472793083900225</v>
          </cell>
          <cell r="DG1912">
            <v>21.679348620667902</v>
          </cell>
          <cell r="DH1912">
            <v>18.362277992096409</v>
          </cell>
          <cell r="DI1912">
            <v>14.300000632844487</v>
          </cell>
          <cell r="DJ1912">
            <v>22.424555351348332</v>
          </cell>
          <cell r="DU1912">
            <v>10.320474940096821</v>
          </cell>
          <cell r="DV1912">
            <v>11.644336226312735</v>
          </cell>
          <cell r="DW1912">
            <v>9.8476005987137558</v>
          </cell>
          <cell r="DX1912">
            <v>7.1073990168282446</v>
          </cell>
          <cell r="DY1912">
            <v>12.587802180599267</v>
          </cell>
        </row>
        <row r="1913">
          <cell r="A1913">
            <v>42142</v>
          </cell>
          <cell r="DF1913">
            <v>19.081634920634922</v>
          </cell>
          <cell r="DG1913">
            <v>21.679348620667902</v>
          </cell>
          <cell r="DH1913">
            <v>18.362277992096409</v>
          </cell>
          <cell r="DI1913">
            <v>14.300000632844487</v>
          </cell>
          <cell r="DJ1913">
            <v>22.424555351348332</v>
          </cell>
          <cell r="DU1913">
            <v>10.10078345858553</v>
          </cell>
          <cell r="DV1913">
            <v>11.644336226312735</v>
          </cell>
          <cell r="DW1913">
            <v>9.8476005987137558</v>
          </cell>
          <cell r="DX1913">
            <v>7.1073990168282446</v>
          </cell>
          <cell r="DY1913">
            <v>12.587802180599267</v>
          </cell>
        </row>
        <row r="1914">
          <cell r="A1914">
            <v>42143</v>
          </cell>
          <cell r="DF1914">
            <v>19.353741496598641</v>
          </cell>
          <cell r="DG1914">
            <v>21.679348620667902</v>
          </cell>
          <cell r="DH1914">
            <v>18.362277992096409</v>
          </cell>
          <cell r="DI1914">
            <v>14.300000632844487</v>
          </cell>
          <cell r="DJ1914">
            <v>22.424555351348332</v>
          </cell>
          <cell r="DU1914">
            <v>10.253610377250368</v>
          </cell>
          <cell r="DV1914">
            <v>11.644336226312735</v>
          </cell>
          <cell r="DW1914">
            <v>9.8476005987137558</v>
          </cell>
          <cell r="DX1914">
            <v>7.1073990168282446</v>
          </cell>
          <cell r="DY1914">
            <v>12.587802180599267</v>
          </cell>
        </row>
        <row r="1915">
          <cell r="A1915">
            <v>42144</v>
          </cell>
          <cell r="DF1915">
            <v>18.939605330309043</v>
          </cell>
          <cell r="DG1915">
            <v>21.679348620667902</v>
          </cell>
          <cell r="DH1915">
            <v>18.362277992096409</v>
          </cell>
          <cell r="DI1915">
            <v>14.300000632844487</v>
          </cell>
          <cell r="DJ1915">
            <v>22.424555351348332</v>
          </cell>
          <cell r="DU1915">
            <v>10.017998337205258</v>
          </cell>
          <cell r="DV1915">
            <v>11.644336226312735</v>
          </cell>
          <cell r="DW1915">
            <v>9.8476005987137558</v>
          </cell>
          <cell r="DX1915">
            <v>7.1073990168282446</v>
          </cell>
          <cell r="DY1915">
            <v>12.587802180599267</v>
          </cell>
        </row>
        <row r="1916">
          <cell r="A1916">
            <v>42145</v>
          </cell>
          <cell r="DF1916">
            <v>19.274174085625177</v>
          </cell>
          <cell r="DG1916">
            <v>21.679348620667902</v>
          </cell>
          <cell r="DH1916">
            <v>18.362277992096409</v>
          </cell>
          <cell r="DI1916">
            <v>14.300000632844487</v>
          </cell>
          <cell r="DJ1916">
            <v>22.424555351348332</v>
          </cell>
          <cell r="DU1916">
            <v>10.205853477529926</v>
          </cell>
          <cell r="DV1916">
            <v>11.644336226312735</v>
          </cell>
          <cell r="DW1916">
            <v>9.8476005987137558</v>
          </cell>
          <cell r="DX1916">
            <v>7.1073990168282446</v>
          </cell>
          <cell r="DY1916">
            <v>12.587802180599267</v>
          </cell>
        </row>
        <row r="1917">
          <cell r="A1917">
            <v>42146</v>
          </cell>
          <cell r="DF1917">
            <v>19.302977515460096</v>
          </cell>
          <cell r="DG1917">
            <v>21.679348620667902</v>
          </cell>
          <cell r="DH1917">
            <v>18.362277992096409</v>
          </cell>
          <cell r="DI1917">
            <v>14.300000632844487</v>
          </cell>
          <cell r="DJ1917">
            <v>22.424555351348332</v>
          </cell>
          <cell r="DU1917">
            <v>10.318730644114456</v>
          </cell>
          <cell r="DV1917">
            <v>11.644336226312735</v>
          </cell>
          <cell r="DW1917">
            <v>9.8476005987137558</v>
          </cell>
          <cell r="DX1917">
            <v>7.1073990168282446</v>
          </cell>
          <cell r="DY1917">
            <v>12.587802180599267</v>
          </cell>
        </row>
        <row r="1918">
          <cell r="A1918">
            <v>42149</v>
          </cell>
          <cell r="DF1918">
            <v>19.432269814504519</v>
          </cell>
          <cell r="DG1918">
            <v>21.679348620667902</v>
          </cell>
          <cell r="DH1918">
            <v>18.362277992096409</v>
          </cell>
          <cell r="DI1918">
            <v>14.300000632844487</v>
          </cell>
          <cell r="DJ1918">
            <v>22.424555351348332</v>
          </cell>
          <cell r="DU1918">
            <v>10.391969786598224</v>
          </cell>
          <cell r="DV1918">
            <v>11.644336226312735</v>
          </cell>
          <cell r="DW1918">
            <v>9.8476005987137558</v>
          </cell>
          <cell r="DX1918">
            <v>7.1073990168282446</v>
          </cell>
          <cell r="DY1918">
            <v>12.587802180599267</v>
          </cell>
        </row>
        <row r="1919">
          <cell r="A1919">
            <v>42150</v>
          </cell>
          <cell r="DF1919">
            <v>19.432269814504519</v>
          </cell>
          <cell r="DG1919">
            <v>21.679348620667902</v>
          </cell>
          <cell r="DH1919">
            <v>18.362277992096409</v>
          </cell>
          <cell r="DI1919">
            <v>14.300000632844487</v>
          </cell>
          <cell r="DJ1919">
            <v>22.424555351348332</v>
          </cell>
          <cell r="DU1919">
            <v>10.391969786598224</v>
          </cell>
          <cell r="DV1919">
            <v>11.644336226312735</v>
          </cell>
          <cell r="DW1919">
            <v>9.8476005987137558</v>
          </cell>
          <cell r="DX1919">
            <v>7.1073990168282446</v>
          </cell>
          <cell r="DY1919">
            <v>12.587802180599267</v>
          </cell>
        </row>
        <row r="1920">
          <cell r="A1920">
            <v>42151</v>
          </cell>
          <cell r="DF1920">
            <v>19.094998313661314</v>
          </cell>
          <cell r="DG1920">
            <v>21.679348620667902</v>
          </cell>
          <cell r="DH1920">
            <v>18.362277992096409</v>
          </cell>
          <cell r="DI1920">
            <v>14.300000632844487</v>
          </cell>
          <cell r="DJ1920">
            <v>22.424555351348332</v>
          </cell>
          <cell r="DU1920">
            <v>10.200910697144582</v>
          </cell>
          <cell r="DV1920">
            <v>11.644336226312735</v>
          </cell>
          <cell r="DW1920">
            <v>9.8476005987137558</v>
          </cell>
          <cell r="DX1920">
            <v>7.1073990168282446</v>
          </cell>
          <cell r="DY1920">
            <v>12.587802180599267</v>
          </cell>
        </row>
        <row r="1921">
          <cell r="A1921">
            <v>42152</v>
          </cell>
          <cell r="DF1921">
            <v>19.589661045533202</v>
          </cell>
          <cell r="DG1921">
            <v>21.679348620667902</v>
          </cell>
          <cell r="DH1921">
            <v>18.362277992096409</v>
          </cell>
          <cell r="DI1921">
            <v>14.300000632844487</v>
          </cell>
          <cell r="DJ1921">
            <v>22.424555351348332</v>
          </cell>
          <cell r="DU1921">
            <v>10.481136490555905</v>
          </cell>
          <cell r="DV1921">
            <v>11.644336226312735</v>
          </cell>
          <cell r="DW1921">
            <v>9.8476005987137558</v>
          </cell>
          <cell r="DX1921">
            <v>7.1073990168282446</v>
          </cell>
          <cell r="DY1921">
            <v>12.587802180599267</v>
          </cell>
        </row>
        <row r="1922">
          <cell r="A1922">
            <v>42153</v>
          </cell>
          <cell r="DF1922">
            <v>18.75772681281811</v>
          </cell>
          <cell r="DG1922">
            <v>21.679348620667902</v>
          </cell>
          <cell r="DH1922">
            <v>18.362277992096409</v>
          </cell>
          <cell r="DI1922">
            <v>14.300000632844487</v>
          </cell>
          <cell r="DJ1922">
            <v>22.424555351348332</v>
          </cell>
          <cell r="DU1922">
            <v>10.009846831142056</v>
          </cell>
          <cell r="DV1922">
            <v>11.644336226312735</v>
          </cell>
          <cell r="DW1922">
            <v>9.8476005987137558</v>
          </cell>
          <cell r="DX1922">
            <v>7.1073990168282446</v>
          </cell>
          <cell r="DY1922">
            <v>12.587802180599267</v>
          </cell>
        </row>
        <row r="1923">
          <cell r="A1923">
            <v>42156</v>
          </cell>
          <cell r="DF1923">
            <v>18.830803822374047</v>
          </cell>
          <cell r="DG1923">
            <v>21.679348620667902</v>
          </cell>
          <cell r="DH1923">
            <v>18.362277992096409</v>
          </cell>
          <cell r="DI1923">
            <v>14.300000632844487</v>
          </cell>
          <cell r="DJ1923">
            <v>22.424555351348332</v>
          </cell>
          <cell r="DU1923">
            <v>10.051244861888069</v>
          </cell>
          <cell r="DV1923">
            <v>11.644336226312735</v>
          </cell>
          <cell r="DW1923">
            <v>9.8476005987137558</v>
          </cell>
          <cell r="DX1923">
            <v>7.1073990168282446</v>
          </cell>
          <cell r="DY1923">
            <v>12.587802180599267</v>
          </cell>
        </row>
        <row r="1924">
          <cell r="A1924">
            <v>42157</v>
          </cell>
          <cell r="DF1924">
            <v>19.291741427770386</v>
          </cell>
          <cell r="DG1924">
            <v>21.679348620667902</v>
          </cell>
          <cell r="DH1924">
            <v>18.362277992096409</v>
          </cell>
          <cell r="DI1924">
            <v>14.300000632844487</v>
          </cell>
          <cell r="DJ1924">
            <v>22.424555351348332</v>
          </cell>
          <cell r="DU1924">
            <v>10.312360638521985</v>
          </cell>
          <cell r="DV1924">
            <v>11.644336226312735</v>
          </cell>
          <cell r="DW1924">
            <v>9.8476005987137558</v>
          </cell>
          <cell r="DX1924">
            <v>7.1073990168282446</v>
          </cell>
          <cell r="DY1924">
            <v>12.587802180599267</v>
          </cell>
        </row>
        <row r="1925">
          <cell r="A1925">
            <v>42158</v>
          </cell>
          <cell r="DF1925">
            <v>18.790675319200705</v>
          </cell>
          <cell r="DG1925">
            <v>21.679348620667902</v>
          </cell>
          <cell r="DH1925">
            <v>18.362277992096409</v>
          </cell>
          <cell r="DI1925">
            <v>14.300000632844487</v>
          </cell>
          <cell r="DJ1925">
            <v>22.424555351348332</v>
          </cell>
          <cell r="DU1925">
            <v>10.02576961606708</v>
          </cell>
          <cell r="DV1925">
            <v>11.644336226312735</v>
          </cell>
          <cell r="DW1925">
            <v>9.8476005987137558</v>
          </cell>
          <cell r="DX1925">
            <v>7.1073990168282446</v>
          </cell>
          <cell r="DY1925">
            <v>12.587802180599267</v>
          </cell>
        </row>
        <row r="1926">
          <cell r="A1926">
            <v>42159</v>
          </cell>
          <cell r="DF1926">
            <v>18.987469134358275</v>
          </cell>
          <cell r="DG1926">
            <v>21.679348620667902</v>
          </cell>
          <cell r="DH1926">
            <v>18.362277992096409</v>
          </cell>
          <cell r="DI1926">
            <v>14.300000632844487</v>
          </cell>
          <cell r="DJ1926">
            <v>22.424555351348332</v>
          </cell>
          <cell r="DU1926">
            <v>10.137224333993368</v>
          </cell>
          <cell r="DV1926">
            <v>11.644336226312735</v>
          </cell>
          <cell r="DW1926">
            <v>9.8476005987137558</v>
          </cell>
          <cell r="DX1926">
            <v>7.1073990168282446</v>
          </cell>
          <cell r="DY1926">
            <v>12.587802180599267</v>
          </cell>
        </row>
        <row r="1927">
          <cell r="A1927">
            <v>42160</v>
          </cell>
          <cell r="DF1927">
            <v>19.634058672932134</v>
          </cell>
          <cell r="DG1927">
            <v>21.679348620667902</v>
          </cell>
          <cell r="DH1927">
            <v>18.362277992096409</v>
          </cell>
          <cell r="DI1927">
            <v>14.300000632844487</v>
          </cell>
          <cell r="DJ1927">
            <v>22.424555351348332</v>
          </cell>
          <cell r="DU1927">
            <v>10.474766166526846</v>
          </cell>
          <cell r="DV1927">
            <v>11.644336226312735</v>
          </cell>
          <cell r="DW1927">
            <v>9.8476005987137558</v>
          </cell>
          <cell r="DX1927">
            <v>7.1073990168282446</v>
          </cell>
          <cell r="DY1927">
            <v>12.587802180599267</v>
          </cell>
        </row>
        <row r="1928">
          <cell r="A1928">
            <v>42163</v>
          </cell>
          <cell r="DF1928">
            <v>19.72826966292337</v>
          </cell>
          <cell r="DG1928">
            <v>21.679348620667902</v>
          </cell>
          <cell r="DH1928">
            <v>18.362277992096409</v>
          </cell>
          <cell r="DI1928">
            <v>14.300000632844487</v>
          </cell>
          <cell r="DJ1928">
            <v>22.424555351348332</v>
          </cell>
          <cell r="DU1928">
            <v>10.530013268809059</v>
          </cell>
          <cell r="DV1928">
            <v>11.644336226312735</v>
          </cell>
          <cell r="DW1928">
            <v>9.8476005987137558</v>
          </cell>
          <cell r="DX1928">
            <v>7.1073990168282446</v>
          </cell>
          <cell r="DY1928">
            <v>12.587802180599267</v>
          </cell>
        </row>
        <row r="1929">
          <cell r="A1929">
            <v>42164</v>
          </cell>
          <cell r="DF1929">
            <v>19.767755535707916</v>
          </cell>
          <cell r="DG1929">
            <v>21.679348620667902</v>
          </cell>
          <cell r="DH1929">
            <v>18.362277992096409</v>
          </cell>
          <cell r="DI1929">
            <v>14.300000632844487</v>
          </cell>
          <cell r="DJ1929">
            <v>22.424555351348332</v>
          </cell>
          <cell r="DU1929">
            <v>10.596130024172021</v>
          </cell>
          <cell r="DV1929">
            <v>11.644336226312735</v>
          </cell>
          <cell r="DW1929">
            <v>9.8476005987137558</v>
          </cell>
          <cell r="DX1929">
            <v>7.1073990168282446</v>
          </cell>
          <cell r="DY1929">
            <v>12.587802180599267</v>
          </cell>
        </row>
        <row r="1930">
          <cell r="A1930">
            <v>42165</v>
          </cell>
          <cell r="DF1930">
            <v>19.559354490510984</v>
          </cell>
          <cell r="DG1930">
            <v>21.679348620667902</v>
          </cell>
          <cell r="DH1930">
            <v>18.362277992096409</v>
          </cell>
          <cell r="DI1930">
            <v>14.300000632844487</v>
          </cell>
          <cell r="DJ1930">
            <v>22.424555351348332</v>
          </cell>
          <cell r="DU1930">
            <v>10.47770100992515</v>
          </cell>
          <cell r="DV1930">
            <v>11.644336226312735</v>
          </cell>
          <cell r="DW1930">
            <v>9.8476005987137558</v>
          </cell>
          <cell r="DX1930">
            <v>7.1073990168282446</v>
          </cell>
          <cell r="DY1930">
            <v>12.587802180599267</v>
          </cell>
        </row>
        <row r="1931">
          <cell r="A1931">
            <v>42166</v>
          </cell>
          <cell r="DF1931">
            <v>19.339332902067927</v>
          </cell>
          <cell r="DG1931">
            <v>21.679348620667902</v>
          </cell>
          <cell r="DH1931">
            <v>18.362277992096409</v>
          </cell>
          <cell r="DI1931">
            <v>14.300000632844487</v>
          </cell>
          <cell r="DJ1931">
            <v>22.424555351348332</v>
          </cell>
          <cell r="DU1931">
            <v>10.352868740418048</v>
          </cell>
          <cell r="DV1931">
            <v>11.644336226312735</v>
          </cell>
          <cell r="DW1931">
            <v>9.8476005987137558</v>
          </cell>
          <cell r="DX1931">
            <v>7.1073990168282446</v>
          </cell>
          <cell r="DY1931">
            <v>12.587802180599267</v>
          </cell>
        </row>
        <row r="1932">
          <cell r="A1932">
            <v>42167</v>
          </cell>
          <cell r="DF1932">
            <v>19.77859089964025</v>
          </cell>
          <cell r="DG1932">
            <v>21.679348620667902</v>
          </cell>
          <cell r="DH1932">
            <v>18.362277992096409</v>
          </cell>
          <cell r="DI1932">
            <v>14.300000632844487</v>
          </cell>
          <cell r="DJ1932">
            <v>22.424555351348332</v>
          </cell>
          <cell r="DU1932">
            <v>10.521611541172708</v>
          </cell>
          <cell r="DV1932">
            <v>11.644336226312735</v>
          </cell>
          <cell r="DW1932">
            <v>9.8476005987137558</v>
          </cell>
          <cell r="DX1932">
            <v>7.1073990168282446</v>
          </cell>
          <cell r="DY1932">
            <v>12.587802180599267</v>
          </cell>
        </row>
        <row r="1933">
          <cell r="A1933">
            <v>42170</v>
          </cell>
          <cell r="DF1933">
            <v>19.485502964659538</v>
          </cell>
          <cell r="DG1933">
            <v>21.679348620667902</v>
          </cell>
          <cell r="DH1933">
            <v>18.362277992096409</v>
          </cell>
          <cell r="DI1933">
            <v>14.300000632844487</v>
          </cell>
          <cell r="DJ1933">
            <v>22.424555351348332</v>
          </cell>
          <cell r="DU1933">
            <v>10.391887096119568</v>
          </cell>
          <cell r="DV1933">
            <v>11.644336226312735</v>
          </cell>
          <cell r="DW1933">
            <v>9.8476005987137558</v>
          </cell>
          <cell r="DX1933">
            <v>7.1073990168282446</v>
          </cell>
          <cell r="DY1933">
            <v>12.587802180599267</v>
          </cell>
        </row>
        <row r="1934">
          <cell r="A1934">
            <v>42171</v>
          </cell>
          <cell r="DF1934">
            <v>18.981281105562424</v>
          </cell>
          <cell r="DG1934">
            <v>21.679348620667902</v>
          </cell>
          <cell r="DH1934">
            <v>18.362277992096409</v>
          </cell>
          <cell r="DI1934">
            <v>14.300000632844487</v>
          </cell>
          <cell r="DJ1934">
            <v>22.424555351348332</v>
          </cell>
          <cell r="DU1934">
            <v>10.107126049720438</v>
          </cell>
          <cell r="DV1934">
            <v>11.644336226312735</v>
          </cell>
          <cell r="DW1934">
            <v>9.8476005987137558</v>
          </cell>
          <cell r="DX1934">
            <v>7.1073990168282446</v>
          </cell>
          <cell r="DY1934">
            <v>12.587802180599267</v>
          </cell>
        </row>
        <row r="1935">
          <cell r="A1935">
            <v>42172</v>
          </cell>
          <cell r="DF1935">
            <v>18.588273192147042</v>
          </cell>
          <cell r="DG1935">
            <v>21.679348620667902</v>
          </cell>
          <cell r="DH1935">
            <v>18.362277992096409</v>
          </cell>
          <cell r="DI1935">
            <v>14.300000632844487</v>
          </cell>
          <cell r="DJ1935">
            <v>22.424555351348332</v>
          </cell>
          <cell r="DU1935">
            <v>9.8824863182355696</v>
          </cell>
          <cell r="DV1935">
            <v>11.644336226312735</v>
          </cell>
          <cell r="DW1935">
            <v>9.8476005987137558</v>
          </cell>
          <cell r="DX1935">
            <v>7.1073990168282446</v>
          </cell>
          <cell r="DY1935">
            <v>12.587802180599267</v>
          </cell>
        </row>
        <row r="1936">
          <cell r="A1936">
            <v>42173</v>
          </cell>
          <cell r="DF1936">
            <v>18.885280967615824</v>
          </cell>
          <cell r="DG1936">
            <v>21.679348620667902</v>
          </cell>
          <cell r="DH1936">
            <v>18.362277992096409</v>
          </cell>
          <cell r="DI1936">
            <v>14.300000632844487</v>
          </cell>
          <cell r="DJ1936">
            <v>22.424555351348332</v>
          </cell>
          <cell r="DU1936">
            <v>10.179836675586751</v>
          </cell>
          <cell r="DV1936">
            <v>11.644336226312735</v>
          </cell>
          <cell r="DW1936">
            <v>9.8476005987137558</v>
          </cell>
          <cell r="DX1936">
            <v>7.1073990168282446</v>
          </cell>
          <cell r="DY1936">
            <v>12.587802180599267</v>
          </cell>
        </row>
        <row r="1937">
          <cell r="A1937">
            <v>42174</v>
          </cell>
          <cell r="DF1937">
            <v>18.672337357276529</v>
          </cell>
          <cell r="DG1937">
            <v>21.679348620667902</v>
          </cell>
          <cell r="DH1937">
            <v>18.362277992096409</v>
          </cell>
          <cell r="DI1937">
            <v>14.300000632844487</v>
          </cell>
          <cell r="DJ1937">
            <v>22.424555351348332</v>
          </cell>
          <cell r="DU1937">
            <v>10.058057825578629</v>
          </cell>
          <cell r="DV1937">
            <v>11.644336226312735</v>
          </cell>
          <cell r="DW1937">
            <v>9.8476005987137558</v>
          </cell>
          <cell r="DX1937">
            <v>7.1073990168282446</v>
          </cell>
          <cell r="DY1937">
            <v>12.587802180599267</v>
          </cell>
        </row>
        <row r="1938">
          <cell r="A1938">
            <v>42177</v>
          </cell>
          <cell r="DF1938">
            <v>18.873091742263227</v>
          </cell>
          <cell r="DG1938">
            <v>21.679348620667902</v>
          </cell>
          <cell r="DH1938">
            <v>18.362277992096409</v>
          </cell>
          <cell r="DI1938">
            <v>14.300000632844487</v>
          </cell>
          <cell r="DJ1938">
            <v>22.424555351348332</v>
          </cell>
          <cell r="DU1938">
            <v>10.159004838854038</v>
          </cell>
          <cell r="DV1938">
            <v>11.644336226312735</v>
          </cell>
          <cell r="DW1938">
            <v>9.8476005987137558</v>
          </cell>
          <cell r="DX1938">
            <v>7.1073990168282446</v>
          </cell>
          <cell r="DY1938">
            <v>12.587802180599267</v>
          </cell>
        </row>
        <row r="1939">
          <cell r="A1939">
            <v>42178</v>
          </cell>
          <cell r="DF1939">
            <v>19.145232956141491</v>
          </cell>
          <cell r="DG1939">
            <v>21.679348620667902</v>
          </cell>
          <cell r="DH1939">
            <v>18.362277992096409</v>
          </cell>
          <cell r="DI1939">
            <v>14.300000632844487</v>
          </cell>
          <cell r="DJ1939">
            <v>22.424555351348332</v>
          </cell>
          <cell r="DU1939">
            <v>10.314437927792898</v>
          </cell>
          <cell r="DV1939">
            <v>11.644336226312735</v>
          </cell>
          <cell r="DW1939">
            <v>9.8476005987137558</v>
          </cell>
          <cell r="DX1939">
            <v>7.1073990168282446</v>
          </cell>
          <cell r="DY1939">
            <v>12.587802180599267</v>
          </cell>
        </row>
        <row r="1940">
          <cell r="A1940">
            <v>42179</v>
          </cell>
          <cell r="DF1940">
            <v>18.832371859997799</v>
          </cell>
          <cell r="DG1940">
            <v>21.679348620667902</v>
          </cell>
          <cell r="DH1940">
            <v>18.362277992096409</v>
          </cell>
          <cell r="DI1940">
            <v>14.300000632844487</v>
          </cell>
          <cell r="DJ1940">
            <v>22.424555351348332</v>
          </cell>
          <cell r="DU1940">
            <v>10.198304157953366</v>
          </cell>
          <cell r="DV1940">
            <v>11.644336226312735</v>
          </cell>
          <cell r="DW1940">
            <v>9.8476005987137558</v>
          </cell>
          <cell r="DX1940">
            <v>7.1073990168282446</v>
          </cell>
          <cell r="DY1940">
            <v>12.587802180599267</v>
          </cell>
        </row>
        <row r="1941">
          <cell r="A1941">
            <v>42180</v>
          </cell>
          <cell r="DF1941">
            <v>18.359193375549903</v>
          </cell>
          <cell r="DG1941">
            <v>21.679348620667902</v>
          </cell>
          <cell r="DH1941">
            <v>18.362277992096409</v>
          </cell>
          <cell r="DI1941">
            <v>14.300000632844487</v>
          </cell>
          <cell r="DJ1941">
            <v>22.424555351348332</v>
          </cell>
          <cell r="DU1941">
            <v>9.877557374169653</v>
          </cell>
          <cell r="DV1941">
            <v>11.644336226312735</v>
          </cell>
          <cell r="DW1941">
            <v>9.8476005987137558</v>
          </cell>
          <cell r="DX1941">
            <v>7.1073990168282446</v>
          </cell>
          <cell r="DY1941">
            <v>12.587802180599267</v>
          </cell>
        </row>
        <row r="1942">
          <cell r="A1942">
            <v>42181</v>
          </cell>
          <cell r="DF1942">
            <v>18.482091482651782</v>
          </cell>
          <cell r="DG1942">
            <v>21.679348620667902</v>
          </cell>
          <cell r="DH1942">
            <v>18.362277992096409</v>
          </cell>
          <cell r="DI1942">
            <v>14.300000632844487</v>
          </cell>
          <cell r="DJ1942">
            <v>22.424555351348332</v>
          </cell>
          <cell r="DU1942">
            <v>9.8330592092540208</v>
          </cell>
          <cell r="DV1942">
            <v>11.644336226312735</v>
          </cell>
          <cell r="DW1942">
            <v>9.8476005987137558</v>
          </cell>
          <cell r="DX1942">
            <v>7.1073990168282446</v>
          </cell>
          <cell r="DY1942">
            <v>12.587802180599267</v>
          </cell>
        </row>
        <row r="1943">
          <cell r="A1943">
            <v>42184</v>
          </cell>
          <cell r="DF1943">
            <v>17.552421042866936</v>
          </cell>
          <cell r="DG1943">
            <v>21.679348620667902</v>
          </cell>
          <cell r="DH1943">
            <v>18.362277992096409</v>
          </cell>
          <cell r="DI1943">
            <v>14.300000632844487</v>
          </cell>
          <cell r="DJ1943">
            <v>22.424555351348332</v>
          </cell>
          <cell r="DU1943">
            <v>9.3078223355071792</v>
          </cell>
          <cell r="DV1943">
            <v>11.644336226312735</v>
          </cell>
          <cell r="DW1943">
            <v>9.8476005987137558</v>
          </cell>
          <cell r="DX1943">
            <v>7.1073990168282446</v>
          </cell>
          <cell r="DY1943">
            <v>12.587802180599267</v>
          </cell>
        </row>
        <row r="1944">
          <cell r="A1944">
            <v>42185</v>
          </cell>
          <cell r="DF1944">
            <v>17.223976433477404</v>
          </cell>
          <cell r="DG1944">
            <v>21.679348620667902</v>
          </cell>
          <cell r="DH1944">
            <v>18.362277992096409</v>
          </cell>
          <cell r="DI1944">
            <v>14.300000632844487</v>
          </cell>
          <cell r="DJ1944">
            <v>22.424555351348332</v>
          </cell>
          <cell r="DU1944">
            <v>9.1222559257771962</v>
          </cell>
          <cell r="DV1944">
            <v>11.644336226312735</v>
          </cell>
          <cell r="DW1944">
            <v>9.8476005987137558</v>
          </cell>
          <cell r="DX1944">
            <v>7.1073990168282446</v>
          </cell>
          <cell r="DY1944">
            <v>12.587802180599267</v>
          </cell>
        </row>
        <row r="1945">
          <cell r="A1945">
            <v>42186</v>
          </cell>
          <cell r="DF1945">
            <v>17.596549161507653</v>
          </cell>
          <cell r="DG1945">
            <v>21.679348620667902</v>
          </cell>
          <cell r="DH1945">
            <v>18.362277992096409</v>
          </cell>
          <cell r="DI1945">
            <v>14.300000632844487</v>
          </cell>
          <cell r="DJ1945">
            <v>22.424555351348332</v>
          </cell>
          <cell r="DU1945">
            <v>9.3329840425113151</v>
          </cell>
          <cell r="DV1945">
            <v>11.644336226312735</v>
          </cell>
          <cell r="DW1945">
            <v>9.8476005987137558</v>
          </cell>
          <cell r="DX1945">
            <v>7.1073990168282446</v>
          </cell>
          <cell r="DY1945">
            <v>12.587802180599267</v>
          </cell>
        </row>
        <row r="1946">
          <cell r="A1946">
            <v>42187</v>
          </cell>
          <cell r="DF1946">
            <v>17.477170587972509</v>
          </cell>
          <cell r="DG1946">
            <v>21.679348620667902</v>
          </cell>
          <cell r="DH1946">
            <v>18.362277992096409</v>
          </cell>
          <cell r="DI1946">
            <v>14.300000632844487</v>
          </cell>
          <cell r="DJ1946">
            <v>22.424555351348332</v>
          </cell>
          <cell r="DU1946">
            <v>9.1662922154259192</v>
          </cell>
          <cell r="DV1946">
            <v>11.644336226312735</v>
          </cell>
          <cell r="DW1946">
            <v>9.8476005987137558</v>
          </cell>
          <cell r="DX1946">
            <v>7.1073990168282446</v>
          </cell>
          <cell r="DY1946">
            <v>12.587802180599267</v>
          </cell>
        </row>
        <row r="1947">
          <cell r="A1947">
            <v>42188</v>
          </cell>
          <cell r="DF1947">
            <v>19.563089200625882</v>
          </cell>
          <cell r="DG1947">
            <v>21.679348620667902</v>
          </cell>
          <cell r="DH1947">
            <v>18.362277992096409</v>
          </cell>
          <cell r="DI1947">
            <v>14.300000632844487</v>
          </cell>
          <cell r="DJ1947">
            <v>22.424555351348332</v>
          </cell>
          <cell r="DU1947">
            <v>9.9405506992452146</v>
          </cell>
          <cell r="DV1947">
            <v>11.644336226312735</v>
          </cell>
          <cell r="DW1947">
            <v>9.8476005987137558</v>
          </cell>
          <cell r="DX1947">
            <v>7.1073990168282446</v>
          </cell>
          <cell r="DY1947">
            <v>12.587802180599267</v>
          </cell>
        </row>
        <row r="1948">
          <cell r="A1948">
            <v>42191</v>
          </cell>
          <cell r="DF1948">
            <v>20.202881928487965</v>
          </cell>
          <cell r="DG1948">
            <v>21.679348620667902</v>
          </cell>
          <cell r="DH1948">
            <v>18.362277992096409</v>
          </cell>
          <cell r="DI1948">
            <v>14.300000632844487</v>
          </cell>
          <cell r="DJ1948">
            <v>22.424555351348332</v>
          </cell>
          <cell r="DU1948">
            <v>10.085231796383463</v>
          </cell>
          <cell r="DV1948">
            <v>11.644336226312735</v>
          </cell>
          <cell r="DW1948">
            <v>9.8476005987137558</v>
          </cell>
          <cell r="DX1948">
            <v>7.1073990168282446</v>
          </cell>
          <cell r="DY1948">
            <v>12.587802180599267</v>
          </cell>
        </row>
        <row r="1949">
          <cell r="A1949">
            <v>42192</v>
          </cell>
          <cell r="DF1949">
            <v>19.726687481298839</v>
          </cell>
          <cell r="DG1949">
            <v>21.679348620667902</v>
          </cell>
          <cell r="DH1949">
            <v>18.362277992096409</v>
          </cell>
          <cell r="DI1949">
            <v>14.300000632844487</v>
          </cell>
          <cell r="DJ1949">
            <v>22.424555351348332</v>
          </cell>
          <cell r="DU1949">
            <v>9.8625363581503471</v>
          </cell>
          <cell r="DV1949">
            <v>11.644336226312735</v>
          </cell>
          <cell r="DW1949">
            <v>9.8476005987137558</v>
          </cell>
          <cell r="DX1949">
            <v>7.1073990168282446</v>
          </cell>
          <cell r="DY1949">
            <v>12.587802180599267</v>
          </cell>
        </row>
        <row r="1950">
          <cell r="A1950">
            <v>42193</v>
          </cell>
          <cell r="DF1950">
            <v>20.569155439677644</v>
          </cell>
          <cell r="DG1950">
            <v>21.679348620667902</v>
          </cell>
          <cell r="DH1950">
            <v>18.362277992096409</v>
          </cell>
          <cell r="DI1950">
            <v>14.300000632844487</v>
          </cell>
          <cell r="DJ1950">
            <v>22.424555351348332</v>
          </cell>
          <cell r="DU1950">
            <v>10.263037227415792</v>
          </cell>
          <cell r="DV1950">
            <v>11.644336226312735</v>
          </cell>
          <cell r="DW1950">
            <v>9.8476005987137558</v>
          </cell>
          <cell r="DX1950">
            <v>7.1073990168282446</v>
          </cell>
          <cell r="DY1950">
            <v>12.587802180599267</v>
          </cell>
        </row>
        <row r="1951">
          <cell r="A1951">
            <v>42194</v>
          </cell>
          <cell r="DF1951">
            <v>20.875867109636747</v>
          </cell>
          <cell r="DG1951">
            <v>21.679348620667902</v>
          </cell>
          <cell r="DH1951">
            <v>18.362277992096409</v>
          </cell>
          <cell r="DI1951">
            <v>14.300000632844487</v>
          </cell>
          <cell r="DJ1951">
            <v>22.424555351348332</v>
          </cell>
          <cell r="DU1951">
            <v>10.413466237104364</v>
          </cell>
          <cell r="DV1951">
            <v>11.644336226312735</v>
          </cell>
          <cell r="DW1951">
            <v>9.8476005987137558</v>
          </cell>
          <cell r="DX1951">
            <v>7.1073990168282446</v>
          </cell>
          <cell r="DY1951">
            <v>12.587802180599267</v>
          </cell>
        </row>
        <row r="1952">
          <cell r="A1952">
            <v>42195</v>
          </cell>
          <cell r="DF1952">
            <v>20.616131078226267</v>
          </cell>
          <cell r="DG1952">
            <v>21.679348620667902</v>
          </cell>
          <cell r="DH1952">
            <v>18.362277992096409</v>
          </cell>
          <cell r="DI1952">
            <v>14.300000632844487</v>
          </cell>
          <cell r="DJ1952">
            <v>22.424555351348332</v>
          </cell>
          <cell r="DU1952">
            <v>10.275475262490083</v>
          </cell>
          <cell r="DV1952">
            <v>11.644336226312735</v>
          </cell>
          <cell r="DW1952">
            <v>9.8476005987137558</v>
          </cell>
          <cell r="DX1952">
            <v>7.1073990168282446</v>
          </cell>
          <cell r="DY1952">
            <v>12.587802180599267</v>
          </cell>
        </row>
        <row r="1953">
          <cell r="A1953">
            <v>42198</v>
          </cell>
          <cell r="DF1953">
            <v>19.607373603143106</v>
          </cell>
          <cell r="DG1953">
            <v>21.679348620667902</v>
          </cell>
          <cell r="DH1953">
            <v>18.362277992096409</v>
          </cell>
          <cell r="DI1953">
            <v>14.300000632844487</v>
          </cell>
          <cell r="DJ1953">
            <v>22.424555351348332</v>
          </cell>
          <cell r="DU1953">
            <v>9.7395487436307118</v>
          </cell>
          <cell r="DV1953">
            <v>11.644336226312735</v>
          </cell>
          <cell r="DW1953">
            <v>9.8476005987137558</v>
          </cell>
          <cell r="DX1953">
            <v>7.1073990168282446</v>
          </cell>
          <cell r="DY1953">
            <v>12.587802180599267</v>
          </cell>
        </row>
        <row r="1954">
          <cell r="A1954">
            <v>42199</v>
          </cell>
          <cell r="DF1954">
            <v>20.205374207190289</v>
          </cell>
          <cell r="DG1954">
            <v>21.679348620667902</v>
          </cell>
          <cell r="DH1954">
            <v>18.362277992096409</v>
          </cell>
          <cell r="DI1954">
            <v>14.300000632844487</v>
          </cell>
          <cell r="DJ1954">
            <v>22.424555351348332</v>
          </cell>
          <cell r="DU1954">
            <v>10.057250857289288</v>
          </cell>
          <cell r="DV1954">
            <v>11.644336226312735</v>
          </cell>
          <cell r="DW1954">
            <v>9.8476005987137558</v>
          </cell>
          <cell r="DX1954">
            <v>7.1073990168282446</v>
          </cell>
          <cell r="DY1954">
            <v>12.587802180599267</v>
          </cell>
        </row>
        <row r="1955">
          <cell r="A1955">
            <v>42200</v>
          </cell>
          <cell r="DF1955">
            <v>18.911379037334044</v>
          </cell>
          <cell r="DG1955">
            <v>21.679348620667902</v>
          </cell>
          <cell r="DH1955">
            <v>18.362277992096409</v>
          </cell>
          <cell r="DI1955">
            <v>14.300000632844487</v>
          </cell>
          <cell r="DJ1955">
            <v>22.424555351348332</v>
          </cell>
          <cell r="DU1955">
            <v>9.402587590035381</v>
          </cell>
          <cell r="DV1955">
            <v>11.644336226312735</v>
          </cell>
          <cell r="DW1955">
            <v>9.8476005987137558</v>
          </cell>
          <cell r="DX1955">
            <v>7.1073990168282446</v>
          </cell>
          <cell r="DY1955">
            <v>12.587802180599267</v>
          </cell>
        </row>
        <row r="1956">
          <cell r="A1956">
            <v>42201</v>
          </cell>
          <cell r="DF1956">
            <v>19.847955957649347</v>
          </cell>
          <cell r="DG1956">
            <v>21.679348620667902</v>
          </cell>
          <cell r="DH1956">
            <v>18.362277992096409</v>
          </cell>
          <cell r="DI1956">
            <v>14.300000632844487</v>
          </cell>
          <cell r="DJ1956">
            <v>22.424555351348332</v>
          </cell>
          <cell r="DU1956">
            <v>9.9032135174721709</v>
          </cell>
          <cell r="DV1956">
            <v>11.644336226312735</v>
          </cell>
          <cell r="DW1956">
            <v>9.8476005987137558</v>
          </cell>
          <cell r="DX1956">
            <v>7.1073990168282446</v>
          </cell>
          <cell r="DY1956">
            <v>12.587802180599267</v>
          </cell>
        </row>
        <row r="1957">
          <cell r="A1957">
            <v>42202</v>
          </cell>
          <cell r="DF1957">
            <v>20.666676566231754</v>
          </cell>
          <cell r="DG1957">
            <v>21.679348620667902</v>
          </cell>
          <cell r="DH1957">
            <v>18.362277992096409</v>
          </cell>
          <cell r="DI1957">
            <v>14.300000632844487</v>
          </cell>
          <cell r="DJ1957">
            <v>22.424555351348332</v>
          </cell>
          <cell r="DU1957">
            <v>10.339657193242289</v>
          </cell>
          <cell r="DV1957">
            <v>11.644336226312735</v>
          </cell>
          <cell r="DW1957">
            <v>9.8476005987137558</v>
          </cell>
          <cell r="DX1957">
            <v>7.1073990168282446</v>
          </cell>
          <cell r="DY1957">
            <v>12.587802180599267</v>
          </cell>
        </row>
        <row r="1958">
          <cell r="A1958">
            <v>42205</v>
          </cell>
          <cell r="DF1958">
            <v>21.34694008189437</v>
          </cell>
          <cell r="DG1958">
            <v>21.679348620667902</v>
          </cell>
          <cell r="DH1958">
            <v>18.362277992096409</v>
          </cell>
          <cell r="DI1958">
            <v>14.300000632844487</v>
          </cell>
          <cell r="DJ1958">
            <v>22.424555351348332</v>
          </cell>
          <cell r="DU1958">
            <v>10.702292146064798</v>
          </cell>
          <cell r="DV1958">
            <v>11.644336226312735</v>
          </cell>
          <cell r="DW1958">
            <v>9.8476005987137558</v>
          </cell>
          <cell r="DX1958">
            <v>7.1073990168282446</v>
          </cell>
          <cell r="DY1958">
            <v>12.587802180599267</v>
          </cell>
        </row>
        <row r="1959">
          <cell r="A1959">
            <v>42206</v>
          </cell>
          <cell r="DF1959">
            <v>21.860181818184138</v>
          </cell>
          <cell r="DG1959">
            <v>21.679348620667902</v>
          </cell>
          <cell r="DH1959">
            <v>18.362277992096409</v>
          </cell>
          <cell r="DI1959">
            <v>14.300000632844487</v>
          </cell>
          <cell r="DJ1959">
            <v>22.424555351348332</v>
          </cell>
          <cell r="DU1959">
            <v>11.013626205623558</v>
          </cell>
          <cell r="DV1959">
            <v>11.644336226312735</v>
          </cell>
          <cell r="DW1959">
            <v>9.8476005987137558</v>
          </cell>
          <cell r="DX1959">
            <v>7.1073990168282446</v>
          </cell>
          <cell r="DY1959">
            <v>12.587802180599267</v>
          </cell>
        </row>
        <row r="1960">
          <cell r="A1960">
            <v>42207</v>
          </cell>
          <cell r="DF1960">
            <v>22.538252625264917</v>
          </cell>
          <cell r="DG1960">
            <v>21.679348620667902</v>
          </cell>
          <cell r="DH1960">
            <v>18.362277992096409</v>
          </cell>
          <cell r="DI1960">
            <v>14.300000632844487</v>
          </cell>
          <cell r="DJ1960">
            <v>22.424555351348332</v>
          </cell>
          <cell r="DU1960">
            <v>11.37626285476694</v>
          </cell>
          <cell r="DV1960">
            <v>11.644336226312735</v>
          </cell>
          <cell r="DW1960">
            <v>9.8476005987137558</v>
          </cell>
          <cell r="DX1960">
            <v>7.1073990168282446</v>
          </cell>
          <cell r="DY1960">
            <v>12.587802180599267</v>
          </cell>
        </row>
        <row r="1961">
          <cell r="A1961">
            <v>42208</v>
          </cell>
          <cell r="DF1961">
            <v>21.773351552057029</v>
          </cell>
          <cell r="DG1961">
            <v>21.679348620667902</v>
          </cell>
          <cell r="DH1961">
            <v>18.362277992096409</v>
          </cell>
          <cell r="DI1961">
            <v>14.300000632844487</v>
          </cell>
          <cell r="DJ1961">
            <v>22.424555351348332</v>
          </cell>
          <cell r="DU1961">
            <v>11.03071120605285</v>
          </cell>
          <cell r="DV1961">
            <v>11.644336226312735</v>
          </cell>
          <cell r="DW1961">
            <v>9.8476005987137558</v>
          </cell>
          <cell r="DX1961">
            <v>7.1073990168282446</v>
          </cell>
          <cell r="DY1961">
            <v>12.587802180599267</v>
          </cell>
        </row>
        <row r="1962">
          <cell r="A1962">
            <v>42209</v>
          </cell>
          <cell r="DF1962">
            <v>23.062532600623793</v>
          </cell>
          <cell r="DG1962">
            <v>21.679348620667902</v>
          </cell>
          <cell r="DH1962">
            <v>18.362277992096409</v>
          </cell>
          <cell r="DI1962">
            <v>14.300000632844487</v>
          </cell>
          <cell r="DJ1962">
            <v>22.424555351348332</v>
          </cell>
          <cell r="DU1962">
            <v>11.723741032548919</v>
          </cell>
          <cell r="DV1962">
            <v>11.644336226312735</v>
          </cell>
          <cell r="DW1962">
            <v>9.8476005987137558</v>
          </cell>
          <cell r="DX1962">
            <v>7.1073990168282446</v>
          </cell>
          <cell r="DY1962">
            <v>12.587802180599267</v>
          </cell>
        </row>
        <row r="1963">
          <cell r="A1963">
            <v>42212</v>
          </cell>
          <cell r="DF1963">
            <v>22.575375018565275</v>
          </cell>
          <cell r="DG1963">
            <v>21.679348620667902</v>
          </cell>
          <cell r="DH1963">
            <v>18.362277992096409</v>
          </cell>
          <cell r="DI1963">
            <v>14.300000632844487</v>
          </cell>
          <cell r="DJ1963">
            <v>22.424555351348332</v>
          </cell>
          <cell r="DU1963">
            <v>11.461857928584894</v>
          </cell>
          <cell r="DV1963">
            <v>11.644336226312735</v>
          </cell>
          <cell r="DW1963">
            <v>9.8476005987137558</v>
          </cell>
          <cell r="DX1963">
            <v>7.1073990168282446</v>
          </cell>
          <cell r="DY1963">
            <v>12.587802180599267</v>
          </cell>
        </row>
        <row r="1964">
          <cell r="A1964">
            <v>42213</v>
          </cell>
          <cell r="DF1964">
            <v>22.789247586514179</v>
          </cell>
          <cell r="DG1964">
            <v>21.679348620667902</v>
          </cell>
          <cell r="DH1964">
            <v>18.362277992096409</v>
          </cell>
          <cell r="DI1964">
            <v>14.300000632844487</v>
          </cell>
          <cell r="DJ1964">
            <v>22.424555351348332</v>
          </cell>
          <cell r="DU1964">
            <v>11.576825405809011</v>
          </cell>
          <cell r="DV1964">
            <v>11.644336226312735</v>
          </cell>
          <cell r="DW1964">
            <v>9.8476005987137558</v>
          </cell>
          <cell r="DX1964">
            <v>7.1073990168282446</v>
          </cell>
          <cell r="DY1964">
            <v>12.587802180599267</v>
          </cell>
        </row>
        <row r="1965">
          <cell r="A1965">
            <v>42214</v>
          </cell>
          <cell r="DF1965">
            <v>22.789247586514179</v>
          </cell>
          <cell r="DG1965">
            <v>21.679348620667902</v>
          </cell>
          <cell r="DH1965">
            <v>18.362277992096409</v>
          </cell>
          <cell r="DI1965">
            <v>14.300000632844487</v>
          </cell>
          <cell r="DJ1965">
            <v>22.424555351348332</v>
          </cell>
          <cell r="DU1965">
            <v>11.576830196306858</v>
          </cell>
          <cell r="DV1965">
            <v>11.644336226312735</v>
          </cell>
          <cell r="DW1965">
            <v>9.8476005987137558</v>
          </cell>
          <cell r="DX1965">
            <v>7.1073990168282446</v>
          </cell>
          <cell r="DY1965">
            <v>12.587802180599267</v>
          </cell>
        </row>
        <row r="1966">
          <cell r="A1966">
            <v>42215</v>
          </cell>
          <cell r="DF1966">
            <v>23.03282637754344</v>
          </cell>
          <cell r="DG1966">
            <v>21.679348620667902</v>
          </cell>
          <cell r="DH1966">
            <v>18.362277992096409</v>
          </cell>
          <cell r="DI1966">
            <v>14.300000632844487</v>
          </cell>
          <cell r="DJ1966">
            <v>22.424555351348332</v>
          </cell>
          <cell r="DU1966">
            <v>11.707771748288872</v>
          </cell>
          <cell r="DV1966">
            <v>11.644336226312735</v>
          </cell>
          <cell r="DW1966">
            <v>9.8476005987137558</v>
          </cell>
          <cell r="DX1966">
            <v>7.1073990168282446</v>
          </cell>
          <cell r="DY1966">
            <v>12.587802180599267</v>
          </cell>
        </row>
        <row r="1967">
          <cell r="A1967">
            <v>42216</v>
          </cell>
          <cell r="DF1967">
            <v>22.878357344422991</v>
          </cell>
          <cell r="DG1967">
            <v>21.679348620667902</v>
          </cell>
          <cell r="DH1967">
            <v>18.362277992096409</v>
          </cell>
          <cell r="DI1967">
            <v>14.300000632844487</v>
          </cell>
          <cell r="DJ1967">
            <v>22.424555351348332</v>
          </cell>
          <cell r="DU1967">
            <v>11.624733258589156</v>
          </cell>
          <cell r="DV1967">
            <v>11.644336226312735</v>
          </cell>
          <cell r="DW1967">
            <v>9.8476005987137558</v>
          </cell>
          <cell r="DX1967">
            <v>7.1073990168282446</v>
          </cell>
          <cell r="DY1967">
            <v>12.587802180599267</v>
          </cell>
        </row>
        <row r="1968">
          <cell r="A1968">
            <v>42219</v>
          </cell>
          <cell r="DF1968">
            <v>22.807069656913708</v>
          </cell>
          <cell r="DG1968">
            <v>21.679348620667902</v>
          </cell>
          <cell r="DH1968">
            <v>18.362277992096409</v>
          </cell>
          <cell r="DI1968">
            <v>14.300000632844487</v>
          </cell>
          <cell r="DJ1968">
            <v>22.424555351348332</v>
          </cell>
          <cell r="DU1968">
            <v>11.586410872636623</v>
          </cell>
          <cell r="DV1968">
            <v>11.644336226312735</v>
          </cell>
          <cell r="DW1968">
            <v>9.8476005987137558</v>
          </cell>
          <cell r="DX1968">
            <v>7.1073990168282446</v>
          </cell>
          <cell r="DY1968">
            <v>12.587802180599267</v>
          </cell>
        </row>
        <row r="1969">
          <cell r="A1969">
            <v>42220</v>
          </cell>
          <cell r="DF1969">
            <v>22.848660032674882</v>
          </cell>
          <cell r="DG1969">
            <v>21.679348620667902</v>
          </cell>
          <cell r="DH1969">
            <v>18.362277992096409</v>
          </cell>
          <cell r="DI1969">
            <v>14.300000632844487</v>
          </cell>
          <cell r="DJ1969">
            <v>22.424555351348332</v>
          </cell>
          <cell r="DU1969">
            <v>11.608763974329104</v>
          </cell>
          <cell r="DV1969">
            <v>11.644336226312735</v>
          </cell>
          <cell r="DW1969">
            <v>9.8476005987137558</v>
          </cell>
          <cell r="DX1969">
            <v>7.1073990168282446</v>
          </cell>
          <cell r="DY1969">
            <v>12.587802180599267</v>
          </cell>
        </row>
        <row r="1970">
          <cell r="A1970">
            <v>42221</v>
          </cell>
          <cell r="DF1970">
            <v>23.314496307202738</v>
          </cell>
          <cell r="DG1970">
            <v>21.679348620667902</v>
          </cell>
          <cell r="DH1970">
            <v>18.362277992096409</v>
          </cell>
          <cell r="DI1970">
            <v>14.300000632844487</v>
          </cell>
          <cell r="DJ1970">
            <v>22.424555351348332</v>
          </cell>
          <cell r="DU1970">
            <v>11.867455009893652</v>
          </cell>
          <cell r="DV1970">
            <v>11.644336226312735</v>
          </cell>
          <cell r="DW1970">
            <v>9.8476005987137558</v>
          </cell>
          <cell r="DX1970">
            <v>7.1073990168282446</v>
          </cell>
          <cell r="DY1970">
            <v>12.587802180599267</v>
          </cell>
        </row>
        <row r="1971">
          <cell r="A1971">
            <v>42222</v>
          </cell>
          <cell r="DF1971">
            <v>24.061952885810534</v>
          </cell>
          <cell r="DG1971">
            <v>21.679348620667902</v>
          </cell>
          <cell r="DH1971">
            <v>18.362277992096409</v>
          </cell>
          <cell r="DI1971">
            <v>14.300000632844487</v>
          </cell>
          <cell r="DJ1971">
            <v>22.424555351348332</v>
          </cell>
          <cell r="DU1971">
            <v>12.230247492148003</v>
          </cell>
          <cell r="DV1971">
            <v>11.644336226312735</v>
          </cell>
          <cell r="DW1971">
            <v>9.8476005987137558</v>
          </cell>
          <cell r="DX1971">
            <v>7.1073990168282446</v>
          </cell>
          <cell r="DY1971">
            <v>12.587802180599267</v>
          </cell>
        </row>
        <row r="1972">
          <cell r="A1972">
            <v>42223</v>
          </cell>
          <cell r="DF1972">
            <v>24.205130549450551</v>
          </cell>
          <cell r="DG1972">
            <v>21.679348620667902</v>
          </cell>
          <cell r="DH1972">
            <v>18.362277992096409</v>
          </cell>
          <cell r="DI1972">
            <v>14.300000632844487</v>
          </cell>
          <cell r="DJ1972">
            <v>22.424555351348332</v>
          </cell>
          <cell r="DU1972">
            <v>12.311380936361104</v>
          </cell>
          <cell r="DV1972">
            <v>11.644336226312735</v>
          </cell>
          <cell r="DW1972">
            <v>9.8476005987137558</v>
          </cell>
          <cell r="DX1972">
            <v>7.1073990168282446</v>
          </cell>
          <cell r="DY1972">
            <v>12.587802180599267</v>
          </cell>
        </row>
        <row r="1973">
          <cell r="A1973">
            <v>42226</v>
          </cell>
          <cell r="DF1973">
            <v>24.257875457875457</v>
          </cell>
          <cell r="DG1973">
            <v>21.679348620667902</v>
          </cell>
          <cell r="DH1973">
            <v>18.362277992096409</v>
          </cell>
          <cell r="DI1973">
            <v>14.300000632844487</v>
          </cell>
          <cell r="DJ1973">
            <v>22.424555351348332</v>
          </cell>
          <cell r="DU1973">
            <v>12.340741103170661</v>
          </cell>
          <cell r="DV1973">
            <v>11.644336226312735</v>
          </cell>
          <cell r="DW1973">
            <v>9.8476005987137558</v>
          </cell>
          <cell r="DX1973">
            <v>7.1073990168282446</v>
          </cell>
          <cell r="DY1973">
            <v>12.587802180599267</v>
          </cell>
        </row>
        <row r="1974">
          <cell r="A1974">
            <v>42227</v>
          </cell>
          <cell r="DF1974">
            <v>23.302561172161173</v>
          </cell>
          <cell r="DG1974">
            <v>21.679348620667902</v>
          </cell>
          <cell r="DH1974">
            <v>18.362277992096409</v>
          </cell>
          <cell r="DI1974">
            <v>14.300000632844487</v>
          </cell>
          <cell r="DJ1974">
            <v>22.424555351348332</v>
          </cell>
          <cell r="DU1974">
            <v>11.828628043758632</v>
          </cell>
          <cell r="DV1974">
            <v>11.644336226312735</v>
          </cell>
          <cell r="DW1974">
            <v>9.8476005987137558</v>
          </cell>
          <cell r="DX1974">
            <v>7.1073990168282446</v>
          </cell>
          <cell r="DY1974">
            <v>12.587802180599267</v>
          </cell>
        </row>
        <row r="1975">
          <cell r="A1975">
            <v>42228</v>
          </cell>
          <cell r="DF1975">
            <v>23.437366153846153</v>
          </cell>
          <cell r="DG1975">
            <v>21.679348620667902</v>
          </cell>
          <cell r="DH1975">
            <v>18.362277992096409</v>
          </cell>
          <cell r="DI1975">
            <v>14.300000632844487</v>
          </cell>
          <cell r="DJ1975">
            <v>22.424555351348332</v>
          </cell>
          <cell r="DU1975">
            <v>11.89509111644433</v>
          </cell>
          <cell r="DV1975">
            <v>11.644336226312735</v>
          </cell>
          <cell r="DW1975">
            <v>9.8476005987137558</v>
          </cell>
          <cell r="DX1975">
            <v>7.1073990168282446</v>
          </cell>
          <cell r="DY1975">
            <v>12.587802180599267</v>
          </cell>
        </row>
        <row r="1976">
          <cell r="A1976">
            <v>42229</v>
          </cell>
          <cell r="DF1976">
            <v>23.126744029304028</v>
          </cell>
          <cell r="DG1976">
            <v>21.679348620667902</v>
          </cell>
          <cell r="DH1976">
            <v>18.362277992096409</v>
          </cell>
          <cell r="DI1976">
            <v>14.300000632844487</v>
          </cell>
          <cell r="DJ1976">
            <v>22.424555351348332</v>
          </cell>
          <cell r="DU1976">
            <v>11.728653115163411</v>
          </cell>
          <cell r="DV1976">
            <v>11.644336226312735</v>
          </cell>
          <cell r="DW1976">
            <v>9.8476005987137558</v>
          </cell>
          <cell r="DX1976">
            <v>7.1073990168282446</v>
          </cell>
          <cell r="DY1976">
            <v>12.587802180599267</v>
          </cell>
        </row>
        <row r="1977">
          <cell r="A1977">
            <v>42230</v>
          </cell>
          <cell r="DF1977">
            <v>23.402193699633703</v>
          </cell>
          <cell r="DG1977">
            <v>21.679348620667902</v>
          </cell>
          <cell r="DH1977">
            <v>18.362277992096409</v>
          </cell>
          <cell r="DI1977">
            <v>14.300000632844487</v>
          </cell>
          <cell r="DJ1977">
            <v>22.424555351348332</v>
          </cell>
          <cell r="DU1977">
            <v>11.87624549393083</v>
          </cell>
          <cell r="DV1977">
            <v>11.644336226312735</v>
          </cell>
          <cell r="DW1977">
            <v>9.8476005987137558</v>
          </cell>
          <cell r="DX1977">
            <v>7.1073990168282446</v>
          </cell>
          <cell r="DY1977">
            <v>12.587802180599267</v>
          </cell>
        </row>
        <row r="1978">
          <cell r="A1978">
            <v>42233</v>
          </cell>
          <cell r="DF1978">
            <v>23.20879531135531</v>
          </cell>
          <cell r="DG1978">
            <v>21.679348620667902</v>
          </cell>
          <cell r="DH1978">
            <v>18.362277992096409</v>
          </cell>
          <cell r="DI1978">
            <v>14.300000632844487</v>
          </cell>
          <cell r="DJ1978">
            <v>22.424555351348332</v>
          </cell>
          <cell r="DU1978">
            <v>11.772621419301316</v>
          </cell>
          <cell r="DV1978">
            <v>11.644336226312735</v>
          </cell>
          <cell r="DW1978">
            <v>9.8476005987137558</v>
          </cell>
          <cell r="DX1978">
            <v>7.1073990168282446</v>
          </cell>
          <cell r="DY1978">
            <v>12.587802180599267</v>
          </cell>
        </row>
        <row r="1979">
          <cell r="A1979">
            <v>42234</v>
          </cell>
          <cell r="DF1979">
            <v>22.552378608058607</v>
          </cell>
          <cell r="DG1979">
            <v>21.679348620667902</v>
          </cell>
          <cell r="DH1979">
            <v>18.362277992096409</v>
          </cell>
          <cell r="DI1979">
            <v>14.300000632844487</v>
          </cell>
          <cell r="DJ1979">
            <v>22.424555351348332</v>
          </cell>
          <cell r="DU1979">
            <v>11.420909214996065</v>
          </cell>
          <cell r="DV1979">
            <v>11.644336226312735</v>
          </cell>
          <cell r="DW1979">
            <v>9.8476005987137558</v>
          </cell>
          <cell r="DX1979">
            <v>7.1073990168282446</v>
          </cell>
          <cell r="DY1979">
            <v>12.587802180599267</v>
          </cell>
        </row>
        <row r="1980">
          <cell r="A1980">
            <v>42235</v>
          </cell>
          <cell r="DF1980">
            <v>21.767032967032968</v>
          </cell>
          <cell r="DG1980">
            <v>21.679348620667902</v>
          </cell>
          <cell r="DH1980">
            <v>18.362277992096409</v>
          </cell>
          <cell r="DI1980">
            <v>14.300000632844487</v>
          </cell>
          <cell r="DJ1980">
            <v>22.424555351348332</v>
          </cell>
          <cell r="DU1980">
            <v>11.000116073749931</v>
          </cell>
          <cell r="DV1980">
            <v>11.644336226312735</v>
          </cell>
          <cell r="DW1980">
            <v>9.8476005987137558</v>
          </cell>
          <cell r="DX1980">
            <v>7.1073990168282446</v>
          </cell>
          <cell r="DY1980">
            <v>12.587802180599267</v>
          </cell>
        </row>
        <row r="1981">
          <cell r="A1981">
            <v>42236</v>
          </cell>
          <cell r="DF1981">
            <v>21.591207032967031</v>
          </cell>
          <cell r="DG1981">
            <v>21.679348620667902</v>
          </cell>
          <cell r="DH1981">
            <v>18.362277992096409</v>
          </cell>
          <cell r="DI1981">
            <v>14.300000632844487</v>
          </cell>
          <cell r="DJ1981">
            <v>22.424555351348332</v>
          </cell>
          <cell r="DU1981">
            <v>10.905907430773935</v>
          </cell>
          <cell r="DV1981">
            <v>11.644336226312735</v>
          </cell>
          <cell r="DW1981">
            <v>9.8476005987137558</v>
          </cell>
          <cell r="DX1981">
            <v>7.1073990168282446</v>
          </cell>
          <cell r="DY1981">
            <v>12.587802180599267</v>
          </cell>
        </row>
        <row r="1982">
          <cell r="A1982">
            <v>42237</v>
          </cell>
          <cell r="DF1982">
            <v>21.966298021978023</v>
          </cell>
          <cell r="DG1982">
            <v>21.679348620667902</v>
          </cell>
          <cell r="DH1982">
            <v>18.362277992096409</v>
          </cell>
          <cell r="DI1982">
            <v>14.300000632844487</v>
          </cell>
          <cell r="DJ1982">
            <v>22.424555351348332</v>
          </cell>
          <cell r="DU1982">
            <v>11.106883545332773</v>
          </cell>
          <cell r="DV1982">
            <v>11.644336226312735</v>
          </cell>
          <cell r="DW1982">
            <v>9.8476005987137558</v>
          </cell>
          <cell r="DX1982">
            <v>7.1073990168282446</v>
          </cell>
          <cell r="DY1982">
            <v>12.587802180599267</v>
          </cell>
        </row>
        <row r="1983">
          <cell r="A1983">
            <v>42240</v>
          </cell>
          <cell r="DF1983">
            <v>21.758564132329514</v>
          </cell>
          <cell r="DG1983">
            <v>21.679348620667902</v>
          </cell>
          <cell r="DH1983">
            <v>18.362277992096409</v>
          </cell>
          <cell r="DI1983">
            <v>14.300000632844487</v>
          </cell>
          <cell r="DJ1983">
            <v>22.424555351348332</v>
          </cell>
          <cell r="DU1983">
            <v>11.04780964516922</v>
          </cell>
          <cell r="DV1983">
            <v>11.644336226312735</v>
          </cell>
          <cell r="DW1983">
            <v>9.8476005987137558</v>
          </cell>
          <cell r="DX1983">
            <v>7.1073990168282446</v>
          </cell>
          <cell r="DY1983">
            <v>12.587802180599267</v>
          </cell>
        </row>
        <row r="1984">
          <cell r="A1984">
            <v>42241</v>
          </cell>
          <cell r="DF1984">
            <v>21.921070806734637</v>
          </cell>
          <cell r="DG1984">
            <v>21.679348620667902</v>
          </cell>
          <cell r="DH1984">
            <v>18.362277992096409</v>
          </cell>
          <cell r="DI1984">
            <v>14.300000632844487</v>
          </cell>
          <cell r="DJ1984">
            <v>22.424555351348332</v>
          </cell>
          <cell r="DU1984">
            <v>11.186803334868667</v>
          </cell>
          <cell r="DV1984">
            <v>11.644336226312735</v>
          </cell>
          <cell r="DW1984">
            <v>9.8476005987137558</v>
          </cell>
          <cell r="DX1984">
            <v>7.1073990168282446</v>
          </cell>
          <cell r="DY1984">
            <v>12.587802180599267</v>
          </cell>
        </row>
        <row r="1985">
          <cell r="A1985">
            <v>42242</v>
          </cell>
          <cell r="DF1985">
            <v>22.350548461987149</v>
          </cell>
          <cell r="DG1985">
            <v>21.679348620667902</v>
          </cell>
          <cell r="DH1985">
            <v>18.362277992096409</v>
          </cell>
          <cell r="DI1985">
            <v>14.300000632844487</v>
          </cell>
          <cell r="DJ1985">
            <v>22.424555351348332</v>
          </cell>
          <cell r="DU1985">
            <v>11.418952602795718</v>
          </cell>
          <cell r="DV1985">
            <v>11.644336226312735</v>
          </cell>
          <cell r="DW1985">
            <v>9.8476005987137558</v>
          </cell>
          <cell r="DX1985">
            <v>7.1073990168282446</v>
          </cell>
          <cell r="DY1985">
            <v>12.587802180599267</v>
          </cell>
        </row>
        <row r="1986">
          <cell r="A1986">
            <v>42243</v>
          </cell>
          <cell r="DF1986">
            <v>22.6871717933859</v>
          </cell>
          <cell r="DG1986">
            <v>21.679348620667902</v>
          </cell>
          <cell r="DH1986">
            <v>18.362277992096409</v>
          </cell>
          <cell r="DI1986">
            <v>14.300000632844487</v>
          </cell>
          <cell r="DJ1986">
            <v>22.424555351348332</v>
          </cell>
          <cell r="DU1986">
            <v>11.600906832424196</v>
          </cell>
          <cell r="DV1986">
            <v>11.644336226312735</v>
          </cell>
          <cell r="DW1986">
            <v>9.8476005987137558</v>
          </cell>
          <cell r="DX1986">
            <v>7.1073990168282446</v>
          </cell>
          <cell r="DY1986">
            <v>12.587802180599267</v>
          </cell>
        </row>
        <row r="1987">
          <cell r="A1987">
            <v>42244</v>
          </cell>
          <cell r="DF1987">
            <v>23.488121300798905</v>
          </cell>
          <cell r="DG1987">
            <v>21.679348620667902</v>
          </cell>
          <cell r="DH1987">
            <v>18.362277992096409</v>
          </cell>
          <cell r="DI1987">
            <v>14.300000632844487</v>
          </cell>
          <cell r="DJ1987">
            <v>22.424555351348332</v>
          </cell>
          <cell r="DU1987">
            <v>11.961679729174239</v>
          </cell>
          <cell r="DV1987">
            <v>11.644336226312735</v>
          </cell>
          <cell r="DW1987">
            <v>9.8476005987137558</v>
          </cell>
          <cell r="DX1987">
            <v>7.1073990168282446</v>
          </cell>
          <cell r="DY1987">
            <v>12.587802180599267</v>
          </cell>
        </row>
        <row r="1988">
          <cell r="A1988">
            <v>42247</v>
          </cell>
          <cell r="DF1988">
            <v>22.986138080249475</v>
          </cell>
          <cell r="DG1988">
            <v>21.679348620667902</v>
          </cell>
          <cell r="DH1988">
            <v>18.362277992096409</v>
          </cell>
          <cell r="DI1988">
            <v>14.300000632844487</v>
          </cell>
          <cell r="DJ1988">
            <v>22.424555351348332</v>
          </cell>
          <cell r="DU1988">
            <v>11.691886143230185</v>
          </cell>
          <cell r="DV1988">
            <v>11.644336226312735</v>
          </cell>
          <cell r="DW1988">
            <v>9.8476005987137558</v>
          </cell>
          <cell r="DX1988">
            <v>7.1073990168282446</v>
          </cell>
          <cell r="DY1988">
            <v>12.587802180599267</v>
          </cell>
        </row>
        <row r="1989">
          <cell r="A1989">
            <v>42248</v>
          </cell>
          <cell r="DF1989">
            <v>22.875233772148864</v>
          </cell>
          <cell r="DG1989">
            <v>21.679348620667902</v>
          </cell>
          <cell r="DH1989">
            <v>18.362277992096409</v>
          </cell>
          <cell r="DI1989">
            <v>14.300000632844487</v>
          </cell>
          <cell r="DJ1989">
            <v>22.424555351348332</v>
          </cell>
          <cell r="DU1989">
            <v>11.632280025427367</v>
          </cell>
          <cell r="DV1989">
            <v>11.644336226312735</v>
          </cell>
          <cell r="DW1989">
            <v>9.8476005987137558</v>
          </cell>
          <cell r="DX1989">
            <v>7.1073990168282446</v>
          </cell>
          <cell r="DY1989">
            <v>12.587802180599267</v>
          </cell>
        </row>
        <row r="1990">
          <cell r="A1990">
            <v>42249</v>
          </cell>
          <cell r="DF1990">
            <v>22.618403695217083</v>
          </cell>
          <cell r="DG1990">
            <v>21.679348620667902</v>
          </cell>
          <cell r="DH1990">
            <v>18.362277992096409</v>
          </cell>
          <cell r="DI1990">
            <v>14.300000632844487</v>
          </cell>
          <cell r="DJ1990">
            <v>22.424555351348332</v>
          </cell>
          <cell r="DU1990">
            <v>11.49424531710012</v>
          </cell>
          <cell r="DV1990">
            <v>11.644336226312735</v>
          </cell>
          <cell r="DW1990">
            <v>9.8476005987137558</v>
          </cell>
          <cell r="DX1990">
            <v>7.1073990168282446</v>
          </cell>
          <cell r="DY1990">
            <v>12.587802180599267</v>
          </cell>
        </row>
        <row r="1991">
          <cell r="A1991">
            <v>42250</v>
          </cell>
          <cell r="DF1991">
            <v>22.075566676137797</v>
          </cell>
          <cell r="DG1991">
            <v>21.679348620667902</v>
          </cell>
          <cell r="DH1991">
            <v>18.362277992096409</v>
          </cell>
          <cell r="DI1991">
            <v>14.300000632844487</v>
          </cell>
          <cell r="DJ1991">
            <v>22.424555351348332</v>
          </cell>
          <cell r="DU1991">
            <v>11.202489931370252</v>
          </cell>
          <cell r="DV1991">
            <v>11.644336226312735</v>
          </cell>
          <cell r="DW1991">
            <v>9.8476005987137558</v>
          </cell>
          <cell r="DX1991">
            <v>7.1073990168282446</v>
          </cell>
          <cell r="DY1991">
            <v>12.587802180599267</v>
          </cell>
        </row>
        <row r="1992">
          <cell r="A1992">
            <v>42251</v>
          </cell>
          <cell r="DF1992">
            <v>22.396344364417267</v>
          </cell>
          <cell r="DG1992">
            <v>21.679348620667902</v>
          </cell>
          <cell r="DH1992">
            <v>18.362277992096409</v>
          </cell>
          <cell r="DI1992">
            <v>14.300000632844487</v>
          </cell>
          <cell r="DJ1992">
            <v>22.424555351348332</v>
          </cell>
          <cell r="DU1992">
            <v>11.373715482504753</v>
          </cell>
          <cell r="DV1992">
            <v>11.644336226312735</v>
          </cell>
          <cell r="DW1992">
            <v>9.8476005987137558</v>
          </cell>
          <cell r="DX1992">
            <v>7.1073990168282446</v>
          </cell>
          <cell r="DY1992">
            <v>12.587802180599267</v>
          </cell>
        </row>
        <row r="1993">
          <cell r="A1993">
            <v>42254</v>
          </cell>
          <cell r="DF1993">
            <v>22.83893480596964</v>
          </cell>
          <cell r="DG1993">
            <v>21.679348620667902</v>
          </cell>
          <cell r="DH1993">
            <v>18.362277992096409</v>
          </cell>
          <cell r="DI1993">
            <v>14.300000632844487</v>
          </cell>
          <cell r="DJ1993">
            <v>22.424555351348332</v>
          </cell>
          <cell r="DU1993">
            <v>11.612244564969235</v>
          </cell>
          <cell r="DV1993">
            <v>11.644336226312735</v>
          </cell>
          <cell r="DW1993">
            <v>9.8476005987137558</v>
          </cell>
          <cell r="DX1993">
            <v>7.1073990168282446</v>
          </cell>
          <cell r="DY1993">
            <v>12.587802180599267</v>
          </cell>
        </row>
        <row r="1994">
          <cell r="A1994">
            <v>42255</v>
          </cell>
          <cell r="DF1994">
            <v>22.907924242426535</v>
          </cell>
          <cell r="DG1994">
            <v>21.679348620667902</v>
          </cell>
          <cell r="DH1994">
            <v>18.362277992096409</v>
          </cell>
          <cell r="DI1994">
            <v>14.300000632844487</v>
          </cell>
          <cell r="DJ1994">
            <v>22.424555351348332</v>
          </cell>
          <cell r="DU1994">
            <v>11.669124192526638</v>
          </cell>
          <cell r="DV1994">
            <v>11.644336226312735</v>
          </cell>
          <cell r="DW1994">
            <v>9.8476005987137558</v>
          </cell>
          <cell r="DX1994">
            <v>7.1073990168282446</v>
          </cell>
          <cell r="DY1994">
            <v>12.587802180599267</v>
          </cell>
        </row>
        <row r="1995">
          <cell r="A1995">
            <v>42256</v>
          </cell>
          <cell r="DF1995">
            <v>23.362469114221451</v>
          </cell>
          <cell r="DG1995">
            <v>21.679348620667902</v>
          </cell>
          <cell r="DH1995">
            <v>18.362277992096409</v>
          </cell>
          <cell r="DI1995">
            <v>14.300000632844487</v>
          </cell>
          <cell r="DJ1995">
            <v>22.424555351348332</v>
          </cell>
          <cell r="DU1995">
            <v>11.888236147056773</v>
          </cell>
          <cell r="DV1995">
            <v>11.644336226312735</v>
          </cell>
          <cell r="DW1995">
            <v>9.8476005987137558</v>
          </cell>
          <cell r="DX1995">
            <v>7.1073990168282446</v>
          </cell>
          <cell r="DY1995">
            <v>12.587802180599267</v>
          </cell>
        </row>
        <row r="1996">
          <cell r="A1996">
            <v>42257</v>
          </cell>
          <cell r="DF1996">
            <v>23.892773892776283</v>
          </cell>
          <cell r="DG1996">
            <v>21.679348620667902</v>
          </cell>
          <cell r="DH1996">
            <v>18.362277992096409</v>
          </cell>
          <cell r="DI1996">
            <v>14.300000632844487</v>
          </cell>
          <cell r="DJ1996">
            <v>22.424555351348332</v>
          </cell>
          <cell r="DU1996">
            <v>12.173083847773048</v>
          </cell>
          <cell r="DV1996">
            <v>11.644336226312735</v>
          </cell>
          <cell r="DW1996">
            <v>9.8476005987137558</v>
          </cell>
          <cell r="DX1996">
            <v>7.1073990168282446</v>
          </cell>
          <cell r="DY1996">
            <v>12.587802180599267</v>
          </cell>
        </row>
        <row r="1997">
          <cell r="A1997">
            <v>42258</v>
          </cell>
          <cell r="DF1997">
            <v>23.723780303032676</v>
          </cell>
          <cell r="DG1997">
            <v>21.679348620667902</v>
          </cell>
          <cell r="DH1997">
            <v>18.362277992096409</v>
          </cell>
          <cell r="DI1997">
            <v>14.300000632844487</v>
          </cell>
          <cell r="DJ1997">
            <v>22.424555351348332</v>
          </cell>
          <cell r="DU1997">
            <v>12.082310697273746</v>
          </cell>
          <cell r="DV1997">
            <v>11.644336226312735</v>
          </cell>
          <cell r="DW1997">
            <v>9.8476005987137558</v>
          </cell>
          <cell r="DX1997">
            <v>7.1073990168282446</v>
          </cell>
          <cell r="DY1997">
            <v>12.587802180599267</v>
          </cell>
        </row>
        <row r="1998">
          <cell r="A1998">
            <v>42261</v>
          </cell>
          <cell r="DF1998">
            <v>24.149185897438311</v>
          </cell>
          <cell r="DG1998">
            <v>21.679348620667902</v>
          </cell>
          <cell r="DH1998">
            <v>18.362277992096409</v>
          </cell>
          <cell r="DI1998">
            <v>14.300000632844487</v>
          </cell>
          <cell r="DJ1998">
            <v>22.424555351348332</v>
          </cell>
          <cell r="DU1998">
            <v>12.310812891367695</v>
          </cell>
          <cell r="DV1998">
            <v>11.644336226312735</v>
          </cell>
          <cell r="DW1998">
            <v>9.8476005987137558</v>
          </cell>
          <cell r="DX1998">
            <v>7.1073990168282446</v>
          </cell>
          <cell r="DY1998">
            <v>12.587802180599267</v>
          </cell>
        </row>
        <row r="1999">
          <cell r="A1999">
            <v>42262</v>
          </cell>
          <cell r="DF1999">
            <v>24.1899737762262</v>
          </cell>
          <cell r="DG1999">
            <v>21.679348620667902</v>
          </cell>
          <cell r="DH1999">
            <v>18.362277992096409</v>
          </cell>
          <cell r="DI1999">
            <v>14.300000632844487</v>
          </cell>
          <cell r="DJ1999">
            <v>22.424555351348332</v>
          </cell>
          <cell r="DU1999">
            <v>12.332721676578885</v>
          </cell>
          <cell r="DV1999">
            <v>11.644336226312735</v>
          </cell>
          <cell r="DW1999">
            <v>9.8476005987137558</v>
          </cell>
          <cell r="DX1999">
            <v>7.1073990168282446</v>
          </cell>
          <cell r="DY1999">
            <v>12.587802180599267</v>
          </cell>
        </row>
        <row r="2000">
          <cell r="A2000">
            <v>42263</v>
          </cell>
          <cell r="DF2000">
            <v>24.289040209792642</v>
          </cell>
          <cell r="DG2000">
            <v>21.679348620667902</v>
          </cell>
          <cell r="DH2000">
            <v>18.362277992096409</v>
          </cell>
          <cell r="DI2000">
            <v>14.300000632844487</v>
          </cell>
          <cell r="DJ2000">
            <v>22.424555351348332</v>
          </cell>
          <cell r="DU2000">
            <v>12.385934181841355</v>
          </cell>
          <cell r="DV2000">
            <v>11.644336226312735</v>
          </cell>
          <cell r="DW2000">
            <v>9.8476005987137558</v>
          </cell>
          <cell r="DX2000">
            <v>7.1073990168282446</v>
          </cell>
          <cell r="DY2000">
            <v>12.587802180599267</v>
          </cell>
        </row>
        <row r="2001">
          <cell r="A2001">
            <v>42264</v>
          </cell>
          <cell r="DF2001">
            <v>24.347318764571199</v>
          </cell>
          <cell r="DG2001">
            <v>21.679348620667902</v>
          </cell>
          <cell r="DH2001">
            <v>18.362277992096409</v>
          </cell>
          <cell r="DI2001">
            <v>14.300000632844487</v>
          </cell>
          <cell r="DJ2001">
            <v>22.424555351348332</v>
          </cell>
          <cell r="DU2001">
            <v>12.417237901892639</v>
          </cell>
          <cell r="DV2001">
            <v>11.644336226312735</v>
          </cell>
          <cell r="DW2001">
            <v>9.8476005987137558</v>
          </cell>
          <cell r="DX2001">
            <v>7.1073990168282446</v>
          </cell>
          <cell r="DY2001">
            <v>12.587802180599267</v>
          </cell>
        </row>
        <row r="2002">
          <cell r="A2002">
            <v>42265</v>
          </cell>
          <cell r="DF2002">
            <v>25.023311771564273</v>
          </cell>
          <cell r="DG2002">
            <v>21.679348620667902</v>
          </cell>
          <cell r="DH2002">
            <v>18.362277992096409</v>
          </cell>
          <cell r="DI2002">
            <v>14.300000632844487</v>
          </cell>
          <cell r="DJ2002">
            <v>22.424555351348332</v>
          </cell>
          <cell r="DU2002">
            <v>12.780340520479259</v>
          </cell>
          <cell r="DV2002">
            <v>11.644336226312735</v>
          </cell>
          <cell r="DW2002">
            <v>9.8476005987137558</v>
          </cell>
          <cell r="DX2002">
            <v>7.1073990168282446</v>
          </cell>
          <cell r="DY2002">
            <v>12.587802180599267</v>
          </cell>
        </row>
        <row r="2003">
          <cell r="A2003">
            <v>42268</v>
          </cell>
          <cell r="DF2003">
            <v>23.980182983685381</v>
          </cell>
          <cell r="DG2003">
            <v>21.679348620667902</v>
          </cell>
          <cell r="DH2003">
            <v>18.362277992096409</v>
          </cell>
          <cell r="DI2003">
            <v>14.300000632844487</v>
          </cell>
          <cell r="DJ2003">
            <v>22.424555351348332</v>
          </cell>
          <cell r="DU2003">
            <v>12.220034732573689</v>
          </cell>
          <cell r="DV2003">
            <v>11.644336226312735</v>
          </cell>
          <cell r="DW2003">
            <v>9.8476005987137558</v>
          </cell>
          <cell r="DX2003">
            <v>7.1073990168282446</v>
          </cell>
          <cell r="DY2003">
            <v>12.587802180599267</v>
          </cell>
        </row>
        <row r="2004">
          <cell r="A2004">
            <v>42269</v>
          </cell>
          <cell r="DF2004">
            <v>23.525638694641049</v>
          </cell>
          <cell r="DG2004">
            <v>21.679348620667902</v>
          </cell>
          <cell r="DH2004">
            <v>18.362277992096409</v>
          </cell>
          <cell r="DI2004">
            <v>14.300000632844487</v>
          </cell>
          <cell r="DJ2004">
            <v>22.424555351348332</v>
          </cell>
          <cell r="DU2004">
            <v>12.220034732573689</v>
          </cell>
          <cell r="DV2004">
            <v>11.644336226312735</v>
          </cell>
          <cell r="DW2004">
            <v>9.8476005987137558</v>
          </cell>
          <cell r="DX2004">
            <v>7.1073990168282446</v>
          </cell>
          <cell r="DY2004">
            <v>12.587802180599267</v>
          </cell>
        </row>
        <row r="2005">
          <cell r="A2005">
            <v>42270</v>
          </cell>
          <cell r="DF2005">
            <v>24.132887089742415</v>
          </cell>
          <cell r="DG2005">
            <v>21.679348620667902</v>
          </cell>
          <cell r="DH2005">
            <v>18.362277992096409</v>
          </cell>
          <cell r="DI2005">
            <v>14.300000632844487</v>
          </cell>
          <cell r="DJ2005">
            <v>22.424555351348332</v>
          </cell>
          <cell r="DU2005">
            <v>12.365434520757146</v>
          </cell>
          <cell r="DV2005">
            <v>11.644336226312735</v>
          </cell>
          <cell r="DW2005">
            <v>9.8476005987137558</v>
          </cell>
          <cell r="DX2005">
            <v>7.1073990168282446</v>
          </cell>
          <cell r="DY2005">
            <v>12.587802180599267</v>
          </cell>
        </row>
        <row r="2006">
          <cell r="A2006">
            <v>42271</v>
          </cell>
          <cell r="DF2006">
            <v>24.392263488656546</v>
          </cell>
          <cell r="DG2006">
            <v>21.679348620667902</v>
          </cell>
          <cell r="DH2006">
            <v>18.362277992096409</v>
          </cell>
          <cell r="DI2006">
            <v>14.300000632844487</v>
          </cell>
          <cell r="DJ2006">
            <v>22.424555351348332</v>
          </cell>
          <cell r="DU2006">
            <v>12.505391387296985</v>
          </cell>
          <cell r="DV2006">
            <v>11.644336226312735</v>
          </cell>
          <cell r="DW2006">
            <v>9.8476005987137558</v>
          </cell>
          <cell r="DX2006">
            <v>7.1073990168282446</v>
          </cell>
          <cell r="DY2006">
            <v>12.587802180599267</v>
          </cell>
        </row>
        <row r="2007">
          <cell r="A2007">
            <v>42272</v>
          </cell>
          <cell r="DF2007">
            <v>26.504213917010567</v>
          </cell>
          <cell r="DG2007">
            <v>21.679348620667902</v>
          </cell>
          <cell r="DH2007">
            <v>18.362277992096409</v>
          </cell>
          <cell r="DI2007">
            <v>14.300000632844487</v>
          </cell>
          <cell r="DJ2007">
            <v>22.424555351348332</v>
          </cell>
          <cell r="DU2007">
            <v>13.62701378986732</v>
          </cell>
          <cell r="DV2007">
            <v>11.644336226312735</v>
          </cell>
          <cell r="DW2007">
            <v>9.8476005987137558</v>
          </cell>
          <cell r="DX2007">
            <v>7.1073990168282446</v>
          </cell>
          <cell r="DY2007">
            <v>12.587802180599267</v>
          </cell>
        </row>
        <row r="2008">
          <cell r="A2008">
            <v>42275</v>
          </cell>
          <cell r="DF2008">
            <v>25.545557919293032</v>
          </cell>
          <cell r="DG2008">
            <v>21.679348620667902</v>
          </cell>
          <cell r="DH2008">
            <v>18.362277992096409</v>
          </cell>
          <cell r="DI2008">
            <v>14.300000632844487</v>
          </cell>
          <cell r="DJ2008">
            <v>22.424555351348332</v>
          </cell>
          <cell r="DU2008">
            <v>13.300033827202304</v>
          </cell>
          <cell r="DV2008">
            <v>11.644336226312735</v>
          </cell>
          <cell r="DW2008">
            <v>9.8476005987137558</v>
          </cell>
          <cell r="DX2008">
            <v>7.1073990168282446</v>
          </cell>
          <cell r="DY2008">
            <v>12.587802180599267</v>
          </cell>
        </row>
        <row r="2009">
          <cell r="A2009">
            <v>42276</v>
          </cell>
          <cell r="DF2009">
            <v>25.304454925248375</v>
          </cell>
          <cell r="DG2009">
            <v>21.679348620667902</v>
          </cell>
          <cell r="DH2009">
            <v>18.362277992096409</v>
          </cell>
          <cell r="DI2009">
            <v>14.300000632844487</v>
          </cell>
          <cell r="DJ2009">
            <v>22.424555351348332</v>
          </cell>
          <cell r="DU2009">
            <v>13.300033827202304</v>
          </cell>
          <cell r="DV2009">
            <v>11.644336226312735</v>
          </cell>
          <cell r="DW2009">
            <v>9.8476005987137558</v>
          </cell>
          <cell r="DX2009">
            <v>7.1073990168282446</v>
          </cell>
          <cell r="DY2009">
            <v>12.587802180599267</v>
          </cell>
        </row>
        <row r="2010">
          <cell r="A2010">
            <v>42277</v>
          </cell>
          <cell r="DF2010">
            <v>25.376774095214426</v>
          </cell>
          <cell r="DG2010">
            <v>21.679348620667902</v>
          </cell>
          <cell r="DH2010">
            <v>18.362277992096409</v>
          </cell>
          <cell r="DI2010">
            <v>14.300000632844487</v>
          </cell>
          <cell r="DJ2010">
            <v>22.424555351348332</v>
          </cell>
          <cell r="DU2010">
            <v>13.242813585862558</v>
          </cell>
          <cell r="DV2010">
            <v>11.644336226312735</v>
          </cell>
          <cell r="DW2010">
            <v>9.8476005987137558</v>
          </cell>
          <cell r="DX2010">
            <v>7.1073990168282446</v>
          </cell>
          <cell r="DY2010">
            <v>12.587802180599267</v>
          </cell>
        </row>
        <row r="2011">
          <cell r="A2011">
            <v>42278</v>
          </cell>
          <cell r="DF2011">
            <v>25.488064661084898</v>
          </cell>
          <cell r="DG2011">
            <v>21.679348620667902</v>
          </cell>
          <cell r="DH2011">
            <v>18.362277992096409</v>
          </cell>
          <cell r="DI2011">
            <v>14.300000632844487</v>
          </cell>
          <cell r="DJ2011">
            <v>22.424555351348332</v>
          </cell>
          <cell r="DU2011">
            <v>13.291403375282679</v>
          </cell>
          <cell r="DV2011">
            <v>11.644336226312735</v>
          </cell>
          <cell r="DW2011">
            <v>9.8476005987137558</v>
          </cell>
          <cell r="DX2011">
            <v>7.1073990168282446</v>
          </cell>
          <cell r="DY2011">
            <v>12.587802180599267</v>
          </cell>
        </row>
        <row r="2012">
          <cell r="A2012">
            <v>42279</v>
          </cell>
          <cell r="DF2012">
            <v>25.291019464956108</v>
          </cell>
          <cell r="DG2012">
            <v>21.679348620667902</v>
          </cell>
          <cell r="DH2012">
            <v>18.362277992096409</v>
          </cell>
          <cell r="DI2012">
            <v>14.300000632844487</v>
          </cell>
          <cell r="DJ2012">
            <v>22.424555351348332</v>
          </cell>
          <cell r="DU2012">
            <v>13.187130830389011</v>
          </cell>
          <cell r="DV2012">
            <v>11.644336226312735</v>
          </cell>
          <cell r="DW2012">
            <v>9.8476005987137558</v>
          </cell>
          <cell r="DX2012">
            <v>7.1073990168282446</v>
          </cell>
          <cell r="DY2012">
            <v>12.587802180599267</v>
          </cell>
        </row>
        <row r="2013">
          <cell r="A2013">
            <v>42282</v>
          </cell>
          <cell r="DF2013">
            <v>24.663915619908582</v>
          </cell>
          <cell r="DG2013">
            <v>21.679348620667902</v>
          </cell>
          <cell r="DH2013">
            <v>18.362277992096409</v>
          </cell>
          <cell r="DI2013">
            <v>14.300000632844487</v>
          </cell>
          <cell r="DJ2013">
            <v>22.424555351348332</v>
          </cell>
          <cell r="DU2013">
            <v>12.842698410529772</v>
          </cell>
          <cell r="DV2013">
            <v>11.644336226312735</v>
          </cell>
          <cell r="DW2013">
            <v>9.8476005987137558</v>
          </cell>
          <cell r="DX2013">
            <v>7.1073990168282446</v>
          </cell>
          <cell r="DY2013">
            <v>12.587802180599267</v>
          </cell>
        </row>
        <row r="2014">
          <cell r="A2014">
            <v>42283</v>
          </cell>
          <cell r="DF2014">
            <v>24.525844280374574</v>
          </cell>
          <cell r="DG2014">
            <v>21.679348620667902</v>
          </cell>
          <cell r="DH2014">
            <v>18.362277992096409</v>
          </cell>
          <cell r="DI2014">
            <v>14.300000632844487</v>
          </cell>
          <cell r="DJ2014">
            <v>22.424555351348332</v>
          </cell>
          <cell r="DU2014">
            <v>12.842698410529772</v>
          </cell>
          <cell r="DV2014">
            <v>11.644336226312735</v>
          </cell>
          <cell r="DW2014">
            <v>9.8476005987137558</v>
          </cell>
          <cell r="DX2014">
            <v>7.1073990168282446</v>
          </cell>
          <cell r="DY2014">
            <v>12.587802180599267</v>
          </cell>
        </row>
        <row r="2015">
          <cell r="A2015">
            <v>42284</v>
          </cell>
          <cell r="DF2015">
            <v>24.406404619690473</v>
          </cell>
          <cell r="DG2015">
            <v>21.679348620667902</v>
          </cell>
          <cell r="DH2015">
            <v>18.362277992096409</v>
          </cell>
          <cell r="DI2015">
            <v>14.300000632844487</v>
          </cell>
          <cell r="DJ2015">
            <v>22.424555351348332</v>
          </cell>
          <cell r="DU2015">
            <v>12.700503922915059</v>
          </cell>
          <cell r="DV2015">
            <v>11.644336226312735</v>
          </cell>
          <cell r="DW2015">
            <v>9.8476005987137558</v>
          </cell>
          <cell r="DX2015">
            <v>7.1073990168282446</v>
          </cell>
          <cell r="DY2015">
            <v>12.587802180599267</v>
          </cell>
        </row>
        <row r="2016">
          <cell r="A2016">
            <v>42285</v>
          </cell>
          <cell r="DF2016">
            <v>24.924226032542535</v>
          </cell>
          <cell r="DG2016">
            <v>21.679348620667902</v>
          </cell>
          <cell r="DH2016">
            <v>18.362277992096409</v>
          </cell>
          <cell r="DI2016">
            <v>14.300000632844487</v>
          </cell>
          <cell r="DJ2016">
            <v>22.424555351348332</v>
          </cell>
          <cell r="DU2016">
            <v>12.984897637992335</v>
          </cell>
          <cell r="DV2016">
            <v>11.644336226312735</v>
          </cell>
          <cell r="DW2016">
            <v>9.8476005987137558</v>
          </cell>
          <cell r="DX2016">
            <v>7.1073990168282446</v>
          </cell>
          <cell r="DY2016">
            <v>12.587802180599267</v>
          </cell>
        </row>
        <row r="2017">
          <cell r="A2017">
            <v>42286</v>
          </cell>
          <cell r="DF2017">
            <v>25.85629237822716</v>
          </cell>
          <cell r="DG2017">
            <v>21.679348620667902</v>
          </cell>
          <cell r="DH2017">
            <v>18.362277992096409</v>
          </cell>
          <cell r="DI2017">
            <v>14.300000632844487</v>
          </cell>
          <cell r="DJ2017">
            <v>22.424555351348332</v>
          </cell>
          <cell r="DU2017">
            <v>13.496799626146462</v>
          </cell>
          <cell r="DV2017">
            <v>11.644336226312735</v>
          </cell>
          <cell r="DW2017">
            <v>9.8476005987137558</v>
          </cell>
          <cell r="DX2017">
            <v>7.1073990168282446</v>
          </cell>
          <cell r="DY2017">
            <v>12.587802180599267</v>
          </cell>
        </row>
        <row r="2018">
          <cell r="A2018">
            <v>42289</v>
          </cell>
          <cell r="DF2018">
            <v>25.3574121937285</v>
          </cell>
          <cell r="DG2018">
            <v>21.679348620667902</v>
          </cell>
          <cell r="DH2018">
            <v>18.362277992096409</v>
          </cell>
          <cell r="DI2018">
            <v>14.300000632844487</v>
          </cell>
          <cell r="DJ2018">
            <v>22.424555351348332</v>
          </cell>
          <cell r="DU2018">
            <v>13.274461052254754</v>
          </cell>
          <cell r="DV2018">
            <v>11.644336226312735</v>
          </cell>
          <cell r="DW2018">
            <v>9.8476005987137558</v>
          </cell>
          <cell r="DX2018">
            <v>7.1073990168282446</v>
          </cell>
          <cell r="DY2018">
            <v>12.587802180599267</v>
          </cell>
        </row>
        <row r="2019">
          <cell r="A2019">
            <v>42290</v>
          </cell>
          <cell r="DF2019">
            <v>25.316308133699366</v>
          </cell>
          <cell r="DG2019">
            <v>21.679348620667902</v>
          </cell>
          <cell r="DH2019">
            <v>18.362277992096409</v>
          </cell>
          <cell r="DI2019">
            <v>14.300000632844487</v>
          </cell>
          <cell r="DJ2019">
            <v>22.424555351348332</v>
          </cell>
          <cell r="DU2019">
            <v>13.274461052254754</v>
          </cell>
          <cell r="DV2019">
            <v>11.644336226312735</v>
          </cell>
          <cell r="DW2019">
            <v>9.8476005987137558</v>
          </cell>
          <cell r="DX2019">
            <v>7.1073990168282446</v>
          </cell>
          <cell r="DY2019">
            <v>12.587802180599267</v>
          </cell>
        </row>
        <row r="2020">
          <cell r="A2020">
            <v>42291</v>
          </cell>
          <cell r="DF2020">
            <v>25.324170482398461</v>
          </cell>
          <cell r="DG2020">
            <v>21.679348620667902</v>
          </cell>
          <cell r="DH2020">
            <v>18.362277992096409</v>
          </cell>
          <cell r="DI2020">
            <v>14.300000632844487</v>
          </cell>
          <cell r="DJ2020">
            <v>22.424555351348332</v>
          </cell>
          <cell r="DU2020">
            <v>13.255481340918012</v>
          </cell>
          <cell r="DV2020">
            <v>11.644336226312735</v>
          </cell>
          <cell r="DW2020">
            <v>9.8476005987137558</v>
          </cell>
          <cell r="DX2020">
            <v>7.1073990168282446</v>
          </cell>
          <cell r="DY2020">
            <v>12.587802180599267</v>
          </cell>
        </row>
        <row r="2021">
          <cell r="A2021">
            <v>42292</v>
          </cell>
          <cell r="DF2021">
            <v>25.329061599581429</v>
          </cell>
          <cell r="DG2021">
            <v>21.679348620667902</v>
          </cell>
          <cell r="DH2021">
            <v>18.362277992096409</v>
          </cell>
          <cell r="DI2021">
            <v>14.300000632844487</v>
          </cell>
          <cell r="DJ2021">
            <v>22.424555351348332</v>
          </cell>
          <cell r="DU2021">
            <v>13.245991801588705</v>
          </cell>
          <cell r="DV2021">
            <v>11.644336226312735</v>
          </cell>
          <cell r="DW2021">
            <v>9.8476005987137558</v>
          </cell>
          <cell r="DX2021">
            <v>7.1073990168282446</v>
          </cell>
          <cell r="DY2021">
            <v>12.587802180599267</v>
          </cell>
        </row>
        <row r="2022">
          <cell r="A2022">
            <v>42293</v>
          </cell>
          <cell r="DF2022">
            <v>25.168242760735868</v>
          </cell>
          <cell r="DG2022">
            <v>21.679348620667902</v>
          </cell>
          <cell r="DH2022">
            <v>18.362277992096409</v>
          </cell>
          <cell r="DI2022">
            <v>14.300000632844487</v>
          </cell>
          <cell r="DJ2022">
            <v>22.424555351348332</v>
          </cell>
          <cell r="DU2022">
            <v>13.157417179191668</v>
          </cell>
          <cell r="DV2022">
            <v>11.644336226312735</v>
          </cell>
          <cell r="DW2022">
            <v>9.8476005987137558</v>
          </cell>
          <cell r="DX2022">
            <v>7.1073990168282446</v>
          </cell>
          <cell r="DY2022">
            <v>12.587802180599267</v>
          </cell>
        </row>
        <row r="2023">
          <cell r="A2023">
            <v>42296</v>
          </cell>
          <cell r="DF2023">
            <v>25.168242760735868</v>
          </cell>
          <cell r="DG2023">
            <v>21.679348620667902</v>
          </cell>
          <cell r="DH2023">
            <v>18.362277992096409</v>
          </cell>
          <cell r="DI2023">
            <v>14.300000632844487</v>
          </cell>
          <cell r="DJ2023">
            <v>22.424555351348332</v>
          </cell>
          <cell r="DU2023">
            <v>13.157417179191668</v>
          </cell>
          <cell r="DV2023">
            <v>11.644336226312735</v>
          </cell>
          <cell r="DW2023">
            <v>9.8476005987137558</v>
          </cell>
          <cell r="DX2023">
            <v>7.1073990168282446</v>
          </cell>
          <cell r="DY2023">
            <v>12.587802180599267</v>
          </cell>
        </row>
        <row r="2024">
          <cell r="A2024">
            <v>42297</v>
          </cell>
          <cell r="DF2024">
            <v>25.323312305559504</v>
          </cell>
          <cell r="DG2024">
            <v>21.679348620667902</v>
          </cell>
          <cell r="DH2024">
            <v>18.362277992096409</v>
          </cell>
          <cell r="DI2024">
            <v>14.300000632844487</v>
          </cell>
          <cell r="DJ2024">
            <v>22.424555351348332</v>
          </cell>
          <cell r="DU2024">
            <v>13.157417179191668</v>
          </cell>
          <cell r="DV2024">
            <v>11.644336226312735</v>
          </cell>
          <cell r="DW2024">
            <v>9.8476005987137558</v>
          </cell>
          <cell r="DX2024">
            <v>7.1073990168282446</v>
          </cell>
          <cell r="DY2024">
            <v>12.587802180599267</v>
          </cell>
        </row>
        <row r="2025">
          <cell r="A2025">
            <v>42298</v>
          </cell>
          <cell r="DF2025">
            <v>24.988176092924139</v>
          </cell>
          <cell r="DG2025">
            <v>21.679348620667902</v>
          </cell>
          <cell r="DH2025">
            <v>18.362277992096409</v>
          </cell>
          <cell r="DI2025">
            <v>14.300000632844487</v>
          </cell>
          <cell r="DJ2025">
            <v>22.424555351348332</v>
          </cell>
          <cell r="DU2025">
            <v>13.056186147066446</v>
          </cell>
          <cell r="DV2025">
            <v>11.644336226312735</v>
          </cell>
          <cell r="DW2025">
            <v>9.8476005987137558</v>
          </cell>
          <cell r="DX2025">
            <v>7.1073990168282446</v>
          </cell>
          <cell r="DY2025">
            <v>12.587802180599267</v>
          </cell>
        </row>
        <row r="2026">
          <cell r="A2026">
            <v>42299</v>
          </cell>
          <cell r="DF2026">
            <v>24.477490475298232</v>
          </cell>
          <cell r="DG2026">
            <v>21.679348620667902</v>
          </cell>
          <cell r="DH2026">
            <v>18.362277992096409</v>
          </cell>
          <cell r="DI2026">
            <v>14.300000632844487</v>
          </cell>
          <cell r="DJ2026">
            <v>22.424555351348332</v>
          </cell>
          <cell r="DU2026">
            <v>12.848183803222438</v>
          </cell>
          <cell r="DV2026">
            <v>11.644336226312735</v>
          </cell>
          <cell r="DW2026">
            <v>9.8476005987137558</v>
          </cell>
          <cell r="DX2026">
            <v>7.1073990168282446</v>
          </cell>
          <cell r="DY2026">
            <v>12.587802180599267</v>
          </cell>
        </row>
        <row r="2027">
          <cell r="A2027">
            <v>42300</v>
          </cell>
          <cell r="DF2027">
            <v>24.685198525241066</v>
          </cell>
          <cell r="DG2027">
            <v>21.679348620667902</v>
          </cell>
          <cell r="DH2027">
            <v>18.362277992096409</v>
          </cell>
          <cell r="DI2027">
            <v>14.300000632844487</v>
          </cell>
          <cell r="DJ2027">
            <v>22.424555351348332</v>
          </cell>
          <cell r="DU2027">
            <v>12.962672274767726</v>
          </cell>
          <cell r="DV2027">
            <v>11.644336226312735</v>
          </cell>
          <cell r="DW2027">
            <v>9.8476005987137558</v>
          </cell>
          <cell r="DX2027">
            <v>7.1073990168282446</v>
          </cell>
          <cell r="DY2027">
            <v>12.587802180599267</v>
          </cell>
        </row>
        <row r="2028">
          <cell r="A2028">
            <v>42303</v>
          </cell>
          <cell r="DF2028">
            <v>24.089621100397054</v>
          </cell>
          <cell r="DG2028">
            <v>21.679348620667902</v>
          </cell>
          <cell r="DH2028">
            <v>18.362277992096409</v>
          </cell>
          <cell r="DI2028">
            <v>14.300000632844487</v>
          </cell>
          <cell r="DJ2028">
            <v>22.424555351348332</v>
          </cell>
          <cell r="DU2028">
            <v>12.633054119458025</v>
          </cell>
          <cell r="DV2028">
            <v>11.644336226312735</v>
          </cell>
          <cell r="DW2028">
            <v>9.8476005987137558</v>
          </cell>
          <cell r="DX2028">
            <v>7.1073990168282446</v>
          </cell>
          <cell r="DY2028">
            <v>12.587802180599267</v>
          </cell>
        </row>
        <row r="2029">
          <cell r="A2029">
            <v>42304</v>
          </cell>
          <cell r="DF2029">
            <v>24.390243902439025</v>
          </cell>
          <cell r="DG2029">
            <v>21.679348620667902</v>
          </cell>
          <cell r="DH2029">
            <v>18.362277992096409</v>
          </cell>
          <cell r="DI2029">
            <v>14.300000632844487</v>
          </cell>
          <cell r="DJ2029">
            <v>22.424555351348332</v>
          </cell>
          <cell r="DU2029">
            <v>12.633054119458025</v>
          </cell>
          <cell r="DV2029">
            <v>11.644336226312735</v>
          </cell>
          <cell r="DW2029">
            <v>9.8476005987137558</v>
          </cell>
          <cell r="DX2029">
            <v>7.1073990168282446</v>
          </cell>
          <cell r="DY2029">
            <v>12.587802180599267</v>
          </cell>
        </row>
        <row r="2030">
          <cell r="A2030">
            <v>42305</v>
          </cell>
          <cell r="DF2030">
            <v>24.257618089967636</v>
          </cell>
          <cell r="DG2030">
            <v>21.679348620667902</v>
          </cell>
          <cell r="DH2030">
            <v>18.362277992096409</v>
          </cell>
          <cell r="DI2030">
            <v>14.300000632844487</v>
          </cell>
          <cell r="DJ2030">
            <v>22.424555351348332</v>
          </cell>
          <cell r="DU2030">
            <v>12.72408905717985</v>
          </cell>
          <cell r="DV2030">
            <v>11.644336226312735</v>
          </cell>
          <cell r="DW2030">
            <v>9.8476005987137558</v>
          </cell>
          <cell r="DX2030">
            <v>7.1073990168282446</v>
          </cell>
          <cell r="DY2030">
            <v>12.587802180599267</v>
          </cell>
        </row>
        <row r="2031">
          <cell r="A2031">
            <v>42306</v>
          </cell>
          <cell r="DF2031">
            <v>24.971657596371884</v>
          </cell>
          <cell r="DG2031">
            <v>21.679348620667902</v>
          </cell>
          <cell r="DH2031">
            <v>18.362277992096409</v>
          </cell>
          <cell r="DI2031">
            <v>14.300000632844487</v>
          </cell>
          <cell r="DJ2031">
            <v>22.424555351348332</v>
          </cell>
          <cell r="DU2031">
            <v>13.114741208968487</v>
          </cell>
          <cell r="DV2031">
            <v>11.644336226312735</v>
          </cell>
          <cell r="DW2031">
            <v>9.8476005987137558</v>
          </cell>
          <cell r="DX2031">
            <v>7.1073990168282446</v>
          </cell>
          <cell r="DY2031">
            <v>12.587802180599267</v>
          </cell>
        </row>
        <row r="2032">
          <cell r="A2032">
            <v>42307</v>
          </cell>
          <cell r="DF2032">
            <v>24.223353741496599</v>
          </cell>
          <cell r="DG2032">
            <v>21.679348620667902</v>
          </cell>
          <cell r="DH2032">
            <v>18.362277992096409</v>
          </cell>
          <cell r="DI2032">
            <v>14.300000632844487</v>
          </cell>
          <cell r="DJ2032">
            <v>22.424555351348332</v>
          </cell>
          <cell r="DU2032">
            <v>13.114741208968487</v>
          </cell>
          <cell r="DV2032">
            <v>11.644336226312735</v>
          </cell>
          <cell r="DW2032">
            <v>9.8476005987137558</v>
          </cell>
          <cell r="DX2032">
            <v>7.1073990168282446</v>
          </cell>
          <cell r="DY2032">
            <v>12.587802180599267</v>
          </cell>
        </row>
        <row r="2033">
          <cell r="A2033">
            <v>42310</v>
          </cell>
          <cell r="DF2033">
            <v>24.132657596371882</v>
          </cell>
          <cell r="DG2033">
            <v>21.679348620667902</v>
          </cell>
          <cell r="DH2033">
            <v>18.362277992096409</v>
          </cell>
          <cell r="DI2033">
            <v>14.300000632844487</v>
          </cell>
          <cell r="DJ2033">
            <v>22.424555351348332</v>
          </cell>
          <cell r="DU2033">
            <v>13.114741208968487</v>
          </cell>
          <cell r="DV2033">
            <v>11.644336226312735</v>
          </cell>
          <cell r="DW2033">
            <v>9.8476005987137558</v>
          </cell>
          <cell r="DX2033">
            <v>7.1073990168282446</v>
          </cell>
          <cell r="DY2033">
            <v>12.587802180599267</v>
          </cell>
        </row>
        <row r="2034">
          <cell r="A2034">
            <v>42311</v>
          </cell>
          <cell r="DF2034">
            <v>23.894554421768706</v>
          </cell>
          <cell r="DG2034">
            <v>21.679348620667902</v>
          </cell>
          <cell r="DH2034">
            <v>18.362277992096409</v>
          </cell>
          <cell r="DI2034">
            <v>14.300000632844487</v>
          </cell>
          <cell r="DJ2034">
            <v>22.424555351348332</v>
          </cell>
          <cell r="DU2034">
            <v>12.518937930708594</v>
          </cell>
          <cell r="DV2034">
            <v>11.644336226312735</v>
          </cell>
          <cell r="DW2034">
            <v>9.8476005987137558</v>
          </cell>
          <cell r="DX2034">
            <v>7.1073990168282446</v>
          </cell>
          <cell r="DY2034">
            <v>12.587802180599267</v>
          </cell>
        </row>
        <row r="2035">
          <cell r="A2035">
            <v>42312</v>
          </cell>
          <cell r="DF2035">
            <v>24.178001133786847</v>
          </cell>
          <cell r="DG2035">
            <v>21.679348620667902</v>
          </cell>
          <cell r="DH2035">
            <v>18.362277992096409</v>
          </cell>
          <cell r="DI2035">
            <v>14.300000632844487</v>
          </cell>
          <cell r="DJ2035">
            <v>22.424555351348332</v>
          </cell>
          <cell r="DU2035">
            <v>12.675727441884822</v>
          </cell>
          <cell r="DV2035">
            <v>11.644336226312735</v>
          </cell>
          <cell r="DW2035">
            <v>9.8476005987137558</v>
          </cell>
          <cell r="DX2035">
            <v>7.1073990168282446</v>
          </cell>
          <cell r="DY2035">
            <v>12.587802180599267</v>
          </cell>
        </row>
        <row r="2036">
          <cell r="A2036">
            <v>42313</v>
          </cell>
          <cell r="DF2036">
            <v>24.671204648526075</v>
          </cell>
          <cell r="DG2036">
            <v>21.679348620667902</v>
          </cell>
          <cell r="DH2036">
            <v>18.362277992096409</v>
          </cell>
          <cell r="DI2036">
            <v>14.300000632844487</v>
          </cell>
          <cell r="DJ2036">
            <v>22.424555351348332</v>
          </cell>
          <cell r="DU2036">
            <v>12.948544640700707</v>
          </cell>
          <cell r="DV2036">
            <v>11.644336226312735</v>
          </cell>
          <cell r="DW2036">
            <v>9.8476005987137558</v>
          </cell>
          <cell r="DX2036">
            <v>7.1073990168282446</v>
          </cell>
          <cell r="DY2036">
            <v>12.587802180599267</v>
          </cell>
        </row>
        <row r="2037">
          <cell r="A2037">
            <v>42314</v>
          </cell>
          <cell r="DF2037">
            <v>24.852606009070293</v>
          </cell>
          <cell r="DG2037">
            <v>21.679348620667902</v>
          </cell>
          <cell r="DH2037">
            <v>18.362277992096409</v>
          </cell>
          <cell r="DI2037">
            <v>14.300000632844487</v>
          </cell>
          <cell r="DJ2037">
            <v>22.424555351348332</v>
          </cell>
          <cell r="DU2037">
            <v>13.063095146405066</v>
          </cell>
          <cell r="DV2037">
            <v>11.644336226312735</v>
          </cell>
          <cell r="DW2037">
            <v>9.8476005987137558</v>
          </cell>
          <cell r="DX2037">
            <v>7.1073990168282446</v>
          </cell>
          <cell r="DY2037">
            <v>12.587802180599267</v>
          </cell>
        </row>
        <row r="2038">
          <cell r="A2038">
            <v>42317</v>
          </cell>
          <cell r="DF2038">
            <v>24.807253401360548</v>
          </cell>
          <cell r="DG2038">
            <v>21.679348620667902</v>
          </cell>
          <cell r="DH2038">
            <v>18.362277992096409</v>
          </cell>
          <cell r="DI2038">
            <v>14.300000632844487</v>
          </cell>
          <cell r="DJ2038">
            <v>22.424555351348332</v>
          </cell>
          <cell r="DU2038">
            <v>13.037980882599326</v>
          </cell>
          <cell r="DV2038">
            <v>11.644336226312735</v>
          </cell>
          <cell r="DW2038">
            <v>9.8476005987137558</v>
          </cell>
          <cell r="DX2038">
            <v>7.1073990168282446</v>
          </cell>
          <cell r="DY2038">
            <v>12.587802180599267</v>
          </cell>
        </row>
        <row r="2039">
          <cell r="A2039">
            <v>42318</v>
          </cell>
          <cell r="DF2039">
            <v>24.370751700680273</v>
          </cell>
          <cell r="DG2039">
            <v>21.679348620667902</v>
          </cell>
          <cell r="DH2039">
            <v>18.362277992096409</v>
          </cell>
          <cell r="DI2039">
            <v>14.300000632844487</v>
          </cell>
          <cell r="DJ2039">
            <v>22.424555351348332</v>
          </cell>
          <cell r="DU2039">
            <v>12.796265589562655</v>
          </cell>
          <cell r="DV2039">
            <v>11.644336226312735</v>
          </cell>
          <cell r="DW2039">
            <v>9.8476005987137558</v>
          </cell>
          <cell r="DX2039">
            <v>7.1073990168282446</v>
          </cell>
          <cell r="DY2039">
            <v>12.587802180599267</v>
          </cell>
        </row>
        <row r="2040">
          <cell r="A2040">
            <v>42319</v>
          </cell>
          <cell r="DF2040">
            <v>24.543704795374676</v>
          </cell>
          <cell r="DG2040">
            <v>21.679348620667902</v>
          </cell>
          <cell r="DH2040">
            <v>18.362277992096409</v>
          </cell>
          <cell r="DI2040">
            <v>14.300000632844487</v>
          </cell>
          <cell r="DJ2040">
            <v>22.424555351348332</v>
          </cell>
          <cell r="DU2040">
            <v>12.893580301085523</v>
          </cell>
          <cell r="DV2040">
            <v>11.644336226312735</v>
          </cell>
          <cell r="DW2040">
            <v>9.8476005987137558</v>
          </cell>
          <cell r="DX2040">
            <v>7.1073990168282446</v>
          </cell>
          <cell r="DY2040">
            <v>12.587802180599267</v>
          </cell>
        </row>
        <row r="2041">
          <cell r="A2041">
            <v>42320</v>
          </cell>
          <cell r="DF2041">
            <v>24.555043645845142</v>
          </cell>
          <cell r="DG2041">
            <v>21.679348620667902</v>
          </cell>
          <cell r="DH2041">
            <v>18.362277992096409</v>
          </cell>
          <cell r="DI2041">
            <v>14.300000632844487</v>
          </cell>
          <cell r="DJ2041">
            <v>22.424555351348332</v>
          </cell>
          <cell r="DU2041">
            <v>12.89985996575853</v>
          </cell>
          <cell r="DV2041">
            <v>11.644336226312735</v>
          </cell>
          <cell r="DW2041">
            <v>9.8476005987137558</v>
          </cell>
          <cell r="DX2041">
            <v>7.1073990168282446</v>
          </cell>
          <cell r="DY2041">
            <v>12.587802180599267</v>
          </cell>
        </row>
        <row r="2042">
          <cell r="A2042">
            <v>42321</v>
          </cell>
          <cell r="DF2042">
            <v>24.509696179571478</v>
          </cell>
          <cell r="DG2042">
            <v>21.679348620667902</v>
          </cell>
          <cell r="DH2042">
            <v>18.362277992096409</v>
          </cell>
          <cell r="DI2042">
            <v>14.300000632844487</v>
          </cell>
          <cell r="DJ2042">
            <v>22.424555351348332</v>
          </cell>
          <cell r="DU2042">
            <v>12.874745701952788</v>
          </cell>
          <cell r="DV2042">
            <v>11.644336226312735</v>
          </cell>
          <cell r="DW2042">
            <v>9.8476005987137558</v>
          </cell>
          <cell r="DX2042">
            <v>7.1073990168282446</v>
          </cell>
          <cell r="DY2042">
            <v>12.587802180599267</v>
          </cell>
        </row>
        <row r="2043">
          <cell r="A2043">
            <v>42324</v>
          </cell>
          <cell r="DF2043">
            <v>24.456430315072385</v>
          </cell>
          <cell r="DG2043">
            <v>21.679348620667902</v>
          </cell>
          <cell r="DH2043">
            <v>18.362277992096409</v>
          </cell>
          <cell r="DI2043">
            <v>14.300000632844487</v>
          </cell>
          <cell r="DJ2043">
            <v>22.424555351348332</v>
          </cell>
          <cell r="DU2043">
            <v>12.852794751129467</v>
          </cell>
          <cell r="DV2043">
            <v>11.644336226312735</v>
          </cell>
          <cell r="DW2043">
            <v>9.8476005987137558</v>
          </cell>
          <cell r="DX2043">
            <v>7.1073990168282446</v>
          </cell>
          <cell r="DY2043">
            <v>12.587802180599267</v>
          </cell>
        </row>
        <row r="2044">
          <cell r="A2044">
            <v>42325</v>
          </cell>
          <cell r="DF2044">
            <v>24.456430315072385</v>
          </cell>
          <cell r="DG2044">
            <v>21.679348620667902</v>
          </cell>
          <cell r="DH2044">
            <v>18.362277992096409</v>
          </cell>
          <cell r="DI2044">
            <v>14.300000632844487</v>
          </cell>
          <cell r="DJ2044">
            <v>22.424555351348332</v>
          </cell>
          <cell r="DU2044">
            <v>12.852794751129467</v>
          </cell>
          <cell r="DV2044">
            <v>11.644336226312735</v>
          </cell>
          <cell r="DW2044">
            <v>9.8476005987137558</v>
          </cell>
          <cell r="DX2044">
            <v>7.1073990168282446</v>
          </cell>
          <cell r="DY2044">
            <v>12.587802180599267</v>
          </cell>
        </row>
        <row r="2045">
          <cell r="A2045">
            <v>42326</v>
          </cell>
          <cell r="DF2045">
            <v>24.638089128583594</v>
          </cell>
          <cell r="DG2045">
            <v>21.679348620667902</v>
          </cell>
          <cell r="DH2045">
            <v>18.362277992096409</v>
          </cell>
          <cell r="DI2045">
            <v>14.300000632844487</v>
          </cell>
          <cell r="DJ2045">
            <v>22.424555351348332</v>
          </cell>
          <cell r="DU2045">
            <v>12.953468276569096</v>
          </cell>
          <cell r="DV2045">
            <v>11.644336226312735</v>
          </cell>
          <cell r="DW2045">
            <v>9.8476005987137558</v>
          </cell>
          <cell r="DX2045">
            <v>7.1073990168282446</v>
          </cell>
          <cell r="DY2045">
            <v>12.587802180599267</v>
          </cell>
        </row>
        <row r="2046">
          <cell r="A2046">
            <v>42327</v>
          </cell>
          <cell r="DF2046">
            <v>25.069545273914279</v>
          </cell>
          <cell r="DG2046">
            <v>21.679348620667902</v>
          </cell>
          <cell r="DH2046">
            <v>18.362277992096409</v>
          </cell>
          <cell r="DI2046">
            <v>14.300000632844487</v>
          </cell>
          <cell r="DJ2046">
            <v>22.424555351348332</v>
          </cell>
          <cell r="DU2046">
            <v>13.19257702325455</v>
          </cell>
          <cell r="DV2046">
            <v>11.644336226312735</v>
          </cell>
          <cell r="DW2046">
            <v>9.8476005987137558</v>
          </cell>
          <cell r="DX2046">
            <v>7.1073990168282446</v>
          </cell>
          <cell r="DY2046">
            <v>12.587802180599267</v>
          </cell>
        </row>
        <row r="2047">
          <cell r="A2047">
            <v>42328</v>
          </cell>
          <cell r="DF2047">
            <v>24.921938120919673</v>
          </cell>
          <cell r="DG2047">
            <v>21.679348620667902</v>
          </cell>
          <cell r="DH2047">
            <v>18.362277992096409</v>
          </cell>
          <cell r="DI2047">
            <v>14.300000632844487</v>
          </cell>
          <cell r="DJ2047">
            <v>22.424555351348332</v>
          </cell>
          <cell r="DU2047">
            <v>13.11077459272642</v>
          </cell>
          <cell r="DV2047">
            <v>11.644336226312735</v>
          </cell>
          <cell r="DW2047">
            <v>9.8476005987137558</v>
          </cell>
          <cell r="DX2047">
            <v>7.1073990168282446</v>
          </cell>
          <cell r="DY2047">
            <v>12.587802180599267</v>
          </cell>
        </row>
        <row r="2048">
          <cell r="A2048">
            <v>42331</v>
          </cell>
          <cell r="DF2048">
            <v>24.501847289242125</v>
          </cell>
          <cell r="DG2048">
            <v>21.679348620667902</v>
          </cell>
          <cell r="DH2048">
            <v>18.362277992096409</v>
          </cell>
          <cell r="DI2048">
            <v>14.300000632844487</v>
          </cell>
          <cell r="DJ2048">
            <v>22.424555351348332</v>
          </cell>
          <cell r="DU2048">
            <v>12.877964390939905</v>
          </cell>
          <cell r="DV2048">
            <v>11.644336226312735</v>
          </cell>
          <cell r="DW2048">
            <v>9.8476005987137558</v>
          </cell>
          <cell r="DX2048">
            <v>7.1073990168282446</v>
          </cell>
          <cell r="DY2048">
            <v>12.587802180599267</v>
          </cell>
        </row>
        <row r="2049">
          <cell r="A2049">
            <v>42332</v>
          </cell>
          <cell r="DF2049">
            <v>24.216582409877496</v>
          </cell>
          <cell r="DG2049">
            <v>21.679348620667902</v>
          </cell>
          <cell r="DH2049">
            <v>18.362277992096409</v>
          </cell>
          <cell r="DI2049">
            <v>14.300000632844487</v>
          </cell>
          <cell r="DJ2049">
            <v>22.424555351348332</v>
          </cell>
          <cell r="DU2049">
            <v>12.793514609018764</v>
          </cell>
          <cell r="DV2049">
            <v>11.644336226312735</v>
          </cell>
          <cell r="DW2049">
            <v>9.8476005987137558</v>
          </cell>
          <cell r="DX2049">
            <v>7.1073990168282446</v>
          </cell>
          <cell r="DY2049">
            <v>12.587802180599267</v>
          </cell>
        </row>
        <row r="2050">
          <cell r="A2050">
            <v>42333</v>
          </cell>
          <cell r="DF2050">
            <v>24.029579440303337</v>
          </cell>
          <cell r="DG2050">
            <v>21.679348620667902</v>
          </cell>
          <cell r="DH2050">
            <v>18.362277992096409</v>
          </cell>
          <cell r="DI2050">
            <v>14.300000632844487</v>
          </cell>
          <cell r="DJ2050">
            <v>22.424555351348332</v>
          </cell>
          <cell r="DU2050">
            <v>12.690372649527259</v>
          </cell>
          <cell r="DV2050">
            <v>11.644336226312735</v>
          </cell>
          <cell r="DW2050">
            <v>9.8476005987137558</v>
          </cell>
          <cell r="DX2050">
            <v>7.1073990168282446</v>
          </cell>
          <cell r="DY2050">
            <v>12.587802180599267</v>
          </cell>
        </row>
        <row r="2051">
          <cell r="A2051">
            <v>42334</v>
          </cell>
          <cell r="DF2051">
            <v>24.00152548268845</v>
          </cell>
          <cell r="DG2051">
            <v>21.679348620667902</v>
          </cell>
          <cell r="DH2051">
            <v>18.362277992096409</v>
          </cell>
          <cell r="DI2051">
            <v>14.300000632844487</v>
          </cell>
          <cell r="DJ2051">
            <v>22.424555351348332</v>
          </cell>
          <cell r="DU2051">
            <v>12.674744236970806</v>
          </cell>
          <cell r="DV2051">
            <v>11.644336226312735</v>
          </cell>
          <cell r="DW2051">
            <v>9.8476005987137558</v>
          </cell>
          <cell r="DX2051">
            <v>7.1073990168282446</v>
          </cell>
          <cell r="DY2051">
            <v>12.587802180599267</v>
          </cell>
        </row>
        <row r="2052">
          <cell r="A2052">
            <v>42335</v>
          </cell>
          <cell r="DF2052">
            <v>23.715395649281529</v>
          </cell>
          <cell r="DG2052">
            <v>21.679348620667902</v>
          </cell>
          <cell r="DH2052">
            <v>18.362277992096409</v>
          </cell>
          <cell r="DI2052">
            <v>14.300000632844487</v>
          </cell>
          <cell r="DJ2052">
            <v>22.424555351348332</v>
          </cell>
          <cell r="DU2052">
            <v>12.515345868206646</v>
          </cell>
          <cell r="DV2052">
            <v>11.644336226312735</v>
          </cell>
          <cell r="DW2052">
            <v>9.8476005987137558</v>
          </cell>
          <cell r="DX2052">
            <v>7.1073990168282446</v>
          </cell>
          <cell r="DY2052">
            <v>12.587802180599267</v>
          </cell>
        </row>
        <row r="2053">
          <cell r="A2053">
            <v>42338</v>
          </cell>
          <cell r="DF2053">
            <v>23.772474104518245</v>
          </cell>
          <cell r="DG2053">
            <v>21.679348620667902</v>
          </cell>
          <cell r="DH2053">
            <v>18.362277992096409</v>
          </cell>
          <cell r="DI2053">
            <v>14.300000632844487</v>
          </cell>
          <cell r="DJ2053">
            <v>22.424555351348332</v>
          </cell>
          <cell r="DU2053">
            <v>12.503197838045532</v>
          </cell>
          <cell r="DV2053">
            <v>11.644336226312735</v>
          </cell>
          <cell r="DW2053">
            <v>9.8476005987137558</v>
          </cell>
          <cell r="DX2053">
            <v>7.1073990168282446</v>
          </cell>
          <cell r="DY2053">
            <v>12.587802180599267</v>
          </cell>
        </row>
        <row r="2054">
          <cell r="A2054">
            <v>42339</v>
          </cell>
          <cell r="DF2054">
            <v>23.71643842525798</v>
          </cell>
          <cell r="DG2054">
            <v>21.679348620667902</v>
          </cell>
          <cell r="DH2054">
            <v>18.362277992096409</v>
          </cell>
          <cell r="DI2054">
            <v>14.300000632844487</v>
          </cell>
          <cell r="DJ2054">
            <v>22.424555351348332</v>
          </cell>
          <cell r="DU2054">
            <v>12.553168279984533</v>
          </cell>
          <cell r="DV2054">
            <v>11.644336226312735</v>
          </cell>
          <cell r="DW2054">
            <v>9.8476005987137558</v>
          </cell>
          <cell r="DX2054">
            <v>7.1073990168282446</v>
          </cell>
          <cell r="DY2054">
            <v>12.587802180599267</v>
          </cell>
        </row>
        <row r="2055">
          <cell r="A2055">
            <v>42340</v>
          </cell>
          <cell r="DF2055">
            <v>23.225309519064602</v>
          </cell>
          <cell r="DG2055">
            <v>21.679348620667902</v>
          </cell>
          <cell r="DH2055">
            <v>18.362277992096409</v>
          </cell>
          <cell r="DI2055">
            <v>14.300000632844487</v>
          </cell>
          <cell r="DJ2055">
            <v>22.424555351348332</v>
          </cell>
          <cell r="DU2055">
            <v>12.250213248505371</v>
          </cell>
          <cell r="DV2055">
            <v>11.644336226312735</v>
          </cell>
          <cell r="DW2055">
            <v>9.8476005987137558</v>
          </cell>
          <cell r="DX2055">
            <v>7.1073990168282446</v>
          </cell>
          <cell r="DY2055">
            <v>12.587802180599267</v>
          </cell>
        </row>
        <row r="2056">
          <cell r="A2056">
            <v>42341</v>
          </cell>
          <cell r="DF2056">
            <v>23.925710942467138</v>
          </cell>
          <cell r="DG2056">
            <v>21.679348620667902</v>
          </cell>
          <cell r="DH2056">
            <v>18.362277992096409</v>
          </cell>
          <cell r="DI2056">
            <v>14.300000632844487</v>
          </cell>
          <cell r="DJ2056">
            <v>22.424555351348332</v>
          </cell>
          <cell r="DU2056">
            <v>12.640618411947255</v>
          </cell>
          <cell r="DV2056">
            <v>11.644336226312735</v>
          </cell>
          <cell r="DW2056">
            <v>9.8476005987137558</v>
          </cell>
          <cell r="DX2056">
            <v>7.1073990168282446</v>
          </cell>
          <cell r="DY2056">
            <v>12.587802180599267</v>
          </cell>
        </row>
        <row r="2057">
          <cell r="A2057">
            <v>42342</v>
          </cell>
          <cell r="DF2057">
            <v>23.627468046429353</v>
          </cell>
          <cell r="DG2057">
            <v>21.679348620667902</v>
          </cell>
          <cell r="DH2057">
            <v>18.362277992096409</v>
          </cell>
          <cell r="DI2057">
            <v>14.300000632844487</v>
          </cell>
          <cell r="DJ2057">
            <v>22.424555351348332</v>
          </cell>
          <cell r="DU2057">
            <v>12.496952122717817</v>
          </cell>
          <cell r="DV2057">
            <v>11.644336226312735</v>
          </cell>
          <cell r="DW2057">
            <v>9.8476005987137558</v>
          </cell>
          <cell r="DX2057">
            <v>7.1073990168282446</v>
          </cell>
          <cell r="DY2057">
            <v>12.587802180599267</v>
          </cell>
        </row>
        <row r="2058">
          <cell r="A2058">
            <v>42345</v>
          </cell>
          <cell r="DF2058">
            <v>23.711369039297491</v>
          </cell>
          <cell r="DG2058">
            <v>21.679348620667902</v>
          </cell>
          <cell r="DH2058">
            <v>18.362277992096409</v>
          </cell>
          <cell r="DI2058">
            <v>14.300000632844487</v>
          </cell>
          <cell r="DJ2058">
            <v>22.424555351348332</v>
          </cell>
          <cell r="DU2058">
            <v>12.496952122717817</v>
          </cell>
          <cell r="DV2058">
            <v>11.644336226312735</v>
          </cell>
          <cell r="DW2058">
            <v>9.8476005987137558</v>
          </cell>
          <cell r="DX2058">
            <v>7.1073990168282446</v>
          </cell>
          <cell r="DY2058">
            <v>12.587802180599267</v>
          </cell>
        </row>
        <row r="2059">
          <cell r="A2059">
            <v>42346</v>
          </cell>
          <cell r="DF2059">
            <v>22.469584114112081</v>
          </cell>
          <cell r="DG2059">
            <v>21.679348620667902</v>
          </cell>
          <cell r="DH2059">
            <v>18.362277992096409</v>
          </cell>
          <cell r="DI2059">
            <v>14.300000632844487</v>
          </cell>
          <cell r="DJ2059">
            <v>22.424555351348332</v>
          </cell>
          <cell r="DU2059">
            <v>12.52944555672385</v>
          </cell>
          <cell r="DV2059">
            <v>11.644336226312735</v>
          </cell>
          <cell r="DW2059">
            <v>9.8476005987137558</v>
          </cell>
          <cell r="DX2059">
            <v>7.1073990168282446</v>
          </cell>
          <cell r="DY2059">
            <v>12.587802180599267</v>
          </cell>
        </row>
        <row r="2060">
          <cell r="A2060">
            <v>42347</v>
          </cell>
          <cell r="DF2060">
            <v>22.452503758854334</v>
          </cell>
          <cell r="DG2060">
            <v>21.679348620667902</v>
          </cell>
          <cell r="DH2060">
            <v>18.362277992096409</v>
          </cell>
          <cell r="DI2060">
            <v>14.300000632844487</v>
          </cell>
          <cell r="DJ2060">
            <v>22.424555351348332</v>
          </cell>
          <cell r="DU2060">
            <v>11.836879055031186</v>
          </cell>
          <cell r="DV2060">
            <v>11.644336226312735</v>
          </cell>
          <cell r="DW2060">
            <v>9.8476005987137558</v>
          </cell>
          <cell r="DX2060">
            <v>7.1073990168282446</v>
          </cell>
          <cell r="DY2060">
            <v>12.587802180599267</v>
          </cell>
        </row>
        <row r="2061">
          <cell r="A2061">
            <v>42348</v>
          </cell>
          <cell r="DF2061">
            <v>22.391020116149296</v>
          </cell>
          <cell r="DG2061">
            <v>21.679348620667902</v>
          </cell>
          <cell r="DH2061">
            <v>18.362277992096409</v>
          </cell>
          <cell r="DI2061">
            <v>14.300000632844487</v>
          </cell>
          <cell r="DJ2061">
            <v>22.424555351348332</v>
          </cell>
          <cell r="DU2061">
            <v>11.802562400330267</v>
          </cell>
          <cell r="DV2061">
            <v>11.644336226312735</v>
          </cell>
          <cell r="DW2061">
            <v>9.8476005987137558</v>
          </cell>
          <cell r="DX2061">
            <v>7.1073990168282446</v>
          </cell>
          <cell r="DY2061">
            <v>12.587802180599267</v>
          </cell>
        </row>
        <row r="2062">
          <cell r="A2062">
            <v>42349</v>
          </cell>
          <cell r="DF2062">
            <v>22.391020116149296</v>
          </cell>
          <cell r="DG2062">
            <v>21.679348620667902</v>
          </cell>
          <cell r="DH2062">
            <v>18.362277992096409</v>
          </cell>
          <cell r="DI2062">
            <v>14.300000632844487</v>
          </cell>
          <cell r="DJ2062">
            <v>22.424555351348332</v>
          </cell>
          <cell r="DU2062">
            <v>11.780851690767912</v>
          </cell>
          <cell r="DV2062">
            <v>11.644336226312735</v>
          </cell>
          <cell r="DW2062">
            <v>9.8476005987137558</v>
          </cell>
          <cell r="DX2062">
            <v>7.1073990168282446</v>
          </cell>
          <cell r="DY2062">
            <v>12.587802180599267</v>
          </cell>
        </row>
        <row r="2063">
          <cell r="A2063">
            <v>42352</v>
          </cell>
          <cell r="DF2063">
            <v>21.642046604179587</v>
          </cell>
          <cell r="DG2063">
            <v>21.679348620667902</v>
          </cell>
          <cell r="DH2063">
            <v>18.362277992096409</v>
          </cell>
          <cell r="DI2063">
            <v>14.300000632844487</v>
          </cell>
          <cell r="DJ2063">
            <v>22.424555351348332</v>
          </cell>
          <cell r="DU2063">
            <v>11.363586461010605</v>
          </cell>
          <cell r="DV2063">
            <v>11.644336226312735</v>
          </cell>
          <cell r="DW2063">
            <v>9.8476005987137558</v>
          </cell>
          <cell r="DX2063">
            <v>7.1073990168282446</v>
          </cell>
          <cell r="DY2063">
            <v>12.587802180599267</v>
          </cell>
        </row>
        <row r="2064">
          <cell r="A2064">
            <v>42353</v>
          </cell>
          <cell r="DF2064">
            <v>22.378366095080924</v>
          </cell>
          <cell r="DG2064">
            <v>21.679348620667902</v>
          </cell>
          <cell r="DH2064">
            <v>18.362277992096409</v>
          </cell>
          <cell r="DI2064">
            <v>14.300000632844487</v>
          </cell>
          <cell r="DJ2064">
            <v>22.424555351348332</v>
          </cell>
          <cell r="DU2064">
            <v>11.329237906286094</v>
          </cell>
          <cell r="DV2064">
            <v>11.644336226312735</v>
          </cell>
          <cell r="DW2064">
            <v>9.8476005987137558</v>
          </cell>
          <cell r="DX2064">
            <v>7.1073990168282446</v>
          </cell>
          <cell r="DY2064">
            <v>12.587802180599267</v>
          </cell>
        </row>
        <row r="2065">
          <cell r="A2065">
            <v>42354</v>
          </cell>
          <cell r="DF2065">
            <v>21.99280178180555</v>
          </cell>
          <cell r="DG2065">
            <v>21.679348620667902</v>
          </cell>
          <cell r="DH2065">
            <v>18.362277992096409</v>
          </cell>
          <cell r="DI2065">
            <v>14.300000632844487</v>
          </cell>
          <cell r="DJ2065">
            <v>22.424555351348332</v>
          </cell>
          <cell r="DU2065">
            <v>11.552763404070513</v>
          </cell>
          <cell r="DV2065">
            <v>11.644336226312735</v>
          </cell>
          <cell r="DW2065">
            <v>9.8476005987137558</v>
          </cell>
          <cell r="DX2065">
            <v>7.1073990168282446</v>
          </cell>
          <cell r="DY2065">
            <v>12.587802180599267</v>
          </cell>
        </row>
        <row r="2066">
          <cell r="A2066">
            <v>42355</v>
          </cell>
          <cell r="DF2066">
            <v>22.14336324226727</v>
          </cell>
          <cell r="DG2066">
            <v>21.679348620667902</v>
          </cell>
          <cell r="DH2066">
            <v>18.362277992096409</v>
          </cell>
          <cell r="DI2066">
            <v>14.300000632844487</v>
          </cell>
          <cell r="DJ2066">
            <v>22.424555351348332</v>
          </cell>
          <cell r="DU2066">
            <v>11.6365865911269</v>
          </cell>
          <cell r="DV2066">
            <v>11.644336226312735</v>
          </cell>
          <cell r="DW2066">
            <v>9.8476005987137558</v>
          </cell>
          <cell r="DX2066">
            <v>7.1073990168282446</v>
          </cell>
          <cell r="DY2066">
            <v>12.587802180599267</v>
          </cell>
        </row>
        <row r="2067">
          <cell r="A2067">
            <v>42356</v>
          </cell>
          <cell r="DF2067">
            <v>21.725143159060021</v>
          </cell>
          <cell r="DG2067">
            <v>21.679348620667902</v>
          </cell>
          <cell r="DH2067">
            <v>18.362277992096409</v>
          </cell>
          <cell r="DI2067">
            <v>14.300000632844487</v>
          </cell>
          <cell r="DJ2067">
            <v>22.424555351348332</v>
          </cell>
          <cell r="DU2067">
            <v>11.403747854321928</v>
          </cell>
          <cell r="DV2067">
            <v>11.644336226312735</v>
          </cell>
          <cell r="DW2067">
            <v>9.8476005987137558</v>
          </cell>
          <cell r="DX2067">
            <v>7.1073990168282446</v>
          </cell>
          <cell r="DY2067">
            <v>12.587802180599267</v>
          </cell>
        </row>
        <row r="2068">
          <cell r="A2068">
            <v>42359</v>
          </cell>
          <cell r="DF2068">
            <v>21.462459949764838</v>
          </cell>
          <cell r="DG2068">
            <v>21.679348620667902</v>
          </cell>
          <cell r="DH2068">
            <v>18.362277992096409</v>
          </cell>
          <cell r="DI2068">
            <v>14.300000632844487</v>
          </cell>
          <cell r="DJ2068">
            <v>22.424555351348332</v>
          </cell>
          <cell r="DU2068">
            <v>11.42330811760081</v>
          </cell>
          <cell r="DV2068">
            <v>11.644336226312735</v>
          </cell>
          <cell r="DW2068">
            <v>9.8476005987137558</v>
          </cell>
          <cell r="DX2068">
            <v>7.1073990168282446</v>
          </cell>
          <cell r="DY2068">
            <v>12.587802180599267</v>
          </cell>
        </row>
        <row r="2069">
          <cell r="A2069">
            <v>42360</v>
          </cell>
          <cell r="DF2069">
            <v>21.752713368687555</v>
          </cell>
          <cell r="DG2069">
            <v>21.679348620667902</v>
          </cell>
          <cell r="DH2069">
            <v>18.362277992096409</v>
          </cell>
          <cell r="DI2069">
            <v>14.300000632844487</v>
          </cell>
          <cell r="DJ2069">
            <v>22.424555351348332</v>
          </cell>
          <cell r="DU2069">
            <v>11.264703090825906</v>
          </cell>
          <cell r="DV2069">
            <v>11.644336226312735</v>
          </cell>
          <cell r="DW2069">
            <v>9.8476005987137558</v>
          </cell>
          <cell r="DX2069">
            <v>7.1073990168282446</v>
          </cell>
          <cell r="DY2069">
            <v>12.587802180599267</v>
          </cell>
        </row>
        <row r="2070">
          <cell r="A2070">
            <v>42361</v>
          </cell>
          <cell r="DF2070">
            <v>21.655111327660332</v>
          </cell>
          <cell r="DG2070">
            <v>21.679348620667902</v>
          </cell>
          <cell r="DH2070">
            <v>18.362277992096409</v>
          </cell>
          <cell r="DI2070">
            <v>14.300000632844487</v>
          </cell>
          <cell r="DJ2070">
            <v>22.424555351348332</v>
          </cell>
          <cell r="DU2070">
            <v>11.4339596262445</v>
          </cell>
          <cell r="DV2070">
            <v>11.644336226312735</v>
          </cell>
          <cell r="DW2070">
            <v>9.8476005987137558</v>
          </cell>
          <cell r="DX2070">
            <v>7.1073990168282446</v>
          </cell>
          <cell r="DY2070">
            <v>12.587802180599267</v>
          </cell>
        </row>
        <row r="2071">
          <cell r="A2071">
            <v>42362</v>
          </cell>
          <cell r="DF2071">
            <v>21.197297063746628</v>
          </cell>
          <cell r="DG2071">
            <v>21.679348620667902</v>
          </cell>
          <cell r="DH2071">
            <v>18.362277992096409</v>
          </cell>
          <cell r="DI2071">
            <v>14.300000632844487</v>
          </cell>
          <cell r="DJ2071">
            <v>22.424555351348332</v>
          </cell>
          <cell r="DU2071">
            <v>11.177694340218938</v>
          </cell>
          <cell r="DV2071">
            <v>11.644336226312735</v>
          </cell>
          <cell r="DW2071">
            <v>9.8476005987137558</v>
          </cell>
          <cell r="DX2071">
            <v>7.1073990168282446</v>
          </cell>
          <cell r="DY2071">
            <v>12.587802180599267</v>
          </cell>
        </row>
        <row r="2072">
          <cell r="A2072">
            <v>42363</v>
          </cell>
          <cell r="DF2072">
            <v>20.244312604110853</v>
          </cell>
          <cell r="DG2072">
            <v>21.679348620667902</v>
          </cell>
          <cell r="DH2072">
            <v>18.362277992096409</v>
          </cell>
          <cell r="DI2072">
            <v>14.300000632844487</v>
          </cell>
          <cell r="DJ2072">
            <v>22.424555351348332</v>
          </cell>
          <cell r="DU2072">
            <v>10.55718538479684</v>
          </cell>
          <cell r="DV2072">
            <v>11.644336226312735</v>
          </cell>
          <cell r="DW2072">
            <v>9.8476005987137558</v>
          </cell>
          <cell r="DX2072">
            <v>7.1073990168282446</v>
          </cell>
          <cell r="DY2072">
            <v>12.587802180599267</v>
          </cell>
        </row>
        <row r="2073">
          <cell r="A2073">
            <v>42366</v>
          </cell>
          <cell r="DF2073">
            <v>20.133929687502015</v>
          </cell>
          <cell r="DG2073">
            <v>21.679348620667902</v>
          </cell>
          <cell r="DH2073">
            <v>18.362277992096409</v>
          </cell>
          <cell r="DI2073">
            <v>14.300000632844487</v>
          </cell>
          <cell r="DJ2073">
            <v>22.424555351348332</v>
          </cell>
          <cell r="DU2073">
            <v>10.465684337922163</v>
          </cell>
          <cell r="DV2073">
            <v>11.644336226312735</v>
          </cell>
          <cell r="DW2073">
            <v>9.8476005987137558</v>
          </cell>
          <cell r="DX2073">
            <v>7.1073990168282446</v>
          </cell>
          <cell r="DY2073">
            <v>12.587802180599267</v>
          </cell>
        </row>
        <row r="2074">
          <cell r="A2074">
            <v>42367</v>
          </cell>
          <cell r="DF2074">
            <v>20.148751952400676</v>
          </cell>
          <cell r="DG2074">
            <v>21.679348620667902</v>
          </cell>
          <cell r="DH2074">
            <v>18.362277992096409</v>
          </cell>
          <cell r="DI2074">
            <v>14.300000632844487</v>
          </cell>
          <cell r="DJ2074">
            <v>22.424555351348332</v>
          </cell>
          <cell r="DU2074">
            <v>10.465684337922163</v>
          </cell>
          <cell r="DV2074">
            <v>11.644336226312735</v>
          </cell>
          <cell r="DW2074">
            <v>9.8476005987137558</v>
          </cell>
          <cell r="DX2074">
            <v>7.1073990168282446</v>
          </cell>
          <cell r="DY2074">
            <v>12.587802180599267</v>
          </cell>
        </row>
        <row r="2075">
          <cell r="A2075">
            <v>42368</v>
          </cell>
          <cell r="DF2075">
            <v>19.524118261026825</v>
          </cell>
          <cell r="DG2075">
            <v>21.679348620667902</v>
          </cell>
          <cell r="DH2075">
            <v>18.362277992096409</v>
          </cell>
          <cell r="DI2075">
            <v>14.300000632844487</v>
          </cell>
          <cell r="DJ2075">
            <v>22.424555351348332</v>
          </cell>
          <cell r="DU2075">
            <v>10.116849561273314</v>
          </cell>
          <cell r="DV2075">
            <v>11.644336226312735</v>
          </cell>
          <cell r="DW2075">
            <v>9.8476005987137558</v>
          </cell>
          <cell r="DX2075">
            <v>7.1073990168282446</v>
          </cell>
          <cell r="DY2075">
            <v>12.587802180599267</v>
          </cell>
        </row>
        <row r="2076">
          <cell r="A2076">
            <v>42369</v>
          </cell>
          <cell r="DF2076">
            <v>19.27616367279747</v>
          </cell>
          <cell r="DG2076">
            <v>21.679348620667902</v>
          </cell>
          <cell r="DH2076">
            <v>18.362277992096409</v>
          </cell>
          <cell r="DI2076">
            <v>14.300000632844487</v>
          </cell>
          <cell r="DJ2076">
            <v>22.424555351348332</v>
          </cell>
          <cell r="DU2076">
            <v>9.9986760295660186</v>
          </cell>
          <cell r="DV2076">
            <v>11.644336226312735</v>
          </cell>
          <cell r="DW2076">
            <v>9.8476005987137558</v>
          </cell>
          <cell r="DX2076">
            <v>7.1073990168282446</v>
          </cell>
          <cell r="DY2076">
            <v>12.587802180599267</v>
          </cell>
        </row>
        <row r="2077">
          <cell r="A2077">
            <v>42370</v>
          </cell>
          <cell r="DF2077">
            <v>19.292875991897766</v>
          </cell>
          <cell r="DG2077">
            <v>21.679348620667902</v>
          </cell>
          <cell r="DH2077">
            <v>18.362277992096409</v>
          </cell>
          <cell r="DI2077">
            <v>14.300000632844487</v>
          </cell>
          <cell r="DJ2077">
            <v>22.424555351348332</v>
          </cell>
          <cell r="DU2077">
            <v>10.008191235431191</v>
          </cell>
          <cell r="DV2077">
            <v>11.644336226312735</v>
          </cell>
          <cell r="DW2077">
            <v>9.8476005987137558</v>
          </cell>
          <cell r="DX2077">
            <v>7.1073990168282446</v>
          </cell>
          <cell r="DY2077">
            <v>12.587802180599267</v>
          </cell>
        </row>
        <row r="2078">
          <cell r="A2078">
            <v>42373</v>
          </cell>
          <cell r="DF2078">
            <v>19.008742611271582</v>
          </cell>
          <cell r="DG2078">
            <v>21.679348620667902</v>
          </cell>
          <cell r="DH2078">
            <v>18.362277992096409</v>
          </cell>
          <cell r="DI2078">
            <v>14.300000632844487</v>
          </cell>
          <cell r="DJ2078">
            <v>22.424555351348332</v>
          </cell>
          <cell r="DU2078">
            <v>9.8464190963522658</v>
          </cell>
          <cell r="DV2078">
            <v>11.644336226312735</v>
          </cell>
          <cell r="DW2078">
            <v>9.8476005987137558</v>
          </cell>
          <cell r="DX2078">
            <v>7.1073990168282446</v>
          </cell>
          <cell r="DY2078">
            <v>12.587802180599267</v>
          </cell>
        </row>
        <row r="2079">
          <cell r="A2079">
            <v>42374</v>
          </cell>
          <cell r="DF2079">
            <v>19.015560220562346</v>
          </cell>
          <cell r="DG2079">
            <v>21.679348620667902</v>
          </cell>
          <cell r="DH2079">
            <v>18.362277992096409</v>
          </cell>
          <cell r="DI2079">
            <v>14.300000632844487</v>
          </cell>
          <cell r="DJ2079">
            <v>22.424555351348332</v>
          </cell>
          <cell r="DU2079">
            <v>9.8464190963522658</v>
          </cell>
          <cell r="DV2079">
            <v>11.644336226312735</v>
          </cell>
          <cell r="DW2079">
            <v>9.8476005987137558</v>
          </cell>
          <cell r="DX2079">
            <v>7.1073990168282446</v>
          </cell>
          <cell r="DY2079">
            <v>12.587802180599267</v>
          </cell>
        </row>
        <row r="2080">
          <cell r="A2080">
            <v>42375</v>
          </cell>
          <cell r="DF2080">
            <v>19.015560220562346</v>
          </cell>
          <cell r="DG2080">
            <v>21.679348620667902</v>
          </cell>
          <cell r="DH2080">
            <v>18.362277992096409</v>
          </cell>
          <cell r="DI2080">
            <v>14.300000632844487</v>
          </cell>
          <cell r="DJ2080">
            <v>22.424555351348332</v>
          </cell>
          <cell r="DU2080">
            <v>9.8728897433181846</v>
          </cell>
          <cell r="DV2080">
            <v>11.644336226312735</v>
          </cell>
          <cell r="DW2080">
            <v>9.8476005987137558</v>
          </cell>
          <cell r="DX2080">
            <v>7.1073990168282446</v>
          </cell>
          <cell r="DY2080">
            <v>12.587802180599267</v>
          </cell>
        </row>
        <row r="2081">
          <cell r="A2081">
            <v>42376</v>
          </cell>
          <cell r="DF2081">
            <v>19.693686864945757</v>
          </cell>
          <cell r="DG2081">
            <v>21.679348620667902</v>
          </cell>
          <cell r="DH2081">
            <v>18.362277992096409</v>
          </cell>
          <cell r="DI2081">
            <v>14.300000632844487</v>
          </cell>
          <cell r="DJ2081">
            <v>22.424555351348332</v>
          </cell>
          <cell r="DU2081">
            <v>10.259781282544351</v>
          </cell>
          <cell r="DV2081">
            <v>11.644336226312735</v>
          </cell>
          <cell r="DW2081">
            <v>9.8476005987137558</v>
          </cell>
          <cell r="DX2081">
            <v>7.1073990168282446</v>
          </cell>
          <cell r="DY2081">
            <v>12.587802180599267</v>
          </cell>
        </row>
        <row r="2082">
          <cell r="A2082">
            <v>42377</v>
          </cell>
          <cell r="DF2082">
            <v>19.64113443659549</v>
          </cell>
          <cell r="DG2082">
            <v>21.679348620667902</v>
          </cell>
          <cell r="DH2082">
            <v>18.362277992096409</v>
          </cell>
          <cell r="DI2082">
            <v>14.300000632844487</v>
          </cell>
          <cell r="DJ2082">
            <v>22.424555351348332</v>
          </cell>
          <cell r="DU2082">
            <v>10.117965039864337</v>
          </cell>
          <cell r="DV2082">
            <v>11.644336226312735</v>
          </cell>
          <cell r="DW2082">
            <v>9.8476005987137558</v>
          </cell>
          <cell r="DX2082">
            <v>7.1073990168282446</v>
          </cell>
          <cell r="DY2082">
            <v>12.587802180599267</v>
          </cell>
        </row>
        <row r="2083">
          <cell r="A2083">
            <v>42380</v>
          </cell>
          <cell r="DF2083">
            <v>19.384529564895949</v>
          </cell>
          <cell r="DG2083">
            <v>21.679348620667902</v>
          </cell>
          <cell r="DH2083">
            <v>18.362277992096409</v>
          </cell>
          <cell r="DI2083">
            <v>14.300000632844487</v>
          </cell>
          <cell r="DJ2083">
            <v>22.424555351348332</v>
          </cell>
          <cell r="DU2083">
            <v>9.9731155178189201</v>
          </cell>
          <cell r="DV2083">
            <v>11.644336226312735</v>
          </cell>
          <cell r="DW2083">
            <v>9.8476005987137558</v>
          </cell>
          <cell r="DX2083">
            <v>7.1073990168282446</v>
          </cell>
          <cell r="DY2083">
            <v>12.587802180599267</v>
          </cell>
        </row>
        <row r="2084">
          <cell r="A2084">
            <v>42381</v>
          </cell>
          <cell r="DF2084">
            <v>19.390105057644188</v>
          </cell>
          <cell r="DG2084">
            <v>21.679348620667902</v>
          </cell>
          <cell r="DH2084">
            <v>18.362277992096409</v>
          </cell>
          <cell r="DI2084">
            <v>14.300000632844487</v>
          </cell>
          <cell r="DJ2084">
            <v>22.424555351348332</v>
          </cell>
          <cell r="DU2084">
            <v>9.9762627981273582</v>
          </cell>
          <cell r="DV2084">
            <v>11.644336226312735</v>
          </cell>
          <cell r="DW2084">
            <v>9.8476005987137558</v>
          </cell>
          <cell r="DX2084">
            <v>7.1073990168282446</v>
          </cell>
          <cell r="DY2084">
            <v>12.587802180599267</v>
          </cell>
        </row>
        <row r="2085">
          <cell r="A2085">
            <v>42382</v>
          </cell>
          <cell r="DF2085">
            <v>19.52322426978688</v>
          </cell>
          <cell r="DG2085">
            <v>21.679348620667902</v>
          </cell>
          <cell r="DH2085">
            <v>18.362277992096409</v>
          </cell>
          <cell r="DI2085">
            <v>14.300000632844487</v>
          </cell>
          <cell r="DJ2085">
            <v>22.424555351348332</v>
          </cell>
          <cell r="DU2085">
            <v>10.051836886214083</v>
          </cell>
          <cell r="DV2085">
            <v>11.644336226312735</v>
          </cell>
          <cell r="DW2085">
            <v>9.8476005987137558</v>
          </cell>
          <cell r="DX2085">
            <v>7.1073990168282446</v>
          </cell>
          <cell r="DY2085">
            <v>12.587802180599267</v>
          </cell>
        </row>
        <row r="2086">
          <cell r="A2086">
            <v>42383</v>
          </cell>
          <cell r="DF2086">
            <v>19.394931585046031</v>
          </cell>
          <cell r="DG2086">
            <v>21.679348620667902</v>
          </cell>
          <cell r="DH2086">
            <v>18.362277992096409</v>
          </cell>
          <cell r="DI2086">
            <v>14.300000632844487</v>
          </cell>
          <cell r="DJ2086">
            <v>22.424555351348332</v>
          </cell>
          <cell r="DU2086">
            <v>9.9794148017178994</v>
          </cell>
          <cell r="DV2086">
            <v>11.644336226312735</v>
          </cell>
          <cell r="DW2086">
            <v>9.8476005987137558</v>
          </cell>
          <cell r="DX2086">
            <v>7.1073990168282446</v>
          </cell>
          <cell r="DY2086">
            <v>12.587802180599267</v>
          </cell>
        </row>
        <row r="2087">
          <cell r="A2087">
            <v>42384</v>
          </cell>
          <cell r="DF2087">
            <v>19.690568423324972</v>
          </cell>
          <cell r="DG2087">
            <v>21.679348620667902</v>
          </cell>
          <cell r="DH2087">
            <v>18.362277992096409</v>
          </cell>
          <cell r="DI2087">
            <v>14.300000632844487</v>
          </cell>
          <cell r="DJ2087">
            <v>22.424555351348332</v>
          </cell>
          <cell r="DU2087">
            <v>10.146303787830176</v>
          </cell>
          <cell r="DV2087">
            <v>11.644336226312735</v>
          </cell>
          <cell r="DW2087">
            <v>9.8476005987137558</v>
          </cell>
          <cell r="DX2087">
            <v>7.1073990168282446</v>
          </cell>
          <cell r="DY2087">
            <v>12.587802180599267</v>
          </cell>
        </row>
        <row r="2088">
          <cell r="A2088">
            <v>42387</v>
          </cell>
          <cell r="DF2088">
            <v>19.707301499943402</v>
          </cell>
          <cell r="DG2088">
            <v>21.679348620667902</v>
          </cell>
          <cell r="DH2088">
            <v>18.362277992096409</v>
          </cell>
          <cell r="DI2088">
            <v>14.300000632844487</v>
          </cell>
          <cell r="DJ2088">
            <v>22.424555351348332</v>
          </cell>
          <cell r="DU2088">
            <v>10.155749722266648</v>
          </cell>
          <cell r="DV2088">
            <v>11.644336226312735</v>
          </cell>
          <cell r="DW2088">
            <v>9.8476005987137558</v>
          </cell>
          <cell r="DX2088">
            <v>7.1073990168282446</v>
          </cell>
          <cell r="DY2088">
            <v>12.587802180599267</v>
          </cell>
        </row>
        <row r="2089">
          <cell r="A2089">
            <v>42388</v>
          </cell>
          <cell r="DF2089">
            <v>19.720164195702491</v>
          </cell>
          <cell r="DG2089">
            <v>21.679348620667902</v>
          </cell>
          <cell r="DH2089">
            <v>18.362277992096409</v>
          </cell>
          <cell r="DI2089">
            <v>14.300000632844487</v>
          </cell>
          <cell r="DJ2089">
            <v>22.424555351348332</v>
          </cell>
          <cell r="DU2089">
            <v>10.113216466205907</v>
          </cell>
          <cell r="DV2089">
            <v>11.644336226312735</v>
          </cell>
          <cell r="DW2089">
            <v>9.8476005987137558</v>
          </cell>
          <cell r="DX2089">
            <v>7.1073990168282446</v>
          </cell>
          <cell r="DY2089">
            <v>12.587802180599267</v>
          </cell>
        </row>
        <row r="2090">
          <cell r="A2090">
            <v>42389</v>
          </cell>
          <cell r="DF2090">
            <v>19.458858413641678</v>
          </cell>
          <cell r="DG2090">
            <v>21.679348620667902</v>
          </cell>
          <cell r="DH2090">
            <v>18.362277992096409</v>
          </cell>
          <cell r="DI2090">
            <v>14.300000632844487</v>
          </cell>
          <cell r="DJ2090">
            <v>22.424555351348332</v>
          </cell>
          <cell r="DU2090">
            <v>10.009738827099376</v>
          </cell>
          <cell r="DV2090">
            <v>11.644336226312735</v>
          </cell>
          <cell r="DW2090">
            <v>9.8476005987137558</v>
          </cell>
          <cell r="DX2090">
            <v>7.1073990168282446</v>
          </cell>
          <cell r="DY2090">
            <v>12.587802180599267</v>
          </cell>
        </row>
        <row r="2091">
          <cell r="A2091">
            <v>42390</v>
          </cell>
          <cell r="DF2091">
            <v>19.584081531469497</v>
          </cell>
          <cell r="DG2091">
            <v>21.679348620667902</v>
          </cell>
          <cell r="DH2091">
            <v>18.362277992096409</v>
          </cell>
          <cell r="DI2091">
            <v>14.300000632844487</v>
          </cell>
          <cell r="DJ2091">
            <v>22.424555351348332</v>
          </cell>
          <cell r="DU2091">
            <v>10.102038269381774</v>
          </cell>
          <cell r="DV2091">
            <v>11.644336226312735</v>
          </cell>
          <cell r="DW2091">
            <v>9.8476005987137558</v>
          </cell>
          <cell r="DX2091">
            <v>7.1073990168282446</v>
          </cell>
          <cell r="DY2091">
            <v>12.587802180599267</v>
          </cell>
        </row>
        <row r="2092">
          <cell r="A2092">
            <v>42391</v>
          </cell>
          <cell r="DF2092">
            <v>19.573061010880043</v>
          </cell>
          <cell r="DG2092">
            <v>21.679348620667902</v>
          </cell>
          <cell r="DH2092">
            <v>18.362277992096409</v>
          </cell>
          <cell r="DI2092">
            <v>14.300000632844487</v>
          </cell>
          <cell r="DJ2092">
            <v>22.424555351348332</v>
          </cell>
          <cell r="DU2092">
            <v>10.095814753444653</v>
          </cell>
          <cell r="DV2092">
            <v>11.644336226312735</v>
          </cell>
          <cell r="DW2092">
            <v>9.8476005987137558</v>
          </cell>
          <cell r="DX2092">
            <v>7.1073990168282446</v>
          </cell>
          <cell r="DY2092">
            <v>12.587802180599267</v>
          </cell>
        </row>
        <row r="2093">
          <cell r="A2093">
            <v>42394</v>
          </cell>
          <cell r="DF2093">
            <v>19.969701143093239</v>
          </cell>
          <cell r="DG2093">
            <v>21.679348620667902</v>
          </cell>
          <cell r="DH2093">
            <v>18.362277992096409</v>
          </cell>
          <cell r="DI2093">
            <v>14.300000632844487</v>
          </cell>
          <cell r="DJ2093">
            <v>22.424555351348332</v>
          </cell>
          <cell r="DU2093">
            <v>10.319805640634925</v>
          </cell>
          <cell r="DV2093">
            <v>11.644336226312735</v>
          </cell>
          <cell r="DW2093">
            <v>9.8476005987137558</v>
          </cell>
          <cell r="DX2093">
            <v>7.1073990168282446</v>
          </cell>
          <cell r="DY2093">
            <v>12.587802180599267</v>
          </cell>
        </row>
        <row r="2094">
          <cell r="A2094">
            <v>42395</v>
          </cell>
          <cell r="DF2094">
            <v>20.608733783225453</v>
          </cell>
          <cell r="DG2094">
            <v>21.679348620667902</v>
          </cell>
          <cell r="DH2094">
            <v>18.362277992096409</v>
          </cell>
          <cell r="DI2094">
            <v>14.300000632844487</v>
          </cell>
          <cell r="DJ2094">
            <v>22.424555351348332</v>
          </cell>
          <cell r="DU2094">
            <v>10.319805640634925</v>
          </cell>
          <cell r="DV2094">
            <v>11.644336226312735</v>
          </cell>
          <cell r="DW2094">
            <v>9.8476005987137558</v>
          </cell>
          <cell r="DX2094">
            <v>7.1073990168282446</v>
          </cell>
          <cell r="DY2094">
            <v>12.587802180599267</v>
          </cell>
        </row>
        <row r="2095">
          <cell r="A2095">
            <v>42396</v>
          </cell>
          <cell r="DF2095">
            <v>21.016385621815179</v>
          </cell>
          <cell r="DG2095">
            <v>21.679348620667902</v>
          </cell>
          <cell r="DH2095">
            <v>18.362277992096409</v>
          </cell>
          <cell r="DI2095">
            <v>14.300000632844487</v>
          </cell>
          <cell r="DJ2095">
            <v>22.424555351348332</v>
          </cell>
          <cell r="DU2095">
            <v>10.910890016512447</v>
          </cell>
          <cell r="DV2095">
            <v>11.644336226312735</v>
          </cell>
          <cell r="DW2095">
            <v>9.8476005987137558</v>
          </cell>
          <cell r="DX2095">
            <v>7.1073990168282446</v>
          </cell>
          <cell r="DY2095">
            <v>12.587802180599267</v>
          </cell>
        </row>
        <row r="2096">
          <cell r="A2096">
            <v>42397</v>
          </cell>
          <cell r="DF2096">
            <v>20.630765459303131</v>
          </cell>
          <cell r="DG2096">
            <v>21.679348620667902</v>
          </cell>
          <cell r="DH2096">
            <v>18.362277992096409</v>
          </cell>
          <cell r="DI2096">
            <v>14.300000632844487</v>
          </cell>
          <cell r="DJ2096">
            <v>22.424555351348332</v>
          </cell>
          <cell r="DU2096">
            <v>10.693122334161274</v>
          </cell>
          <cell r="DV2096">
            <v>11.644336226312735</v>
          </cell>
          <cell r="DW2096">
            <v>9.8476005987137558</v>
          </cell>
          <cell r="DX2096">
            <v>7.1073990168282446</v>
          </cell>
          <cell r="DY2096">
            <v>12.587802180599267</v>
          </cell>
        </row>
        <row r="2097">
          <cell r="A2097">
            <v>42398</v>
          </cell>
          <cell r="DF2097">
            <v>20.729929761740809</v>
          </cell>
          <cell r="DG2097">
            <v>21.679348620667902</v>
          </cell>
          <cell r="DH2097">
            <v>18.362277992096409</v>
          </cell>
          <cell r="DI2097">
            <v>14.300000632844487</v>
          </cell>
          <cell r="DJ2097">
            <v>22.424555351348332</v>
          </cell>
          <cell r="DU2097">
            <v>10.749122466968512</v>
          </cell>
          <cell r="DV2097">
            <v>11.644336226312735</v>
          </cell>
          <cell r="DW2097">
            <v>9.8476005987137558</v>
          </cell>
          <cell r="DX2097">
            <v>7.1073990168282446</v>
          </cell>
          <cell r="DY2097">
            <v>12.587802180599267</v>
          </cell>
        </row>
        <row r="2098">
          <cell r="A2098">
            <v>42401</v>
          </cell>
          <cell r="DF2098">
            <v>20.592207684891889</v>
          </cell>
          <cell r="DG2098">
            <v>21.679348620667902</v>
          </cell>
          <cell r="DH2098">
            <v>18.362277992096409</v>
          </cell>
          <cell r="DI2098">
            <v>14.300000632844487</v>
          </cell>
          <cell r="DJ2098">
            <v>22.424555351348332</v>
          </cell>
          <cell r="DU2098">
            <v>10.749122466968512</v>
          </cell>
          <cell r="DV2098">
            <v>11.644336226312735</v>
          </cell>
          <cell r="DW2098">
            <v>9.8476005987137558</v>
          </cell>
          <cell r="DX2098">
            <v>7.1073990168282446</v>
          </cell>
          <cell r="DY2098">
            <v>12.587802180599267</v>
          </cell>
        </row>
        <row r="2099">
          <cell r="A2099">
            <v>42402</v>
          </cell>
          <cell r="DF2099">
            <v>20.614239911857872</v>
          </cell>
          <cell r="DG2099">
            <v>21.679348620667902</v>
          </cell>
          <cell r="DH2099">
            <v>18.362277992096409</v>
          </cell>
          <cell r="DI2099">
            <v>14.300000632844487</v>
          </cell>
          <cell r="DJ2099">
            <v>22.424555351348332</v>
          </cell>
          <cell r="DU2099">
            <v>10.671347961380926</v>
          </cell>
          <cell r="DV2099">
            <v>11.644336226312735</v>
          </cell>
          <cell r="DW2099">
            <v>9.8476005987137558</v>
          </cell>
          <cell r="DX2099">
            <v>7.1073990168282446</v>
          </cell>
          <cell r="DY2099">
            <v>12.587802180599267</v>
          </cell>
        </row>
        <row r="2100">
          <cell r="A2100">
            <v>42403</v>
          </cell>
          <cell r="DF2100">
            <v>20.426244439883238</v>
          </cell>
          <cell r="DG2100">
            <v>21.679348620667902</v>
          </cell>
          <cell r="DH2100">
            <v>18.362277992096409</v>
          </cell>
          <cell r="DI2100">
            <v>14.300000632844487</v>
          </cell>
          <cell r="DJ2100">
            <v>22.424555351348332</v>
          </cell>
          <cell r="DU2100">
            <v>10.574908507746388</v>
          </cell>
          <cell r="DV2100">
            <v>11.644336226312735</v>
          </cell>
          <cell r="DW2100">
            <v>9.8476005987137558</v>
          </cell>
          <cell r="DX2100">
            <v>7.1073990168282446</v>
          </cell>
          <cell r="DY2100">
            <v>12.587802180599267</v>
          </cell>
        </row>
        <row r="2101">
          <cell r="A2101">
            <v>42404</v>
          </cell>
          <cell r="DF2101">
            <v>19.869710674184386</v>
          </cell>
          <cell r="DG2101">
            <v>21.679348620667902</v>
          </cell>
          <cell r="DH2101">
            <v>18.362277992096409</v>
          </cell>
          <cell r="DI2101">
            <v>14.300000632844487</v>
          </cell>
          <cell r="DJ2101">
            <v>22.424555351348332</v>
          </cell>
          <cell r="DU2101">
            <v>10.260696394192315</v>
          </cell>
          <cell r="DV2101">
            <v>11.644336226312735</v>
          </cell>
          <cell r="DW2101">
            <v>9.8476005987137558</v>
          </cell>
          <cell r="DX2101">
            <v>7.1073990168282446</v>
          </cell>
          <cell r="DY2101">
            <v>12.587802180599267</v>
          </cell>
        </row>
        <row r="2102">
          <cell r="A2102">
            <v>42405</v>
          </cell>
          <cell r="DF2102">
            <v>20.057468407966045</v>
          </cell>
          <cell r="DG2102">
            <v>21.679348620667902</v>
          </cell>
          <cell r="DH2102">
            <v>18.362277992096409</v>
          </cell>
          <cell r="DI2102">
            <v>14.300000632844487</v>
          </cell>
          <cell r="DJ2102">
            <v>22.424555351348332</v>
          </cell>
          <cell r="DU2102">
            <v>10.329138270207412</v>
          </cell>
          <cell r="DV2102">
            <v>11.644336226312735</v>
          </cell>
          <cell r="DW2102">
            <v>9.8476005987137558</v>
          </cell>
          <cell r="DX2102">
            <v>7.1073990168282446</v>
          </cell>
          <cell r="DY2102">
            <v>12.587802180599267</v>
          </cell>
        </row>
        <row r="2103">
          <cell r="A2103">
            <v>42408</v>
          </cell>
          <cell r="DF2103">
            <v>20.532921642910161</v>
          </cell>
          <cell r="DG2103">
            <v>21.679348620667902</v>
          </cell>
          <cell r="DH2103">
            <v>18.362277992096409</v>
          </cell>
          <cell r="DI2103">
            <v>14.300000632844487</v>
          </cell>
          <cell r="DJ2103">
            <v>22.424555351348332</v>
          </cell>
          <cell r="DU2103">
            <v>10.642674147069819</v>
          </cell>
          <cell r="DV2103">
            <v>11.644336226312735</v>
          </cell>
          <cell r="DW2103">
            <v>9.8476005987137558</v>
          </cell>
          <cell r="DX2103">
            <v>7.1073990168282446</v>
          </cell>
          <cell r="DY2103">
            <v>12.587802180599267</v>
          </cell>
        </row>
        <row r="2104">
          <cell r="A2104">
            <v>42409</v>
          </cell>
          <cell r="DF2104">
            <v>20.942085896370187</v>
          </cell>
          <cell r="DG2104">
            <v>21.679348620667902</v>
          </cell>
          <cell r="DH2104">
            <v>18.362277992096409</v>
          </cell>
          <cell r="DI2104">
            <v>14.300000632844487</v>
          </cell>
          <cell r="DJ2104">
            <v>22.424555351348332</v>
          </cell>
          <cell r="DU2104">
            <v>10.896280432565318</v>
          </cell>
          <cell r="DV2104">
            <v>11.644336226312735</v>
          </cell>
          <cell r="DW2104">
            <v>9.8476005987137558</v>
          </cell>
          <cell r="DX2104">
            <v>7.1073990168282446</v>
          </cell>
          <cell r="DY2104">
            <v>12.587802180599267</v>
          </cell>
        </row>
        <row r="2105">
          <cell r="A2105">
            <v>42410</v>
          </cell>
          <cell r="DF2105">
            <v>20.873693107968418</v>
          </cell>
          <cell r="DG2105">
            <v>21.679348620667902</v>
          </cell>
          <cell r="DH2105">
            <v>18.362277992096409</v>
          </cell>
          <cell r="DI2105">
            <v>14.300000632844487</v>
          </cell>
          <cell r="DJ2105">
            <v>22.424555351348332</v>
          </cell>
          <cell r="DU2105">
            <v>10.855476111278023</v>
          </cell>
          <cell r="DV2105">
            <v>11.644336226312735</v>
          </cell>
          <cell r="DW2105">
            <v>9.8476005987137558</v>
          </cell>
          <cell r="DX2105">
            <v>7.1073990168282446</v>
          </cell>
          <cell r="DY2105">
            <v>12.587802180599267</v>
          </cell>
        </row>
        <row r="2106">
          <cell r="A2106">
            <v>42411</v>
          </cell>
          <cell r="DF2106">
            <v>20.602099562960561</v>
          </cell>
          <cell r="DG2106">
            <v>21.679348620667902</v>
          </cell>
          <cell r="DH2106">
            <v>18.362277992096409</v>
          </cell>
          <cell r="DI2106">
            <v>14.300000632844487</v>
          </cell>
          <cell r="DJ2106">
            <v>22.424555351348332</v>
          </cell>
          <cell r="DU2106">
            <v>10.701661806697812</v>
          </cell>
          <cell r="DV2106">
            <v>11.644336226312735</v>
          </cell>
          <cell r="DW2106">
            <v>9.8476005987137558</v>
          </cell>
          <cell r="DX2106">
            <v>7.1073990168282446</v>
          </cell>
          <cell r="DY2106">
            <v>12.587802180599267</v>
          </cell>
        </row>
        <row r="2107">
          <cell r="A2107">
            <v>42412</v>
          </cell>
          <cell r="DF2107">
            <v>20.174636174636177</v>
          </cell>
          <cell r="DG2107">
            <v>21.679348620667902</v>
          </cell>
          <cell r="DH2107">
            <v>18.362277992096409</v>
          </cell>
          <cell r="DI2107">
            <v>14.300000632844487</v>
          </cell>
          <cell r="DJ2107">
            <v>22.424555351348332</v>
          </cell>
          <cell r="DU2107">
            <v>10.460619334963971</v>
          </cell>
          <cell r="DV2107">
            <v>11.644336226312735</v>
          </cell>
          <cell r="DW2107">
            <v>9.8476005987137558</v>
          </cell>
          <cell r="DX2107">
            <v>7.1073990168282446</v>
          </cell>
          <cell r="DY2107">
            <v>12.587802180599267</v>
          </cell>
        </row>
        <row r="2108">
          <cell r="A2108">
            <v>42415</v>
          </cell>
          <cell r="DF2108">
            <v>20.152464033264032</v>
          </cell>
          <cell r="DG2108">
            <v>21.679348620667902</v>
          </cell>
          <cell r="DH2108">
            <v>18.362277992096409</v>
          </cell>
          <cell r="DI2108">
            <v>14.300000632844487</v>
          </cell>
          <cell r="DJ2108">
            <v>22.424555351348332</v>
          </cell>
          <cell r="DU2108">
            <v>10.460619334963971</v>
          </cell>
          <cell r="DV2108">
            <v>11.644336226312735</v>
          </cell>
          <cell r="DW2108">
            <v>9.8476005987137558</v>
          </cell>
          <cell r="DX2108">
            <v>7.1073990168282446</v>
          </cell>
          <cell r="DY2108">
            <v>12.587802180599267</v>
          </cell>
        </row>
        <row r="2109">
          <cell r="A2109">
            <v>42416</v>
          </cell>
          <cell r="DF2109">
            <v>20.152464033264032</v>
          </cell>
          <cell r="DG2109">
            <v>21.679348620667902</v>
          </cell>
          <cell r="DH2109">
            <v>18.362277992096409</v>
          </cell>
          <cell r="DI2109">
            <v>14.300000632844487</v>
          </cell>
          <cell r="DJ2109">
            <v>22.424555351348332</v>
          </cell>
          <cell r="DU2109">
            <v>10.460619334963971</v>
          </cell>
          <cell r="DV2109">
            <v>11.644336226312735</v>
          </cell>
          <cell r="DW2109">
            <v>9.8476005987137558</v>
          </cell>
          <cell r="DX2109">
            <v>7.1073990168282446</v>
          </cell>
          <cell r="DY2109">
            <v>12.587802180599267</v>
          </cell>
        </row>
        <row r="2110">
          <cell r="A2110">
            <v>42417</v>
          </cell>
          <cell r="DF2110">
            <v>19.850816142925858</v>
          </cell>
          <cell r="DG2110">
            <v>21.679348620667902</v>
          </cell>
          <cell r="DH2110">
            <v>18.362277992096409</v>
          </cell>
          <cell r="DI2110">
            <v>14.300000632844487</v>
          </cell>
          <cell r="DJ2110">
            <v>22.424555351348332</v>
          </cell>
          <cell r="DU2110">
            <v>10.275350164204051</v>
          </cell>
          <cell r="DV2110">
            <v>11.644336226312735</v>
          </cell>
          <cell r="DW2110">
            <v>9.8476005987137558</v>
          </cell>
          <cell r="DX2110">
            <v>7.1073990168282446</v>
          </cell>
          <cell r="DY2110">
            <v>12.587802180599267</v>
          </cell>
        </row>
        <row r="2111">
          <cell r="A2111">
            <v>42418</v>
          </cell>
          <cell r="DF2111">
            <v>20.712405266805266</v>
          </cell>
          <cell r="DG2111">
            <v>21.679348620667902</v>
          </cell>
          <cell r="DH2111">
            <v>18.362277992096409</v>
          </cell>
          <cell r="DI2111">
            <v>14.300000632844487</v>
          </cell>
          <cell r="DJ2111">
            <v>22.424555351348332</v>
          </cell>
          <cell r="DU2111">
            <v>10.765216791398073</v>
          </cell>
          <cell r="DV2111">
            <v>11.644336226312735</v>
          </cell>
          <cell r="DW2111">
            <v>9.8476005987137558</v>
          </cell>
          <cell r="DX2111">
            <v>7.1073990168282446</v>
          </cell>
          <cell r="DY2111">
            <v>12.587802180599267</v>
          </cell>
        </row>
        <row r="2112">
          <cell r="A2112">
            <v>42419</v>
          </cell>
          <cell r="DF2112">
            <v>20.656961884961888</v>
          </cell>
          <cell r="DG2112">
            <v>21.679348620667902</v>
          </cell>
          <cell r="DH2112">
            <v>18.362277992096409</v>
          </cell>
          <cell r="DI2112">
            <v>14.300000632844487</v>
          </cell>
          <cell r="DJ2112">
            <v>22.424555351348332</v>
          </cell>
          <cell r="DU2112">
            <v>10.733813140032614</v>
          </cell>
          <cell r="DV2112">
            <v>11.644336226312735</v>
          </cell>
          <cell r="DW2112">
            <v>9.8476005987137558</v>
          </cell>
          <cell r="DX2112">
            <v>7.1073990168282446</v>
          </cell>
          <cell r="DY2112">
            <v>12.587802180599267</v>
          </cell>
        </row>
        <row r="2113">
          <cell r="A2113">
            <v>42422</v>
          </cell>
          <cell r="DF2113">
            <v>20.751208870408874</v>
          </cell>
          <cell r="DG2113">
            <v>21.679348620667902</v>
          </cell>
          <cell r="DH2113">
            <v>18.362277992096409</v>
          </cell>
          <cell r="DI2113">
            <v>14.300000632844487</v>
          </cell>
          <cell r="DJ2113">
            <v>22.424555351348332</v>
          </cell>
          <cell r="DU2113">
            <v>10.787195516338292</v>
          </cell>
          <cell r="DV2113">
            <v>11.644336226312735</v>
          </cell>
          <cell r="DW2113">
            <v>9.8476005987137558</v>
          </cell>
          <cell r="DX2113">
            <v>7.1073990168282446</v>
          </cell>
          <cell r="DY2113">
            <v>12.587802180599267</v>
          </cell>
        </row>
        <row r="2114">
          <cell r="A2114">
            <v>42423</v>
          </cell>
          <cell r="DF2114">
            <v>21.016766144547198</v>
          </cell>
          <cell r="DG2114">
            <v>21.679348620667902</v>
          </cell>
          <cell r="DH2114">
            <v>18.362277992096409</v>
          </cell>
          <cell r="DI2114">
            <v>14.300000632844487</v>
          </cell>
          <cell r="DJ2114">
            <v>22.424555351348332</v>
          </cell>
          <cell r="DU2114">
            <v>10.959204718574513</v>
          </cell>
          <cell r="DV2114">
            <v>11.644336226312735</v>
          </cell>
          <cell r="DW2114">
            <v>9.8476005987137558</v>
          </cell>
          <cell r="DX2114">
            <v>7.1073990168282446</v>
          </cell>
          <cell r="DY2114">
            <v>12.587802180599267</v>
          </cell>
        </row>
        <row r="2115">
          <cell r="A2115">
            <v>42424</v>
          </cell>
          <cell r="DF2115">
            <v>20.983782907394133</v>
          </cell>
          <cell r="DG2115">
            <v>21.679348620667902</v>
          </cell>
          <cell r="DH2115">
            <v>18.362277992096409</v>
          </cell>
          <cell r="DI2115">
            <v>14.300000632844487</v>
          </cell>
          <cell r="DJ2115">
            <v>22.424555351348332</v>
          </cell>
          <cell r="DU2115">
            <v>10.940500125256897</v>
          </cell>
          <cell r="DV2115">
            <v>11.644336226312735</v>
          </cell>
          <cell r="DW2115">
            <v>9.8476005987137558</v>
          </cell>
          <cell r="DX2115">
            <v>7.1073990168282446</v>
          </cell>
          <cell r="DY2115">
            <v>12.587802180599267</v>
          </cell>
        </row>
        <row r="2116">
          <cell r="A2116">
            <v>42425</v>
          </cell>
          <cell r="DF2116">
            <v>20.758452871670009</v>
          </cell>
          <cell r="DG2116">
            <v>21.679348620667902</v>
          </cell>
          <cell r="DH2116">
            <v>18.362277992096409</v>
          </cell>
          <cell r="DI2116">
            <v>14.300000632844487</v>
          </cell>
          <cell r="DJ2116">
            <v>22.424555351348332</v>
          </cell>
          <cell r="DU2116">
            <v>10.812716831552146</v>
          </cell>
          <cell r="DV2116">
            <v>11.644336226312735</v>
          </cell>
          <cell r="DW2116">
            <v>9.8476005987137558</v>
          </cell>
          <cell r="DX2116">
            <v>7.1073990168282446</v>
          </cell>
          <cell r="DY2116">
            <v>12.587802180599267</v>
          </cell>
        </row>
        <row r="2117">
          <cell r="A2117">
            <v>42426</v>
          </cell>
          <cell r="DF2117">
            <v>21.467435009620065</v>
          </cell>
          <cell r="DG2117">
            <v>21.679348620667902</v>
          </cell>
          <cell r="DH2117">
            <v>18.362277992096409</v>
          </cell>
          <cell r="DI2117">
            <v>14.300000632844487</v>
          </cell>
          <cell r="DJ2117">
            <v>22.424555351348332</v>
          </cell>
          <cell r="DU2117">
            <v>11.214776292795086</v>
          </cell>
          <cell r="DV2117">
            <v>11.644336226312735</v>
          </cell>
          <cell r="DW2117">
            <v>9.8476005987137558</v>
          </cell>
          <cell r="DX2117">
            <v>7.1073990168282446</v>
          </cell>
          <cell r="DY2117">
            <v>12.587802180599267</v>
          </cell>
        </row>
        <row r="2118">
          <cell r="A2118">
            <v>42429</v>
          </cell>
          <cell r="DF2118">
            <v>21.604835394341155</v>
          </cell>
          <cell r="DG2118">
            <v>21.679348620667902</v>
          </cell>
          <cell r="DH2118">
            <v>18.362277992096409</v>
          </cell>
          <cell r="DI2118">
            <v>14.300000632844487</v>
          </cell>
          <cell r="DJ2118">
            <v>22.424555351348332</v>
          </cell>
          <cell r="DU2118">
            <v>11.292695215851829</v>
          </cell>
          <cell r="DV2118">
            <v>11.644336226312735</v>
          </cell>
          <cell r="DW2118">
            <v>9.8476005987137558</v>
          </cell>
          <cell r="DX2118">
            <v>7.1073990168282446</v>
          </cell>
          <cell r="DY2118">
            <v>12.587802180599267</v>
          </cell>
        </row>
        <row r="2119">
          <cell r="A2119">
            <v>42430</v>
          </cell>
          <cell r="DF2119">
            <v>21.181640010994041</v>
          </cell>
          <cell r="DG2119">
            <v>21.679348620667902</v>
          </cell>
          <cell r="DH2119">
            <v>18.362277992096409</v>
          </cell>
          <cell r="DI2119">
            <v>14.300000632844487</v>
          </cell>
          <cell r="DJ2119">
            <v>22.424555351348332</v>
          </cell>
          <cell r="DU2119">
            <v>11.052703686134295</v>
          </cell>
          <cell r="DV2119">
            <v>11.644336226312735</v>
          </cell>
          <cell r="DW2119">
            <v>9.8476005987137558</v>
          </cell>
          <cell r="DX2119">
            <v>7.1073990168282446</v>
          </cell>
          <cell r="DY2119">
            <v>12.587802180599267</v>
          </cell>
        </row>
        <row r="2120">
          <cell r="A2120">
            <v>42431</v>
          </cell>
          <cell r="DF2120">
            <v>21.235253374526859</v>
          </cell>
          <cell r="DG2120">
            <v>21.679348620667902</v>
          </cell>
          <cell r="DH2120">
            <v>18.362277992096409</v>
          </cell>
          <cell r="DI2120">
            <v>14.300000632844487</v>
          </cell>
          <cell r="DJ2120">
            <v>22.424555351348332</v>
          </cell>
          <cell r="DU2120">
            <v>11.080757926867335</v>
          </cell>
          <cell r="DV2120">
            <v>11.644336226312735</v>
          </cell>
          <cell r="DW2120">
            <v>9.8476005987137558</v>
          </cell>
          <cell r="DX2120">
            <v>7.1073990168282446</v>
          </cell>
          <cell r="DY2120">
            <v>12.587802180599267</v>
          </cell>
        </row>
        <row r="2121">
          <cell r="A2121">
            <v>42432</v>
          </cell>
          <cell r="DF2121">
            <v>21.686010186105971</v>
          </cell>
          <cell r="DG2121">
            <v>21.679348620667902</v>
          </cell>
          <cell r="DH2121">
            <v>18.362277992096409</v>
          </cell>
          <cell r="DI2121">
            <v>14.300000632844487</v>
          </cell>
          <cell r="DJ2121">
            <v>22.424555351348332</v>
          </cell>
          <cell r="DU2121">
            <v>11.336329501087913</v>
          </cell>
          <cell r="DV2121">
            <v>11.644336226312735</v>
          </cell>
          <cell r="DW2121">
            <v>9.8476005987137558</v>
          </cell>
          <cell r="DX2121">
            <v>7.1073990168282446</v>
          </cell>
          <cell r="DY2121">
            <v>12.587802180599267</v>
          </cell>
        </row>
        <row r="2122">
          <cell r="A2122">
            <v>42433</v>
          </cell>
          <cell r="DF2122">
            <v>21.713497274820728</v>
          </cell>
          <cell r="DG2122">
            <v>21.679348620667902</v>
          </cell>
          <cell r="DH2122">
            <v>18.362277992096409</v>
          </cell>
          <cell r="DI2122">
            <v>14.300000632844487</v>
          </cell>
          <cell r="DJ2122">
            <v>22.424555351348332</v>
          </cell>
          <cell r="DU2122">
            <v>11.351914220726337</v>
          </cell>
          <cell r="DV2122">
            <v>11.644336226312735</v>
          </cell>
          <cell r="DW2122">
            <v>9.8476005987137558</v>
          </cell>
          <cell r="DX2122">
            <v>7.1073990168282446</v>
          </cell>
          <cell r="DY2122">
            <v>12.587802180599267</v>
          </cell>
        </row>
        <row r="2123">
          <cell r="A2123">
            <v>42436</v>
          </cell>
          <cell r="DF2123">
            <v>21.469019153899136</v>
          </cell>
          <cell r="DG2123">
            <v>21.679348620667902</v>
          </cell>
          <cell r="DH2123">
            <v>18.362277992096409</v>
          </cell>
          <cell r="DI2123">
            <v>14.300000632844487</v>
          </cell>
          <cell r="DJ2123">
            <v>22.424555351348332</v>
          </cell>
          <cell r="DU2123">
            <v>11.199191573156662</v>
          </cell>
          <cell r="DV2123">
            <v>11.644336226312735</v>
          </cell>
          <cell r="DW2123">
            <v>9.8476005987137558</v>
          </cell>
          <cell r="DX2123">
            <v>7.1073990168282446</v>
          </cell>
          <cell r="DY2123">
            <v>12.587802180599267</v>
          </cell>
        </row>
        <row r="2124">
          <cell r="A2124">
            <v>42437</v>
          </cell>
          <cell r="DF2124">
            <v>21.430499292806619</v>
          </cell>
          <cell r="DG2124">
            <v>21.679348620667902</v>
          </cell>
          <cell r="DH2124">
            <v>18.362277992096409</v>
          </cell>
          <cell r="DI2124">
            <v>14.300000632844487</v>
          </cell>
          <cell r="DJ2124">
            <v>22.424555351348332</v>
          </cell>
          <cell r="DU2124">
            <v>11.17737676810631</v>
          </cell>
          <cell r="DV2124">
            <v>11.644336226312735</v>
          </cell>
          <cell r="DW2124">
            <v>9.8476005987137558</v>
          </cell>
          <cell r="DX2124">
            <v>7.1073990168282446</v>
          </cell>
          <cell r="DY2124">
            <v>12.587802180599267</v>
          </cell>
        </row>
        <row r="2125">
          <cell r="A2125">
            <v>42438</v>
          </cell>
          <cell r="DF2125">
            <v>21.332832308665015</v>
          </cell>
          <cell r="DG2125">
            <v>21.679348620667902</v>
          </cell>
          <cell r="DH2125">
            <v>18.362277992096409</v>
          </cell>
          <cell r="DI2125">
            <v>14.300000632844487</v>
          </cell>
          <cell r="DJ2125">
            <v>22.424555351348332</v>
          </cell>
          <cell r="DU2125">
            <v>11.124392523779113</v>
          </cell>
          <cell r="DV2125">
            <v>11.644336226312735</v>
          </cell>
          <cell r="DW2125">
            <v>9.8476005987137558</v>
          </cell>
          <cell r="DX2125">
            <v>7.1073990168282446</v>
          </cell>
          <cell r="DY2125">
            <v>12.587802180599267</v>
          </cell>
        </row>
        <row r="2126">
          <cell r="A2126">
            <v>42439</v>
          </cell>
          <cell r="DF2126">
            <v>19.80866298861557</v>
          </cell>
          <cell r="DG2126">
            <v>21.679348620667902</v>
          </cell>
          <cell r="DH2126">
            <v>18.362277992096409</v>
          </cell>
          <cell r="DI2126">
            <v>14.300000632844487</v>
          </cell>
          <cell r="DJ2126">
            <v>22.424555351348332</v>
          </cell>
          <cell r="DU2126">
            <v>10.261049297931955</v>
          </cell>
          <cell r="DV2126">
            <v>11.644336226312735</v>
          </cell>
          <cell r="DW2126">
            <v>9.8476005987137558</v>
          </cell>
          <cell r="DX2126">
            <v>7.1073990168282446</v>
          </cell>
          <cell r="DY2126">
            <v>12.587802180599267</v>
          </cell>
        </row>
        <row r="2127">
          <cell r="A2127">
            <v>42440</v>
          </cell>
          <cell r="DF2127">
            <v>20.138811223443632</v>
          </cell>
          <cell r="DG2127">
            <v>21.679348620667902</v>
          </cell>
          <cell r="DH2127">
            <v>18.362277992096409</v>
          </cell>
          <cell r="DI2127">
            <v>14.300000632844487</v>
          </cell>
          <cell r="DJ2127">
            <v>22.424555351348332</v>
          </cell>
          <cell r="DU2127">
            <v>10.448056894997979</v>
          </cell>
          <cell r="DV2127">
            <v>11.644336226312735</v>
          </cell>
          <cell r="DW2127">
            <v>9.8476005987137558</v>
          </cell>
          <cell r="DX2127">
            <v>7.1073990168282446</v>
          </cell>
          <cell r="DY2127">
            <v>12.587802180599267</v>
          </cell>
        </row>
        <row r="2128">
          <cell r="A2128">
            <v>42443</v>
          </cell>
          <cell r="DF2128">
            <v>20.823212880866816</v>
          </cell>
          <cell r="DG2128">
            <v>21.679348620667902</v>
          </cell>
          <cell r="DH2128">
            <v>18.362277992096409</v>
          </cell>
          <cell r="DI2128">
            <v>14.300000632844487</v>
          </cell>
          <cell r="DJ2128">
            <v>22.424555351348332</v>
          </cell>
          <cell r="DU2128">
            <v>10.835960934162307</v>
          </cell>
          <cell r="DV2128">
            <v>11.644336226312735</v>
          </cell>
          <cell r="DW2128">
            <v>9.8476005987137558</v>
          </cell>
          <cell r="DX2128">
            <v>7.1073990168282446</v>
          </cell>
          <cell r="DY2128">
            <v>12.587802180599267</v>
          </cell>
        </row>
        <row r="2129">
          <cell r="A2129">
            <v>42444</v>
          </cell>
          <cell r="DF2129">
            <v>20.6869894097082</v>
          </cell>
          <cell r="DG2129">
            <v>21.679348620667902</v>
          </cell>
          <cell r="DH2129">
            <v>18.362277992096409</v>
          </cell>
          <cell r="DI2129">
            <v>14.300000632844487</v>
          </cell>
          <cell r="DJ2129">
            <v>22.424555351348332</v>
          </cell>
          <cell r="DU2129">
            <v>10.742757373334975</v>
          </cell>
          <cell r="DV2129">
            <v>11.644336226312735</v>
          </cell>
          <cell r="DW2129">
            <v>9.8476005987137558</v>
          </cell>
          <cell r="DX2129">
            <v>7.1073990168282446</v>
          </cell>
          <cell r="DY2129">
            <v>12.587802180599267</v>
          </cell>
        </row>
        <row r="2130">
          <cell r="A2130">
            <v>42445</v>
          </cell>
          <cell r="DF2130">
            <v>20.467278505955228</v>
          </cell>
          <cell r="DG2130">
            <v>21.679348620667902</v>
          </cell>
          <cell r="DH2130">
            <v>18.362277992096409</v>
          </cell>
          <cell r="DI2130">
            <v>14.300000632844487</v>
          </cell>
          <cell r="DJ2130">
            <v>22.424555351348332</v>
          </cell>
          <cell r="DU2130">
            <v>10.620830827997683</v>
          </cell>
          <cell r="DV2130">
            <v>11.644336226312735</v>
          </cell>
          <cell r="DW2130">
            <v>9.8476005987137558</v>
          </cell>
          <cell r="DX2130">
            <v>7.1073990168282446</v>
          </cell>
          <cell r="DY2130">
            <v>12.587802180599267</v>
          </cell>
        </row>
        <row r="2131">
          <cell r="A2131">
            <v>42446</v>
          </cell>
          <cell r="DF2131">
            <v>20.481685829684089</v>
          </cell>
          <cell r="DG2131">
            <v>21.679348620667902</v>
          </cell>
          <cell r="DH2131">
            <v>18.362277992096409</v>
          </cell>
          <cell r="DI2131">
            <v>14.300000632844487</v>
          </cell>
          <cell r="DJ2131">
            <v>22.424555351348332</v>
          </cell>
          <cell r="DU2131">
            <v>10.627084737912652</v>
          </cell>
          <cell r="DV2131">
            <v>11.644336226312735</v>
          </cell>
          <cell r="DW2131">
            <v>9.8476005987137558</v>
          </cell>
          <cell r="DX2131">
            <v>7.1073990168282446</v>
          </cell>
          <cell r="DY2131">
            <v>12.587802180599267</v>
          </cell>
        </row>
        <row r="2132">
          <cell r="A2132">
            <v>42447</v>
          </cell>
          <cell r="DF2132">
            <v>20.686113121648898</v>
          </cell>
          <cell r="DG2132">
            <v>21.679348620667902</v>
          </cell>
          <cell r="DH2132">
            <v>18.362277992096409</v>
          </cell>
          <cell r="DI2132">
            <v>14.300000632844487</v>
          </cell>
          <cell r="DJ2132">
            <v>22.424555351348332</v>
          </cell>
          <cell r="DU2132">
            <v>10.742757373334975</v>
          </cell>
          <cell r="DV2132">
            <v>11.644336226312735</v>
          </cell>
          <cell r="DW2132">
            <v>9.8476005987137558</v>
          </cell>
          <cell r="DX2132">
            <v>7.1073990168282446</v>
          </cell>
          <cell r="DY2132">
            <v>12.587802180599267</v>
          </cell>
        </row>
        <row r="2133">
          <cell r="A2133">
            <v>42450</v>
          </cell>
          <cell r="DF2133">
            <v>20.525879187364861</v>
          </cell>
          <cell r="DG2133">
            <v>21.679348620667902</v>
          </cell>
          <cell r="DH2133">
            <v>18.362277992096409</v>
          </cell>
          <cell r="DI2133">
            <v>14.300000632844487</v>
          </cell>
          <cell r="DJ2133">
            <v>22.424555351348332</v>
          </cell>
          <cell r="DU2133">
            <v>10.652090998583443</v>
          </cell>
          <cell r="DV2133">
            <v>11.644336226312735</v>
          </cell>
          <cell r="DW2133">
            <v>9.8476005987137558</v>
          </cell>
          <cell r="DX2133">
            <v>7.1073990168282446</v>
          </cell>
          <cell r="DY2133">
            <v>12.587802180599267</v>
          </cell>
        </row>
        <row r="2134">
          <cell r="A2134">
            <v>42451</v>
          </cell>
          <cell r="DF2134">
            <v>19.896831245396147</v>
          </cell>
          <cell r="DG2134">
            <v>21.679348620667902</v>
          </cell>
          <cell r="DH2134">
            <v>18.362277992096409</v>
          </cell>
          <cell r="DI2134">
            <v>14.300000632844487</v>
          </cell>
          <cell r="DJ2134">
            <v>22.424555351348332</v>
          </cell>
          <cell r="DU2134">
            <v>10.297293946879609</v>
          </cell>
          <cell r="DV2134">
            <v>11.644336226312735</v>
          </cell>
          <cell r="DW2134">
            <v>9.8476005987137558</v>
          </cell>
          <cell r="DX2134">
            <v>7.1073990168282446</v>
          </cell>
          <cell r="DY2134">
            <v>12.587802180599267</v>
          </cell>
        </row>
        <row r="2135">
          <cell r="A2135">
            <v>42452</v>
          </cell>
          <cell r="DF2135">
            <v>20.097309120813307</v>
          </cell>
          <cell r="DG2135">
            <v>21.679348620667902</v>
          </cell>
          <cell r="DH2135">
            <v>18.362277992096409</v>
          </cell>
          <cell r="DI2135">
            <v>14.300000632844487</v>
          </cell>
          <cell r="DJ2135">
            <v>22.424555351348332</v>
          </cell>
          <cell r="DU2135">
            <v>10.430612921306125</v>
          </cell>
          <cell r="DV2135">
            <v>11.644336226312735</v>
          </cell>
          <cell r="DW2135">
            <v>9.8476005987137558</v>
          </cell>
          <cell r="DX2135">
            <v>7.1073990168282446</v>
          </cell>
          <cell r="DY2135">
            <v>12.587802180599267</v>
          </cell>
        </row>
        <row r="2136">
          <cell r="A2136">
            <v>42453</v>
          </cell>
          <cell r="DF2136">
            <v>19.839650791477297</v>
          </cell>
          <cell r="DG2136">
            <v>21.679348620667902</v>
          </cell>
          <cell r="DH2136">
            <v>18.362277992096409</v>
          </cell>
          <cell r="DI2136">
            <v>14.300000632844487</v>
          </cell>
          <cell r="DJ2136">
            <v>22.424555351348332</v>
          </cell>
          <cell r="DU2136">
            <v>10.28463088312928</v>
          </cell>
          <cell r="DV2136">
            <v>11.644336226312735</v>
          </cell>
          <cell r="DW2136">
            <v>9.8476005987137558</v>
          </cell>
          <cell r="DX2136">
            <v>7.1073990168282446</v>
          </cell>
          <cell r="DY2136">
            <v>12.587802180599267</v>
          </cell>
        </row>
        <row r="2137">
          <cell r="A2137">
            <v>42454</v>
          </cell>
          <cell r="DF2137">
            <v>19.05182631442246</v>
          </cell>
          <cell r="DG2137">
            <v>21.679348620667902</v>
          </cell>
          <cell r="DH2137">
            <v>18.362277992096409</v>
          </cell>
          <cell r="DI2137">
            <v>14.300000632844487</v>
          </cell>
          <cell r="DJ2137">
            <v>22.424555351348332</v>
          </cell>
          <cell r="DU2137">
            <v>9.6274834484065721</v>
          </cell>
          <cell r="DV2137">
            <v>11.644336226312735</v>
          </cell>
          <cell r="DW2137">
            <v>9.8476005987137558</v>
          </cell>
          <cell r="DX2137">
            <v>7.1073990168282446</v>
          </cell>
          <cell r="DY2137">
            <v>12.587802180599267</v>
          </cell>
        </row>
        <row r="2138">
          <cell r="A2138">
            <v>42457</v>
          </cell>
          <cell r="DF2138">
            <v>19.192160909519746</v>
          </cell>
          <cell r="DG2138">
            <v>21.679348620667902</v>
          </cell>
          <cell r="DH2138">
            <v>18.362277992096409</v>
          </cell>
          <cell r="DI2138">
            <v>14.300000632844487</v>
          </cell>
          <cell r="DJ2138">
            <v>22.424555351348332</v>
          </cell>
          <cell r="DU2138">
            <v>9.7171298016290049</v>
          </cell>
          <cell r="DV2138">
            <v>11.644336226312735</v>
          </cell>
          <cell r="DW2138">
            <v>9.8476005987137558</v>
          </cell>
          <cell r="DX2138">
            <v>7.1073990168282446</v>
          </cell>
          <cell r="DY2138">
            <v>12.587802180599267</v>
          </cell>
        </row>
        <row r="2139">
          <cell r="A2139">
            <v>42458</v>
          </cell>
          <cell r="DF2139">
            <v>19.276358298547834</v>
          </cell>
          <cell r="DG2139">
            <v>21.679348620667902</v>
          </cell>
          <cell r="DH2139">
            <v>18.362277992096409</v>
          </cell>
          <cell r="DI2139">
            <v>14.300000632844487</v>
          </cell>
          <cell r="DJ2139">
            <v>22.424555351348332</v>
          </cell>
          <cell r="DU2139">
            <v>9.7639838847864677</v>
          </cell>
          <cell r="DV2139">
            <v>11.644336226312735</v>
          </cell>
          <cell r="DW2139">
            <v>9.8476005987137558</v>
          </cell>
          <cell r="DX2139">
            <v>7.1073990168282446</v>
          </cell>
          <cell r="DY2139">
            <v>12.587802180599267</v>
          </cell>
        </row>
        <row r="2140">
          <cell r="A2140">
            <v>42459</v>
          </cell>
          <cell r="DF2140">
            <v>19.862570182164159</v>
          </cell>
          <cell r="DG2140">
            <v>21.679348620667902</v>
          </cell>
          <cell r="DH2140">
            <v>18.362277992096409</v>
          </cell>
          <cell r="DI2140">
            <v>14.300000632844487</v>
          </cell>
          <cell r="DJ2140">
            <v>22.424555351348332</v>
          </cell>
          <cell r="DU2140">
            <v>10.120088848621197</v>
          </cell>
          <cell r="DV2140">
            <v>11.644336226312735</v>
          </cell>
          <cell r="DW2140">
            <v>9.8476005987137558</v>
          </cell>
          <cell r="DX2140">
            <v>7.1073990168282446</v>
          </cell>
          <cell r="DY2140">
            <v>12.587802180599267</v>
          </cell>
        </row>
        <row r="2141">
          <cell r="A2141">
            <v>42460</v>
          </cell>
          <cell r="DF2141">
            <v>19.707777530752889</v>
          </cell>
          <cell r="DG2141">
            <v>21.679348620667902</v>
          </cell>
          <cell r="DH2141">
            <v>18.362277992096409</v>
          </cell>
          <cell r="DI2141">
            <v>14.300000632844487</v>
          </cell>
          <cell r="DJ2141">
            <v>22.424555351348332</v>
          </cell>
          <cell r="DU2141">
            <v>10.176225258115721</v>
          </cell>
          <cell r="DV2141">
            <v>11.644336226312735</v>
          </cell>
          <cell r="DW2141">
            <v>9.8476005987137558</v>
          </cell>
          <cell r="DX2141">
            <v>7.1073990168282446</v>
          </cell>
          <cell r="DY2141">
            <v>12.587802180599267</v>
          </cell>
        </row>
        <row r="2142">
          <cell r="A2142">
            <v>42461</v>
          </cell>
          <cell r="DF2142">
            <v>19.283597595180336</v>
          </cell>
          <cell r="DG2142">
            <v>21.679348620667902</v>
          </cell>
          <cell r="DH2142">
            <v>18.362277992096409</v>
          </cell>
          <cell r="DI2142">
            <v>14.300000632844487</v>
          </cell>
          <cell r="DJ2142">
            <v>22.424555351348332</v>
          </cell>
          <cell r="DU2142">
            <v>9.9362475145292883</v>
          </cell>
          <cell r="DV2142">
            <v>11.644336226312735</v>
          </cell>
          <cell r="DW2142">
            <v>9.8476005987137558</v>
          </cell>
          <cell r="DX2142">
            <v>7.1073990168282446</v>
          </cell>
          <cell r="DY2142">
            <v>12.587802180599267</v>
          </cell>
        </row>
        <row r="2143">
          <cell r="A2143">
            <v>42464</v>
          </cell>
          <cell r="DF2143">
            <v>19.183128668001245</v>
          </cell>
          <cell r="DG2143">
            <v>21.679348620667902</v>
          </cell>
          <cell r="DH2143">
            <v>18.362277992096409</v>
          </cell>
          <cell r="DI2143">
            <v>14.300000632844487</v>
          </cell>
          <cell r="DJ2143">
            <v>22.424555351348332</v>
          </cell>
          <cell r="DU2143">
            <v>9.8794077057051322</v>
          </cell>
          <cell r="DV2143">
            <v>11.644336226312735</v>
          </cell>
          <cell r="DW2143">
            <v>9.8476005987137558</v>
          </cell>
          <cell r="DX2143">
            <v>7.1073990168282446</v>
          </cell>
          <cell r="DY2143">
            <v>12.587802180599267</v>
          </cell>
        </row>
        <row r="2144">
          <cell r="A2144">
            <v>42465</v>
          </cell>
          <cell r="DF2144">
            <v>19.488706702614156</v>
          </cell>
          <cell r="DG2144">
            <v>21.679348620667902</v>
          </cell>
          <cell r="DH2144">
            <v>18.362277992096409</v>
          </cell>
          <cell r="DI2144">
            <v>14.300000632844487</v>
          </cell>
          <cell r="DJ2144">
            <v>22.424555351348332</v>
          </cell>
          <cell r="DU2144">
            <v>10.059394644665796</v>
          </cell>
          <cell r="DV2144">
            <v>11.644336226312735</v>
          </cell>
          <cell r="DW2144">
            <v>9.8476005987137558</v>
          </cell>
          <cell r="DX2144">
            <v>7.1073990168282446</v>
          </cell>
          <cell r="DY2144">
            <v>12.587802180599267</v>
          </cell>
        </row>
        <row r="2145">
          <cell r="A2145">
            <v>42466</v>
          </cell>
          <cell r="DF2145">
            <v>19.569486321855578</v>
          </cell>
          <cell r="DG2145">
            <v>21.679348620667902</v>
          </cell>
          <cell r="DH2145">
            <v>18.362277992096409</v>
          </cell>
          <cell r="DI2145">
            <v>14.300000632844487</v>
          </cell>
          <cell r="DJ2145">
            <v>22.424555351348332</v>
          </cell>
          <cell r="DU2145">
            <v>10.106757152358623</v>
          </cell>
          <cell r="DV2145">
            <v>11.644336226312735</v>
          </cell>
          <cell r="DW2145">
            <v>9.8476005987137558</v>
          </cell>
          <cell r="DX2145">
            <v>7.1073990168282446</v>
          </cell>
          <cell r="DY2145">
            <v>12.587802180599267</v>
          </cell>
        </row>
        <row r="2146">
          <cell r="A2146">
            <v>42467</v>
          </cell>
          <cell r="DF2146">
            <v>19.396602248345893</v>
          </cell>
          <cell r="DG2146">
            <v>21.679348620667902</v>
          </cell>
          <cell r="DH2146">
            <v>18.362277992096409</v>
          </cell>
          <cell r="DI2146">
            <v>14.300000632844487</v>
          </cell>
          <cell r="DJ2146">
            <v>22.424555351348332</v>
          </cell>
          <cell r="DU2146">
            <v>10.008871352528221</v>
          </cell>
          <cell r="DV2146">
            <v>11.644336226312735</v>
          </cell>
          <cell r="DW2146">
            <v>9.8476005987137558</v>
          </cell>
          <cell r="DX2146">
            <v>7.1073990168282446</v>
          </cell>
          <cell r="DY2146">
            <v>12.587802180599267</v>
          </cell>
        </row>
        <row r="2147">
          <cell r="A2147">
            <v>42468</v>
          </cell>
          <cell r="DF2147">
            <v>19.229292327942776</v>
          </cell>
          <cell r="DG2147">
            <v>21.679348620667902</v>
          </cell>
          <cell r="DH2147">
            <v>18.362277992096409</v>
          </cell>
          <cell r="DI2147">
            <v>14.300000632844487</v>
          </cell>
          <cell r="DJ2147">
            <v>22.424555351348332</v>
          </cell>
          <cell r="DU2147">
            <v>9.9141416007023384</v>
          </cell>
          <cell r="DV2147">
            <v>11.644336226312735</v>
          </cell>
          <cell r="DW2147">
            <v>9.8476005987137558</v>
          </cell>
          <cell r="DX2147">
            <v>7.1073990168282446</v>
          </cell>
          <cell r="DY2147">
            <v>12.587802180599267</v>
          </cell>
        </row>
        <row r="2148">
          <cell r="A2148">
            <v>42471</v>
          </cell>
          <cell r="DF2148">
            <v>18.823642810611425</v>
          </cell>
          <cell r="DG2148">
            <v>21.679348620667902</v>
          </cell>
          <cell r="DH2148">
            <v>18.362277992096409</v>
          </cell>
          <cell r="DI2148">
            <v>14.300000632844487</v>
          </cell>
          <cell r="DJ2148">
            <v>22.424555351348332</v>
          </cell>
          <cell r="DU2148">
            <v>9.6710078091113871</v>
          </cell>
          <cell r="DV2148">
            <v>11.644336226312735</v>
          </cell>
          <cell r="DW2148">
            <v>9.8476005987137558</v>
          </cell>
          <cell r="DX2148">
            <v>7.1073990168282446</v>
          </cell>
          <cell r="DY2148">
            <v>12.587802180599267</v>
          </cell>
        </row>
        <row r="2149">
          <cell r="A2149">
            <v>42472</v>
          </cell>
          <cell r="DF2149">
            <v>19.08050200093253</v>
          </cell>
          <cell r="DG2149">
            <v>21.679348620667902</v>
          </cell>
          <cell r="DH2149">
            <v>18.362277992096409</v>
          </cell>
          <cell r="DI2149">
            <v>14.300000632844487</v>
          </cell>
          <cell r="DJ2149">
            <v>22.424555351348332</v>
          </cell>
          <cell r="DU2149">
            <v>9.8162561166346158</v>
          </cell>
          <cell r="DV2149">
            <v>11.644336226312735</v>
          </cell>
          <cell r="DW2149">
            <v>9.8476005987137558</v>
          </cell>
          <cell r="DX2149">
            <v>7.1073990168282446</v>
          </cell>
          <cell r="DY2149">
            <v>12.587802180599267</v>
          </cell>
        </row>
        <row r="2150">
          <cell r="A2150">
            <v>42473</v>
          </cell>
          <cell r="DF2150">
            <v>19.172988037130342</v>
          </cell>
          <cell r="DG2150">
            <v>21.679348620667902</v>
          </cell>
          <cell r="DH2150">
            <v>18.362277992096409</v>
          </cell>
          <cell r="DI2150">
            <v>14.300000632844487</v>
          </cell>
          <cell r="DJ2150">
            <v>22.424555351348332</v>
          </cell>
          <cell r="DU2150">
            <v>9.8667790930095105</v>
          </cell>
          <cell r="DV2150">
            <v>11.644336226312735</v>
          </cell>
          <cell r="DW2150">
            <v>9.8476005987137558</v>
          </cell>
          <cell r="DX2150">
            <v>7.1073990168282446</v>
          </cell>
          <cell r="DY2150">
            <v>12.587802180599267</v>
          </cell>
        </row>
        <row r="2151">
          <cell r="A2151">
            <v>42474</v>
          </cell>
          <cell r="DF2151">
            <v>19.457815519342436</v>
          </cell>
          <cell r="DG2151">
            <v>21.679348620667902</v>
          </cell>
          <cell r="DH2151">
            <v>18.362277992096409</v>
          </cell>
          <cell r="DI2151">
            <v>14.300000632844487</v>
          </cell>
          <cell r="DJ2151">
            <v>22.424555351348332</v>
          </cell>
          <cell r="DU2151">
            <v>10.027816481910424</v>
          </cell>
          <cell r="DV2151">
            <v>11.644336226312735</v>
          </cell>
          <cell r="DW2151">
            <v>9.8476005987137558</v>
          </cell>
          <cell r="DX2151">
            <v>7.1073990168282446</v>
          </cell>
          <cell r="DY2151">
            <v>12.587802180599267</v>
          </cell>
        </row>
        <row r="2152">
          <cell r="A2152">
            <v>42475</v>
          </cell>
          <cell r="DF2152">
            <v>19.541594155954865</v>
          </cell>
          <cell r="DG2152">
            <v>21.679348620667902</v>
          </cell>
          <cell r="DH2152">
            <v>18.362277992096409</v>
          </cell>
          <cell r="DI2152">
            <v>14.300000632844487</v>
          </cell>
          <cell r="DJ2152">
            <v>22.424555351348332</v>
          </cell>
          <cell r="DU2152">
            <v>10.07518372604348</v>
          </cell>
          <cell r="DV2152">
            <v>11.644336226312735</v>
          </cell>
          <cell r="DW2152">
            <v>9.8476005987137558</v>
          </cell>
          <cell r="DX2152">
            <v>7.1073990168282446</v>
          </cell>
          <cell r="DY2152">
            <v>12.587802180599267</v>
          </cell>
        </row>
        <row r="2153">
          <cell r="A2153">
            <v>42478</v>
          </cell>
          <cell r="DF2153">
            <v>18.670341349538841</v>
          </cell>
          <cell r="DG2153">
            <v>21.679348620667902</v>
          </cell>
          <cell r="DH2153">
            <v>18.362277992096409</v>
          </cell>
          <cell r="DI2153">
            <v>14.300000632844487</v>
          </cell>
          <cell r="DJ2153">
            <v>22.424555351348332</v>
          </cell>
          <cell r="DU2153">
            <v>9.582589837531863</v>
          </cell>
          <cell r="DV2153">
            <v>11.644336226312735</v>
          </cell>
          <cell r="DW2153">
            <v>9.8476005987137558</v>
          </cell>
          <cell r="DX2153">
            <v>7.1073990168282446</v>
          </cell>
          <cell r="DY2153">
            <v>12.587802180599267</v>
          </cell>
        </row>
        <row r="2154">
          <cell r="A2154">
            <v>42479</v>
          </cell>
          <cell r="DF2154">
            <v>19.038947468363361</v>
          </cell>
          <cell r="DG2154">
            <v>21.679348620667902</v>
          </cell>
          <cell r="DH2154">
            <v>18.362277992096409</v>
          </cell>
          <cell r="DI2154">
            <v>14.300000632844487</v>
          </cell>
          <cell r="DJ2154">
            <v>22.424555351348332</v>
          </cell>
          <cell r="DU2154">
            <v>9.7909944705658312</v>
          </cell>
          <cell r="DV2154">
            <v>11.644336226312735</v>
          </cell>
          <cell r="DW2154">
            <v>9.8476005987137558</v>
          </cell>
          <cell r="DX2154">
            <v>7.1073990168282446</v>
          </cell>
          <cell r="DY2154">
            <v>12.587802180599267</v>
          </cell>
        </row>
        <row r="2155">
          <cell r="A2155">
            <v>42480</v>
          </cell>
          <cell r="DF2155">
            <v>18.952215192074423</v>
          </cell>
          <cell r="DG2155">
            <v>21.679348620667902</v>
          </cell>
          <cell r="DH2155">
            <v>18.362277992096409</v>
          </cell>
          <cell r="DI2155">
            <v>14.300000632844487</v>
          </cell>
          <cell r="DJ2155">
            <v>22.424555351348332</v>
          </cell>
          <cell r="DU2155">
            <v>9.7367597493812816</v>
          </cell>
          <cell r="DV2155">
            <v>11.644336226312735</v>
          </cell>
          <cell r="DW2155">
            <v>9.8476005987137558</v>
          </cell>
          <cell r="DX2155">
            <v>7.1073990168282446</v>
          </cell>
          <cell r="DY2155">
            <v>12.587802180599267</v>
          </cell>
        </row>
        <row r="2156">
          <cell r="A2156">
            <v>42481</v>
          </cell>
          <cell r="DF2156">
            <v>18.841027555954383</v>
          </cell>
          <cell r="DG2156">
            <v>21.679348620667902</v>
          </cell>
          <cell r="DH2156">
            <v>18.362277992096409</v>
          </cell>
          <cell r="DI2156">
            <v>14.300000632844487</v>
          </cell>
          <cell r="DJ2156">
            <v>22.424555351348332</v>
          </cell>
          <cell r="DU2156">
            <v>9.6739579724606859</v>
          </cell>
          <cell r="DV2156">
            <v>11.644336226312735</v>
          </cell>
          <cell r="DW2156">
            <v>9.8476005987137558</v>
          </cell>
          <cell r="DX2156">
            <v>7.1073990168282446</v>
          </cell>
          <cell r="DY2156">
            <v>12.587802180599267</v>
          </cell>
        </row>
        <row r="2157">
          <cell r="A2157">
            <v>42482</v>
          </cell>
          <cell r="DF2157">
            <v>19.033310786835802</v>
          </cell>
          <cell r="DG2157">
            <v>21.679348620667902</v>
          </cell>
          <cell r="DH2157">
            <v>18.362277992096409</v>
          </cell>
          <cell r="DI2157">
            <v>14.300000632844487</v>
          </cell>
          <cell r="DJ2157">
            <v>22.424555351348332</v>
          </cell>
          <cell r="DU2157">
            <v>9.8098131405508973</v>
          </cell>
          <cell r="DV2157">
            <v>11.644336226312735</v>
          </cell>
          <cell r="DW2157">
            <v>9.8476005987137558</v>
          </cell>
          <cell r="DX2157">
            <v>7.1073990168282446</v>
          </cell>
          <cell r="DY2157">
            <v>12.587802180599267</v>
          </cell>
        </row>
        <row r="2158">
          <cell r="A2158">
            <v>42485</v>
          </cell>
          <cell r="DF2158">
            <v>19.468440753045403</v>
          </cell>
          <cell r="DG2158">
            <v>21.679348620667902</v>
          </cell>
          <cell r="DH2158">
            <v>18.362277992096409</v>
          </cell>
          <cell r="DI2158">
            <v>14.300000632844487</v>
          </cell>
          <cell r="DJ2158">
            <v>22.424555351348332</v>
          </cell>
          <cell r="DU2158">
            <v>10.051127503836435</v>
          </cell>
          <cell r="DV2158">
            <v>11.644336226312735</v>
          </cell>
          <cell r="DW2158">
            <v>9.8476005987137558</v>
          </cell>
          <cell r="DX2158">
            <v>7.1073990168282446</v>
          </cell>
          <cell r="DY2158">
            <v>12.587802180599267</v>
          </cell>
        </row>
        <row r="2159">
          <cell r="A2159">
            <v>42486</v>
          </cell>
          <cell r="DF2159">
            <v>18.80952491694352</v>
          </cell>
          <cell r="DG2159">
            <v>21.679348620667902</v>
          </cell>
          <cell r="DH2159">
            <v>18.362277992096409</v>
          </cell>
          <cell r="DI2159">
            <v>14.300000632844487</v>
          </cell>
          <cell r="DJ2159">
            <v>22.424555351348332</v>
          </cell>
          <cell r="DU2159">
            <v>9.6782530852931536</v>
          </cell>
          <cell r="DV2159">
            <v>11.644336226312735</v>
          </cell>
          <cell r="DW2159">
            <v>9.8476005987137558</v>
          </cell>
          <cell r="DX2159">
            <v>7.1073990168282446</v>
          </cell>
          <cell r="DY2159">
            <v>12.587802180599267</v>
          </cell>
        </row>
        <row r="2160">
          <cell r="A2160">
            <v>42487</v>
          </cell>
          <cell r="DF2160">
            <v>19.088531378714734</v>
          </cell>
          <cell r="DG2160">
            <v>21.679348620667902</v>
          </cell>
          <cell r="DH2160">
            <v>18.362277992096409</v>
          </cell>
          <cell r="DI2160">
            <v>14.300000632844487</v>
          </cell>
          <cell r="DJ2160">
            <v>22.424555351348332</v>
          </cell>
          <cell r="DU2160">
            <v>9.8380542589135018</v>
          </cell>
          <cell r="DV2160">
            <v>11.644336226312735</v>
          </cell>
          <cell r="DW2160">
            <v>9.8476005987137558</v>
          </cell>
          <cell r="DX2160">
            <v>7.1073990168282446</v>
          </cell>
          <cell r="DY2160">
            <v>12.587802180599267</v>
          </cell>
        </row>
        <row r="2161">
          <cell r="A2161">
            <v>42488</v>
          </cell>
          <cell r="DF2161">
            <v>19.243542118782944</v>
          </cell>
          <cell r="DG2161">
            <v>21.679348620667902</v>
          </cell>
          <cell r="DH2161">
            <v>18.362277992096409</v>
          </cell>
          <cell r="DI2161">
            <v>14.300000632844487</v>
          </cell>
          <cell r="DJ2161">
            <v>22.424555351348332</v>
          </cell>
          <cell r="DU2161">
            <v>9.9257889554246876</v>
          </cell>
          <cell r="DV2161">
            <v>11.644336226312735</v>
          </cell>
          <cell r="DW2161">
            <v>9.8476005987137558</v>
          </cell>
          <cell r="DX2161">
            <v>7.1073990168282446</v>
          </cell>
          <cell r="DY2161">
            <v>12.587802180599267</v>
          </cell>
        </row>
        <row r="2162">
          <cell r="A2162">
            <v>42489</v>
          </cell>
          <cell r="DF2162">
            <v>19.260149918065459</v>
          </cell>
          <cell r="DG2162">
            <v>21.679348620667902</v>
          </cell>
          <cell r="DH2162">
            <v>18.362277992096409</v>
          </cell>
          <cell r="DI2162">
            <v>14.300000632844487</v>
          </cell>
          <cell r="DJ2162">
            <v>22.424555351348332</v>
          </cell>
          <cell r="DU2162">
            <v>9.935188821712206</v>
          </cell>
          <cell r="DV2162">
            <v>11.644336226312735</v>
          </cell>
          <cell r="DW2162">
            <v>9.8476005987137558</v>
          </cell>
          <cell r="DX2162">
            <v>7.1073990168282446</v>
          </cell>
          <cell r="DY2162">
            <v>12.587802180599267</v>
          </cell>
        </row>
        <row r="2163">
          <cell r="A2163">
            <v>42492</v>
          </cell>
          <cell r="DF2163">
            <v>19.058826330532213</v>
          </cell>
          <cell r="DG2163">
            <v>21.679348620667902</v>
          </cell>
          <cell r="DH2163">
            <v>18.362277992096409</v>
          </cell>
          <cell r="DI2163">
            <v>14.300000632844487</v>
          </cell>
          <cell r="DJ2163">
            <v>22.424555351348332</v>
          </cell>
          <cell r="DU2163">
            <v>9.6939209913558475</v>
          </cell>
          <cell r="DV2163">
            <v>11.644336226312735</v>
          </cell>
          <cell r="DW2163">
            <v>9.8476005987137558</v>
          </cell>
          <cell r="DX2163">
            <v>7.1073990168282446</v>
          </cell>
          <cell r="DY2163">
            <v>12.587802180599267</v>
          </cell>
        </row>
        <row r="2164">
          <cell r="A2164">
            <v>42493</v>
          </cell>
          <cell r="DF2164">
            <v>17.338933893557424</v>
          </cell>
          <cell r="DG2164">
            <v>21.679348620667902</v>
          </cell>
          <cell r="DH2164">
            <v>18.362277992096409</v>
          </cell>
          <cell r="DI2164">
            <v>14.300000632844487</v>
          </cell>
          <cell r="DJ2164">
            <v>22.424555351348332</v>
          </cell>
          <cell r="DU2164">
            <v>8.7319667694946812</v>
          </cell>
          <cell r="DV2164">
            <v>11.644336226312735</v>
          </cell>
          <cell r="DW2164">
            <v>9.8476005987137558</v>
          </cell>
          <cell r="DX2164">
            <v>7.1073990168282446</v>
          </cell>
          <cell r="DY2164">
            <v>12.587802180599267</v>
          </cell>
        </row>
        <row r="2165">
          <cell r="A2165">
            <v>42494</v>
          </cell>
          <cell r="DF2165">
            <v>17.131653781512608</v>
          </cell>
          <cell r="DG2165">
            <v>21.679348620667902</v>
          </cell>
          <cell r="DH2165">
            <v>18.362277992096409</v>
          </cell>
          <cell r="DI2165">
            <v>14.300000632844487</v>
          </cell>
          <cell r="DJ2165">
            <v>22.424555351348332</v>
          </cell>
          <cell r="DU2165">
            <v>8.6160327874602629</v>
          </cell>
          <cell r="DV2165">
            <v>11.644336226312735</v>
          </cell>
          <cell r="DW2165">
            <v>9.8476005987137558</v>
          </cell>
          <cell r="DX2165">
            <v>7.1073990168282446</v>
          </cell>
          <cell r="DY2165">
            <v>12.587802180599267</v>
          </cell>
        </row>
        <row r="2166">
          <cell r="A2166">
            <v>42495</v>
          </cell>
          <cell r="DF2166">
            <v>17.053222969187676</v>
          </cell>
          <cell r="DG2166">
            <v>21.679348620667902</v>
          </cell>
          <cell r="DH2166">
            <v>18.362277992096409</v>
          </cell>
          <cell r="DI2166">
            <v>14.300000632844487</v>
          </cell>
          <cell r="DJ2166">
            <v>22.424555351348332</v>
          </cell>
          <cell r="DU2166">
            <v>8.572165595874333</v>
          </cell>
          <cell r="DV2166">
            <v>11.644336226312735</v>
          </cell>
          <cell r="DW2166">
            <v>9.8476005987137558</v>
          </cell>
          <cell r="DX2166">
            <v>7.1073990168282446</v>
          </cell>
          <cell r="DY2166">
            <v>12.587802180599267</v>
          </cell>
        </row>
        <row r="2167">
          <cell r="A2167">
            <v>42496</v>
          </cell>
          <cell r="DF2167">
            <v>16.913166946778713</v>
          </cell>
          <cell r="DG2167">
            <v>21.679348620667902</v>
          </cell>
          <cell r="DH2167">
            <v>18.362277992096409</v>
          </cell>
          <cell r="DI2167">
            <v>14.300000632844487</v>
          </cell>
          <cell r="DJ2167">
            <v>22.424555351348332</v>
          </cell>
          <cell r="DU2167">
            <v>8.4938307656506673</v>
          </cell>
          <cell r="DV2167">
            <v>11.644336226312735</v>
          </cell>
          <cell r="DW2167">
            <v>9.8476005987137558</v>
          </cell>
          <cell r="DX2167">
            <v>7.1073990168282446</v>
          </cell>
          <cell r="DY2167">
            <v>12.587802180599267</v>
          </cell>
        </row>
        <row r="2168">
          <cell r="A2168">
            <v>42499</v>
          </cell>
          <cell r="DF2168">
            <v>17.159666666666666</v>
          </cell>
          <cell r="DG2168">
            <v>21.679348620667902</v>
          </cell>
          <cell r="DH2168">
            <v>18.362277992096409</v>
          </cell>
          <cell r="DI2168">
            <v>14.300000632844487</v>
          </cell>
          <cell r="DJ2168">
            <v>22.424555351348332</v>
          </cell>
          <cell r="DU2168">
            <v>8.6317006935229585</v>
          </cell>
          <cell r="DV2168">
            <v>11.644336226312735</v>
          </cell>
          <cell r="DW2168">
            <v>9.8476005987137558</v>
          </cell>
          <cell r="DX2168">
            <v>7.1073990168282446</v>
          </cell>
          <cell r="DY2168">
            <v>12.587802180599267</v>
          </cell>
        </row>
        <row r="2169">
          <cell r="A2169">
            <v>42500</v>
          </cell>
          <cell r="DF2169">
            <v>16.851541736694678</v>
          </cell>
          <cell r="DG2169">
            <v>21.679348620667902</v>
          </cell>
          <cell r="DH2169">
            <v>18.362277992096409</v>
          </cell>
          <cell r="DI2169">
            <v>14.300000632844487</v>
          </cell>
          <cell r="DJ2169">
            <v>22.424555351348332</v>
          </cell>
          <cell r="DU2169">
            <v>8.4593584269231208</v>
          </cell>
          <cell r="DV2169">
            <v>11.644336226312735</v>
          </cell>
          <cell r="DW2169">
            <v>9.8476005987137558</v>
          </cell>
          <cell r="DX2169">
            <v>7.1073990168282446</v>
          </cell>
          <cell r="DY2169">
            <v>12.587802180599267</v>
          </cell>
        </row>
        <row r="2170">
          <cell r="A2170">
            <v>42501</v>
          </cell>
          <cell r="DF2170">
            <v>17.327727170868346</v>
          </cell>
          <cell r="DG2170">
            <v>21.679348620667902</v>
          </cell>
          <cell r="DH2170">
            <v>18.362277992096409</v>
          </cell>
          <cell r="DI2170">
            <v>14.300000632844487</v>
          </cell>
          <cell r="DJ2170">
            <v>22.424555351348332</v>
          </cell>
          <cell r="DU2170">
            <v>8.7256987297195057</v>
          </cell>
          <cell r="DV2170">
            <v>11.644336226312735</v>
          </cell>
          <cell r="DW2170">
            <v>9.8476005987137558</v>
          </cell>
          <cell r="DX2170">
            <v>7.1073990168282446</v>
          </cell>
          <cell r="DY2170">
            <v>12.587802180599267</v>
          </cell>
        </row>
        <row r="2171">
          <cell r="A2171">
            <v>42502</v>
          </cell>
          <cell r="DF2171">
            <v>17.210085154061627</v>
          </cell>
          <cell r="DG2171">
            <v>21.679348620667902</v>
          </cell>
          <cell r="DH2171">
            <v>18.362277992096409</v>
          </cell>
          <cell r="DI2171">
            <v>14.300000632844487</v>
          </cell>
          <cell r="DJ2171">
            <v>22.424555351348332</v>
          </cell>
          <cell r="DU2171">
            <v>8.6599002923855153</v>
          </cell>
          <cell r="DV2171">
            <v>11.644336226312735</v>
          </cell>
          <cell r="DW2171">
            <v>9.8476005987137558</v>
          </cell>
          <cell r="DX2171">
            <v>7.1073990168282446</v>
          </cell>
          <cell r="DY2171">
            <v>12.587802180599267</v>
          </cell>
        </row>
        <row r="2172">
          <cell r="A2172">
            <v>42503</v>
          </cell>
          <cell r="DF2172">
            <v>17.35014117647059</v>
          </cell>
          <cell r="DG2172">
            <v>21.679348620667902</v>
          </cell>
          <cell r="DH2172">
            <v>18.362277992096409</v>
          </cell>
          <cell r="DI2172">
            <v>14.300000632844487</v>
          </cell>
          <cell r="DJ2172">
            <v>22.424555351348332</v>
          </cell>
          <cell r="DU2172">
            <v>8.7401440123842988</v>
          </cell>
          <cell r="DV2172">
            <v>11.644336226312735</v>
          </cell>
          <cell r="DW2172">
            <v>9.8476005987137558</v>
          </cell>
          <cell r="DX2172">
            <v>7.1073990168282446</v>
          </cell>
          <cell r="DY2172">
            <v>12.587802180599267</v>
          </cell>
        </row>
        <row r="2173">
          <cell r="A2173">
            <v>42506</v>
          </cell>
          <cell r="DF2173">
            <v>17.232490196078434</v>
          </cell>
          <cell r="DG2173">
            <v>21.679348620667902</v>
          </cell>
          <cell r="DH2173">
            <v>18.362277992096409</v>
          </cell>
          <cell r="DI2173">
            <v>14.300000632844487</v>
          </cell>
          <cell r="DJ2173">
            <v>22.424555351348332</v>
          </cell>
          <cell r="DU2173">
            <v>8.6743261866893295</v>
          </cell>
          <cell r="DV2173">
            <v>11.644336226312735</v>
          </cell>
          <cell r="DW2173">
            <v>9.8476005987137558</v>
          </cell>
          <cell r="DX2173">
            <v>7.1073990168282446</v>
          </cell>
          <cell r="DY2173">
            <v>12.587802180599267</v>
          </cell>
        </row>
        <row r="2174">
          <cell r="A2174">
            <v>42507</v>
          </cell>
          <cell r="DF2174">
            <v>16.806722689075631</v>
          </cell>
          <cell r="DG2174">
            <v>21.679348620667902</v>
          </cell>
          <cell r="DH2174">
            <v>18.362277992096409</v>
          </cell>
          <cell r="DI2174">
            <v>14.300000632844487</v>
          </cell>
          <cell r="DJ2174">
            <v>22.424555351348332</v>
          </cell>
          <cell r="DU2174">
            <v>8.4361378480194382</v>
          </cell>
          <cell r="DV2174">
            <v>11.644336226312735</v>
          </cell>
          <cell r="DW2174">
            <v>9.8476005987137558</v>
          </cell>
          <cell r="DX2174">
            <v>7.1073990168282446</v>
          </cell>
          <cell r="DY2174">
            <v>12.587802180599267</v>
          </cell>
        </row>
        <row r="2175">
          <cell r="A2175">
            <v>42508</v>
          </cell>
          <cell r="DF2175">
            <v>16.31372324929972</v>
          </cell>
          <cell r="DG2175">
            <v>21.679348620667902</v>
          </cell>
          <cell r="DH2175">
            <v>18.362277992096409</v>
          </cell>
          <cell r="DI2175">
            <v>14.300000632844487</v>
          </cell>
          <cell r="DJ2175">
            <v>22.424555351348332</v>
          </cell>
          <cell r="DU2175">
            <v>8.1603377561992811</v>
          </cell>
          <cell r="DV2175">
            <v>11.644336226312735</v>
          </cell>
          <cell r="DW2175">
            <v>9.8476005987137558</v>
          </cell>
          <cell r="DX2175">
            <v>7.1073990168282446</v>
          </cell>
          <cell r="DY2175">
            <v>12.587802180599267</v>
          </cell>
        </row>
        <row r="2176">
          <cell r="A2176">
            <v>42509</v>
          </cell>
          <cell r="DF2176">
            <v>16.571429691876752</v>
          </cell>
          <cell r="DG2176">
            <v>21.679348620667902</v>
          </cell>
          <cell r="DH2176">
            <v>18.362277992096409</v>
          </cell>
          <cell r="DI2176">
            <v>14.300000632844487</v>
          </cell>
          <cell r="DJ2176">
            <v>22.424555351348332</v>
          </cell>
          <cell r="DU2176">
            <v>8.3045072111538314</v>
          </cell>
          <cell r="DV2176">
            <v>11.644336226312735</v>
          </cell>
          <cell r="DW2176">
            <v>9.8476005987137558</v>
          </cell>
          <cell r="DX2176">
            <v>7.1073990168282446</v>
          </cell>
          <cell r="DY2176">
            <v>12.587802180599267</v>
          </cell>
        </row>
        <row r="2177">
          <cell r="A2177">
            <v>42510</v>
          </cell>
          <cell r="DF2177">
            <v>17.126054901960785</v>
          </cell>
          <cell r="DG2177">
            <v>21.679348620667902</v>
          </cell>
          <cell r="DH2177">
            <v>18.362277992096409</v>
          </cell>
          <cell r="DI2177">
            <v>14.300000632844487</v>
          </cell>
          <cell r="DJ2177">
            <v>22.424555351348332</v>
          </cell>
          <cell r="DU2177">
            <v>8.6147827845631628</v>
          </cell>
          <cell r="DV2177">
            <v>11.644336226312735</v>
          </cell>
          <cell r="DW2177">
            <v>9.8476005987137558</v>
          </cell>
          <cell r="DX2177">
            <v>7.1073990168282446</v>
          </cell>
          <cell r="DY2177">
            <v>12.587802180599267</v>
          </cell>
        </row>
        <row r="2178">
          <cell r="A2178">
            <v>42513</v>
          </cell>
          <cell r="DF2178">
            <v>17.142861064425773</v>
          </cell>
          <cell r="DG2178">
            <v>21.679348620667902</v>
          </cell>
          <cell r="DH2178">
            <v>18.362277992096409</v>
          </cell>
          <cell r="DI2178">
            <v>14.300000632844487</v>
          </cell>
          <cell r="DJ2178">
            <v>22.424555351348332</v>
          </cell>
          <cell r="DU2178">
            <v>8.6241847042754731</v>
          </cell>
          <cell r="DV2178">
            <v>11.644336226312735</v>
          </cell>
          <cell r="DW2178">
            <v>9.8476005987137558</v>
          </cell>
          <cell r="DX2178">
            <v>7.1073990168282446</v>
          </cell>
          <cell r="DY2178">
            <v>12.587802180599267</v>
          </cell>
        </row>
        <row r="2179">
          <cell r="A2179">
            <v>42514</v>
          </cell>
          <cell r="DF2179">
            <v>17.150822611363161</v>
          </cell>
          <cell r="DG2179">
            <v>21.679348620667902</v>
          </cell>
          <cell r="DH2179">
            <v>18.362277992096409</v>
          </cell>
          <cell r="DI2179">
            <v>14.300000632844487</v>
          </cell>
          <cell r="DJ2179">
            <v>22.424555351348332</v>
          </cell>
          <cell r="DU2179">
            <v>8.6309865398228336</v>
          </cell>
          <cell r="DV2179">
            <v>11.644336226312735</v>
          </cell>
          <cell r="DW2179">
            <v>9.8476005987137558</v>
          </cell>
          <cell r="DX2179">
            <v>7.1073990168282446</v>
          </cell>
          <cell r="DY2179">
            <v>12.587802180599267</v>
          </cell>
        </row>
        <row r="2180">
          <cell r="A2180">
            <v>42515</v>
          </cell>
          <cell r="DF2180">
            <v>17.150822611363161</v>
          </cell>
          <cell r="DG2180">
            <v>21.679348620667902</v>
          </cell>
          <cell r="DH2180">
            <v>18.362277992096409</v>
          </cell>
          <cell r="DI2180">
            <v>14.300000632844487</v>
          </cell>
          <cell r="DJ2180">
            <v>22.424555351348332</v>
          </cell>
          <cell r="DU2180">
            <v>8.637227190431684</v>
          </cell>
          <cell r="DV2180">
            <v>11.644336226312735</v>
          </cell>
          <cell r="DW2180">
            <v>9.8476005987137558</v>
          </cell>
          <cell r="DX2180">
            <v>7.1073990168282446</v>
          </cell>
          <cell r="DY2180">
            <v>12.587802180599267</v>
          </cell>
        </row>
        <row r="2181">
          <cell r="A2181">
            <v>42516</v>
          </cell>
          <cell r="DF2181">
            <v>17.056067815506399</v>
          </cell>
          <cell r="DG2181">
            <v>21.679348620667902</v>
          </cell>
          <cell r="DH2181">
            <v>18.362277992096409</v>
          </cell>
          <cell r="DI2181">
            <v>14.300000632844487</v>
          </cell>
          <cell r="DJ2181">
            <v>22.424555351348332</v>
          </cell>
          <cell r="DU2181">
            <v>8.5841955422335694</v>
          </cell>
          <cell r="DV2181">
            <v>11.644336226312735</v>
          </cell>
          <cell r="DW2181">
            <v>9.8476005987137558</v>
          </cell>
          <cell r="DX2181">
            <v>7.1073990168282446</v>
          </cell>
          <cell r="DY2181">
            <v>12.587802180599267</v>
          </cell>
        </row>
        <row r="2182">
          <cell r="A2182">
            <v>42517</v>
          </cell>
          <cell r="DF2182">
            <v>17.49640020437727</v>
          </cell>
          <cell r="DG2182">
            <v>21.679348620667902</v>
          </cell>
          <cell r="DH2182">
            <v>18.362277992096409</v>
          </cell>
          <cell r="DI2182">
            <v>14.300000632844487</v>
          </cell>
          <cell r="DJ2182">
            <v>22.424555351348332</v>
          </cell>
          <cell r="DU2182">
            <v>8.8306374465793454</v>
          </cell>
          <cell r="DV2182">
            <v>11.644336226312735</v>
          </cell>
          <cell r="DW2182">
            <v>9.8476005987137558</v>
          </cell>
          <cell r="DX2182">
            <v>7.1073990168282446</v>
          </cell>
          <cell r="DY2182">
            <v>12.587802180599267</v>
          </cell>
        </row>
        <row r="2183">
          <cell r="A2183">
            <v>42520</v>
          </cell>
          <cell r="DF2183">
            <v>17.212135259419277</v>
          </cell>
          <cell r="DG2183">
            <v>21.679348620667902</v>
          </cell>
          <cell r="DH2183">
            <v>18.362277992096409</v>
          </cell>
          <cell r="DI2183">
            <v>14.300000632844487</v>
          </cell>
          <cell r="DJ2183">
            <v>22.424555351348332</v>
          </cell>
          <cell r="DU2183">
            <v>8.6715421900304595</v>
          </cell>
          <cell r="DV2183">
            <v>11.644336226312735</v>
          </cell>
          <cell r="DW2183">
            <v>9.8476005987137558</v>
          </cell>
          <cell r="DX2183">
            <v>7.1073990168282446</v>
          </cell>
          <cell r="DY2183">
            <v>12.587802180599267</v>
          </cell>
        </row>
        <row r="2184">
          <cell r="A2184">
            <v>42521</v>
          </cell>
          <cell r="DF2184">
            <v>17.663618189420717</v>
          </cell>
          <cell r="DG2184">
            <v>21.679348620667902</v>
          </cell>
          <cell r="DH2184">
            <v>18.362277992096409</v>
          </cell>
          <cell r="DI2184">
            <v>14.300000632844487</v>
          </cell>
          <cell r="DJ2184">
            <v>22.424555351348332</v>
          </cell>
          <cell r="DU2184">
            <v>8.9242247449850858</v>
          </cell>
          <cell r="DV2184">
            <v>11.644336226312735</v>
          </cell>
          <cell r="DW2184">
            <v>9.8476005987137558</v>
          </cell>
          <cell r="DX2184">
            <v>7.1073990168282446</v>
          </cell>
          <cell r="DY2184">
            <v>12.587802180599267</v>
          </cell>
        </row>
        <row r="2185">
          <cell r="A2185">
            <v>42522</v>
          </cell>
          <cell r="DF2185">
            <v>17.872223073901733</v>
          </cell>
          <cell r="DG2185">
            <v>21.679348620667902</v>
          </cell>
          <cell r="DH2185">
            <v>18.362277992096409</v>
          </cell>
          <cell r="DI2185">
            <v>14.300000632844487</v>
          </cell>
          <cell r="DJ2185">
            <v>22.424555351348332</v>
          </cell>
          <cell r="DU2185">
            <v>9.0396463656809853</v>
          </cell>
          <cell r="DV2185">
            <v>11.644336226312735</v>
          </cell>
          <cell r="DW2185">
            <v>9.8476005987137558</v>
          </cell>
          <cell r="DX2185">
            <v>7.1073990168282446</v>
          </cell>
          <cell r="DY2185">
            <v>12.587802180599267</v>
          </cell>
        </row>
        <row r="2186">
          <cell r="A2186">
            <v>42523</v>
          </cell>
          <cell r="DF2186">
            <v>18.028311810665514</v>
          </cell>
          <cell r="DG2186">
            <v>21.679348620667902</v>
          </cell>
          <cell r="DH2186">
            <v>18.362277992096409</v>
          </cell>
          <cell r="DI2186">
            <v>14.300000632844487</v>
          </cell>
          <cell r="DJ2186">
            <v>22.424555351348332</v>
          </cell>
          <cell r="DU2186">
            <v>9.1269933254324176</v>
          </cell>
          <cell r="DV2186">
            <v>11.644336226312735</v>
          </cell>
          <cell r="DW2186">
            <v>9.8476005987137558</v>
          </cell>
          <cell r="DX2186">
            <v>7.1073990168282446</v>
          </cell>
          <cell r="DY2186">
            <v>12.587802180599267</v>
          </cell>
        </row>
        <row r="2187">
          <cell r="A2187">
            <v>42524</v>
          </cell>
          <cell r="DF2187">
            <v>17.348189415043542</v>
          </cell>
          <cell r="DG2187">
            <v>21.679348620667902</v>
          </cell>
          <cell r="DH2187">
            <v>18.362277992096409</v>
          </cell>
          <cell r="DI2187">
            <v>14.300000632844487</v>
          </cell>
          <cell r="DJ2187">
            <v>22.424555351348332</v>
          </cell>
          <cell r="DU2187">
            <v>8.7526488111275818</v>
          </cell>
          <cell r="DV2187">
            <v>11.644336226312735</v>
          </cell>
          <cell r="DW2187">
            <v>9.8476005987137558</v>
          </cell>
          <cell r="DX2187">
            <v>7.1073990168282446</v>
          </cell>
          <cell r="DY2187">
            <v>12.587802180599267</v>
          </cell>
        </row>
        <row r="2188">
          <cell r="A2188">
            <v>42527</v>
          </cell>
          <cell r="DF2188">
            <v>17.353757103065828</v>
          </cell>
          <cell r="DG2188">
            <v>21.679348620667902</v>
          </cell>
          <cell r="DH2188">
            <v>18.362277992096409</v>
          </cell>
          <cell r="DI2188">
            <v>14.300000632844487</v>
          </cell>
          <cell r="DJ2188">
            <v>22.424555351348332</v>
          </cell>
          <cell r="DU2188">
            <v>8.7557664848184036</v>
          </cell>
          <cell r="DV2188">
            <v>11.644336226312735</v>
          </cell>
          <cell r="DW2188">
            <v>9.8476005987137558</v>
          </cell>
          <cell r="DX2188">
            <v>7.1073990168282446</v>
          </cell>
          <cell r="DY2188">
            <v>12.587802180599267</v>
          </cell>
        </row>
        <row r="2189">
          <cell r="A2189">
            <v>42528</v>
          </cell>
          <cell r="DF2189">
            <v>17.370469637884771</v>
          </cell>
          <cell r="DG2189">
            <v>21.679348620667902</v>
          </cell>
          <cell r="DH2189">
            <v>18.362277992096409</v>
          </cell>
          <cell r="DI2189">
            <v>14.300000632844487</v>
          </cell>
          <cell r="DJ2189">
            <v>22.424555351348332</v>
          </cell>
          <cell r="DU2189">
            <v>8.7651248091180722</v>
          </cell>
          <cell r="DV2189">
            <v>11.644336226312735</v>
          </cell>
          <cell r="DW2189">
            <v>9.8476005987137558</v>
          </cell>
          <cell r="DX2189">
            <v>7.1073990168282446</v>
          </cell>
          <cell r="DY2189">
            <v>12.587802180599267</v>
          </cell>
        </row>
        <row r="2190">
          <cell r="A2190">
            <v>42529</v>
          </cell>
          <cell r="DF2190">
            <v>17.534208000714962</v>
          </cell>
          <cell r="DG2190">
            <v>21.679348620667902</v>
          </cell>
          <cell r="DH2190">
            <v>18.362277992096409</v>
          </cell>
          <cell r="DI2190">
            <v>14.300000632844487</v>
          </cell>
          <cell r="DJ2190">
            <v>22.424555351348332</v>
          </cell>
          <cell r="DU2190">
            <v>8.8555944338329944</v>
          </cell>
          <cell r="DV2190">
            <v>11.644336226312735</v>
          </cell>
          <cell r="DW2190">
            <v>9.8476005987137558</v>
          </cell>
          <cell r="DX2190">
            <v>7.1073990168282446</v>
          </cell>
          <cell r="DY2190">
            <v>12.587802180599267</v>
          </cell>
        </row>
        <row r="2191">
          <cell r="A2191">
            <v>42530</v>
          </cell>
          <cell r="DF2191">
            <v>17.389346033145149</v>
          </cell>
          <cell r="DG2191">
            <v>21.679348620667902</v>
          </cell>
          <cell r="DH2191">
            <v>18.362277992096409</v>
          </cell>
          <cell r="DI2191">
            <v>14.300000632844487</v>
          </cell>
          <cell r="DJ2191">
            <v>22.424555351348332</v>
          </cell>
          <cell r="DU2191">
            <v>8.7744878127358685</v>
          </cell>
          <cell r="DV2191">
            <v>11.644336226312735</v>
          </cell>
          <cell r="DW2191">
            <v>9.8476005987137558</v>
          </cell>
          <cell r="DX2191">
            <v>7.1073990168282446</v>
          </cell>
          <cell r="DY2191">
            <v>12.587802180599267</v>
          </cell>
        </row>
        <row r="2192">
          <cell r="A2192">
            <v>42531</v>
          </cell>
          <cell r="DF2192">
            <v>17.751504573688514</v>
          </cell>
          <cell r="DG2192">
            <v>21.679348620667902</v>
          </cell>
          <cell r="DH2192">
            <v>18.362277992096409</v>
          </cell>
          <cell r="DI2192">
            <v>14.300000632844487</v>
          </cell>
          <cell r="DJ2192">
            <v>22.424555351348332</v>
          </cell>
          <cell r="DU2192">
            <v>8.9772563931832003</v>
          </cell>
          <cell r="DV2192">
            <v>11.644336226312735</v>
          </cell>
          <cell r="DW2192">
            <v>9.8476005987137558</v>
          </cell>
          <cell r="DX2192">
            <v>7.1073990168282446</v>
          </cell>
          <cell r="DY2192">
            <v>12.587802180599267</v>
          </cell>
        </row>
        <row r="2193">
          <cell r="A2193">
            <v>42534</v>
          </cell>
          <cell r="DF2193">
            <v>17.946518161723816</v>
          </cell>
          <cell r="DG2193">
            <v>21.679348620667902</v>
          </cell>
          <cell r="DH2193">
            <v>18.362277992096409</v>
          </cell>
          <cell r="DI2193">
            <v>14.300000632844487</v>
          </cell>
          <cell r="DJ2193">
            <v>22.424555351348332</v>
          </cell>
          <cell r="DU2193">
            <v>9.0864423545429194</v>
          </cell>
          <cell r="DV2193">
            <v>11.644336226312735</v>
          </cell>
          <cell r="DW2193">
            <v>9.8476005987137558</v>
          </cell>
          <cell r="DX2193">
            <v>7.1073990168282446</v>
          </cell>
          <cell r="DY2193">
            <v>12.587802180599267</v>
          </cell>
        </row>
        <row r="2194">
          <cell r="A2194">
            <v>42535</v>
          </cell>
          <cell r="DF2194">
            <v>17.812794065004294</v>
          </cell>
          <cell r="DG2194">
            <v>21.679348620667902</v>
          </cell>
          <cell r="DH2194">
            <v>18.362277992096409</v>
          </cell>
          <cell r="DI2194">
            <v>14.300000632844487</v>
          </cell>
          <cell r="DJ2194">
            <v>22.424555351348332</v>
          </cell>
          <cell r="DU2194">
            <v>9.0115717047365198</v>
          </cell>
          <cell r="DV2194">
            <v>11.644336226312735</v>
          </cell>
          <cell r="DW2194">
            <v>9.8476005987137558</v>
          </cell>
          <cell r="DX2194">
            <v>7.1073990168282446</v>
          </cell>
          <cell r="DY2194">
            <v>12.587802180599267</v>
          </cell>
        </row>
        <row r="2195">
          <cell r="A2195">
            <v>42536</v>
          </cell>
          <cell r="DF2195">
            <v>17.94094984264823</v>
          </cell>
          <cell r="DG2195">
            <v>21.679348620667902</v>
          </cell>
          <cell r="DH2195">
            <v>18.362277992096409</v>
          </cell>
          <cell r="DI2195">
            <v>14.300000632844487</v>
          </cell>
          <cell r="DJ2195">
            <v>22.424555351348332</v>
          </cell>
          <cell r="DU2195">
            <v>9.0696887258818606</v>
          </cell>
          <cell r="DV2195">
            <v>11.644336226312735</v>
          </cell>
          <cell r="DW2195">
            <v>9.8476005987137558</v>
          </cell>
          <cell r="DX2195">
            <v>7.1073990168282446</v>
          </cell>
          <cell r="DY2195">
            <v>12.587802180599267</v>
          </cell>
        </row>
        <row r="2196">
          <cell r="A2196">
            <v>42537</v>
          </cell>
          <cell r="DF2196">
            <v>17.979826709703314</v>
          </cell>
          <cell r="DG2196">
            <v>21.679348620667902</v>
          </cell>
          <cell r="DH2196">
            <v>18.362277992096409</v>
          </cell>
          <cell r="DI2196">
            <v>14.300000632844487</v>
          </cell>
          <cell r="DJ2196">
            <v>22.424555351348332</v>
          </cell>
          <cell r="DU2196">
            <v>9.0914156588173114</v>
          </cell>
          <cell r="DV2196">
            <v>11.644336226312735</v>
          </cell>
          <cell r="DW2196">
            <v>9.8476005987137558</v>
          </cell>
          <cell r="DX2196">
            <v>7.1073990168282446</v>
          </cell>
          <cell r="DY2196">
            <v>12.587802180599267</v>
          </cell>
        </row>
        <row r="2197">
          <cell r="A2197">
            <v>42538</v>
          </cell>
          <cell r="DF2197">
            <v>18.046485939547875</v>
          </cell>
          <cell r="DG2197">
            <v>21.679348620667902</v>
          </cell>
          <cell r="DH2197">
            <v>18.362277992096409</v>
          </cell>
          <cell r="DI2197">
            <v>14.300000632844487</v>
          </cell>
          <cell r="DJ2197">
            <v>22.424555351348332</v>
          </cell>
          <cell r="DU2197">
            <v>9.1286691909578881</v>
          </cell>
          <cell r="DV2197">
            <v>11.644336226312735</v>
          </cell>
          <cell r="DW2197">
            <v>9.8476005987137558</v>
          </cell>
          <cell r="DX2197">
            <v>7.1073990168282446</v>
          </cell>
          <cell r="DY2197">
            <v>12.587802180599267</v>
          </cell>
        </row>
        <row r="2198">
          <cell r="A2198">
            <v>42541</v>
          </cell>
          <cell r="DF2198">
            <v>17.813199186641821</v>
          </cell>
          <cell r="DG2198">
            <v>21.679348620667902</v>
          </cell>
          <cell r="DH2198">
            <v>18.362277992096409</v>
          </cell>
          <cell r="DI2198">
            <v>14.300000632844487</v>
          </cell>
          <cell r="DJ2198">
            <v>22.424555351348332</v>
          </cell>
          <cell r="DU2198">
            <v>8.9982933140144805</v>
          </cell>
          <cell r="DV2198">
            <v>11.644336226312735</v>
          </cell>
          <cell r="DW2198">
            <v>9.8476005987137558</v>
          </cell>
          <cell r="DX2198">
            <v>7.1073990168282446</v>
          </cell>
          <cell r="DY2198">
            <v>12.587802180599267</v>
          </cell>
        </row>
        <row r="2199">
          <cell r="A2199">
            <v>42542</v>
          </cell>
          <cell r="DF2199">
            <v>17.314515020261648</v>
          </cell>
          <cell r="DG2199">
            <v>21.679348620667902</v>
          </cell>
          <cell r="DH2199">
            <v>18.362277992096409</v>
          </cell>
          <cell r="DI2199">
            <v>14.300000632844487</v>
          </cell>
          <cell r="DJ2199">
            <v>22.424555351348332</v>
          </cell>
          <cell r="DU2199">
            <v>8.705529157344678</v>
          </cell>
          <cell r="DV2199">
            <v>11.644336226312735</v>
          </cell>
          <cell r="DW2199">
            <v>9.8476005987137558</v>
          </cell>
          <cell r="DX2199">
            <v>7.1073990168282446</v>
          </cell>
          <cell r="DY2199">
            <v>12.587802180599267</v>
          </cell>
        </row>
        <row r="2200">
          <cell r="A2200">
            <v>42543</v>
          </cell>
          <cell r="DF2200">
            <v>17.494637218717219</v>
          </cell>
          <cell r="DG2200">
            <v>21.679348620667902</v>
          </cell>
          <cell r="DH2200">
            <v>18.362277992096409</v>
          </cell>
          <cell r="DI2200">
            <v>14.300000632844487</v>
          </cell>
          <cell r="DJ2200">
            <v>22.424555351348332</v>
          </cell>
          <cell r="DU2200">
            <v>8.8166437706254044</v>
          </cell>
          <cell r="DV2200">
            <v>11.644336226312735</v>
          </cell>
          <cell r="DW2200">
            <v>9.8476005987137558</v>
          </cell>
          <cell r="DX2200">
            <v>7.1073990168282446</v>
          </cell>
          <cell r="DY2200">
            <v>12.587802180599267</v>
          </cell>
        </row>
        <row r="2201">
          <cell r="A2201">
            <v>42544</v>
          </cell>
          <cell r="DF2201">
            <v>17.127856656587966</v>
          </cell>
          <cell r="DG2201">
            <v>21.679348620667902</v>
          </cell>
          <cell r="DH2201">
            <v>18.362277992096409</v>
          </cell>
          <cell r="DI2201">
            <v>14.300000632844487</v>
          </cell>
          <cell r="DJ2201">
            <v>22.424555351348332</v>
          </cell>
          <cell r="DU2201">
            <v>8.8166437706254044</v>
          </cell>
          <cell r="DV2201">
            <v>11.644336226312735</v>
          </cell>
          <cell r="DW2201">
            <v>9.8476005987137558</v>
          </cell>
          <cell r="DX2201">
            <v>7.1073990168282446</v>
          </cell>
          <cell r="DY2201">
            <v>12.587802180599267</v>
          </cell>
        </row>
        <row r="2202">
          <cell r="A2202">
            <v>42545</v>
          </cell>
          <cell r="DF2202">
            <v>17.461294592205725</v>
          </cell>
          <cell r="DG2202">
            <v>21.679348620667902</v>
          </cell>
          <cell r="DH2202">
            <v>18.362277992096409</v>
          </cell>
          <cell r="DI2202">
            <v>14.300000632844487</v>
          </cell>
          <cell r="DJ2202">
            <v>22.424555351348332</v>
          </cell>
          <cell r="DU2202">
            <v>8.8166437706254044</v>
          </cell>
          <cell r="DV2202">
            <v>11.644336226312735</v>
          </cell>
          <cell r="DW2202">
            <v>9.8476005987137558</v>
          </cell>
          <cell r="DX2202">
            <v>7.1073990168282446</v>
          </cell>
          <cell r="DY2202">
            <v>12.587802180599267</v>
          </cell>
        </row>
        <row r="2203">
          <cell r="A2203">
            <v>42548</v>
          </cell>
          <cell r="DF2203">
            <v>17.328259004829121</v>
          </cell>
          <cell r="DG2203">
            <v>21.679348620667902</v>
          </cell>
          <cell r="DH2203">
            <v>18.362277992096409</v>
          </cell>
          <cell r="DI2203">
            <v>14.300000632844487</v>
          </cell>
          <cell r="DJ2203">
            <v>22.424555351348332</v>
          </cell>
          <cell r="DU2203">
            <v>8.8326049271046543</v>
          </cell>
          <cell r="DV2203">
            <v>11.644336226312735</v>
          </cell>
          <cell r="DW2203">
            <v>9.8476005987137558</v>
          </cell>
          <cell r="DX2203">
            <v>7.1073990168282446</v>
          </cell>
          <cell r="DY2203">
            <v>12.587802180599267</v>
          </cell>
        </row>
        <row r="2204">
          <cell r="A2204">
            <v>42549</v>
          </cell>
          <cell r="DF2204">
            <v>16.966212588193361</v>
          </cell>
          <cell r="DG2204">
            <v>21.679348620667902</v>
          </cell>
          <cell r="DH2204">
            <v>18.362277992096409</v>
          </cell>
          <cell r="DI2204">
            <v>14.300000632844487</v>
          </cell>
          <cell r="DJ2204">
            <v>22.424555351348332</v>
          </cell>
          <cell r="DU2204">
            <v>8.8326049271046543</v>
          </cell>
          <cell r="DV2204">
            <v>11.644336226312735</v>
          </cell>
          <cell r="DW2204">
            <v>9.8476005987137558</v>
          </cell>
          <cell r="DX2204">
            <v>7.1073990168282446</v>
          </cell>
          <cell r="DY2204">
            <v>12.587802180599267</v>
          </cell>
        </row>
        <row r="2205">
          <cell r="A2205">
            <v>42550</v>
          </cell>
          <cell r="DF2205">
            <v>16.703569349877103</v>
          </cell>
          <cell r="DG2205">
            <v>21.679348620667902</v>
          </cell>
          <cell r="DH2205">
            <v>18.362277992096409</v>
          </cell>
          <cell r="DI2205">
            <v>14.300000632844487</v>
          </cell>
          <cell r="DJ2205">
            <v>22.424555351348332</v>
          </cell>
          <cell r="DU2205">
            <v>8.2146815624038609</v>
          </cell>
          <cell r="DV2205">
            <v>11.644336226312735</v>
          </cell>
          <cell r="DW2205">
            <v>9.8476005987137558</v>
          </cell>
          <cell r="DX2205">
            <v>7.1073990168282446</v>
          </cell>
          <cell r="DY2205">
            <v>12.587802180599267</v>
          </cell>
        </row>
        <row r="2206">
          <cell r="A2206">
            <v>42551</v>
          </cell>
          <cell r="DF2206">
            <v>16.408375175795726</v>
          </cell>
          <cell r="DG2206">
            <v>21.679348620667902</v>
          </cell>
          <cell r="DH2206">
            <v>18.362277992096409</v>
          </cell>
          <cell r="DI2206">
            <v>14.300000632844487</v>
          </cell>
          <cell r="DJ2206">
            <v>22.424555351348332</v>
          </cell>
          <cell r="DU2206">
            <v>8.539009009082795</v>
          </cell>
          <cell r="DV2206">
            <v>11.644336226312735</v>
          </cell>
          <cell r="DW2206">
            <v>9.8476005987137558</v>
          </cell>
          <cell r="DX2206">
            <v>7.1073990168282446</v>
          </cell>
          <cell r="DY2206">
            <v>12.587802180599267</v>
          </cell>
        </row>
        <row r="2207">
          <cell r="A2207">
            <v>42552</v>
          </cell>
          <cell r="DF2207">
            <v>15.503121216852531</v>
          </cell>
          <cell r="DG2207">
            <v>21.679348620667902</v>
          </cell>
          <cell r="DH2207">
            <v>18.362277992096409</v>
          </cell>
          <cell r="DI2207">
            <v>14.300000632844487</v>
          </cell>
          <cell r="DJ2207">
            <v>22.424555351348332</v>
          </cell>
          <cell r="DU2207">
            <v>7.6157312797170835</v>
          </cell>
          <cell r="DV2207">
            <v>11.644336226312735</v>
          </cell>
          <cell r="DW2207">
            <v>9.8476005987137558</v>
          </cell>
          <cell r="DX2207">
            <v>7.1073990168282446</v>
          </cell>
          <cell r="DY2207">
            <v>12.587802180599267</v>
          </cell>
        </row>
        <row r="2208">
          <cell r="A2208">
            <v>42555</v>
          </cell>
          <cell r="DF2208">
            <v>16.862589379815297</v>
          </cell>
          <cell r="DG2208">
            <v>21.679348620667902</v>
          </cell>
          <cell r="DH2208">
            <v>18.362277992096409</v>
          </cell>
          <cell r="DI2208">
            <v>14.300000632844487</v>
          </cell>
          <cell r="DJ2208">
            <v>22.424555351348332</v>
          </cell>
          <cell r="DU2208">
            <v>8.0971847949888254</v>
          </cell>
          <cell r="DV2208">
            <v>11.644336226312735</v>
          </cell>
          <cell r="DW2208">
            <v>9.8476005987137558</v>
          </cell>
          <cell r="DX2208">
            <v>7.1073990168282446</v>
          </cell>
          <cell r="DY2208">
            <v>12.587802180599267</v>
          </cell>
        </row>
        <row r="2209">
          <cell r="A2209">
            <v>42556</v>
          </cell>
          <cell r="DF2209">
            <v>17.462500202677134</v>
          </cell>
          <cell r="DG2209">
            <v>21.679348620667902</v>
          </cell>
          <cell r="DH2209">
            <v>18.362277992096409</v>
          </cell>
          <cell r="DI2209">
            <v>14.300000632844487</v>
          </cell>
          <cell r="DJ2209">
            <v>22.424555351348332</v>
          </cell>
          <cell r="DU2209">
            <v>8.4210652673548498</v>
          </cell>
          <cell r="DV2209">
            <v>11.644336226312735</v>
          </cell>
          <cell r="DW2209">
            <v>9.8476005987137558</v>
          </cell>
          <cell r="DX2209">
            <v>7.1073990168282446</v>
          </cell>
          <cell r="DY2209">
            <v>12.587802180599267</v>
          </cell>
        </row>
        <row r="2210">
          <cell r="A2210">
            <v>42557</v>
          </cell>
          <cell r="DF2210">
            <v>19.258540580188274</v>
          </cell>
          <cell r="DG2210">
            <v>21.679348620667902</v>
          </cell>
          <cell r="DH2210">
            <v>18.362277992096409</v>
          </cell>
          <cell r="DI2210">
            <v>14.300000632844487</v>
          </cell>
          <cell r="DJ2210">
            <v>22.424555351348332</v>
          </cell>
          <cell r="DU2210">
            <v>8.3145820698824497</v>
          </cell>
          <cell r="DV2210">
            <v>11.644336226312735</v>
          </cell>
          <cell r="DW2210">
            <v>9.8476005987137558</v>
          </cell>
          <cell r="DX2210">
            <v>7.1073990168282446</v>
          </cell>
          <cell r="DY2210">
            <v>12.587802180599267</v>
          </cell>
        </row>
        <row r="2211">
          <cell r="A2211">
            <v>42558</v>
          </cell>
          <cell r="DF2211">
            <v>19.285537641910118</v>
          </cell>
          <cell r="DG2211">
            <v>21.679348620667902</v>
          </cell>
          <cell r="DH2211">
            <v>18.362277992096409</v>
          </cell>
          <cell r="DI2211">
            <v>14.300000632844487</v>
          </cell>
          <cell r="DJ2211">
            <v>22.424555351348332</v>
          </cell>
          <cell r="DU2211">
            <v>8.327641095093016</v>
          </cell>
          <cell r="DV2211">
            <v>11.644336226312735</v>
          </cell>
          <cell r="DW2211">
            <v>9.8476005987137558</v>
          </cell>
          <cell r="DX2211">
            <v>7.1073990168282446</v>
          </cell>
          <cell r="DY2211">
            <v>12.587802180599267</v>
          </cell>
        </row>
        <row r="2212">
          <cell r="A2212">
            <v>42559</v>
          </cell>
          <cell r="DF2212">
            <v>18.902756951753116</v>
          </cell>
          <cell r="DG2212">
            <v>21.679348620667902</v>
          </cell>
          <cell r="DH2212">
            <v>18.362277992096409</v>
          </cell>
          <cell r="DI2212">
            <v>14.300000632844487</v>
          </cell>
          <cell r="DJ2212">
            <v>22.424555351348332</v>
          </cell>
          <cell r="DU2212">
            <v>8.1230489746019003</v>
          </cell>
          <cell r="DV2212">
            <v>11.644336226312735</v>
          </cell>
          <cell r="DW2212">
            <v>9.8476005987137558</v>
          </cell>
          <cell r="DX2212">
            <v>7.1073990168282446</v>
          </cell>
          <cell r="DY2212">
            <v>12.587802180599267</v>
          </cell>
        </row>
        <row r="2213">
          <cell r="A2213">
            <v>42562</v>
          </cell>
          <cell r="DF2213">
            <v>19.155273711109825</v>
          </cell>
          <cell r="DG2213">
            <v>21.679348620667902</v>
          </cell>
          <cell r="DH2213">
            <v>18.362277992096409</v>
          </cell>
          <cell r="DI2213">
            <v>14.300000632844487</v>
          </cell>
          <cell r="DJ2213">
            <v>22.424555351348332</v>
          </cell>
          <cell r="DU2213">
            <v>8.2449368375284369</v>
          </cell>
          <cell r="DV2213">
            <v>11.644336226312735</v>
          </cell>
          <cell r="DW2213">
            <v>9.8476005987137558</v>
          </cell>
          <cell r="DX2213">
            <v>7.1073990168282446</v>
          </cell>
          <cell r="DY2213">
            <v>12.587802180599267</v>
          </cell>
        </row>
        <row r="2214">
          <cell r="A2214">
            <v>42563</v>
          </cell>
          <cell r="DF2214">
            <v>19.182328272961623</v>
          </cell>
          <cell r="DG2214">
            <v>21.679348620667902</v>
          </cell>
          <cell r="DH2214">
            <v>18.362277992096409</v>
          </cell>
          <cell r="DI2214">
            <v>14.300000632844487</v>
          </cell>
          <cell r="DJ2214">
            <v>22.424555351348332</v>
          </cell>
          <cell r="DU2214">
            <v>8.2579958627390049</v>
          </cell>
          <cell r="DV2214">
            <v>11.644336226312735</v>
          </cell>
          <cell r="DW2214">
            <v>9.8476005987137558</v>
          </cell>
          <cell r="DX2214">
            <v>7.1073990168282446</v>
          </cell>
          <cell r="DY2214">
            <v>12.587802180599267</v>
          </cell>
        </row>
        <row r="2215">
          <cell r="A2215">
            <v>42564</v>
          </cell>
          <cell r="DF2215">
            <v>19.056069442358872</v>
          </cell>
          <cell r="DG2215">
            <v>21.679348620667902</v>
          </cell>
          <cell r="DH2215">
            <v>18.362277992096409</v>
          </cell>
          <cell r="DI2215">
            <v>14.300000632844487</v>
          </cell>
          <cell r="DJ2215">
            <v>22.424555351348332</v>
          </cell>
          <cell r="DU2215">
            <v>8.197051713618059</v>
          </cell>
          <cell r="DV2215">
            <v>11.644336226312735</v>
          </cell>
          <cell r="DW2215">
            <v>9.8476005987137558</v>
          </cell>
          <cell r="DX2215">
            <v>7.1073990168282446</v>
          </cell>
          <cell r="DY2215">
            <v>12.587802180599267</v>
          </cell>
        </row>
        <row r="2216">
          <cell r="A2216">
            <v>42565</v>
          </cell>
          <cell r="DF2216">
            <v>19.119191642869929</v>
          </cell>
          <cell r="DG2216">
            <v>21.679348620667902</v>
          </cell>
          <cell r="DH2216">
            <v>18.362277992096409</v>
          </cell>
          <cell r="DI2216">
            <v>14.300000632844487</v>
          </cell>
          <cell r="DJ2216">
            <v>22.424555351348332</v>
          </cell>
          <cell r="DU2216">
            <v>8.2275203056557249</v>
          </cell>
          <cell r="DV2216">
            <v>11.644336226312735</v>
          </cell>
          <cell r="DW2216">
            <v>9.8476005987137558</v>
          </cell>
          <cell r="DX2216">
            <v>7.1073990168282446</v>
          </cell>
          <cell r="DY2216">
            <v>12.587802180599267</v>
          </cell>
        </row>
        <row r="2217">
          <cell r="A2217">
            <v>42566</v>
          </cell>
          <cell r="DF2217">
            <v>18.983920637308515</v>
          </cell>
          <cell r="DG2217">
            <v>21.679348620667902</v>
          </cell>
          <cell r="DH2217">
            <v>18.362277992096409</v>
          </cell>
          <cell r="DI2217">
            <v>14.300000632844487</v>
          </cell>
          <cell r="DJ2217">
            <v>22.424555351348332</v>
          </cell>
          <cell r="DU2217">
            <v>8.1622260502335973</v>
          </cell>
          <cell r="DV2217">
            <v>11.644336226312735</v>
          </cell>
          <cell r="DW2217">
            <v>9.8476005987137558</v>
          </cell>
          <cell r="DX2217">
            <v>7.1073990168282446</v>
          </cell>
          <cell r="DY2217">
            <v>12.587802180599267</v>
          </cell>
        </row>
        <row r="2218">
          <cell r="A2218">
            <v>42569</v>
          </cell>
          <cell r="DF2218">
            <v>18.605145047349055</v>
          </cell>
          <cell r="DG2218">
            <v>21.679348620667902</v>
          </cell>
          <cell r="DH2218">
            <v>18.362277992096409</v>
          </cell>
          <cell r="DI2218">
            <v>14.300000632844487</v>
          </cell>
          <cell r="DJ2218">
            <v>22.424555351348332</v>
          </cell>
          <cell r="DU2218">
            <v>7.979394038186113</v>
          </cell>
          <cell r="DV2218">
            <v>11.644336226312735</v>
          </cell>
          <cell r="DW2218">
            <v>9.8476005987137558</v>
          </cell>
          <cell r="DX2218">
            <v>7.1073990168282446</v>
          </cell>
          <cell r="DY2218">
            <v>12.587802180599267</v>
          </cell>
        </row>
        <row r="2219">
          <cell r="A2219">
            <v>42570</v>
          </cell>
          <cell r="DF2219">
            <v>18.632199609200853</v>
          </cell>
          <cell r="DG2219">
            <v>21.679348620667902</v>
          </cell>
          <cell r="DH2219">
            <v>18.362277992096409</v>
          </cell>
          <cell r="DI2219">
            <v>14.300000632844487</v>
          </cell>
          <cell r="DJ2219">
            <v>22.424555351348332</v>
          </cell>
          <cell r="DU2219">
            <v>7.9924530633966802</v>
          </cell>
          <cell r="DV2219">
            <v>11.644336226312735</v>
          </cell>
          <cell r="DW2219">
            <v>9.8476005987137558</v>
          </cell>
          <cell r="DX2219">
            <v>7.1073990168282446</v>
          </cell>
          <cell r="DY2219">
            <v>12.587802180599267</v>
          </cell>
        </row>
        <row r="2220">
          <cell r="A2220">
            <v>42571</v>
          </cell>
          <cell r="DF2220">
            <v>18.677294754248205</v>
          </cell>
          <cell r="DG2220">
            <v>21.679348620667902</v>
          </cell>
          <cell r="DH2220">
            <v>18.362277992096409</v>
          </cell>
          <cell r="DI2220">
            <v>14.300000632844487</v>
          </cell>
          <cell r="DJ2220">
            <v>22.424555351348332</v>
          </cell>
          <cell r="DU2220">
            <v>8.0142201368859283</v>
          </cell>
          <cell r="DV2220">
            <v>11.644336226312735</v>
          </cell>
          <cell r="DW2220">
            <v>9.8476005987137558</v>
          </cell>
          <cell r="DX2220">
            <v>7.1073990168282446</v>
          </cell>
          <cell r="DY2220">
            <v>12.587802180599267</v>
          </cell>
        </row>
        <row r="2221">
          <cell r="A2221">
            <v>42572</v>
          </cell>
          <cell r="DF2221">
            <v>18.523968735910596</v>
          </cell>
          <cell r="DG2221">
            <v>21.679348620667902</v>
          </cell>
          <cell r="DH2221">
            <v>18.362277992096409</v>
          </cell>
          <cell r="DI2221">
            <v>14.300000632844487</v>
          </cell>
          <cell r="DJ2221">
            <v>22.424555351348332</v>
          </cell>
          <cell r="DU2221">
            <v>7.9402108681395056</v>
          </cell>
          <cell r="DV2221">
            <v>11.644336226312735</v>
          </cell>
          <cell r="DW2221">
            <v>9.8476005987137558</v>
          </cell>
          <cell r="DX2221">
            <v>7.1073990168282446</v>
          </cell>
          <cell r="DY2221">
            <v>12.587802180599267</v>
          </cell>
        </row>
        <row r="2222">
          <cell r="A2222">
            <v>42573</v>
          </cell>
          <cell r="DF2222">
            <v>18.361642266648595</v>
          </cell>
          <cell r="DG2222">
            <v>21.679348620667902</v>
          </cell>
          <cell r="DH2222">
            <v>18.362277992096409</v>
          </cell>
          <cell r="DI2222">
            <v>14.300000632844487</v>
          </cell>
          <cell r="DJ2222">
            <v>22.424555351348332</v>
          </cell>
          <cell r="DU2222">
            <v>7.86185715219146</v>
          </cell>
          <cell r="DV2222">
            <v>11.644336226312735</v>
          </cell>
          <cell r="DW2222">
            <v>9.8476005987137558</v>
          </cell>
          <cell r="DX2222">
            <v>7.1073990168282446</v>
          </cell>
          <cell r="DY2222">
            <v>12.587802180599267</v>
          </cell>
        </row>
        <row r="2223">
          <cell r="A2223">
            <v>42576</v>
          </cell>
          <cell r="DF2223">
            <v>18.213413232345733</v>
          </cell>
          <cell r="DG2223">
            <v>21.679348620667902</v>
          </cell>
          <cell r="DH2223">
            <v>18.362277992096409</v>
          </cell>
          <cell r="DI2223">
            <v>14.300000632844487</v>
          </cell>
          <cell r="DJ2223">
            <v>22.424555351348332</v>
          </cell>
          <cell r="DU2223">
            <v>7.8226469326108541</v>
          </cell>
          <cell r="DV2223">
            <v>11.644336226312735</v>
          </cell>
          <cell r="DW2223">
            <v>9.8476005987137558</v>
          </cell>
          <cell r="DX2223">
            <v>7.1073990168282446</v>
          </cell>
          <cell r="DY2223">
            <v>12.587802180599267</v>
          </cell>
        </row>
        <row r="2224">
          <cell r="A2224">
            <v>42577</v>
          </cell>
          <cell r="DF2224">
            <v>18.400529293829358</v>
          </cell>
          <cell r="DG2224">
            <v>21.679348620667902</v>
          </cell>
          <cell r="DH2224">
            <v>18.362277992096409</v>
          </cell>
          <cell r="DI2224">
            <v>14.300000632844487</v>
          </cell>
          <cell r="DJ2224">
            <v>22.424555351348332</v>
          </cell>
          <cell r="DU2224">
            <v>7.9132021912160342</v>
          </cell>
          <cell r="DV2224">
            <v>11.644336226312735</v>
          </cell>
          <cell r="DW2224">
            <v>9.8476005987137558</v>
          </cell>
          <cell r="DX2224">
            <v>7.1073990168282446</v>
          </cell>
          <cell r="DY2224">
            <v>12.587802180599267</v>
          </cell>
        </row>
        <row r="2225">
          <cell r="A2225">
            <v>42578</v>
          </cell>
          <cell r="DF2225">
            <v>18.398070206699931</v>
          </cell>
          <cell r="DG2225">
            <v>21.679348620667902</v>
          </cell>
          <cell r="DH2225">
            <v>18.362277992096409</v>
          </cell>
          <cell r="DI2225">
            <v>14.300000632844487</v>
          </cell>
          <cell r="DJ2225">
            <v>22.424555351348332</v>
          </cell>
          <cell r="DU2225">
            <v>7.9132021912160342</v>
          </cell>
          <cell r="DV2225">
            <v>11.644336226312735</v>
          </cell>
          <cell r="DW2225">
            <v>9.8476005987137558</v>
          </cell>
          <cell r="DX2225">
            <v>7.1073990168282446</v>
          </cell>
          <cell r="DY2225">
            <v>12.587802180599267</v>
          </cell>
        </row>
        <row r="2226">
          <cell r="A2226">
            <v>42579</v>
          </cell>
          <cell r="DF2226">
            <v>18.415893620812547</v>
          </cell>
          <cell r="DG2226">
            <v>21.679348620667902</v>
          </cell>
          <cell r="DH2226">
            <v>18.362277992096409</v>
          </cell>
          <cell r="DI2226">
            <v>14.300000632844487</v>
          </cell>
          <cell r="DJ2226">
            <v>22.424555351348332</v>
          </cell>
          <cell r="DU2226">
            <v>7.9218290273585197</v>
          </cell>
          <cell r="DV2226">
            <v>11.644336226312735</v>
          </cell>
          <cell r="DW2226">
            <v>9.8476005987137558</v>
          </cell>
          <cell r="DX2226">
            <v>7.1073990168282446</v>
          </cell>
          <cell r="DY2226">
            <v>12.587802180599267</v>
          </cell>
        </row>
        <row r="2227">
          <cell r="A2227">
            <v>42580</v>
          </cell>
          <cell r="DF2227">
            <v>18.104069850320744</v>
          </cell>
          <cell r="DG2227">
            <v>21.679348620667902</v>
          </cell>
          <cell r="DH2227">
            <v>18.362277992096409</v>
          </cell>
          <cell r="DI2227">
            <v>14.300000632844487</v>
          </cell>
          <cell r="DJ2227">
            <v>22.424555351348332</v>
          </cell>
          <cell r="DU2227">
            <v>7.7709010089458941</v>
          </cell>
          <cell r="DV2227">
            <v>11.644336226312735</v>
          </cell>
          <cell r="DW2227">
            <v>9.8476005987137558</v>
          </cell>
          <cell r="DX2227">
            <v>7.1073990168282446</v>
          </cell>
          <cell r="DY2227">
            <v>12.587802180599267</v>
          </cell>
        </row>
        <row r="2228">
          <cell r="A2228">
            <v>42583</v>
          </cell>
          <cell r="DF2228">
            <v>18.059519779044908</v>
          </cell>
          <cell r="DG2228">
            <v>21.679348620667902</v>
          </cell>
          <cell r="DH2228">
            <v>18.362277992096409</v>
          </cell>
          <cell r="DI2228">
            <v>14.300000632844487</v>
          </cell>
          <cell r="DJ2228">
            <v>22.424555351348332</v>
          </cell>
          <cell r="DU2228">
            <v>7.7493380153126683</v>
          </cell>
          <cell r="DV2228">
            <v>11.644336226312735</v>
          </cell>
          <cell r="DW2228">
            <v>9.8476005987137558</v>
          </cell>
          <cell r="DX2228">
            <v>7.1073990168282446</v>
          </cell>
          <cell r="DY2228">
            <v>12.587802180599267</v>
          </cell>
        </row>
        <row r="2229">
          <cell r="A2229">
            <v>42584</v>
          </cell>
          <cell r="DF2229">
            <v>18.044448000000003</v>
          </cell>
          <cell r="DG2229">
            <v>21.679348620667902</v>
          </cell>
          <cell r="DH2229">
            <v>18.362277992096409</v>
          </cell>
          <cell r="DI2229">
            <v>14.300000632844487</v>
          </cell>
          <cell r="DJ2229">
            <v>22.424555351348332</v>
          </cell>
          <cell r="DU2229">
            <v>7.7272336845620719</v>
          </cell>
          <cell r="DV2229">
            <v>11.644336226312735</v>
          </cell>
          <cell r="DW2229">
            <v>9.8476005987137558</v>
          </cell>
          <cell r="DX2229">
            <v>7.1073990168282446</v>
          </cell>
          <cell r="DY2229">
            <v>12.587802180599267</v>
          </cell>
        </row>
        <row r="2230">
          <cell r="A2230">
            <v>42585</v>
          </cell>
          <cell r="DF2230">
            <v>18.613336</v>
          </cell>
          <cell r="DG2230">
            <v>21.679348620667902</v>
          </cell>
          <cell r="DH2230">
            <v>18.362277992096409</v>
          </cell>
          <cell r="DI2230">
            <v>14.300000632844487</v>
          </cell>
          <cell r="DJ2230">
            <v>22.424555351348332</v>
          </cell>
          <cell r="DU2230">
            <v>8.0019771250877625</v>
          </cell>
          <cell r="DV2230">
            <v>11.644336226312735</v>
          </cell>
          <cell r="DW2230">
            <v>9.8476005987137558</v>
          </cell>
          <cell r="DX2230">
            <v>7.1073990168282446</v>
          </cell>
          <cell r="DY2230">
            <v>12.587802180599267</v>
          </cell>
        </row>
        <row r="2231">
          <cell r="A2231">
            <v>42586</v>
          </cell>
          <cell r="DF2231">
            <v>18.613336</v>
          </cell>
          <cell r="DG2231">
            <v>21.679348620667902</v>
          </cell>
          <cell r="DH2231">
            <v>18.362277992096409</v>
          </cell>
          <cell r="DI2231">
            <v>14.300000632844487</v>
          </cell>
          <cell r="DJ2231">
            <v>22.424555351348332</v>
          </cell>
          <cell r="DU2231">
            <v>8.0019771250877625</v>
          </cell>
          <cell r="DV2231">
            <v>11.644336226312735</v>
          </cell>
          <cell r="DW2231">
            <v>9.8476005987137558</v>
          </cell>
          <cell r="DX2231">
            <v>7.1073990168282446</v>
          </cell>
          <cell r="DY2231">
            <v>12.587802180599267</v>
          </cell>
        </row>
        <row r="2232">
          <cell r="A2232">
            <v>42587</v>
          </cell>
          <cell r="DF2232">
            <v>19.466661333333334</v>
          </cell>
          <cell r="DG2232">
            <v>21.679348620667902</v>
          </cell>
          <cell r="DH2232">
            <v>18.362277992096409</v>
          </cell>
          <cell r="DI2232">
            <v>14.300000632844487</v>
          </cell>
          <cell r="DJ2232">
            <v>22.424555351348332</v>
          </cell>
          <cell r="DU2232">
            <v>8.4140890662215746</v>
          </cell>
          <cell r="DV2232">
            <v>11.644336226312735</v>
          </cell>
          <cell r="DW2232">
            <v>9.8476005987137558</v>
          </cell>
          <cell r="DX2232">
            <v>7.1073990168282446</v>
          </cell>
          <cell r="DY2232">
            <v>12.587802180599267</v>
          </cell>
        </row>
        <row r="2233">
          <cell r="A2233">
            <v>42590</v>
          </cell>
          <cell r="DF2233">
            <v>19.831109333333334</v>
          </cell>
          <cell r="DG2233">
            <v>21.679348620667902</v>
          </cell>
          <cell r="DH2233">
            <v>18.362277992096409</v>
          </cell>
          <cell r="DI2233">
            <v>14.300000632844487</v>
          </cell>
          <cell r="DJ2233">
            <v>22.424555351348332</v>
          </cell>
          <cell r="DU2233">
            <v>8.590098574969705</v>
          </cell>
          <cell r="DV2233">
            <v>11.644336226312735</v>
          </cell>
          <cell r="DW2233">
            <v>9.8476005987137558</v>
          </cell>
          <cell r="DX2233">
            <v>7.1073990168282446</v>
          </cell>
          <cell r="DY2233">
            <v>12.587802180599267</v>
          </cell>
        </row>
        <row r="2234">
          <cell r="A2234">
            <v>42591</v>
          </cell>
          <cell r="DF2234">
            <v>18.595554666666668</v>
          </cell>
          <cell r="DG2234">
            <v>21.679348620667902</v>
          </cell>
          <cell r="DH2234">
            <v>18.362277992096409</v>
          </cell>
          <cell r="DI2234">
            <v>14.300000632844487</v>
          </cell>
          <cell r="DJ2234">
            <v>22.424555351348332</v>
          </cell>
          <cell r="DU2234">
            <v>7.99338966200692</v>
          </cell>
          <cell r="DV2234">
            <v>11.644336226312735</v>
          </cell>
          <cell r="DW2234">
            <v>9.8476005987137558</v>
          </cell>
          <cell r="DX2234">
            <v>7.1073990168282446</v>
          </cell>
          <cell r="DY2234">
            <v>12.587802180599267</v>
          </cell>
        </row>
        <row r="2235">
          <cell r="A2235">
            <v>42592</v>
          </cell>
          <cell r="DF2235">
            <v>18.543236981636685</v>
          </cell>
          <cell r="DG2235">
            <v>21.679348620667902</v>
          </cell>
          <cell r="DH2235">
            <v>18.362277992096409</v>
          </cell>
          <cell r="DI2235">
            <v>14.300000632844487</v>
          </cell>
          <cell r="DJ2235">
            <v>22.424555351348332</v>
          </cell>
          <cell r="DU2235">
            <v>7.9719240093158907</v>
          </cell>
          <cell r="DV2235">
            <v>11.644336226312735</v>
          </cell>
          <cell r="DW2235">
            <v>9.8476005987137558</v>
          </cell>
          <cell r="DX2235">
            <v>7.1073990168282446</v>
          </cell>
          <cell r="DY2235">
            <v>12.587802180599267</v>
          </cell>
        </row>
        <row r="2236">
          <cell r="A2236">
            <v>42593</v>
          </cell>
          <cell r="DF2236">
            <v>18.643911091154017</v>
          </cell>
          <cell r="DG2236">
            <v>21.679348620667902</v>
          </cell>
          <cell r="DH2236">
            <v>18.362277992096409</v>
          </cell>
          <cell r="DI2236">
            <v>14.300000632844487</v>
          </cell>
          <cell r="DJ2236">
            <v>22.424555351348332</v>
          </cell>
          <cell r="DU2236">
            <v>7.9952363899438996</v>
          </cell>
          <cell r="DV2236">
            <v>11.644336226312735</v>
          </cell>
          <cell r="DW2236">
            <v>9.8476005987137558</v>
          </cell>
          <cell r="DX2236">
            <v>7.1073990168282446</v>
          </cell>
          <cell r="DY2236">
            <v>12.587802180599267</v>
          </cell>
        </row>
        <row r="2237">
          <cell r="A2237">
            <v>42594</v>
          </cell>
          <cell r="DF2237">
            <v>18.634934889986525</v>
          </cell>
          <cell r="DG2237">
            <v>21.679348620667902</v>
          </cell>
          <cell r="DH2237">
            <v>18.362277992096409</v>
          </cell>
          <cell r="DI2237">
            <v>14.300000632844487</v>
          </cell>
          <cell r="DJ2237">
            <v>22.424555351348332</v>
          </cell>
          <cell r="DU2237">
            <v>7.9909074734768151</v>
          </cell>
          <cell r="DV2237">
            <v>11.644336226312735</v>
          </cell>
          <cell r="DW2237">
            <v>9.8476005987137558</v>
          </cell>
          <cell r="DX2237">
            <v>7.1073990168282446</v>
          </cell>
          <cell r="DY2237">
            <v>12.587802180599267</v>
          </cell>
        </row>
        <row r="2238">
          <cell r="A2238">
            <v>42597</v>
          </cell>
          <cell r="DF2238">
            <v>19.308486753480015</v>
          </cell>
          <cell r="DG2238">
            <v>21.679348620667902</v>
          </cell>
          <cell r="DH2238">
            <v>18.362277992096409</v>
          </cell>
          <cell r="DI2238">
            <v>14.300000632844487</v>
          </cell>
          <cell r="DJ2238">
            <v>22.424555351348332</v>
          </cell>
          <cell r="DU2238">
            <v>8.3157386240833944</v>
          </cell>
          <cell r="DV2238">
            <v>11.644336226312735</v>
          </cell>
          <cell r="DW2238">
            <v>9.8476005987137558</v>
          </cell>
          <cell r="DX2238">
            <v>7.1073990168282446</v>
          </cell>
          <cell r="DY2238">
            <v>12.587802180599267</v>
          </cell>
        </row>
        <row r="2239">
          <cell r="A2239">
            <v>42598</v>
          </cell>
          <cell r="DF2239">
            <v>19.461157611136056</v>
          </cell>
          <cell r="DG2239">
            <v>21.679348620667902</v>
          </cell>
          <cell r="DH2239">
            <v>18.362277992096409</v>
          </cell>
          <cell r="DI2239">
            <v>14.300000632844487</v>
          </cell>
          <cell r="DJ2239">
            <v>22.424555351348332</v>
          </cell>
          <cell r="DU2239">
            <v>8.3893665851126862</v>
          </cell>
          <cell r="DV2239">
            <v>11.644336226312735</v>
          </cell>
          <cell r="DW2239">
            <v>9.8476005987137558</v>
          </cell>
          <cell r="DX2239">
            <v>7.1073990168282446</v>
          </cell>
          <cell r="DY2239">
            <v>12.587802180599267</v>
          </cell>
        </row>
        <row r="2240">
          <cell r="A2240">
            <v>42599</v>
          </cell>
          <cell r="DF2240">
            <v>19.371358778625954</v>
          </cell>
          <cell r="DG2240">
            <v>21.679348620667902</v>
          </cell>
          <cell r="DH2240">
            <v>18.362277992096409</v>
          </cell>
          <cell r="DI2240">
            <v>14.300000632844487</v>
          </cell>
          <cell r="DJ2240">
            <v>22.424555351348332</v>
          </cell>
          <cell r="DU2240">
            <v>8.3460596630056152</v>
          </cell>
          <cell r="DV2240">
            <v>11.644336226312735</v>
          </cell>
          <cell r="DW2240">
            <v>9.8476005987137558</v>
          </cell>
          <cell r="DX2240">
            <v>7.1073990168282446</v>
          </cell>
          <cell r="DY2240">
            <v>12.587802180599267</v>
          </cell>
        </row>
        <row r="2241">
          <cell r="A2241">
            <v>42600</v>
          </cell>
          <cell r="DF2241">
            <v>19.847334530758868</v>
          </cell>
          <cell r="DG2241">
            <v>21.679348620667902</v>
          </cell>
          <cell r="DH2241">
            <v>18.362277992096409</v>
          </cell>
          <cell r="DI2241">
            <v>14.300000632844487</v>
          </cell>
          <cell r="DJ2241">
            <v>22.424555351348332</v>
          </cell>
          <cell r="DU2241">
            <v>8.4786036109634679</v>
          </cell>
          <cell r="DV2241">
            <v>11.644336226312735</v>
          </cell>
          <cell r="DW2241">
            <v>9.8476005987137558</v>
          </cell>
          <cell r="DX2241">
            <v>7.1073990168282446</v>
          </cell>
          <cell r="DY2241">
            <v>12.587802180599267</v>
          </cell>
        </row>
        <row r="2242">
          <cell r="A2242">
            <v>42601</v>
          </cell>
          <cell r="DF2242">
            <v>19.380334081724289</v>
          </cell>
          <cell r="DG2242">
            <v>21.679348620667902</v>
          </cell>
          <cell r="DH2242">
            <v>18.362277992096409</v>
          </cell>
          <cell r="DI2242">
            <v>14.300000632844487</v>
          </cell>
          <cell r="DJ2242">
            <v>22.424555351348332</v>
          </cell>
          <cell r="DU2242">
            <v>8.2559327390511346</v>
          </cell>
          <cell r="DV2242">
            <v>11.644336226312735</v>
          </cell>
          <cell r="DW2242">
            <v>9.8476005987137558</v>
          </cell>
          <cell r="DX2242">
            <v>7.1073990168282446</v>
          </cell>
          <cell r="DY2242">
            <v>12.587802180599267</v>
          </cell>
        </row>
        <row r="2243">
          <cell r="A2243">
            <v>42604</v>
          </cell>
          <cell r="DF2243">
            <v>18.59002873821284</v>
          </cell>
          <cell r="DG2243">
            <v>21.679348620667902</v>
          </cell>
          <cell r="DH2243">
            <v>18.362277992096409</v>
          </cell>
          <cell r="DI2243">
            <v>14.300000632844487</v>
          </cell>
          <cell r="DJ2243">
            <v>22.424555351348332</v>
          </cell>
          <cell r="DU2243">
            <v>7.8791065919232954</v>
          </cell>
          <cell r="DV2243">
            <v>11.644336226312735</v>
          </cell>
          <cell r="DW2243">
            <v>9.8476005987137558</v>
          </cell>
          <cell r="DX2243">
            <v>7.1073990168282446</v>
          </cell>
          <cell r="DY2243">
            <v>12.587802180599267</v>
          </cell>
        </row>
        <row r="2244">
          <cell r="A2244">
            <v>42605</v>
          </cell>
          <cell r="DF2244">
            <v>18.477908889911451</v>
          </cell>
          <cell r="DG2244">
            <v>21.679348620667902</v>
          </cell>
          <cell r="DH2244">
            <v>18.362277992096409</v>
          </cell>
          <cell r="DI2244">
            <v>14.300000632844487</v>
          </cell>
          <cell r="DJ2244">
            <v>22.424555351348332</v>
          </cell>
          <cell r="DU2244">
            <v>7.827723641230282</v>
          </cell>
          <cell r="DV2244">
            <v>11.644336226312735</v>
          </cell>
          <cell r="DW2244">
            <v>9.8476005987137558</v>
          </cell>
          <cell r="DX2244">
            <v>7.1073990168282446</v>
          </cell>
          <cell r="DY2244">
            <v>12.587802180599267</v>
          </cell>
        </row>
        <row r="2245">
          <cell r="A2245">
            <v>42606</v>
          </cell>
          <cell r="DF2245">
            <v>18.15413900139124</v>
          </cell>
          <cell r="DG2245">
            <v>21.679348620667902</v>
          </cell>
          <cell r="DH2245">
            <v>18.362277992096409</v>
          </cell>
          <cell r="DI2245">
            <v>14.300000632844487</v>
          </cell>
          <cell r="DJ2245">
            <v>22.424555351348332</v>
          </cell>
          <cell r="DU2245">
            <v>7.7139096076039815</v>
          </cell>
          <cell r="DV2245">
            <v>11.644336226312735</v>
          </cell>
          <cell r="DW2245">
            <v>9.8476005987137558</v>
          </cell>
          <cell r="DX2245">
            <v>7.1073990168282446</v>
          </cell>
          <cell r="DY2245">
            <v>12.587802180599267</v>
          </cell>
        </row>
        <row r="2246">
          <cell r="A2246">
            <v>42607</v>
          </cell>
          <cell r="DF2246">
            <v>18.249119680852893</v>
          </cell>
          <cell r="DG2246">
            <v>21.679348620667902</v>
          </cell>
          <cell r="DH2246">
            <v>18.362277992096409</v>
          </cell>
          <cell r="DI2246">
            <v>14.300000632844487</v>
          </cell>
          <cell r="DJ2246">
            <v>22.424555351348332</v>
          </cell>
          <cell r="DU2246">
            <v>7.7627335581428367</v>
          </cell>
          <cell r="DV2246">
            <v>11.644336226312735</v>
          </cell>
          <cell r="DW2246">
            <v>9.8476005987137558</v>
          </cell>
          <cell r="DX2246">
            <v>7.1073990168282446</v>
          </cell>
          <cell r="DY2246">
            <v>12.587802180599267</v>
          </cell>
        </row>
        <row r="2247">
          <cell r="A2247">
            <v>42608</v>
          </cell>
          <cell r="DF2247">
            <v>18.805691997303942</v>
          </cell>
          <cell r="DG2247">
            <v>21.679348620667902</v>
          </cell>
          <cell r="DH2247">
            <v>18.362277992096409</v>
          </cell>
          <cell r="DI2247">
            <v>14.300000632844487</v>
          </cell>
          <cell r="DJ2247">
            <v>22.424555351348332</v>
          </cell>
          <cell r="DU2247">
            <v>8.0312819242244977</v>
          </cell>
          <cell r="DV2247">
            <v>11.644336226312735</v>
          </cell>
          <cell r="DW2247">
            <v>9.8476005987137558</v>
          </cell>
          <cell r="DX2247">
            <v>7.1073990168282446</v>
          </cell>
          <cell r="DY2247">
            <v>12.587802180599267</v>
          </cell>
        </row>
        <row r="2248">
          <cell r="A2248">
            <v>42611</v>
          </cell>
          <cell r="DF2248">
            <v>18.796808328108945</v>
          </cell>
          <cell r="DG2248">
            <v>21.679348620667902</v>
          </cell>
          <cell r="DH2248">
            <v>18.362277992096409</v>
          </cell>
          <cell r="DI2248">
            <v>14.300000632844487</v>
          </cell>
          <cell r="DJ2248">
            <v>22.424555351348332</v>
          </cell>
          <cell r="DU2248">
            <v>8.0270261000721792</v>
          </cell>
          <cell r="DV2248">
            <v>11.644336226312735</v>
          </cell>
          <cell r="DW2248">
            <v>9.8476005987137558</v>
          </cell>
          <cell r="DX2248">
            <v>7.1073990168282446</v>
          </cell>
          <cell r="DY2248">
            <v>12.587802180599267</v>
          </cell>
        </row>
        <row r="2249">
          <cell r="A2249">
            <v>42612</v>
          </cell>
          <cell r="DF2249">
            <v>18.952669681652722</v>
          </cell>
          <cell r="DG2249">
            <v>21.679348620667902</v>
          </cell>
          <cell r="DH2249">
            <v>18.362277992096409</v>
          </cell>
          <cell r="DI2249">
            <v>14.300000632844487</v>
          </cell>
          <cell r="DJ2249">
            <v>22.424555351348332</v>
          </cell>
          <cell r="DU2249">
            <v>8.0971808740531515</v>
          </cell>
          <cell r="DV2249">
            <v>11.644336226312735</v>
          </cell>
          <cell r="DW2249">
            <v>9.8476005987137558</v>
          </cell>
          <cell r="DX2249">
            <v>7.1073990168282446</v>
          </cell>
          <cell r="DY2249">
            <v>12.587802180599267</v>
          </cell>
        </row>
        <row r="2250">
          <cell r="A2250">
            <v>42613</v>
          </cell>
          <cell r="DF2250">
            <v>16.976138040233444</v>
          </cell>
          <cell r="DG2250">
            <v>21.679348620667902</v>
          </cell>
          <cell r="DH2250">
            <v>18.362277992096409</v>
          </cell>
          <cell r="DI2250">
            <v>14.300000632844487</v>
          </cell>
          <cell r="DJ2250">
            <v>22.424555351348332</v>
          </cell>
          <cell r="DU2250">
            <v>7.0835533365435968</v>
          </cell>
          <cell r="DV2250">
            <v>11.644336226312735</v>
          </cell>
          <cell r="DW2250">
            <v>9.8476005987137558</v>
          </cell>
          <cell r="DX2250">
            <v>7.1073990168282446</v>
          </cell>
          <cell r="DY2250">
            <v>12.587802180599267</v>
          </cell>
        </row>
        <row r="2251">
          <cell r="A2251">
            <v>42614</v>
          </cell>
          <cell r="DF2251">
            <v>17.228034474074196</v>
          </cell>
          <cell r="DG2251">
            <v>21.679348620667902</v>
          </cell>
          <cell r="DH2251">
            <v>18.362277992096409</v>
          </cell>
          <cell r="DI2251">
            <v>14.300000632844487</v>
          </cell>
          <cell r="DJ2251">
            <v>22.424555351348332</v>
          </cell>
          <cell r="DU2251">
            <v>7.1609619430883065</v>
          </cell>
          <cell r="DV2251">
            <v>11.644336226312735</v>
          </cell>
          <cell r="DW2251">
            <v>9.8476005987137558</v>
          </cell>
          <cell r="DX2251">
            <v>7.1073990168282446</v>
          </cell>
          <cell r="DY2251">
            <v>12.587802180599267</v>
          </cell>
        </row>
        <row r="2252">
          <cell r="A2252">
            <v>42615</v>
          </cell>
          <cell r="DF2252">
            <v>17.288141892907085</v>
          </cell>
          <cell r="DG2252">
            <v>21.679348620667902</v>
          </cell>
          <cell r="DH2252">
            <v>18.362277992096409</v>
          </cell>
          <cell r="DI2252">
            <v>14.300000632844487</v>
          </cell>
          <cell r="DJ2252">
            <v>22.424555351348332</v>
          </cell>
          <cell r="DU2252">
            <v>7.1864843252834252</v>
          </cell>
          <cell r="DV2252">
            <v>11.644336226312735</v>
          </cell>
          <cell r="DW2252">
            <v>9.8476005987137558</v>
          </cell>
          <cell r="DX2252">
            <v>7.1073990168282446</v>
          </cell>
          <cell r="DY2252">
            <v>12.587802180599267</v>
          </cell>
        </row>
        <row r="2253">
          <cell r="A2253">
            <v>42618</v>
          </cell>
          <cell r="DF2253">
            <v>16.757158542074571</v>
          </cell>
          <cell r="DG2253">
            <v>21.679348620667902</v>
          </cell>
          <cell r="DH2253">
            <v>18.362277992096409</v>
          </cell>
          <cell r="DI2253">
            <v>14.300000632844487</v>
          </cell>
          <cell r="DJ2253">
            <v>22.424555351348332</v>
          </cell>
          <cell r="DU2253">
            <v>7.1864843252834252</v>
          </cell>
          <cell r="DV2253">
            <v>11.644336226312735</v>
          </cell>
          <cell r="DW2253">
            <v>9.8476005987137558</v>
          </cell>
          <cell r="DX2253">
            <v>7.1073990168282446</v>
          </cell>
          <cell r="DY2253">
            <v>12.587802180599267</v>
          </cell>
        </row>
        <row r="2254">
          <cell r="A2254">
            <v>42619</v>
          </cell>
          <cell r="DF2254">
            <v>16.844489150092098</v>
          </cell>
          <cell r="DG2254">
            <v>21.679348620667902</v>
          </cell>
          <cell r="DH2254">
            <v>18.362277992096409</v>
          </cell>
          <cell r="DI2254">
            <v>14.300000632844487</v>
          </cell>
          <cell r="DJ2254">
            <v>22.424555351348332</v>
          </cell>
          <cell r="DU2254">
            <v>6.9579479815495144</v>
          </cell>
          <cell r="DV2254">
            <v>11.644336226312735</v>
          </cell>
          <cell r="DW2254">
            <v>9.8476005987137558</v>
          </cell>
          <cell r="DX2254">
            <v>7.1073990168282446</v>
          </cell>
          <cell r="DY2254">
            <v>12.587802180599267</v>
          </cell>
        </row>
        <row r="2255">
          <cell r="A2255">
            <v>42620</v>
          </cell>
          <cell r="DF2255">
            <v>17.459311030743155</v>
          </cell>
          <cell r="DG2255">
            <v>21.679348620667902</v>
          </cell>
          <cell r="DH2255">
            <v>18.362277992096409</v>
          </cell>
          <cell r="DI2255">
            <v>14.300000632844487</v>
          </cell>
          <cell r="DJ2255">
            <v>22.424555351348332</v>
          </cell>
          <cell r="DU2255">
            <v>7.2478913960930065</v>
          </cell>
          <cell r="DV2255">
            <v>11.644336226312735</v>
          </cell>
          <cell r="DW2255">
            <v>9.8476005987137558</v>
          </cell>
          <cell r="DX2255">
            <v>7.1073990168282446</v>
          </cell>
          <cell r="DY2255">
            <v>12.587802180599267</v>
          </cell>
        </row>
        <row r="2256">
          <cell r="A2256">
            <v>42621</v>
          </cell>
          <cell r="DF2256">
            <v>18.001811934902342</v>
          </cell>
          <cell r="DG2256">
            <v>21.679348620667902</v>
          </cell>
          <cell r="DH2256">
            <v>18.362277992096409</v>
          </cell>
          <cell r="DI2256">
            <v>14.300000632844487</v>
          </cell>
          <cell r="DJ2256">
            <v>22.424555351348332</v>
          </cell>
          <cell r="DU2256">
            <v>7.5037290126369758</v>
          </cell>
          <cell r="DV2256">
            <v>11.644336226312735</v>
          </cell>
          <cell r="DW2256">
            <v>9.8476005987137558</v>
          </cell>
          <cell r="DX2256">
            <v>7.1073990168282446</v>
          </cell>
          <cell r="DY2256">
            <v>12.587802180599267</v>
          </cell>
        </row>
        <row r="2257">
          <cell r="A2257">
            <v>42622</v>
          </cell>
          <cell r="DF2257">
            <v>17.893303797470143</v>
          </cell>
          <cell r="DG2257">
            <v>21.679348620667902</v>
          </cell>
          <cell r="DH2257">
            <v>18.362277992096409</v>
          </cell>
          <cell r="DI2257">
            <v>14.300000632844487</v>
          </cell>
          <cell r="DJ2257">
            <v>22.424555351348332</v>
          </cell>
          <cell r="DU2257">
            <v>7.4525577370806628</v>
          </cell>
          <cell r="DV2257">
            <v>11.644336226312735</v>
          </cell>
          <cell r="DW2257">
            <v>9.8476005987137558</v>
          </cell>
          <cell r="DX2257">
            <v>7.1073990168282446</v>
          </cell>
          <cell r="DY2257">
            <v>12.587802180599267</v>
          </cell>
        </row>
        <row r="2258">
          <cell r="A2258">
            <v>42625</v>
          </cell>
          <cell r="DF2258">
            <v>17.694401446656379</v>
          </cell>
          <cell r="DG2258">
            <v>21.679348620667902</v>
          </cell>
          <cell r="DH2258">
            <v>18.362277992096409</v>
          </cell>
          <cell r="DI2258">
            <v>14.300000632844487</v>
          </cell>
          <cell r="DJ2258">
            <v>22.424555351348332</v>
          </cell>
          <cell r="DU2258">
            <v>7.3587575185611103</v>
          </cell>
          <cell r="DV2258">
            <v>11.644336226312735</v>
          </cell>
          <cell r="DW2258">
            <v>9.8476005987137558</v>
          </cell>
          <cell r="DX2258">
            <v>7.1073990168282446</v>
          </cell>
          <cell r="DY2258">
            <v>12.587802180599267</v>
          </cell>
        </row>
        <row r="2259">
          <cell r="A2259">
            <v>42626</v>
          </cell>
          <cell r="DF2259">
            <v>17.830019891502687</v>
          </cell>
          <cell r="DG2259">
            <v>21.679348620667902</v>
          </cell>
          <cell r="DH2259">
            <v>18.362277992096409</v>
          </cell>
          <cell r="DI2259">
            <v>14.300000632844487</v>
          </cell>
          <cell r="DJ2259">
            <v>22.424555351348332</v>
          </cell>
          <cell r="DU2259">
            <v>7.422713724758875</v>
          </cell>
          <cell r="DV2259">
            <v>11.644336226312735</v>
          </cell>
          <cell r="DW2259">
            <v>9.8476005987137558</v>
          </cell>
          <cell r="DX2259">
            <v>7.1073990168282446</v>
          </cell>
          <cell r="DY2259">
            <v>12.587802180599267</v>
          </cell>
        </row>
        <row r="2260">
          <cell r="A2260">
            <v>42627</v>
          </cell>
          <cell r="DF2260">
            <v>17.81193218806688</v>
          </cell>
          <cell r="DG2260">
            <v>21.679348620667902</v>
          </cell>
          <cell r="DH2260">
            <v>18.362277992096409</v>
          </cell>
          <cell r="DI2260">
            <v>14.300000632844487</v>
          </cell>
          <cell r="DJ2260">
            <v>22.424555351348332</v>
          </cell>
          <cell r="DU2260">
            <v>7.4141837575269438</v>
          </cell>
          <cell r="DV2260">
            <v>11.644336226312735</v>
          </cell>
          <cell r="DW2260">
            <v>9.8476005987137558</v>
          </cell>
          <cell r="DX2260">
            <v>7.1073990168282446</v>
          </cell>
          <cell r="DY2260">
            <v>12.587802180599267</v>
          </cell>
        </row>
        <row r="2261">
          <cell r="A2261">
            <v>42628</v>
          </cell>
          <cell r="DF2261">
            <v>17.649190777578617</v>
          </cell>
          <cell r="DG2261">
            <v>21.679348620667902</v>
          </cell>
          <cell r="DH2261">
            <v>18.362277992096409</v>
          </cell>
          <cell r="DI2261">
            <v>14.300000632844487</v>
          </cell>
          <cell r="DJ2261">
            <v>22.424555351348332</v>
          </cell>
          <cell r="DU2261">
            <v>7.3374366512030385</v>
          </cell>
          <cell r="DV2261">
            <v>11.644336226312735</v>
          </cell>
          <cell r="DW2261">
            <v>9.8476005987137558</v>
          </cell>
          <cell r="DX2261">
            <v>7.1073990168282446</v>
          </cell>
          <cell r="DY2261">
            <v>12.587802180599267</v>
          </cell>
        </row>
        <row r="2262">
          <cell r="A2262">
            <v>42629</v>
          </cell>
          <cell r="DF2262">
            <v>17.658226943943898</v>
          </cell>
          <cell r="DG2262">
            <v>21.679348620667902</v>
          </cell>
          <cell r="DH2262">
            <v>18.362277992096409</v>
          </cell>
          <cell r="DI2262">
            <v>14.300000632844487</v>
          </cell>
          <cell r="DJ2262">
            <v>22.424555351348332</v>
          </cell>
          <cell r="DU2262">
            <v>7.3416980104890124</v>
          </cell>
          <cell r="DV2262">
            <v>11.644336226312735</v>
          </cell>
          <cell r="DW2262">
            <v>9.8476005987137558</v>
          </cell>
          <cell r="DX2262">
            <v>7.1073990168282446</v>
          </cell>
          <cell r="DY2262">
            <v>12.587802180599267</v>
          </cell>
        </row>
        <row r="2263">
          <cell r="A2263">
            <v>42632</v>
          </cell>
          <cell r="DF2263">
            <v>17.762210669079533</v>
          </cell>
          <cell r="DG2263">
            <v>21.679348620667902</v>
          </cell>
          <cell r="DH2263">
            <v>18.362277992096409</v>
          </cell>
          <cell r="DI2263">
            <v>14.300000632844487</v>
          </cell>
          <cell r="DJ2263">
            <v>22.424555351348332</v>
          </cell>
          <cell r="DU2263">
            <v>7.3907292257835397</v>
          </cell>
          <cell r="DV2263">
            <v>11.644336226312735</v>
          </cell>
          <cell r="DW2263">
            <v>9.8476005987137558</v>
          </cell>
          <cell r="DX2263">
            <v>7.1073990168282446</v>
          </cell>
          <cell r="DY2263">
            <v>12.587802180599267</v>
          </cell>
        </row>
        <row r="2264">
          <cell r="A2264">
            <v>42633</v>
          </cell>
          <cell r="DF2264">
            <v>17.772718972330221</v>
          </cell>
          <cell r="DG2264">
            <v>21.679348620667902</v>
          </cell>
          <cell r="DH2264">
            <v>18.362277992096409</v>
          </cell>
          <cell r="DI2264">
            <v>14.300000632844487</v>
          </cell>
          <cell r="DJ2264">
            <v>22.424555351348332</v>
          </cell>
          <cell r="DU2264">
            <v>7.3971310717230656</v>
          </cell>
          <cell r="DV2264">
            <v>11.644336226312735</v>
          </cell>
          <cell r="DW2264">
            <v>9.8476005987137558</v>
          </cell>
          <cell r="DX2264">
            <v>7.1073990168282446</v>
          </cell>
          <cell r="DY2264">
            <v>12.587802180599267</v>
          </cell>
        </row>
        <row r="2265">
          <cell r="A2265">
            <v>42634</v>
          </cell>
          <cell r="DF2265">
            <v>17.817921875990535</v>
          </cell>
          <cell r="DG2265">
            <v>21.679348620667902</v>
          </cell>
          <cell r="DH2265">
            <v>18.362277992096409</v>
          </cell>
          <cell r="DI2265">
            <v>14.300000632844487</v>
          </cell>
          <cell r="DJ2265">
            <v>22.424555351348332</v>
          </cell>
          <cell r="DU2265">
            <v>7.4279382542203152</v>
          </cell>
          <cell r="DV2265">
            <v>11.644336226312735</v>
          </cell>
          <cell r="DW2265">
            <v>9.8476005987137558</v>
          </cell>
          <cell r="DX2265">
            <v>7.1073990168282446</v>
          </cell>
          <cell r="DY2265">
            <v>12.587802180599267</v>
          </cell>
        </row>
        <row r="2266">
          <cell r="A2266">
            <v>42635</v>
          </cell>
          <cell r="DF2266">
            <v>17.423259015574558</v>
          </cell>
          <cell r="DG2266">
            <v>21.679348620667902</v>
          </cell>
          <cell r="DH2266">
            <v>18.362277992096409</v>
          </cell>
          <cell r="DI2266">
            <v>14.300000632844487</v>
          </cell>
          <cell r="DJ2266">
            <v>22.424555351348332</v>
          </cell>
          <cell r="DU2266">
            <v>7.2916418394096221</v>
          </cell>
          <cell r="DV2266">
            <v>11.644336226312735</v>
          </cell>
          <cell r="DW2266">
            <v>9.8476005987137558</v>
          </cell>
          <cell r="DX2266">
            <v>7.1073990168282446</v>
          </cell>
          <cell r="DY2266">
            <v>12.587802180599267</v>
          </cell>
        </row>
        <row r="2267">
          <cell r="A2267">
            <v>42636</v>
          </cell>
          <cell r="DF2267">
            <v>15.035394155906717</v>
          </cell>
          <cell r="DG2267">
            <v>21.679348620667902</v>
          </cell>
          <cell r="DH2267">
            <v>18.362277992096409</v>
          </cell>
          <cell r="DI2267">
            <v>14.300000632844487</v>
          </cell>
          <cell r="DJ2267">
            <v>22.424555351348332</v>
          </cell>
          <cell r="DU2267">
            <v>6.6107992126453246</v>
          </cell>
          <cell r="DV2267">
            <v>11.644336226312735</v>
          </cell>
          <cell r="DW2267">
            <v>9.8476005987137558</v>
          </cell>
          <cell r="DX2267">
            <v>7.1073990168282446</v>
          </cell>
          <cell r="DY2267">
            <v>12.587802180599267</v>
          </cell>
        </row>
        <row r="2268">
          <cell r="A2268">
            <v>42639</v>
          </cell>
          <cell r="DF2268">
            <v>15.329976429919883</v>
          </cell>
          <cell r="DG2268">
            <v>21.679348620667902</v>
          </cell>
          <cell r="DH2268">
            <v>18.362277992096409</v>
          </cell>
          <cell r="DI2268">
            <v>14.300000632844487</v>
          </cell>
          <cell r="DJ2268">
            <v>22.424555351348332</v>
          </cell>
          <cell r="DU2268">
            <v>6.7341685825876096</v>
          </cell>
          <cell r="DV2268">
            <v>11.644336226312735</v>
          </cell>
          <cell r="DW2268">
            <v>9.8476005987137558</v>
          </cell>
          <cell r="DX2268">
            <v>7.1073990168282446</v>
          </cell>
          <cell r="DY2268">
            <v>12.587802180599267</v>
          </cell>
        </row>
        <row r="2269">
          <cell r="A2269">
            <v>42640</v>
          </cell>
          <cell r="DF2269">
            <v>15.535715775520835</v>
          </cell>
          <cell r="DG2269">
            <v>21.679348620667902</v>
          </cell>
          <cell r="DH2269">
            <v>18.362277992096409</v>
          </cell>
          <cell r="DI2269">
            <v>14.300000632844487</v>
          </cell>
          <cell r="DJ2269">
            <v>22.424555351348332</v>
          </cell>
          <cell r="DU2269">
            <v>8.2381146848756259</v>
          </cell>
          <cell r="DV2269">
            <v>11.644336226312735</v>
          </cell>
          <cell r="DW2269">
            <v>9.8476005987137558</v>
          </cell>
          <cell r="DX2269">
            <v>7.1073990168282446</v>
          </cell>
          <cell r="DY2269">
            <v>12.587802180599267</v>
          </cell>
        </row>
        <row r="2270">
          <cell r="A2270">
            <v>42641</v>
          </cell>
          <cell r="DF2270">
            <v>15.95050723228918</v>
          </cell>
          <cell r="DG2270">
            <v>21.679348620667902</v>
          </cell>
          <cell r="DH2270">
            <v>18.362277992096409</v>
          </cell>
          <cell r="DI2270">
            <v>14.300000632844487</v>
          </cell>
          <cell r="DJ2270">
            <v>22.424555351348332</v>
          </cell>
          <cell r="DU2270">
            <v>8.4486188882441287</v>
          </cell>
          <cell r="DV2270">
            <v>11.644336226312735</v>
          </cell>
          <cell r="DW2270">
            <v>9.8476005987137558</v>
          </cell>
          <cell r="DX2270">
            <v>7.1073990168282446</v>
          </cell>
          <cell r="DY2270">
            <v>12.587802180599267</v>
          </cell>
        </row>
        <row r="2271">
          <cell r="A2271">
            <v>42642</v>
          </cell>
          <cell r="DF2271">
            <v>15.827406201623868</v>
          </cell>
          <cell r="DG2271">
            <v>21.679348620667902</v>
          </cell>
          <cell r="DH2271">
            <v>18.362277992096409</v>
          </cell>
          <cell r="DI2271">
            <v>14.300000632844487</v>
          </cell>
          <cell r="DJ2271">
            <v>22.424555351348332</v>
          </cell>
          <cell r="DU2271">
            <v>8.5381409415715055</v>
          </cell>
          <cell r="DV2271">
            <v>11.644336226312735</v>
          </cell>
          <cell r="DW2271">
            <v>9.8476005987137558</v>
          </cell>
          <cell r="DX2271">
            <v>7.1073990168282446</v>
          </cell>
          <cell r="DY2271">
            <v>12.587802180599267</v>
          </cell>
        </row>
        <row r="2272">
          <cell r="A2272">
            <v>42643</v>
          </cell>
          <cell r="DF2272">
            <v>16.469620642109838</v>
          </cell>
          <cell r="DG2272">
            <v>21.679348620667902</v>
          </cell>
          <cell r="DH2272">
            <v>18.362277992096409</v>
          </cell>
          <cell r="DI2272">
            <v>14.300000632844487</v>
          </cell>
          <cell r="DJ2272">
            <v>22.424555351348332</v>
          </cell>
          <cell r="DU2272">
            <v>8.9847965743632781</v>
          </cell>
          <cell r="DV2272">
            <v>11.644336226312735</v>
          </cell>
          <cell r="DW2272">
            <v>9.8476005987137558</v>
          </cell>
          <cell r="DX2272">
            <v>7.1073990168282446</v>
          </cell>
          <cell r="DY2272">
            <v>12.587802180599267</v>
          </cell>
        </row>
        <row r="2273">
          <cell r="A2273">
            <v>42646</v>
          </cell>
          <cell r="DF2273">
            <v>16.483052240577067</v>
          </cell>
          <cell r="DG2273">
            <v>21.679348620667902</v>
          </cell>
          <cell r="DH2273">
            <v>18.362277992096409</v>
          </cell>
          <cell r="DI2273">
            <v>14.300000632844487</v>
          </cell>
          <cell r="DJ2273">
            <v>22.424555351348332</v>
          </cell>
          <cell r="DU2273">
            <v>8.9847965743632781</v>
          </cell>
          <cell r="DV2273">
            <v>11.644336226312735</v>
          </cell>
          <cell r="DW2273">
            <v>9.8476005987137558</v>
          </cell>
          <cell r="DX2273">
            <v>7.1073990168282446</v>
          </cell>
          <cell r="DY2273">
            <v>12.587802180599267</v>
          </cell>
        </row>
        <row r="2274">
          <cell r="A2274">
            <v>42647</v>
          </cell>
          <cell r="DF2274">
            <v>16.397686556549555</v>
          </cell>
          <cell r="DG2274">
            <v>21.679348620667902</v>
          </cell>
          <cell r="DH2274">
            <v>18.362277992096409</v>
          </cell>
          <cell r="DI2274">
            <v>14.300000632844487</v>
          </cell>
          <cell r="DJ2274">
            <v>22.424555351348332</v>
          </cell>
          <cell r="DU2274">
            <v>8.9401636487011533</v>
          </cell>
          <cell r="DV2274">
            <v>11.644336226312735</v>
          </cell>
          <cell r="DW2274">
            <v>9.8476005987137558</v>
          </cell>
          <cell r="DX2274">
            <v>7.1073990168282446</v>
          </cell>
          <cell r="DY2274">
            <v>12.587802180599267</v>
          </cell>
        </row>
        <row r="2275">
          <cell r="A2275">
            <v>42648</v>
          </cell>
          <cell r="DF2275">
            <v>16.966727258359462</v>
          </cell>
          <cell r="DG2275">
            <v>21.679348620667902</v>
          </cell>
          <cell r="DH2275">
            <v>18.362277992096409</v>
          </cell>
          <cell r="DI2275">
            <v>14.300000632844487</v>
          </cell>
          <cell r="DJ2275">
            <v>22.424555351348332</v>
          </cell>
          <cell r="DU2275">
            <v>9.2376830984887182</v>
          </cell>
          <cell r="DV2275">
            <v>11.644336226312735</v>
          </cell>
          <cell r="DW2275">
            <v>9.8476005987137558</v>
          </cell>
          <cell r="DX2275">
            <v>7.1073990168282446</v>
          </cell>
          <cell r="DY2275">
            <v>12.587802180599267</v>
          </cell>
        </row>
        <row r="2276">
          <cell r="A2276">
            <v>42649</v>
          </cell>
          <cell r="DF2276">
            <v>16.103687030745366</v>
          </cell>
          <cell r="DG2276">
            <v>21.679348620667902</v>
          </cell>
          <cell r="DH2276">
            <v>18.362277992096409</v>
          </cell>
          <cell r="DI2276">
            <v>14.300000632844487</v>
          </cell>
          <cell r="DJ2276">
            <v>22.424555351348332</v>
          </cell>
          <cell r="DU2276">
            <v>8.7864477952009459</v>
          </cell>
          <cell r="DV2276">
            <v>11.644336226312735</v>
          </cell>
          <cell r="DW2276">
            <v>9.8476005987137558</v>
          </cell>
          <cell r="DX2276">
            <v>7.1073990168282446</v>
          </cell>
          <cell r="DY2276">
            <v>12.587802180599267</v>
          </cell>
        </row>
        <row r="2277">
          <cell r="A2277">
            <v>42650</v>
          </cell>
          <cell r="DF2277">
            <v>15.895039911485091</v>
          </cell>
          <cell r="DG2277">
            <v>21.679348620667902</v>
          </cell>
          <cell r="DH2277">
            <v>18.362277992096409</v>
          </cell>
          <cell r="DI2277">
            <v>14.300000632844487</v>
          </cell>
          <cell r="DJ2277">
            <v>22.424555351348332</v>
          </cell>
          <cell r="DU2277">
            <v>8.6773579253117887</v>
          </cell>
          <cell r="DV2277">
            <v>11.644336226312735</v>
          </cell>
          <cell r="DW2277">
            <v>9.8476005987137558</v>
          </cell>
          <cell r="DX2277">
            <v>7.1073990168282446</v>
          </cell>
          <cell r="DY2277">
            <v>12.587802180599267</v>
          </cell>
        </row>
        <row r="2278">
          <cell r="A2278">
            <v>42653</v>
          </cell>
          <cell r="DF2278">
            <v>16.274405121316793</v>
          </cell>
          <cell r="DG2278">
            <v>21.679348620667902</v>
          </cell>
          <cell r="DH2278">
            <v>18.362277992096409</v>
          </cell>
          <cell r="DI2278">
            <v>14.300000632844487</v>
          </cell>
          <cell r="DJ2278">
            <v>22.424555351348332</v>
          </cell>
          <cell r="DU2278">
            <v>8.6773579253117887</v>
          </cell>
          <cell r="DV2278">
            <v>11.644336226312735</v>
          </cell>
          <cell r="DW2278">
            <v>9.8476005987137558</v>
          </cell>
          <cell r="DX2278">
            <v>7.1073990168282446</v>
          </cell>
          <cell r="DY2278">
            <v>12.587802180599267</v>
          </cell>
        </row>
        <row r="2279">
          <cell r="A2279">
            <v>42654</v>
          </cell>
          <cell r="DF2279">
            <v>15.932984114440917</v>
          </cell>
          <cell r="DG2279">
            <v>21.679348620667902</v>
          </cell>
          <cell r="DH2279">
            <v>18.362277992096409</v>
          </cell>
          <cell r="DI2279">
            <v>14.300000632844487</v>
          </cell>
          <cell r="DJ2279">
            <v>22.424555351348332</v>
          </cell>
          <cell r="DU2279">
            <v>8.6971968197004301</v>
          </cell>
          <cell r="DV2279">
            <v>11.644336226312735</v>
          </cell>
          <cell r="DW2279">
            <v>9.8476005987137558</v>
          </cell>
          <cell r="DX2279">
            <v>7.1073990168282446</v>
          </cell>
          <cell r="DY2279">
            <v>12.587802180599267</v>
          </cell>
        </row>
        <row r="2280">
          <cell r="A2280">
            <v>42655</v>
          </cell>
          <cell r="DF2280">
            <v>16.274405121316793</v>
          </cell>
          <cell r="DG2280">
            <v>21.679348620667902</v>
          </cell>
          <cell r="DH2280">
            <v>18.362277992096409</v>
          </cell>
          <cell r="DI2280">
            <v>14.300000632844487</v>
          </cell>
          <cell r="DJ2280">
            <v>22.424555351348332</v>
          </cell>
          <cell r="DU2280">
            <v>8.8757067044741209</v>
          </cell>
          <cell r="DV2280">
            <v>11.644336226312735</v>
          </cell>
          <cell r="DW2280">
            <v>9.8476005987137558</v>
          </cell>
          <cell r="DX2280">
            <v>7.1073990168282446</v>
          </cell>
          <cell r="DY2280">
            <v>12.587802180599267</v>
          </cell>
        </row>
        <row r="2281">
          <cell r="A2281">
            <v>42656</v>
          </cell>
          <cell r="DF2281">
            <v>16.170082035882498</v>
          </cell>
          <cell r="DG2281">
            <v>21.679348620667902</v>
          </cell>
          <cell r="DH2281">
            <v>18.362277992096409</v>
          </cell>
          <cell r="DI2281">
            <v>14.300000632844487</v>
          </cell>
          <cell r="DJ2281">
            <v>22.424555351348332</v>
          </cell>
          <cell r="DU2281">
            <v>8.8211620174599368</v>
          </cell>
          <cell r="DV2281">
            <v>11.644336226312735</v>
          </cell>
          <cell r="DW2281">
            <v>9.8476005987137558</v>
          </cell>
          <cell r="DX2281">
            <v>7.1073990168282446</v>
          </cell>
          <cell r="DY2281">
            <v>12.587802180599267</v>
          </cell>
        </row>
        <row r="2282">
          <cell r="A2282">
            <v>42657</v>
          </cell>
          <cell r="DF2282">
            <v>16.331306725679401</v>
          </cell>
          <cell r="DG2282">
            <v>21.679348620667902</v>
          </cell>
          <cell r="DH2282">
            <v>18.362277992096409</v>
          </cell>
          <cell r="DI2282">
            <v>14.300000632844487</v>
          </cell>
          <cell r="DJ2282">
            <v>22.424555351348332</v>
          </cell>
          <cell r="DU2282">
            <v>8.941722225391624</v>
          </cell>
          <cell r="DV2282">
            <v>11.644336226312735</v>
          </cell>
          <cell r="DW2282">
            <v>9.8476005987137558</v>
          </cell>
          <cell r="DX2282">
            <v>7.1073990168282446</v>
          </cell>
          <cell r="DY2282">
            <v>12.587802180599267</v>
          </cell>
        </row>
        <row r="2283">
          <cell r="A2283">
            <v>42660</v>
          </cell>
          <cell r="DF2283">
            <v>16.331306725679401</v>
          </cell>
          <cell r="DG2283">
            <v>21.679348620667902</v>
          </cell>
          <cell r="DH2283">
            <v>18.362277992096409</v>
          </cell>
          <cell r="DI2283">
            <v>14.300000632844487</v>
          </cell>
          <cell r="DJ2283">
            <v>22.424555351348332</v>
          </cell>
          <cell r="DU2283">
            <v>8.941722225391624</v>
          </cell>
          <cell r="DV2283">
            <v>11.644336226312735</v>
          </cell>
          <cell r="DW2283">
            <v>9.8476005987137558</v>
          </cell>
          <cell r="DX2283">
            <v>7.1073990168282446</v>
          </cell>
          <cell r="DY2283">
            <v>12.587802180599267</v>
          </cell>
        </row>
        <row r="2284">
          <cell r="A2284">
            <v>42661</v>
          </cell>
          <cell r="DF2284">
            <v>16.558925472221745</v>
          </cell>
          <cell r="DG2284">
            <v>21.679348620667902</v>
          </cell>
          <cell r="DH2284">
            <v>18.362277992096409</v>
          </cell>
          <cell r="DI2284">
            <v>14.300000632844487</v>
          </cell>
          <cell r="DJ2284">
            <v>22.424555351348332</v>
          </cell>
          <cell r="DU2284">
            <v>9.0612159241008428</v>
          </cell>
          <cell r="DV2284">
            <v>11.644336226312735</v>
          </cell>
          <cell r="DW2284">
            <v>9.8476005987137558</v>
          </cell>
          <cell r="DX2284">
            <v>7.1073990168282446</v>
          </cell>
          <cell r="DY2284">
            <v>12.587802180599267</v>
          </cell>
        </row>
        <row r="2285">
          <cell r="A2285">
            <v>42662</v>
          </cell>
          <cell r="DF2285">
            <v>16.056264601281995</v>
          </cell>
          <cell r="DG2285">
            <v>21.679348620667902</v>
          </cell>
          <cell r="DH2285">
            <v>18.362277992096409</v>
          </cell>
          <cell r="DI2285">
            <v>14.300000632844487</v>
          </cell>
          <cell r="DJ2285">
            <v>22.424555351348332</v>
          </cell>
          <cell r="DU2285">
            <v>8.7973325332228729</v>
          </cell>
          <cell r="DV2285">
            <v>11.644336226312735</v>
          </cell>
          <cell r="DW2285">
            <v>9.8476005987137558</v>
          </cell>
          <cell r="DX2285">
            <v>7.1073990168282446</v>
          </cell>
          <cell r="DY2285">
            <v>12.587802180599267</v>
          </cell>
        </row>
        <row r="2286">
          <cell r="A2286">
            <v>42663</v>
          </cell>
          <cell r="DF2286">
            <v>16.217504465345872</v>
          </cell>
          <cell r="DG2286">
            <v>21.679348620667902</v>
          </cell>
          <cell r="DH2286">
            <v>18.362277992096409</v>
          </cell>
          <cell r="DI2286">
            <v>14.300000632844487</v>
          </cell>
          <cell r="DJ2286">
            <v>22.424555351348332</v>
          </cell>
          <cell r="DU2286">
            <v>8.8819791101373067</v>
          </cell>
          <cell r="DV2286">
            <v>11.644336226312735</v>
          </cell>
          <cell r="DW2286">
            <v>9.8476005987137558</v>
          </cell>
          <cell r="DX2286">
            <v>7.1073990168282446</v>
          </cell>
          <cell r="DY2286">
            <v>12.587802180599267</v>
          </cell>
        </row>
        <row r="2287">
          <cell r="A2287">
            <v>42664</v>
          </cell>
          <cell r="DF2287">
            <v>15.828660080614936</v>
          </cell>
          <cell r="DG2287">
            <v>21.679348620667902</v>
          </cell>
          <cell r="DH2287">
            <v>18.362277992096409</v>
          </cell>
          <cell r="DI2287">
            <v>14.300000632844487</v>
          </cell>
          <cell r="DJ2287">
            <v>22.424555351348332</v>
          </cell>
          <cell r="DU2287">
            <v>8.6778463027142383</v>
          </cell>
          <cell r="DV2287">
            <v>11.644336226312735</v>
          </cell>
          <cell r="DW2287">
            <v>9.8476005987137558</v>
          </cell>
          <cell r="DX2287">
            <v>7.1073990168282446</v>
          </cell>
          <cell r="DY2287">
            <v>12.587802180599267</v>
          </cell>
        </row>
        <row r="2288">
          <cell r="A2288">
            <v>42667</v>
          </cell>
          <cell r="DF2288">
            <v>15.587822014051524</v>
          </cell>
          <cell r="DG2288">
            <v>21.679348620667902</v>
          </cell>
          <cell r="DH2288">
            <v>18.362277992096409</v>
          </cell>
          <cell r="DI2288">
            <v>14.300000632844487</v>
          </cell>
          <cell r="DJ2288">
            <v>22.424555351348332</v>
          </cell>
          <cell r="DU2288">
            <v>8.5982400659679499</v>
          </cell>
          <cell r="DV2288">
            <v>11.644336226312735</v>
          </cell>
          <cell r="DW2288">
            <v>9.8476005987137558</v>
          </cell>
          <cell r="DX2288">
            <v>7.1073990168282446</v>
          </cell>
          <cell r="DY2288">
            <v>12.587802180599267</v>
          </cell>
        </row>
        <row r="2289">
          <cell r="A2289">
            <v>42668</v>
          </cell>
          <cell r="DF2289">
            <v>15.606561124121782</v>
          </cell>
          <cell r="DG2289">
            <v>21.679348620667902</v>
          </cell>
          <cell r="DH2289">
            <v>18.362277992096409</v>
          </cell>
          <cell r="DI2289">
            <v>14.300000632844487</v>
          </cell>
          <cell r="DJ2289">
            <v>22.424555351348332</v>
          </cell>
          <cell r="DU2289">
            <v>8.5834411772166916</v>
          </cell>
          <cell r="DV2289">
            <v>11.644336226312735</v>
          </cell>
          <cell r="DW2289">
            <v>9.8476005987137558</v>
          </cell>
          <cell r="DX2289">
            <v>7.1073990168282446</v>
          </cell>
          <cell r="DY2289">
            <v>12.587802180599267</v>
          </cell>
        </row>
        <row r="2290">
          <cell r="A2290">
            <v>42669</v>
          </cell>
          <cell r="DF2290">
            <v>16.065568149882907</v>
          </cell>
          <cell r="DG2290">
            <v>21.679348620667902</v>
          </cell>
          <cell r="DH2290">
            <v>18.362277992096409</v>
          </cell>
          <cell r="DI2290">
            <v>14.300000632844487</v>
          </cell>
          <cell r="DJ2290">
            <v>22.424555351348332</v>
          </cell>
          <cell r="DU2290">
            <v>8.8251594844678873</v>
          </cell>
          <cell r="DV2290">
            <v>11.644336226312735</v>
          </cell>
          <cell r="DW2290">
            <v>9.8476005987137558</v>
          </cell>
          <cell r="DX2290">
            <v>7.1073990168282446</v>
          </cell>
          <cell r="DY2290">
            <v>12.587802180599267</v>
          </cell>
        </row>
        <row r="2291">
          <cell r="A2291">
            <v>42670</v>
          </cell>
          <cell r="DF2291">
            <v>16.215454800936769</v>
          </cell>
          <cell r="DG2291">
            <v>21.679348620667902</v>
          </cell>
          <cell r="DH2291">
            <v>18.362277992096409</v>
          </cell>
          <cell r="DI2291">
            <v>14.300000632844487</v>
          </cell>
          <cell r="DJ2291">
            <v>22.424555351348332</v>
          </cell>
          <cell r="DU2291">
            <v>8.9040914953934553</v>
          </cell>
          <cell r="DV2291">
            <v>11.644336226312735</v>
          </cell>
          <cell r="DW2291">
            <v>9.8476005987137558</v>
          </cell>
          <cell r="DX2291">
            <v>7.1073990168282446</v>
          </cell>
          <cell r="DY2291">
            <v>12.587802180599267</v>
          </cell>
        </row>
        <row r="2292">
          <cell r="A2292">
            <v>42671</v>
          </cell>
          <cell r="DF2292">
            <v>15.709606557377052</v>
          </cell>
          <cell r="DG2292">
            <v>21.679348620667902</v>
          </cell>
          <cell r="DH2292">
            <v>18.362277992096409</v>
          </cell>
          <cell r="DI2292">
            <v>14.300000632844487</v>
          </cell>
          <cell r="DJ2292">
            <v>22.424555351348332</v>
          </cell>
          <cell r="DU2292">
            <v>8.6377060714307348</v>
          </cell>
          <cell r="DV2292">
            <v>11.644336226312735</v>
          </cell>
          <cell r="DW2292">
            <v>9.8476005987137558</v>
          </cell>
          <cell r="DX2292">
            <v>7.1073990168282446</v>
          </cell>
          <cell r="DY2292">
            <v>12.587802180599267</v>
          </cell>
        </row>
        <row r="2293">
          <cell r="A2293">
            <v>42674</v>
          </cell>
          <cell r="DF2293">
            <v>15.91569648711944</v>
          </cell>
          <cell r="DG2293">
            <v>21.679348620667902</v>
          </cell>
          <cell r="DH2293">
            <v>18.362277992096409</v>
          </cell>
          <cell r="DI2293">
            <v>14.300000632844487</v>
          </cell>
          <cell r="DJ2293">
            <v>22.424555351348332</v>
          </cell>
          <cell r="DU2293">
            <v>8.6377060714307348</v>
          </cell>
          <cell r="DV2293">
            <v>11.644336226312735</v>
          </cell>
          <cell r="DW2293">
            <v>9.8476005987137558</v>
          </cell>
          <cell r="DX2293">
            <v>7.1073990168282446</v>
          </cell>
          <cell r="DY2293">
            <v>12.587802180599267</v>
          </cell>
        </row>
        <row r="2294">
          <cell r="A2294">
            <v>42675</v>
          </cell>
          <cell r="DF2294">
            <v>16.29976018735363</v>
          </cell>
          <cell r="DG2294">
            <v>21.679348620667902</v>
          </cell>
          <cell r="DH2294">
            <v>18.362277992096409</v>
          </cell>
          <cell r="DI2294">
            <v>14.300000632844487</v>
          </cell>
          <cell r="DJ2294">
            <v>22.424555351348332</v>
          </cell>
          <cell r="DU2294">
            <v>8.9484876683344918</v>
          </cell>
          <cell r="DV2294">
            <v>11.644336226312735</v>
          </cell>
          <cell r="DW2294">
            <v>9.8476005987137558</v>
          </cell>
          <cell r="DX2294">
            <v>7.1073990168282446</v>
          </cell>
          <cell r="DY2294">
            <v>12.587802180599267</v>
          </cell>
        </row>
        <row r="2295">
          <cell r="A2295">
            <v>42676</v>
          </cell>
          <cell r="DF2295">
            <v>16.533952224824358</v>
          </cell>
          <cell r="DG2295">
            <v>21.679348620667902</v>
          </cell>
          <cell r="DH2295">
            <v>18.362277992096409</v>
          </cell>
          <cell r="DI2295">
            <v>14.300000632844487</v>
          </cell>
          <cell r="DJ2295">
            <v>22.424555351348332</v>
          </cell>
          <cell r="DU2295">
            <v>9.0718158522010999</v>
          </cell>
          <cell r="DV2295">
            <v>11.644336226312735</v>
          </cell>
          <cell r="DW2295">
            <v>9.8476005987137558</v>
          </cell>
          <cell r="DX2295">
            <v>7.1073990168282446</v>
          </cell>
          <cell r="DY2295">
            <v>12.587802180599267</v>
          </cell>
        </row>
        <row r="2296">
          <cell r="A2296">
            <v>42677</v>
          </cell>
          <cell r="DF2296">
            <v>16.796246370023422</v>
          </cell>
          <cell r="DG2296">
            <v>21.679348620667902</v>
          </cell>
          <cell r="DH2296">
            <v>18.362277992096409</v>
          </cell>
          <cell r="DI2296">
            <v>14.300000632844487</v>
          </cell>
          <cell r="DJ2296">
            <v>22.424555351348332</v>
          </cell>
          <cell r="DU2296">
            <v>9.2099429248189644</v>
          </cell>
          <cell r="DV2296">
            <v>11.644336226312735</v>
          </cell>
          <cell r="DW2296">
            <v>9.8476005987137558</v>
          </cell>
          <cell r="DX2296">
            <v>7.1073990168282446</v>
          </cell>
          <cell r="DY2296">
            <v>12.587802180599267</v>
          </cell>
        </row>
        <row r="2297">
          <cell r="A2297">
            <v>42678</v>
          </cell>
          <cell r="DF2297">
            <v>16.613362182502353</v>
          </cell>
          <cell r="DG2297">
            <v>21.679348620667902</v>
          </cell>
          <cell r="DH2297">
            <v>18.362277992096409</v>
          </cell>
          <cell r="DI2297">
            <v>14.300000632844487</v>
          </cell>
          <cell r="DJ2297">
            <v>22.424555351348332</v>
          </cell>
          <cell r="DU2297">
            <v>9.0767539126831185</v>
          </cell>
          <cell r="DV2297">
            <v>11.644336226312735</v>
          </cell>
          <cell r="DW2297">
            <v>9.8476005987137558</v>
          </cell>
          <cell r="DX2297">
            <v>7.1073990168282446</v>
          </cell>
          <cell r="DY2297">
            <v>12.587802180599267</v>
          </cell>
        </row>
        <row r="2298">
          <cell r="A2298">
            <v>42681</v>
          </cell>
          <cell r="DF2298">
            <v>16.914389463781749</v>
          </cell>
          <cell r="DG2298">
            <v>21.679348620667902</v>
          </cell>
          <cell r="DH2298">
            <v>18.362277992096409</v>
          </cell>
          <cell r="DI2298">
            <v>14.300000632844487</v>
          </cell>
          <cell r="DJ2298">
            <v>22.424555351348332</v>
          </cell>
          <cell r="DU2298">
            <v>9.0767539126831185</v>
          </cell>
          <cell r="DV2298">
            <v>11.644336226312735</v>
          </cell>
          <cell r="DW2298">
            <v>9.8476005987137558</v>
          </cell>
          <cell r="DX2298">
            <v>7.1073990168282446</v>
          </cell>
          <cell r="DY2298">
            <v>12.587802180599267</v>
          </cell>
        </row>
        <row r="2299">
          <cell r="A2299">
            <v>42682</v>
          </cell>
          <cell r="DF2299">
            <v>17.68579868297272</v>
          </cell>
          <cell r="DG2299">
            <v>21.679348620667902</v>
          </cell>
          <cell r="DH2299">
            <v>18.362277992096409</v>
          </cell>
          <cell r="DI2299">
            <v>14.300000632844487</v>
          </cell>
          <cell r="DJ2299">
            <v>22.424555351348332</v>
          </cell>
          <cell r="DU2299">
            <v>9.6391304311148449</v>
          </cell>
          <cell r="DV2299">
            <v>11.644336226312735</v>
          </cell>
          <cell r="DW2299">
            <v>9.8476005987137558</v>
          </cell>
          <cell r="DX2299">
            <v>7.1073990168282446</v>
          </cell>
          <cell r="DY2299">
            <v>12.587802180599267</v>
          </cell>
        </row>
        <row r="2300">
          <cell r="A2300">
            <v>42683</v>
          </cell>
          <cell r="DF2300">
            <v>17.102533396048919</v>
          </cell>
          <cell r="DG2300">
            <v>21.679348620667902</v>
          </cell>
          <cell r="DH2300">
            <v>18.362277992096409</v>
          </cell>
          <cell r="DI2300">
            <v>14.300000632844487</v>
          </cell>
          <cell r="DJ2300">
            <v>22.424555351348332</v>
          </cell>
          <cell r="DU2300">
            <v>9.3332711086855689</v>
          </cell>
          <cell r="DV2300">
            <v>11.644336226312735</v>
          </cell>
          <cell r="DW2300">
            <v>9.8476005987137558</v>
          </cell>
          <cell r="DX2300">
            <v>7.1073990168282446</v>
          </cell>
          <cell r="DY2300">
            <v>12.587802180599267</v>
          </cell>
        </row>
        <row r="2301">
          <cell r="A2301">
            <v>42684</v>
          </cell>
          <cell r="DF2301">
            <v>17.281275634995296</v>
          </cell>
          <cell r="DG2301">
            <v>21.679348620667902</v>
          </cell>
          <cell r="DH2301">
            <v>18.362277992096409</v>
          </cell>
          <cell r="DI2301">
            <v>14.300000632844487</v>
          </cell>
          <cell r="DJ2301">
            <v>22.424555351348332</v>
          </cell>
          <cell r="DU2301">
            <v>9.4270020083623987</v>
          </cell>
          <cell r="DV2301">
            <v>11.644336226312735</v>
          </cell>
          <cell r="DW2301">
            <v>9.8476005987137558</v>
          </cell>
          <cell r="DX2301">
            <v>7.1073990168282446</v>
          </cell>
          <cell r="DY2301">
            <v>12.587802180599267</v>
          </cell>
        </row>
        <row r="2302">
          <cell r="A2302">
            <v>42685</v>
          </cell>
          <cell r="DF2302">
            <v>16.829727187206021</v>
          </cell>
          <cell r="DG2302">
            <v>21.679348620667902</v>
          </cell>
          <cell r="DH2302">
            <v>18.362277992096409</v>
          </cell>
          <cell r="DI2302">
            <v>14.300000632844487</v>
          </cell>
          <cell r="DJ2302">
            <v>22.424555351348332</v>
          </cell>
          <cell r="DU2302">
            <v>9.2270054613438344</v>
          </cell>
          <cell r="DV2302">
            <v>11.644336226312735</v>
          </cell>
          <cell r="DW2302">
            <v>9.8476005987137558</v>
          </cell>
          <cell r="DX2302">
            <v>7.1073990168282446</v>
          </cell>
          <cell r="DY2302">
            <v>12.587802180599267</v>
          </cell>
        </row>
        <row r="2303">
          <cell r="A2303">
            <v>42688</v>
          </cell>
          <cell r="DF2303">
            <v>16.585141110065852</v>
          </cell>
          <cell r="DG2303">
            <v>21.679348620667902</v>
          </cell>
          <cell r="DH2303">
            <v>18.362277992096409</v>
          </cell>
          <cell r="DI2303">
            <v>14.300000632844487</v>
          </cell>
          <cell r="DJ2303">
            <v>22.424555351348332</v>
          </cell>
          <cell r="DU2303">
            <v>9.2270054613438344</v>
          </cell>
          <cell r="DV2303">
            <v>11.644336226312735</v>
          </cell>
          <cell r="DW2303">
            <v>9.8476005987137558</v>
          </cell>
          <cell r="DX2303">
            <v>7.1073990168282446</v>
          </cell>
          <cell r="DY2303">
            <v>12.587802180599267</v>
          </cell>
        </row>
        <row r="2304">
          <cell r="A2304">
            <v>42689</v>
          </cell>
          <cell r="DF2304">
            <v>15.879590780809032</v>
          </cell>
          <cell r="DG2304">
            <v>21.679348620667902</v>
          </cell>
          <cell r="DH2304">
            <v>18.362277992096409</v>
          </cell>
          <cell r="DI2304">
            <v>14.300000632844487</v>
          </cell>
          <cell r="DJ2304">
            <v>22.424555351348332</v>
          </cell>
          <cell r="DU2304">
            <v>8.7267674250932963</v>
          </cell>
          <cell r="DV2304">
            <v>11.644336226312735</v>
          </cell>
          <cell r="DW2304">
            <v>9.8476005987137558</v>
          </cell>
          <cell r="DX2304">
            <v>7.1073990168282446</v>
          </cell>
          <cell r="DY2304">
            <v>12.587802180599267</v>
          </cell>
        </row>
        <row r="2305">
          <cell r="A2305">
            <v>42690</v>
          </cell>
          <cell r="DF2305">
            <v>15.879590780809032</v>
          </cell>
          <cell r="DG2305">
            <v>21.679348620667902</v>
          </cell>
          <cell r="DH2305">
            <v>18.362277992096409</v>
          </cell>
          <cell r="DI2305">
            <v>14.300000632844487</v>
          </cell>
          <cell r="DJ2305">
            <v>22.424555351348332</v>
          </cell>
          <cell r="DU2305">
            <v>8.7267674250932963</v>
          </cell>
          <cell r="DV2305">
            <v>11.644336226312735</v>
          </cell>
          <cell r="DW2305">
            <v>9.8476005987137558</v>
          </cell>
          <cell r="DX2305">
            <v>7.1073990168282446</v>
          </cell>
          <cell r="DY2305">
            <v>12.587802180599267</v>
          </cell>
        </row>
        <row r="2306">
          <cell r="A2306">
            <v>42691</v>
          </cell>
          <cell r="DF2306">
            <v>16.001876763875824</v>
          </cell>
          <cell r="DG2306">
            <v>21.679348620667902</v>
          </cell>
          <cell r="DH2306">
            <v>18.362277992096409</v>
          </cell>
          <cell r="DI2306">
            <v>14.300000632844487</v>
          </cell>
          <cell r="DJ2306">
            <v>22.424555351348332</v>
          </cell>
          <cell r="DU2306">
            <v>8.7911498649392446</v>
          </cell>
          <cell r="DV2306">
            <v>11.644336226312735</v>
          </cell>
          <cell r="DW2306">
            <v>9.8476005987137558</v>
          </cell>
          <cell r="DX2306">
            <v>7.1073990168282446</v>
          </cell>
          <cell r="DY2306">
            <v>12.587802180599267</v>
          </cell>
        </row>
        <row r="2307">
          <cell r="A2307">
            <v>42692</v>
          </cell>
          <cell r="DF2307">
            <v>15.691432737535278</v>
          </cell>
          <cell r="DG2307">
            <v>21.679348620667902</v>
          </cell>
          <cell r="DH2307">
            <v>18.362277992096409</v>
          </cell>
          <cell r="DI2307">
            <v>14.300000632844487</v>
          </cell>
          <cell r="DJ2307">
            <v>22.424555351348332</v>
          </cell>
          <cell r="DU2307">
            <v>8.6277039543765657</v>
          </cell>
          <cell r="DV2307">
            <v>11.644336226312735</v>
          </cell>
          <cell r="DW2307">
            <v>9.8476005987137558</v>
          </cell>
          <cell r="DX2307">
            <v>7.1073990168282446</v>
          </cell>
          <cell r="DY2307">
            <v>12.587802180599267</v>
          </cell>
        </row>
        <row r="2308">
          <cell r="A2308">
            <v>42695</v>
          </cell>
          <cell r="DF2308">
            <v>15.757290686735654</v>
          </cell>
          <cell r="DG2308">
            <v>21.679348620667902</v>
          </cell>
          <cell r="DH2308">
            <v>18.362277992096409</v>
          </cell>
          <cell r="DI2308">
            <v>14.300000632844487</v>
          </cell>
          <cell r="DJ2308">
            <v>22.424555351348332</v>
          </cell>
          <cell r="DU2308">
            <v>8.6623775559328049</v>
          </cell>
          <cell r="DV2308">
            <v>11.644336226312735</v>
          </cell>
          <cell r="DW2308">
            <v>9.8476005987137558</v>
          </cell>
          <cell r="DX2308">
            <v>7.1073990168282446</v>
          </cell>
          <cell r="DY2308">
            <v>12.587802180599267</v>
          </cell>
        </row>
        <row r="2309">
          <cell r="A2309">
            <v>42696</v>
          </cell>
          <cell r="DF2309">
            <v>15.682031044214488</v>
          </cell>
          <cell r="DG2309">
            <v>21.679348620667902</v>
          </cell>
          <cell r="DH2309">
            <v>18.362277992096409</v>
          </cell>
          <cell r="DI2309">
            <v>14.300000632844487</v>
          </cell>
          <cell r="DJ2309">
            <v>22.424555351348332</v>
          </cell>
          <cell r="DU2309">
            <v>8.6623775559328049</v>
          </cell>
          <cell r="DV2309">
            <v>11.644336226312735</v>
          </cell>
          <cell r="DW2309">
            <v>9.8476005987137558</v>
          </cell>
          <cell r="DX2309">
            <v>7.1073990168282446</v>
          </cell>
          <cell r="DY2309">
            <v>12.587802180599267</v>
          </cell>
        </row>
        <row r="2310">
          <cell r="A2310">
            <v>42697</v>
          </cell>
          <cell r="DF2310">
            <v>15.497214971192124</v>
          </cell>
          <cell r="DG2310">
            <v>21.679348620667902</v>
          </cell>
          <cell r="DH2310">
            <v>18.362277992096409</v>
          </cell>
          <cell r="DI2310">
            <v>14.300000632844487</v>
          </cell>
          <cell r="DJ2310">
            <v>22.424555351348332</v>
          </cell>
          <cell r="DU2310">
            <v>8.5469224098756609</v>
          </cell>
          <cell r="DV2310">
            <v>11.644336226312735</v>
          </cell>
          <cell r="DW2310">
            <v>9.8476005987137558</v>
          </cell>
          <cell r="DX2310">
            <v>7.1073990168282446</v>
          </cell>
          <cell r="DY2310">
            <v>12.587802180599267</v>
          </cell>
        </row>
        <row r="2311">
          <cell r="A2311">
            <v>42698</v>
          </cell>
          <cell r="DF2311">
            <v>15.738917619717784</v>
          </cell>
          <cell r="DG2311">
            <v>21.679348620667902</v>
          </cell>
          <cell r="DH2311">
            <v>18.362277992096409</v>
          </cell>
          <cell r="DI2311">
            <v>14.300000632844487</v>
          </cell>
          <cell r="DJ2311">
            <v>22.424555351348332</v>
          </cell>
          <cell r="DU2311">
            <v>8.6745617573608023</v>
          </cell>
          <cell r="DV2311">
            <v>11.644336226312735</v>
          </cell>
          <cell r="DW2311">
            <v>9.8476005987137558</v>
          </cell>
          <cell r="DX2311">
            <v>7.1073990168282446</v>
          </cell>
          <cell r="DY2311">
            <v>12.587802180599267</v>
          </cell>
        </row>
        <row r="2312">
          <cell r="A2312">
            <v>42699</v>
          </cell>
          <cell r="DF2312">
            <v>16.548481803241799</v>
          </cell>
          <cell r="DG2312">
            <v>21.679348620667902</v>
          </cell>
          <cell r="DH2312">
            <v>18.362277992096409</v>
          </cell>
          <cell r="DI2312">
            <v>14.300000632844487</v>
          </cell>
          <cell r="DJ2312">
            <v>22.424555351348332</v>
          </cell>
          <cell r="DU2312">
            <v>9.0683839274696059</v>
          </cell>
          <cell r="DV2312">
            <v>11.644336226312735</v>
          </cell>
          <cell r="DW2312">
            <v>9.8476005987137558</v>
          </cell>
          <cell r="DX2312">
            <v>7.1073990168282446</v>
          </cell>
          <cell r="DY2312">
            <v>12.587802180599267</v>
          </cell>
        </row>
        <row r="2313">
          <cell r="A2313">
            <v>42702</v>
          </cell>
          <cell r="DF2313">
            <v>16.48274618455196</v>
          </cell>
          <cell r="DG2313">
            <v>21.679348620667902</v>
          </cell>
          <cell r="DH2313">
            <v>18.362277992096409</v>
          </cell>
          <cell r="DI2313">
            <v>14.300000632844487</v>
          </cell>
          <cell r="DJ2313">
            <v>22.424555351348332</v>
          </cell>
          <cell r="DU2313">
            <v>9.0683839274696059</v>
          </cell>
          <cell r="DV2313">
            <v>11.644336226312735</v>
          </cell>
          <cell r="DW2313">
            <v>9.8476005987137558</v>
          </cell>
          <cell r="DX2313">
            <v>7.1073990168282446</v>
          </cell>
          <cell r="DY2313">
            <v>12.587802180599267</v>
          </cell>
        </row>
        <row r="2314">
          <cell r="A2314">
            <v>42703</v>
          </cell>
          <cell r="DF2314">
            <v>16.717543085232894</v>
          </cell>
          <cell r="DG2314">
            <v>21.679348620667902</v>
          </cell>
          <cell r="DH2314">
            <v>18.362277992096409</v>
          </cell>
          <cell r="DI2314">
            <v>14.300000632844487</v>
          </cell>
          <cell r="DJ2314">
            <v>22.424555351348332</v>
          </cell>
          <cell r="DU2314">
            <v>9.1572956098100828</v>
          </cell>
          <cell r="DV2314">
            <v>11.644336226312735</v>
          </cell>
          <cell r="DW2314">
            <v>9.8476005987137558</v>
          </cell>
          <cell r="DX2314">
            <v>7.1073990168282446</v>
          </cell>
          <cell r="DY2314">
            <v>12.587802180599267</v>
          </cell>
        </row>
        <row r="2315">
          <cell r="A2315">
            <v>42704</v>
          </cell>
          <cell r="DF2315">
            <v>16.576655552948303</v>
          </cell>
          <cell r="DG2315">
            <v>21.679348620667902</v>
          </cell>
          <cell r="DH2315">
            <v>18.362277992096409</v>
          </cell>
          <cell r="DI2315">
            <v>14.300000632844487</v>
          </cell>
          <cell r="DJ2315">
            <v>22.424555351348332</v>
          </cell>
          <cell r="DU2315">
            <v>9.0832008947535599</v>
          </cell>
          <cell r="DV2315">
            <v>11.644336226312735</v>
          </cell>
          <cell r="DW2315">
            <v>9.8476005987137558</v>
          </cell>
          <cell r="DX2315">
            <v>7.1073990168282446</v>
          </cell>
          <cell r="DY2315">
            <v>12.587802180599267</v>
          </cell>
        </row>
        <row r="2316">
          <cell r="A2316">
            <v>42705</v>
          </cell>
          <cell r="DF2316">
            <v>16.416995538860473</v>
          </cell>
          <cell r="DG2316">
            <v>21.679348620667902</v>
          </cell>
          <cell r="DH2316">
            <v>18.362277992096409</v>
          </cell>
          <cell r="DI2316">
            <v>14.300000632844487</v>
          </cell>
          <cell r="DJ2316">
            <v>22.424555351348332</v>
          </cell>
          <cell r="DU2316">
            <v>8.9992334701140084</v>
          </cell>
          <cell r="DV2316">
            <v>11.644336226312735</v>
          </cell>
          <cell r="DW2316">
            <v>9.8476005987137558</v>
          </cell>
          <cell r="DX2316">
            <v>7.1073990168282446</v>
          </cell>
          <cell r="DY2316">
            <v>12.587802180599267</v>
          </cell>
        </row>
        <row r="2317">
          <cell r="A2317">
            <v>42706</v>
          </cell>
          <cell r="DF2317">
            <v>15.139700399156196</v>
          </cell>
          <cell r="DG2317">
            <v>21.679348620667902</v>
          </cell>
          <cell r="DH2317">
            <v>18.362277992096409</v>
          </cell>
          <cell r="DI2317">
            <v>14.300000632844487</v>
          </cell>
          <cell r="DJ2317">
            <v>22.424555351348332</v>
          </cell>
          <cell r="DU2317">
            <v>8.3274861700881928</v>
          </cell>
          <cell r="DV2317">
            <v>11.644336226312735</v>
          </cell>
          <cell r="DW2317">
            <v>9.8476005987137558</v>
          </cell>
          <cell r="DX2317">
            <v>7.1073990168282446</v>
          </cell>
          <cell r="DY2317">
            <v>12.587802180599267</v>
          </cell>
        </row>
        <row r="2318">
          <cell r="A2318">
            <v>42709</v>
          </cell>
          <cell r="DF2318">
            <v>15.374497299837129</v>
          </cell>
          <cell r="DG2318">
            <v>21.679348620667902</v>
          </cell>
          <cell r="DH2318">
            <v>18.362277992096409</v>
          </cell>
          <cell r="DI2318">
            <v>14.300000632844487</v>
          </cell>
          <cell r="DJ2318">
            <v>22.424555351348332</v>
          </cell>
          <cell r="DU2318">
            <v>8.3274861700881928</v>
          </cell>
          <cell r="DV2318">
            <v>11.644336226312735</v>
          </cell>
          <cell r="DW2318">
            <v>9.8476005987137558</v>
          </cell>
          <cell r="DX2318">
            <v>7.1073990168282446</v>
          </cell>
          <cell r="DY2318">
            <v>12.587802180599267</v>
          </cell>
        </row>
        <row r="2319">
          <cell r="A2319">
            <v>42710</v>
          </cell>
          <cell r="DF2319">
            <v>15.336935430853796</v>
          </cell>
          <cell r="DG2319">
            <v>21.679348620667902</v>
          </cell>
          <cell r="DH2319">
            <v>18.362277992096409</v>
          </cell>
          <cell r="DI2319">
            <v>14.300000632844487</v>
          </cell>
          <cell r="DJ2319">
            <v>22.424555351348332</v>
          </cell>
          <cell r="DU2319">
            <v>8.4509691296517619</v>
          </cell>
          <cell r="DV2319">
            <v>11.644336226312735</v>
          </cell>
          <cell r="DW2319">
            <v>9.8476005987137558</v>
          </cell>
          <cell r="DX2319">
            <v>7.1073990168282446</v>
          </cell>
          <cell r="DY2319">
            <v>12.587802180599267</v>
          </cell>
        </row>
        <row r="2320">
          <cell r="A2320">
            <v>42711</v>
          </cell>
          <cell r="DF2320">
            <v>15.33779373268669</v>
          </cell>
          <cell r="DG2320">
            <v>21.679348620667902</v>
          </cell>
          <cell r="DH2320">
            <v>18.362277992096409</v>
          </cell>
          <cell r="DI2320">
            <v>14.300000632844487</v>
          </cell>
          <cell r="DJ2320">
            <v>22.424555351348332</v>
          </cell>
          <cell r="DU2320">
            <v>8.431214819712622</v>
          </cell>
          <cell r="DV2320">
            <v>11.644336226312735</v>
          </cell>
          <cell r="DW2320">
            <v>9.8476005987137558</v>
          </cell>
          <cell r="DX2320">
            <v>7.1073990168282446</v>
          </cell>
          <cell r="DY2320">
            <v>12.587802180599267</v>
          </cell>
        </row>
        <row r="2321">
          <cell r="A2321">
            <v>42712</v>
          </cell>
          <cell r="DF2321">
            <v>14.849387908928014</v>
          </cell>
          <cell r="DG2321">
            <v>21.679348620667902</v>
          </cell>
          <cell r="DH2321">
            <v>18.362277992096409</v>
          </cell>
          <cell r="DI2321">
            <v>14.300000632844487</v>
          </cell>
          <cell r="DJ2321">
            <v>22.424555351348332</v>
          </cell>
          <cell r="DU2321">
            <v>8.1743697698885587</v>
          </cell>
          <cell r="DV2321">
            <v>11.644336226312735</v>
          </cell>
          <cell r="DW2321">
            <v>9.8476005987137558</v>
          </cell>
          <cell r="DX2321">
            <v>7.1073990168282446</v>
          </cell>
          <cell r="DY2321">
            <v>12.587802180599267</v>
          </cell>
        </row>
        <row r="2322">
          <cell r="A2322">
            <v>42713</v>
          </cell>
          <cell r="DF2322">
            <v>15.071587655108051</v>
          </cell>
          <cell r="DG2322">
            <v>21.679348620667902</v>
          </cell>
          <cell r="DH2322">
            <v>18.362277992096409</v>
          </cell>
          <cell r="DI2322">
            <v>14.300000632844487</v>
          </cell>
          <cell r="DJ2322">
            <v>22.424555351348332</v>
          </cell>
          <cell r="DU2322">
            <v>8.4079740889582801</v>
          </cell>
          <cell r="DV2322">
            <v>11.644336226312735</v>
          </cell>
          <cell r="DW2322">
            <v>9.8476005987137558</v>
          </cell>
          <cell r="DX2322">
            <v>7.1073990168282446</v>
          </cell>
          <cell r="DY2322">
            <v>12.587802180599267</v>
          </cell>
        </row>
        <row r="2323">
          <cell r="A2323">
            <v>42716</v>
          </cell>
          <cell r="DF2323">
            <v>14.75660292714111</v>
          </cell>
          <cell r="DG2323">
            <v>21.679348620667902</v>
          </cell>
          <cell r="DH2323">
            <v>18.362277992096409</v>
          </cell>
          <cell r="DI2323">
            <v>14.300000632844487</v>
          </cell>
          <cell r="DJ2323">
            <v>22.424555351348332</v>
          </cell>
          <cell r="DU2323">
            <v>8.4079740889582801</v>
          </cell>
          <cell r="DV2323">
            <v>11.644336226312735</v>
          </cell>
          <cell r="DW2323">
            <v>9.8476005987137558</v>
          </cell>
          <cell r="DX2323">
            <v>7.1073990168282446</v>
          </cell>
          <cell r="DY2323">
            <v>12.587802180599267</v>
          </cell>
        </row>
        <row r="2324">
          <cell r="A2324">
            <v>42717</v>
          </cell>
          <cell r="DF2324">
            <v>14.947502386256623</v>
          </cell>
          <cell r="DG2324">
            <v>21.679348620667902</v>
          </cell>
          <cell r="DH2324">
            <v>18.362277992096409</v>
          </cell>
          <cell r="DI2324">
            <v>14.300000632844487</v>
          </cell>
          <cell r="DJ2324">
            <v>22.424555351348332</v>
          </cell>
          <cell r="DU2324">
            <v>8.3418480295913469</v>
          </cell>
          <cell r="DV2324">
            <v>11.644336226312735</v>
          </cell>
          <cell r="DW2324">
            <v>9.8476005987137558</v>
          </cell>
          <cell r="DX2324">
            <v>7.1073990168282446</v>
          </cell>
          <cell r="DY2324">
            <v>12.587802180599267</v>
          </cell>
        </row>
        <row r="2325">
          <cell r="A2325">
            <v>42718</v>
          </cell>
          <cell r="DF2325">
            <v>15.119313713014515</v>
          </cell>
          <cell r="DG2325">
            <v>21.679348620667902</v>
          </cell>
          <cell r="DH2325">
            <v>18.362277992096409</v>
          </cell>
          <cell r="DI2325">
            <v>14.300000632844487</v>
          </cell>
          <cell r="DJ2325">
            <v>22.424555351348332</v>
          </cell>
          <cell r="DU2325">
            <v>8.4334076973767882</v>
          </cell>
          <cell r="DV2325">
            <v>11.644336226312735</v>
          </cell>
          <cell r="DW2325">
            <v>9.8476005987137558</v>
          </cell>
          <cell r="DX2325">
            <v>7.1073990168282446</v>
          </cell>
          <cell r="DY2325">
            <v>12.587802180599267</v>
          </cell>
        </row>
        <row r="2326">
          <cell r="A2326">
            <v>42719</v>
          </cell>
          <cell r="DF2326">
            <v>15.281573337577051</v>
          </cell>
          <cell r="DG2326">
            <v>21.679348620667902</v>
          </cell>
          <cell r="DH2326">
            <v>18.362277992096409</v>
          </cell>
          <cell r="DI2326">
            <v>14.300000632844487</v>
          </cell>
          <cell r="DJ2326">
            <v>22.424555351348332</v>
          </cell>
          <cell r="DU2326">
            <v>8.5198771845769592</v>
          </cell>
          <cell r="DV2326">
            <v>11.644336226312735</v>
          </cell>
          <cell r="DW2326">
            <v>9.8476005987137558</v>
          </cell>
          <cell r="DX2326">
            <v>7.1073990168282446</v>
          </cell>
          <cell r="DY2326">
            <v>12.587802180599267</v>
          </cell>
        </row>
        <row r="2327">
          <cell r="A2327">
            <v>42720</v>
          </cell>
          <cell r="DF2327">
            <v>15.453391345849418</v>
          </cell>
          <cell r="DG2327">
            <v>21.679348620667902</v>
          </cell>
          <cell r="DH2327">
            <v>18.362277992096409</v>
          </cell>
          <cell r="DI2327">
            <v>14.300000632844487</v>
          </cell>
          <cell r="DJ2327">
            <v>22.424555351348332</v>
          </cell>
          <cell r="DU2327">
            <v>8.611440412996366</v>
          </cell>
          <cell r="DV2327">
            <v>11.644336226312735</v>
          </cell>
          <cell r="DW2327">
            <v>9.8476005987137558</v>
          </cell>
          <cell r="DX2327">
            <v>7.1073990168282446</v>
          </cell>
          <cell r="DY2327">
            <v>12.587802180599267</v>
          </cell>
        </row>
        <row r="2328">
          <cell r="A2328">
            <v>42723</v>
          </cell>
          <cell r="DF2328">
            <v>15.195673878461546</v>
          </cell>
          <cell r="DG2328">
            <v>21.679348620667902</v>
          </cell>
          <cell r="DH2328">
            <v>18.362277992096409</v>
          </cell>
          <cell r="DI2328">
            <v>14.300000632844487</v>
          </cell>
          <cell r="DJ2328">
            <v>22.424555351348332</v>
          </cell>
          <cell r="DU2328">
            <v>8.611440412996366</v>
          </cell>
          <cell r="DV2328">
            <v>11.644336226312735</v>
          </cell>
          <cell r="DW2328">
            <v>9.8476005987137558</v>
          </cell>
          <cell r="DX2328">
            <v>7.1073990168282446</v>
          </cell>
          <cell r="DY2328">
            <v>12.587802180599267</v>
          </cell>
        </row>
        <row r="2329">
          <cell r="A2329">
            <v>42724</v>
          </cell>
          <cell r="DF2329">
            <v>15.20000095238243</v>
          </cell>
          <cell r="DG2329">
            <v>21.679348620667902</v>
          </cell>
          <cell r="DH2329">
            <v>18.362277992096409</v>
          </cell>
          <cell r="DI2329">
            <v>14.300000632844487</v>
          </cell>
          <cell r="DJ2329">
            <v>22.424555351348332</v>
          </cell>
          <cell r="DU2329">
            <v>8.5218760856129254</v>
          </cell>
          <cell r="DV2329">
            <v>11.644336226312735</v>
          </cell>
          <cell r="DW2329">
            <v>9.8476005987137558</v>
          </cell>
          <cell r="DX2329">
            <v>7.1073990168282446</v>
          </cell>
          <cell r="DY2329">
            <v>12.587802180599267</v>
          </cell>
        </row>
        <row r="2330">
          <cell r="A2330">
            <v>42725</v>
          </cell>
          <cell r="DF2330">
            <v>14.77142952381096</v>
          </cell>
          <cell r="DG2330">
            <v>21.679348620667902</v>
          </cell>
          <cell r="DH2330">
            <v>18.362277992096409</v>
          </cell>
          <cell r="DI2330">
            <v>14.300000632844487</v>
          </cell>
          <cell r="DJ2330">
            <v>22.424555351348332</v>
          </cell>
          <cell r="DU2330">
            <v>8.2922390662790377</v>
          </cell>
          <cell r="DV2330">
            <v>11.644336226312735</v>
          </cell>
          <cell r="DW2330">
            <v>9.8476005987137558</v>
          </cell>
          <cell r="DX2330">
            <v>7.1073990168282446</v>
          </cell>
          <cell r="DY2330">
            <v>12.587802180599267</v>
          </cell>
        </row>
        <row r="2331">
          <cell r="A2331">
            <v>42726</v>
          </cell>
          <cell r="DF2331">
            <v>15.409517142858641</v>
          </cell>
          <cell r="DG2331">
            <v>21.679348620667902</v>
          </cell>
          <cell r="DH2331">
            <v>18.362277992096409</v>
          </cell>
          <cell r="DI2331">
            <v>14.300000632844487</v>
          </cell>
          <cell r="DJ2331">
            <v>22.424555351348332</v>
          </cell>
          <cell r="DU2331">
            <v>8.6341389904069263</v>
          </cell>
          <cell r="DV2331">
            <v>11.644336226312735</v>
          </cell>
          <cell r="DW2331">
            <v>9.8476005987137558</v>
          </cell>
          <cell r="DX2331">
            <v>7.1073990168282446</v>
          </cell>
          <cell r="DY2331">
            <v>12.587802180599267</v>
          </cell>
        </row>
        <row r="2332">
          <cell r="A2332">
            <v>42727</v>
          </cell>
          <cell r="DF2332">
            <v>15.169813207548685</v>
          </cell>
          <cell r="DG2332">
            <v>21.679348620667902</v>
          </cell>
          <cell r="DH2332">
            <v>18.362277992096409</v>
          </cell>
          <cell r="DI2332">
            <v>14.300000632844487</v>
          </cell>
          <cell r="DJ2332">
            <v>22.424555351348332</v>
          </cell>
          <cell r="DU2332">
            <v>8.5339042165145695</v>
          </cell>
          <cell r="DV2332">
            <v>11.644336226312735</v>
          </cell>
          <cell r="DW2332">
            <v>9.8476005987137558</v>
          </cell>
          <cell r="DX2332">
            <v>7.1073990168282446</v>
          </cell>
          <cell r="DY2332">
            <v>12.587802180599267</v>
          </cell>
        </row>
        <row r="2333">
          <cell r="A2333">
            <v>42730</v>
          </cell>
          <cell r="DF2333">
            <v>15.00943396226565</v>
          </cell>
          <cell r="DG2333">
            <v>21.679348620667902</v>
          </cell>
          <cell r="DH2333">
            <v>18.362277992096409</v>
          </cell>
          <cell r="DI2333">
            <v>14.300000632844487</v>
          </cell>
          <cell r="DJ2333">
            <v>22.424555351348332</v>
          </cell>
          <cell r="DU2333">
            <v>8.5339042165145695</v>
          </cell>
          <cell r="DV2333">
            <v>11.644336226312735</v>
          </cell>
          <cell r="DW2333">
            <v>9.8476005987137558</v>
          </cell>
          <cell r="DX2333">
            <v>7.1073990168282446</v>
          </cell>
          <cell r="DY2333">
            <v>12.587802180599267</v>
          </cell>
        </row>
        <row r="2334">
          <cell r="A2334">
            <v>42731</v>
          </cell>
          <cell r="DF2334">
            <v>14.81132075471846</v>
          </cell>
          <cell r="DG2334">
            <v>21.679348620667902</v>
          </cell>
          <cell r="DH2334">
            <v>18.362277992096409</v>
          </cell>
          <cell r="DI2334">
            <v>14.300000632844487</v>
          </cell>
          <cell r="DJ2334">
            <v>22.424555351348332</v>
          </cell>
          <cell r="DU2334">
            <v>8.3410992588902069</v>
          </cell>
          <cell r="DV2334">
            <v>11.644336226312735</v>
          </cell>
          <cell r="DW2334">
            <v>9.8476005987137558</v>
          </cell>
          <cell r="DX2334">
            <v>7.1073990168282446</v>
          </cell>
          <cell r="DY2334">
            <v>12.587802180599267</v>
          </cell>
        </row>
        <row r="2335">
          <cell r="A2335">
            <v>42732</v>
          </cell>
          <cell r="DF2335">
            <v>14.791077227758288</v>
          </cell>
          <cell r="DG2335">
            <v>21.679348620667902</v>
          </cell>
          <cell r="DH2335">
            <v>18.362277992096409</v>
          </cell>
          <cell r="DI2335">
            <v>14.300000632844487</v>
          </cell>
          <cell r="DJ2335">
            <v>22.424555351348332</v>
          </cell>
          <cell r="DU2335">
            <v>8.3158315959107014</v>
          </cell>
          <cell r="DV2335">
            <v>11.644336226312735</v>
          </cell>
          <cell r="DW2335">
            <v>9.8476005987137558</v>
          </cell>
          <cell r="DX2335">
            <v>7.1073990168282446</v>
          </cell>
          <cell r="DY2335">
            <v>12.587802180599267</v>
          </cell>
        </row>
        <row r="2336">
          <cell r="A2336">
            <v>42733</v>
          </cell>
          <cell r="DF2336">
            <v>14.705138108939808</v>
          </cell>
          <cell r="DG2336">
            <v>21.679348620667902</v>
          </cell>
          <cell r="DH2336">
            <v>18.362277992096409</v>
          </cell>
          <cell r="DI2336">
            <v>14.300000632844487</v>
          </cell>
          <cell r="DJ2336">
            <v>22.424555351348332</v>
          </cell>
          <cell r="DU2336">
            <v>8.4705403846309846</v>
          </cell>
          <cell r="DV2336">
            <v>11.644336226312735</v>
          </cell>
          <cell r="DW2336">
            <v>9.8476005987137558</v>
          </cell>
          <cell r="DX2336">
            <v>7.1073990168282446</v>
          </cell>
          <cell r="DY2336">
            <v>12.587802180599267</v>
          </cell>
        </row>
        <row r="2337">
          <cell r="A2337">
            <v>42734</v>
          </cell>
          <cell r="DF2337">
            <v>15.748041266466551</v>
          </cell>
          <cell r="DG2337">
            <v>21.679348620667902</v>
          </cell>
          <cell r="DH2337">
            <v>18.362277992096409</v>
          </cell>
          <cell r="DI2337">
            <v>14.300000632844487</v>
          </cell>
          <cell r="DJ2337">
            <v>22.424555351348332</v>
          </cell>
          <cell r="DU2337">
            <v>9.3831154177032801</v>
          </cell>
          <cell r="DV2337">
            <v>11.644336226312735</v>
          </cell>
          <cell r="DW2337">
            <v>9.8476005987137558</v>
          </cell>
          <cell r="DX2337">
            <v>7.1073990168282446</v>
          </cell>
          <cell r="DY2337">
            <v>12.587802180599267</v>
          </cell>
        </row>
        <row r="2338">
          <cell r="A2338">
            <v>42737</v>
          </cell>
          <cell r="DF2338">
            <v>15.38608198284234</v>
          </cell>
          <cell r="DG2338">
            <v>21.679348620667902</v>
          </cell>
          <cell r="DH2338">
            <v>18.362277992096409</v>
          </cell>
          <cell r="DI2338">
            <v>14.300000632844487</v>
          </cell>
          <cell r="DJ2338">
            <v>22.424555351348332</v>
          </cell>
          <cell r="DU2338">
            <v>9.3333723323878086</v>
          </cell>
          <cell r="DV2338">
            <v>11.644336226312735</v>
          </cell>
          <cell r="DW2338">
            <v>9.8476005987137558</v>
          </cell>
          <cell r="DX2338">
            <v>7.1073990168282446</v>
          </cell>
          <cell r="DY2338">
            <v>12.587802180599267</v>
          </cell>
        </row>
        <row r="2339">
          <cell r="A2339">
            <v>42738</v>
          </cell>
          <cell r="DF2339">
            <v>15.141137368656803</v>
          </cell>
          <cell r="DG2339">
            <v>21.679348620667902</v>
          </cell>
          <cell r="DH2339">
            <v>18.362277992096409</v>
          </cell>
          <cell r="DI2339">
            <v>14.300000632844487</v>
          </cell>
          <cell r="DJ2339">
            <v>22.424555351348332</v>
          </cell>
          <cell r="DU2339">
            <v>9.1874261759853102</v>
          </cell>
          <cell r="DV2339">
            <v>11.644336226312735</v>
          </cell>
          <cell r="DW2339">
            <v>9.8476005987137558</v>
          </cell>
          <cell r="DX2339">
            <v>7.1073990168282446</v>
          </cell>
          <cell r="DY2339">
            <v>12.587802180599267</v>
          </cell>
        </row>
        <row r="2340">
          <cell r="A2340">
            <v>42739</v>
          </cell>
          <cell r="DF2340">
            <v>16.162240504603762</v>
          </cell>
          <cell r="DG2340">
            <v>21.679348620667902</v>
          </cell>
          <cell r="DH2340">
            <v>18.362277992096409</v>
          </cell>
          <cell r="DI2340">
            <v>14.300000632844487</v>
          </cell>
          <cell r="DJ2340">
            <v>22.424555351348332</v>
          </cell>
          <cell r="DU2340">
            <v>9.7354631291879308</v>
          </cell>
          <cell r="DV2340">
            <v>11.644336226312735</v>
          </cell>
          <cell r="DW2340">
            <v>9.8476005987137558</v>
          </cell>
          <cell r="DX2340">
            <v>7.1073990168282446</v>
          </cell>
          <cell r="DY2340">
            <v>12.587802180599267</v>
          </cell>
        </row>
        <row r="2341">
          <cell r="A2341">
            <v>42740</v>
          </cell>
          <cell r="DF2341">
            <v>16.317469498564389</v>
          </cell>
          <cell r="DG2341">
            <v>21.679348620667902</v>
          </cell>
          <cell r="DH2341">
            <v>18.362277992096409</v>
          </cell>
          <cell r="DI2341">
            <v>14.300000632844487</v>
          </cell>
          <cell r="DJ2341">
            <v>22.424555351348332</v>
          </cell>
          <cell r="DU2341">
            <v>9.9005671968454045</v>
          </cell>
          <cell r="DV2341">
            <v>11.644336226312735</v>
          </cell>
          <cell r="DW2341">
            <v>9.8476005987137558</v>
          </cell>
          <cell r="DX2341">
            <v>7.1073990168282446</v>
          </cell>
          <cell r="DY2341">
            <v>12.587802180599267</v>
          </cell>
        </row>
        <row r="2342">
          <cell r="A2342">
            <v>42741</v>
          </cell>
          <cell r="DF2342">
            <v>16.648035771320732</v>
          </cell>
          <cell r="DG2342">
            <v>21.679348620667902</v>
          </cell>
          <cell r="DH2342">
            <v>18.362277992096409</v>
          </cell>
          <cell r="DI2342">
            <v>14.300000632844487</v>
          </cell>
          <cell r="DJ2342">
            <v>22.424555351348332</v>
          </cell>
          <cell r="DU2342">
            <v>10.094239340127643</v>
          </cell>
          <cell r="DV2342">
            <v>11.644336226312735</v>
          </cell>
          <cell r="DW2342">
            <v>9.8476005987137558</v>
          </cell>
          <cell r="DX2342">
            <v>7.1073990168282446</v>
          </cell>
          <cell r="DY2342">
            <v>12.587802180599267</v>
          </cell>
        </row>
        <row r="2343">
          <cell r="A2343">
            <v>42744</v>
          </cell>
          <cell r="DF2343">
            <v>16.547433727245348</v>
          </cell>
          <cell r="DG2343">
            <v>21.679348620667902</v>
          </cell>
          <cell r="DH2343">
            <v>18.362277992096409</v>
          </cell>
          <cell r="DI2343">
            <v>14.300000632844487</v>
          </cell>
          <cell r="DJ2343">
            <v>22.424555351348332</v>
          </cell>
          <cell r="DU2343">
            <v>10.094239340127643</v>
          </cell>
          <cell r="DV2343">
            <v>11.644336226312735</v>
          </cell>
          <cell r="DW2343">
            <v>9.8476005987137558</v>
          </cell>
          <cell r="DX2343">
            <v>7.1073990168282446</v>
          </cell>
          <cell r="DY2343">
            <v>12.587802180599267</v>
          </cell>
        </row>
        <row r="2344">
          <cell r="A2344">
            <v>42745</v>
          </cell>
          <cell r="DF2344">
            <v>17.840941552221523</v>
          </cell>
          <cell r="DG2344">
            <v>21.679348620667902</v>
          </cell>
          <cell r="DH2344">
            <v>18.362277992096409</v>
          </cell>
          <cell r="DI2344">
            <v>14.300000632844487</v>
          </cell>
          <cell r="DJ2344">
            <v>22.424555351348332</v>
          </cell>
          <cell r="DU2344">
            <v>10.793138890267535</v>
          </cell>
          <cell r="DV2344">
            <v>11.644336226312735</v>
          </cell>
          <cell r="DW2344">
            <v>9.8476005987137558</v>
          </cell>
          <cell r="DX2344">
            <v>7.1073990168282446</v>
          </cell>
          <cell r="DY2344">
            <v>12.587802180599267</v>
          </cell>
        </row>
        <row r="2345">
          <cell r="A2345">
            <v>42746</v>
          </cell>
          <cell r="DF2345">
            <v>17.840941552221523</v>
          </cell>
          <cell r="DG2345">
            <v>21.679348620667902</v>
          </cell>
          <cell r="DH2345">
            <v>18.362277992096409</v>
          </cell>
          <cell r="DI2345">
            <v>14.300000632844487</v>
          </cell>
          <cell r="DJ2345">
            <v>22.424555351348332</v>
          </cell>
          <cell r="DU2345">
            <v>10.793138890267535</v>
          </cell>
          <cell r="DV2345">
            <v>11.644336226312735</v>
          </cell>
          <cell r="DW2345">
            <v>9.8476005987137558</v>
          </cell>
          <cell r="DX2345">
            <v>7.1073990168282446</v>
          </cell>
          <cell r="DY2345">
            <v>12.587802180599267</v>
          </cell>
        </row>
        <row r="2346">
          <cell r="A2346">
            <v>42747</v>
          </cell>
          <cell r="DF2346">
            <v>18.281701053978193</v>
          </cell>
          <cell r="DG2346">
            <v>21.679348620667902</v>
          </cell>
          <cell r="DH2346">
            <v>18.362277992096409</v>
          </cell>
          <cell r="DI2346">
            <v>14.300000632844487</v>
          </cell>
          <cell r="DJ2346">
            <v>22.424555351348332</v>
          </cell>
          <cell r="DU2346">
            <v>11.051371034356071</v>
          </cell>
          <cell r="DV2346">
            <v>11.644336226312735</v>
          </cell>
          <cell r="DW2346">
            <v>9.8476005987137558</v>
          </cell>
          <cell r="DX2346">
            <v>7.1073990168282446</v>
          </cell>
          <cell r="DY2346">
            <v>12.587802180599267</v>
          </cell>
        </row>
        <row r="2347">
          <cell r="A2347">
            <v>42748</v>
          </cell>
          <cell r="DF2347">
            <v>18.013418077293402</v>
          </cell>
          <cell r="DG2347">
            <v>21.679348620667902</v>
          </cell>
          <cell r="DH2347">
            <v>18.362277992096409</v>
          </cell>
          <cell r="DI2347">
            <v>14.300000632844487</v>
          </cell>
          <cell r="DJ2347">
            <v>22.424555351348332</v>
          </cell>
          <cell r="DU2347">
            <v>10.894189423941203</v>
          </cell>
          <cell r="DV2347">
            <v>11.644336226312735</v>
          </cell>
          <cell r="DW2347">
            <v>9.8476005987137558</v>
          </cell>
          <cell r="DX2347">
            <v>7.1073990168282446</v>
          </cell>
          <cell r="DY2347">
            <v>12.587802180599267</v>
          </cell>
        </row>
        <row r="2348">
          <cell r="A2348">
            <v>42751</v>
          </cell>
          <cell r="DF2348">
            <v>18.252958160333986</v>
          </cell>
          <cell r="DG2348">
            <v>21.679348620667902</v>
          </cell>
          <cell r="DH2348">
            <v>18.362277992096409</v>
          </cell>
          <cell r="DI2348">
            <v>14.300000632844487</v>
          </cell>
          <cell r="DJ2348">
            <v>22.424555351348332</v>
          </cell>
          <cell r="DU2348">
            <v>10.894189423941203</v>
          </cell>
          <cell r="DV2348">
            <v>11.644336226312735</v>
          </cell>
          <cell r="DW2348">
            <v>9.8476005987137558</v>
          </cell>
          <cell r="DX2348">
            <v>7.1073990168282446</v>
          </cell>
          <cell r="DY2348">
            <v>12.587802180599267</v>
          </cell>
        </row>
        <row r="2349">
          <cell r="A2349">
            <v>42752</v>
          </cell>
          <cell r="DF2349">
            <v>18.185879271799966</v>
          </cell>
          <cell r="DG2349">
            <v>21.679348620667902</v>
          </cell>
          <cell r="DH2349">
            <v>18.362277992096409</v>
          </cell>
          <cell r="DI2349">
            <v>14.300000632844487</v>
          </cell>
          <cell r="DJ2349">
            <v>22.424555351348332</v>
          </cell>
          <cell r="DU2349">
            <v>10.995230975744406</v>
          </cell>
          <cell r="DV2349">
            <v>11.644336226312735</v>
          </cell>
          <cell r="DW2349">
            <v>9.8476005987137558</v>
          </cell>
          <cell r="DX2349">
            <v>7.1073990168282446</v>
          </cell>
          <cell r="DY2349">
            <v>12.587802180599267</v>
          </cell>
        </row>
        <row r="2350">
          <cell r="A2350">
            <v>42753</v>
          </cell>
          <cell r="DF2350">
            <v>18.444586394125125</v>
          </cell>
          <cell r="DG2350">
            <v>21.679348620667902</v>
          </cell>
          <cell r="DH2350">
            <v>18.362277992096409</v>
          </cell>
          <cell r="DI2350">
            <v>14.300000632844487</v>
          </cell>
          <cell r="DJ2350">
            <v>22.424555351348332</v>
          </cell>
          <cell r="DU2350">
            <v>11.146802285319673</v>
          </cell>
          <cell r="DV2350">
            <v>11.644336226312735</v>
          </cell>
          <cell r="DW2350">
            <v>9.8476005987137558</v>
          </cell>
          <cell r="DX2350">
            <v>7.1073990168282446</v>
          </cell>
          <cell r="DY2350">
            <v>12.587802180599267</v>
          </cell>
        </row>
        <row r="2351">
          <cell r="A2351">
            <v>42754</v>
          </cell>
          <cell r="DF2351">
            <v>18.617048546792024</v>
          </cell>
          <cell r="DG2351">
            <v>21.679348620667902</v>
          </cell>
          <cell r="DH2351">
            <v>18.362277992096409</v>
          </cell>
          <cell r="DI2351">
            <v>14.300000632844487</v>
          </cell>
          <cell r="DJ2351">
            <v>22.424555351348332</v>
          </cell>
          <cell r="DU2351">
            <v>11.24784439848978</v>
          </cell>
          <cell r="DV2351">
            <v>11.644336226312735</v>
          </cell>
          <cell r="DW2351">
            <v>9.8476005987137558</v>
          </cell>
          <cell r="DX2351">
            <v>7.1073990168282446</v>
          </cell>
          <cell r="DY2351">
            <v>12.587802180599267</v>
          </cell>
        </row>
        <row r="2352">
          <cell r="A2352">
            <v>42755</v>
          </cell>
          <cell r="DF2352">
            <v>18.504755238095235</v>
          </cell>
          <cell r="DG2352">
            <v>21.679348620667902</v>
          </cell>
          <cell r="DH2352">
            <v>18.362277992096409</v>
          </cell>
          <cell r="DI2352">
            <v>14.300000632844487</v>
          </cell>
          <cell r="DJ2352">
            <v>22.424555351348332</v>
          </cell>
          <cell r="DU2352">
            <v>11.212417352663499</v>
          </cell>
          <cell r="DV2352">
            <v>11.644336226312735</v>
          </cell>
          <cell r="DW2352">
            <v>9.8476005987137558</v>
          </cell>
          <cell r="DX2352">
            <v>7.1073990168282446</v>
          </cell>
          <cell r="DY2352">
            <v>12.587802180599267</v>
          </cell>
        </row>
        <row r="2353">
          <cell r="A2353">
            <v>42758</v>
          </cell>
          <cell r="DF2353">
            <v>18.114290476190476</v>
          </cell>
          <cell r="DG2353">
            <v>21.679348620667902</v>
          </cell>
          <cell r="DH2353">
            <v>18.362277992096409</v>
          </cell>
          <cell r="DI2353">
            <v>14.300000632844487</v>
          </cell>
          <cell r="DJ2353">
            <v>22.424555351348332</v>
          </cell>
          <cell r="DU2353">
            <v>11.212417352663499</v>
          </cell>
          <cell r="DV2353">
            <v>11.644336226312735</v>
          </cell>
          <cell r="DW2353">
            <v>9.8476005987137558</v>
          </cell>
          <cell r="DX2353">
            <v>7.1073990168282446</v>
          </cell>
          <cell r="DY2353">
            <v>12.587802180599267</v>
          </cell>
        </row>
        <row r="2354">
          <cell r="A2354">
            <v>42759</v>
          </cell>
          <cell r="DF2354">
            <v>18.42211719556451</v>
          </cell>
          <cell r="DG2354">
            <v>21.679348620667902</v>
          </cell>
          <cell r="DH2354">
            <v>18.362277992096409</v>
          </cell>
          <cell r="DI2354">
            <v>14.300000632844487</v>
          </cell>
          <cell r="DJ2354">
            <v>22.424555351348332</v>
          </cell>
          <cell r="DU2354">
            <v>11.167657284548682</v>
          </cell>
          <cell r="DV2354">
            <v>11.644336226312735</v>
          </cell>
          <cell r="DW2354">
            <v>9.8476005987137558</v>
          </cell>
          <cell r="DX2354">
            <v>7.1073990168282446</v>
          </cell>
          <cell r="DY2354">
            <v>12.587802180599267</v>
          </cell>
        </row>
        <row r="2355">
          <cell r="A2355">
            <v>42760</v>
          </cell>
          <cell r="DF2355">
            <v>18.326905825647337</v>
          </cell>
          <cell r="DG2355">
            <v>21.679348620667902</v>
          </cell>
          <cell r="DH2355">
            <v>18.362277992096409</v>
          </cell>
          <cell r="DI2355">
            <v>14.300000632844487</v>
          </cell>
          <cell r="DJ2355">
            <v>22.424555351348332</v>
          </cell>
          <cell r="DU2355">
            <v>11.111693489235018</v>
          </cell>
          <cell r="DV2355">
            <v>11.644336226312735</v>
          </cell>
          <cell r="DW2355">
            <v>9.8476005987137558</v>
          </cell>
          <cell r="DX2355">
            <v>7.1073990168282446</v>
          </cell>
          <cell r="DY2355">
            <v>12.587802180599267</v>
          </cell>
        </row>
        <row r="2356">
          <cell r="A2356">
            <v>42761</v>
          </cell>
          <cell r="DF2356">
            <v>18.211328124720954</v>
          </cell>
          <cell r="DG2356">
            <v>21.679348620667902</v>
          </cell>
          <cell r="DH2356">
            <v>18.362277992096409</v>
          </cell>
          <cell r="DI2356">
            <v>14.300000632844487</v>
          </cell>
          <cell r="DJ2356">
            <v>22.424555351348332</v>
          </cell>
          <cell r="DU2356">
            <v>11.038943409281041</v>
          </cell>
          <cell r="DV2356">
            <v>11.644336226312735</v>
          </cell>
          <cell r="DW2356">
            <v>9.8476005987137558</v>
          </cell>
          <cell r="DX2356">
            <v>7.1073990168282446</v>
          </cell>
          <cell r="DY2356">
            <v>12.587802180599267</v>
          </cell>
        </row>
        <row r="2357">
          <cell r="A2357">
            <v>42762</v>
          </cell>
          <cell r="DF2357">
            <v>18.225614305039333</v>
          </cell>
          <cell r="DG2357">
            <v>21.679348620667902</v>
          </cell>
          <cell r="DH2357">
            <v>18.362277992096409</v>
          </cell>
          <cell r="DI2357">
            <v>14.300000632844487</v>
          </cell>
          <cell r="DJ2357">
            <v>22.424555351348332</v>
          </cell>
          <cell r="DU2357">
            <v>11.047336831400589</v>
          </cell>
          <cell r="DV2357">
            <v>11.644336226312735</v>
          </cell>
          <cell r="DW2357">
            <v>9.8476005987137558</v>
          </cell>
          <cell r="DX2357">
            <v>7.1073990168282446</v>
          </cell>
          <cell r="DY2357">
            <v>12.587802180599267</v>
          </cell>
        </row>
        <row r="2358">
          <cell r="A2358">
            <v>42765</v>
          </cell>
          <cell r="DF2358">
            <v>18.251126042411247</v>
          </cell>
          <cell r="DG2358">
            <v>21.679348620667902</v>
          </cell>
          <cell r="DH2358">
            <v>18.362277992096409</v>
          </cell>
          <cell r="DI2358">
            <v>14.300000632844487</v>
          </cell>
          <cell r="DJ2358">
            <v>22.424555351348332</v>
          </cell>
          <cell r="DU2358">
            <v>10.938806623528215</v>
          </cell>
          <cell r="DV2358">
            <v>11.644336226312735</v>
          </cell>
          <cell r="DW2358">
            <v>9.8476005987137558</v>
          </cell>
          <cell r="DX2358">
            <v>7.1073990168282446</v>
          </cell>
          <cell r="DY2358">
            <v>12.587802180599267</v>
          </cell>
        </row>
        <row r="2359">
          <cell r="A2359">
            <v>42766</v>
          </cell>
          <cell r="DF2359">
            <v>18.231353635661328</v>
          </cell>
          <cell r="DG2359">
            <v>21.679348620667902</v>
          </cell>
          <cell r="DH2359">
            <v>18.362277992096409</v>
          </cell>
          <cell r="DI2359">
            <v>14.300000632844487</v>
          </cell>
          <cell r="DJ2359">
            <v>22.424555351348332</v>
          </cell>
          <cell r="DU2359">
            <v>11.11687750977031</v>
          </cell>
          <cell r="DV2359">
            <v>11.644336226312735</v>
          </cell>
          <cell r="DW2359">
            <v>9.8476005987137558</v>
          </cell>
          <cell r="DX2359">
            <v>7.1073990168282446</v>
          </cell>
          <cell r="DY2359">
            <v>12.587802180599267</v>
          </cell>
        </row>
        <row r="2360">
          <cell r="A2360">
            <v>42767</v>
          </cell>
          <cell r="DF2360">
            <v>18.571245205830923</v>
          </cell>
          <cell r="DG2360">
            <v>21.679348620667902</v>
          </cell>
          <cell r="DH2360">
            <v>18.362277992096409</v>
          </cell>
          <cell r="DI2360">
            <v>14.300000632844487</v>
          </cell>
          <cell r="DJ2360">
            <v>22.424555351348332</v>
          </cell>
          <cell r="DU2360">
            <v>11.317820453385034</v>
          </cell>
          <cell r="DV2360">
            <v>11.644336226312735</v>
          </cell>
          <cell r="DW2360">
            <v>9.8476005987137558</v>
          </cell>
          <cell r="DX2360">
            <v>7.1073990168282446</v>
          </cell>
          <cell r="DY2360">
            <v>12.587802180599267</v>
          </cell>
        </row>
        <row r="2361">
          <cell r="A2361">
            <v>42768</v>
          </cell>
          <cell r="DF2361">
            <v>18.139761095372997</v>
          </cell>
          <cell r="DG2361">
            <v>21.679348620667902</v>
          </cell>
          <cell r="DH2361">
            <v>18.362277992096409</v>
          </cell>
          <cell r="DI2361">
            <v>14.300000632844487</v>
          </cell>
          <cell r="DJ2361">
            <v>22.424555351348332</v>
          </cell>
          <cell r="DU2361">
            <v>11.061065204040661</v>
          </cell>
          <cell r="DV2361">
            <v>11.644336226312735</v>
          </cell>
          <cell r="DW2361">
            <v>9.8476005987137558</v>
          </cell>
          <cell r="DX2361">
            <v>7.1073990168282446</v>
          </cell>
          <cell r="DY2361">
            <v>12.587802180599267</v>
          </cell>
        </row>
        <row r="2362">
          <cell r="A2362">
            <v>42769</v>
          </cell>
          <cell r="DF2362">
            <v>18.007561850802645</v>
          </cell>
          <cell r="DG2362">
            <v>21.679348620667902</v>
          </cell>
          <cell r="DH2362">
            <v>18.362277992096409</v>
          </cell>
          <cell r="DI2362">
            <v>14.300000632844487</v>
          </cell>
          <cell r="DJ2362">
            <v>22.424555351348332</v>
          </cell>
          <cell r="DU2362">
            <v>10.982921501208953</v>
          </cell>
          <cell r="DV2362">
            <v>11.644336226312735</v>
          </cell>
          <cell r="DW2362">
            <v>9.8476005987137558</v>
          </cell>
          <cell r="DX2362">
            <v>7.1073990168282446</v>
          </cell>
          <cell r="DY2362">
            <v>12.587802180599267</v>
          </cell>
        </row>
        <row r="2363">
          <cell r="A2363">
            <v>42772</v>
          </cell>
          <cell r="DF2363">
            <v>17.969781869688386</v>
          </cell>
          <cell r="DG2363">
            <v>21.679348620667902</v>
          </cell>
          <cell r="DH2363">
            <v>18.362277992096409</v>
          </cell>
          <cell r="DI2363">
            <v>14.300000632844487</v>
          </cell>
          <cell r="DJ2363">
            <v>22.424555351348332</v>
          </cell>
          <cell r="DU2363">
            <v>10.982921501208953</v>
          </cell>
          <cell r="DV2363">
            <v>11.644336226312735</v>
          </cell>
          <cell r="DW2363">
            <v>9.8476005987137558</v>
          </cell>
          <cell r="DX2363">
            <v>7.1073990168282446</v>
          </cell>
          <cell r="DY2363">
            <v>12.587802180599267</v>
          </cell>
        </row>
        <row r="2364">
          <cell r="A2364">
            <v>42773</v>
          </cell>
          <cell r="DF2364">
            <v>17.985882737261953</v>
          </cell>
          <cell r="DG2364">
            <v>21.679348620667902</v>
          </cell>
          <cell r="DH2364">
            <v>18.362277992096409</v>
          </cell>
          <cell r="DI2364">
            <v>14.300000632844487</v>
          </cell>
          <cell r="DJ2364">
            <v>22.424555351348332</v>
          </cell>
          <cell r="DU2364">
            <v>10.971755802657922</v>
          </cell>
          <cell r="DV2364">
            <v>11.644336226312735</v>
          </cell>
          <cell r="DW2364">
            <v>9.8476005987137558</v>
          </cell>
          <cell r="DX2364">
            <v>7.1073990168282446</v>
          </cell>
          <cell r="DY2364">
            <v>12.587802180599267</v>
          </cell>
        </row>
        <row r="2365">
          <cell r="A2365">
            <v>42774</v>
          </cell>
          <cell r="DF2365">
            <v>18.099766270783849</v>
          </cell>
          <cell r="DG2365">
            <v>21.679348620667902</v>
          </cell>
          <cell r="DH2365">
            <v>18.362277992096409</v>
          </cell>
          <cell r="DI2365">
            <v>14.300000632844487</v>
          </cell>
          <cell r="DJ2365">
            <v>22.424555351348332</v>
          </cell>
          <cell r="DU2365">
            <v>10.971755802657922</v>
          </cell>
          <cell r="DV2365">
            <v>11.644336226312735</v>
          </cell>
          <cell r="DW2365">
            <v>9.8476005987137558</v>
          </cell>
          <cell r="DX2365">
            <v>7.1073990168282446</v>
          </cell>
          <cell r="DY2365">
            <v>12.587802180599267</v>
          </cell>
        </row>
        <row r="2366">
          <cell r="A2366">
            <v>42775</v>
          </cell>
          <cell r="DF2366">
            <v>17.957238954869357</v>
          </cell>
          <cell r="DG2366">
            <v>21.679348620667902</v>
          </cell>
          <cell r="DH2366">
            <v>18.362277992096409</v>
          </cell>
          <cell r="DI2366">
            <v>14.300000632844487</v>
          </cell>
          <cell r="DJ2366">
            <v>22.424555351348332</v>
          </cell>
          <cell r="DU2366">
            <v>10.888024226991066</v>
          </cell>
          <cell r="DV2366">
            <v>11.644336226312735</v>
          </cell>
          <cell r="DW2366">
            <v>9.8476005987137558</v>
          </cell>
          <cell r="DX2366">
            <v>7.1073990168282446</v>
          </cell>
          <cell r="DY2366">
            <v>12.587802180599267</v>
          </cell>
        </row>
        <row r="2367">
          <cell r="A2367">
            <v>42776</v>
          </cell>
          <cell r="DF2367">
            <v>18.223271258907364</v>
          </cell>
          <cell r="DG2367">
            <v>21.679348620667902</v>
          </cell>
          <cell r="DH2367">
            <v>18.362277992096409</v>
          </cell>
          <cell r="DI2367">
            <v>14.300000632844487</v>
          </cell>
          <cell r="DJ2367">
            <v>22.424555351348332</v>
          </cell>
          <cell r="DU2367">
            <v>11.044312190827773</v>
          </cell>
          <cell r="DV2367">
            <v>11.644336226312735</v>
          </cell>
          <cell r="DW2367">
            <v>9.8476005987137558</v>
          </cell>
          <cell r="DX2367">
            <v>7.1073990168282446</v>
          </cell>
          <cell r="DY2367">
            <v>12.587802180599267</v>
          </cell>
        </row>
        <row r="2368">
          <cell r="A2368">
            <v>42779</v>
          </cell>
          <cell r="DF2368">
            <v>18.19476864608076</v>
          </cell>
          <cell r="DG2368">
            <v>21.679348620667902</v>
          </cell>
          <cell r="DH2368">
            <v>18.362277992096409</v>
          </cell>
          <cell r="DI2368">
            <v>14.300000632844487</v>
          </cell>
          <cell r="DJ2368">
            <v>22.424555351348332</v>
          </cell>
          <cell r="DU2368">
            <v>11.044312190827773</v>
          </cell>
          <cell r="DV2368">
            <v>11.644336226312735</v>
          </cell>
          <cell r="DW2368">
            <v>9.8476005987137558</v>
          </cell>
          <cell r="DX2368">
            <v>7.1073990168282446</v>
          </cell>
          <cell r="DY2368">
            <v>12.587802180599267</v>
          </cell>
        </row>
        <row r="2369">
          <cell r="A2369">
            <v>42780</v>
          </cell>
          <cell r="DF2369">
            <v>18.413306413301662</v>
          </cell>
          <cell r="DG2369">
            <v>21.679348620667902</v>
          </cell>
          <cell r="DH2369">
            <v>18.362277992096409</v>
          </cell>
          <cell r="DI2369">
            <v>14.300000632844487</v>
          </cell>
          <cell r="DJ2369">
            <v>22.424555351348332</v>
          </cell>
          <cell r="DU2369">
            <v>11.155953547485861</v>
          </cell>
          <cell r="DV2369">
            <v>11.644336226312735</v>
          </cell>
          <cell r="DW2369">
            <v>9.8476005987137558</v>
          </cell>
          <cell r="DX2369">
            <v>7.1073990168282446</v>
          </cell>
          <cell r="DY2369">
            <v>12.587802180599267</v>
          </cell>
        </row>
        <row r="2370">
          <cell r="A2370">
            <v>42781</v>
          </cell>
          <cell r="DF2370">
            <v>18.289786223277911</v>
          </cell>
          <cell r="DG2370">
            <v>21.679348620667902</v>
          </cell>
          <cell r="DH2370">
            <v>18.362277992096409</v>
          </cell>
          <cell r="DI2370">
            <v>14.300000632844487</v>
          </cell>
          <cell r="DJ2370">
            <v>22.424555351348332</v>
          </cell>
          <cell r="DU2370">
            <v>11.083388228543322</v>
          </cell>
          <cell r="DV2370">
            <v>11.644336226312735</v>
          </cell>
          <cell r="DW2370">
            <v>9.8476005987137558</v>
          </cell>
          <cell r="DX2370">
            <v>7.1073990168282446</v>
          </cell>
          <cell r="DY2370">
            <v>12.587802180599267</v>
          </cell>
        </row>
        <row r="2371">
          <cell r="A2371">
            <v>42782</v>
          </cell>
          <cell r="DF2371">
            <v>18.11877244655582</v>
          </cell>
          <cell r="DG2371">
            <v>21.679348620667902</v>
          </cell>
          <cell r="DH2371">
            <v>18.362277992096409</v>
          </cell>
          <cell r="DI2371">
            <v>14.300000632844487</v>
          </cell>
          <cell r="DJ2371">
            <v>22.424555351348332</v>
          </cell>
          <cell r="DU2371">
            <v>10.982921501208953</v>
          </cell>
          <cell r="DV2371">
            <v>11.644336226312735</v>
          </cell>
          <cell r="DW2371">
            <v>9.8476005987137558</v>
          </cell>
          <cell r="DX2371">
            <v>7.1073990168282446</v>
          </cell>
          <cell r="DY2371">
            <v>12.587802180599267</v>
          </cell>
        </row>
        <row r="2372">
          <cell r="A2372">
            <v>42783</v>
          </cell>
          <cell r="DF2372">
            <v>18.242277434679334</v>
          </cell>
          <cell r="DG2372">
            <v>21.679348620667902</v>
          </cell>
          <cell r="DH2372">
            <v>18.362277992096409</v>
          </cell>
          <cell r="DI2372">
            <v>14.300000632844487</v>
          </cell>
          <cell r="DJ2372">
            <v>22.424555351348332</v>
          </cell>
          <cell r="DU2372">
            <v>11.055477889378803</v>
          </cell>
          <cell r="DV2372">
            <v>11.644336226312735</v>
          </cell>
          <cell r="DW2372">
            <v>9.8476005987137558</v>
          </cell>
          <cell r="DX2372">
            <v>7.1073990168282446</v>
          </cell>
          <cell r="DY2372">
            <v>12.587802180599267</v>
          </cell>
        </row>
        <row r="2373">
          <cell r="A2373">
            <v>42786</v>
          </cell>
          <cell r="DF2373">
            <v>18.166266983372921</v>
          </cell>
          <cell r="DG2373">
            <v>21.679348620667902</v>
          </cell>
          <cell r="DH2373">
            <v>18.362277992096409</v>
          </cell>
          <cell r="DI2373">
            <v>14.300000632844487</v>
          </cell>
          <cell r="DJ2373">
            <v>22.424555351348332</v>
          </cell>
          <cell r="DU2373">
            <v>11.010823467774081</v>
          </cell>
          <cell r="DV2373">
            <v>11.644336226312735</v>
          </cell>
          <cell r="DW2373">
            <v>9.8476005987137558</v>
          </cell>
          <cell r="DX2373">
            <v>7.1073990168282446</v>
          </cell>
          <cell r="DY2373">
            <v>12.587802180599267</v>
          </cell>
        </row>
        <row r="2374">
          <cell r="A2374">
            <v>42787</v>
          </cell>
          <cell r="DF2374">
            <v>18.236546567432608</v>
          </cell>
          <cell r="DG2374">
            <v>21.679348620667902</v>
          </cell>
          <cell r="DH2374">
            <v>18.362277992096409</v>
          </cell>
          <cell r="DI2374">
            <v>14.300000632844487</v>
          </cell>
          <cell r="DJ2374">
            <v>22.424555351348332</v>
          </cell>
          <cell r="DU2374">
            <v>11.05554585937138</v>
          </cell>
          <cell r="DV2374">
            <v>11.644336226312735</v>
          </cell>
          <cell r="DW2374">
            <v>9.8476005987137558</v>
          </cell>
          <cell r="DX2374">
            <v>7.1073990168282446</v>
          </cell>
          <cell r="DY2374">
            <v>12.587802180599267</v>
          </cell>
        </row>
        <row r="2375">
          <cell r="A2375">
            <v>42788</v>
          </cell>
          <cell r="DF2375">
            <v>18.078278581761442</v>
          </cell>
          <cell r="DG2375">
            <v>21.679348620667902</v>
          </cell>
          <cell r="DH2375">
            <v>18.362277992096409</v>
          </cell>
          <cell r="DI2375">
            <v>14.300000632844487</v>
          </cell>
          <cell r="DJ2375">
            <v>22.424555351348332</v>
          </cell>
          <cell r="DU2375">
            <v>10.881789291279732</v>
          </cell>
          <cell r="DV2375">
            <v>11.644336226312735</v>
          </cell>
          <cell r="DW2375">
            <v>9.8476005987137558</v>
          </cell>
          <cell r="DX2375">
            <v>7.1073990168282446</v>
          </cell>
          <cell r="DY2375">
            <v>12.587802180599267</v>
          </cell>
        </row>
        <row r="2376">
          <cell r="A2376">
            <v>42789</v>
          </cell>
          <cell r="DF2376">
            <v>18.078278581761442</v>
          </cell>
          <cell r="DG2376">
            <v>21.679348620667902</v>
          </cell>
          <cell r="DH2376">
            <v>18.362277992096409</v>
          </cell>
          <cell r="DI2376">
            <v>14.300000632844487</v>
          </cell>
          <cell r="DJ2376">
            <v>22.424555351348332</v>
          </cell>
          <cell r="DU2376">
            <v>10.881789291279732</v>
          </cell>
          <cell r="DV2376">
            <v>11.644336226312735</v>
          </cell>
          <cell r="DW2376">
            <v>9.8476005987137558</v>
          </cell>
          <cell r="DX2376">
            <v>7.1073990168282446</v>
          </cell>
          <cell r="DY2376">
            <v>12.587802180599267</v>
          </cell>
        </row>
        <row r="2377">
          <cell r="A2377">
            <v>42790</v>
          </cell>
          <cell r="DF2377">
            <v>17.621086630502276</v>
          </cell>
          <cell r="DG2377">
            <v>21.679348620667902</v>
          </cell>
          <cell r="DH2377">
            <v>18.362277992096409</v>
          </cell>
          <cell r="DI2377">
            <v>14.300000632844487</v>
          </cell>
          <cell r="DJ2377">
            <v>22.424555351348332</v>
          </cell>
          <cell r="DU2377">
            <v>10.615115473583467</v>
          </cell>
          <cell r="DV2377">
            <v>11.644336226312735</v>
          </cell>
          <cell r="DW2377">
            <v>9.8476005987137558</v>
          </cell>
          <cell r="DX2377">
            <v>7.1073990168282446</v>
          </cell>
          <cell r="DY2377">
            <v>12.587802180599267</v>
          </cell>
        </row>
        <row r="2378">
          <cell r="A2378">
            <v>42793</v>
          </cell>
          <cell r="DF2378">
            <v>17.497258968539477</v>
          </cell>
          <cell r="DG2378">
            <v>21.679348620667902</v>
          </cell>
          <cell r="DH2378">
            <v>18.362277992096409</v>
          </cell>
          <cell r="DI2378">
            <v>14.300000632844487</v>
          </cell>
          <cell r="DJ2378">
            <v>22.424555351348332</v>
          </cell>
          <cell r="DU2378">
            <v>10.542888490450723</v>
          </cell>
          <cell r="DV2378">
            <v>11.644336226312735</v>
          </cell>
          <cell r="DW2378">
            <v>9.8476005987137558</v>
          </cell>
          <cell r="DX2378">
            <v>7.1073990168282446</v>
          </cell>
          <cell r="DY2378">
            <v>12.587802180599267</v>
          </cell>
        </row>
        <row r="2379">
          <cell r="A2379">
            <v>42794</v>
          </cell>
          <cell r="DF2379">
            <v>17.822292037932971</v>
          </cell>
          <cell r="DG2379">
            <v>21.679348620667902</v>
          </cell>
          <cell r="DH2379">
            <v>18.362277992096409</v>
          </cell>
          <cell r="DI2379">
            <v>14.300000632844487</v>
          </cell>
          <cell r="DJ2379">
            <v>22.424555351348332</v>
          </cell>
          <cell r="DU2379">
            <v>10.716304563433049</v>
          </cell>
          <cell r="DV2379">
            <v>11.644336226312735</v>
          </cell>
          <cell r="DW2379">
            <v>9.8476005987137558</v>
          </cell>
          <cell r="DX2379">
            <v>7.1073990168282446</v>
          </cell>
          <cell r="DY2379">
            <v>12.587802180599267</v>
          </cell>
        </row>
        <row r="2380">
          <cell r="A2380">
            <v>42795</v>
          </cell>
          <cell r="DF2380">
            <v>17.542416045665242</v>
          </cell>
          <cell r="DG2380">
            <v>21.679348620667902</v>
          </cell>
          <cell r="DH2380">
            <v>18.362277992096409</v>
          </cell>
          <cell r="DI2380">
            <v>14.300000632844487</v>
          </cell>
          <cell r="DJ2380">
            <v>22.424555351348332</v>
          </cell>
          <cell r="DU2380">
            <v>10.577467432844708</v>
          </cell>
          <cell r="DV2380">
            <v>11.644336226312735</v>
          </cell>
          <cell r="DW2380">
            <v>9.8476005987137558</v>
          </cell>
          <cell r="DX2380">
            <v>7.1073990168282446</v>
          </cell>
          <cell r="DY2380">
            <v>12.587802180599267</v>
          </cell>
        </row>
        <row r="2381">
          <cell r="A2381">
            <v>42796</v>
          </cell>
          <cell r="DF2381">
            <v>17.570954812115218</v>
          </cell>
          <cell r="DG2381">
            <v>21.679348620667902</v>
          </cell>
          <cell r="DH2381">
            <v>18.362277992096409</v>
          </cell>
          <cell r="DI2381">
            <v>14.300000632844487</v>
          </cell>
          <cell r="DJ2381">
            <v>22.424555351348332</v>
          </cell>
          <cell r="DU2381">
            <v>10.577467432844708</v>
          </cell>
          <cell r="DV2381">
            <v>11.644336226312735</v>
          </cell>
          <cell r="DW2381">
            <v>9.8476005987137558</v>
          </cell>
          <cell r="DX2381">
            <v>7.1073990168282446</v>
          </cell>
          <cell r="DY2381">
            <v>12.587802180599267</v>
          </cell>
        </row>
        <row r="2382">
          <cell r="A2382">
            <v>42797</v>
          </cell>
          <cell r="DF2382">
            <v>17.119506679224735</v>
          </cell>
          <cell r="DG2382">
            <v>21.679348620667902</v>
          </cell>
          <cell r="DH2382">
            <v>18.362277992096409</v>
          </cell>
          <cell r="DI2382">
            <v>14.300000632844487</v>
          </cell>
          <cell r="DJ2382">
            <v>22.424555351348332</v>
          </cell>
          <cell r="DU2382">
            <v>10.333112416963662</v>
          </cell>
          <cell r="DV2382">
            <v>11.644336226312735</v>
          </cell>
          <cell r="DW2382">
            <v>9.8476005987137558</v>
          </cell>
          <cell r="DX2382">
            <v>7.1073990168282446</v>
          </cell>
          <cell r="DY2382">
            <v>12.587802180599267</v>
          </cell>
        </row>
        <row r="2383">
          <cell r="A2383">
            <v>42800</v>
          </cell>
          <cell r="DF2383">
            <v>17.262163528382715</v>
          </cell>
          <cell r="DG2383">
            <v>21.679348620667902</v>
          </cell>
          <cell r="DH2383">
            <v>18.362277992096409</v>
          </cell>
          <cell r="DI2383">
            <v>14.300000632844487</v>
          </cell>
          <cell r="DJ2383">
            <v>22.424555351348332</v>
          </cell>
          <cell r="DU2383">
            <v>10.416411363225532</v>
          </cell>
          <cell r="DV2383">
            <v>11.644336226312735</v>
          </cell>
          <cell r="DW2383">
            <v>9.8476005987137558</v>
          </cell>
          <cell r="DX2383">
            <v>7.1073990168282446</v>
          </cell>
          <cell r="DY2383">
            <v>12.587802180599267</v>
          </cell>
        </row>
        <row r="2384">
          <cell r="A2384">
            <v>42801</v>
          </cell>
          <cell r="DF2384">
            <v>17.262163528382715</v>
          </cell>
          <cell r="DG2384">
            <v>21.679348620667902</v>
          </cell>
          <cell r="DH2384">
            <v>18.362277992096409</v>
          </cell>
          <cell r="DI2384">
            <v>14.300000632844487</v>
          </cell>
          <cell r="DJ2384">
            <v>22.424555351348332</v>
          </cell>
          <cell r="DU2384">
            <v>10.416411363225532</v>
          </cell>
          <cell r="DV2384">
            <v>11.644336226312735</v>
          </cell>
          <cell r="DW2384">
            <v>9.8476005987137558</v>
          </cell>
          <cell r="DX2384">
            <v>7.1073990168282446</v>
          </cell>
          <cell r="DY2384">
            <v>12.587802180599267</v>
          </cell>
        </row>
        <row r="2385">
          <cell r="A2385">
            <v>42802</v>
          </cell>
          <cell r="DF2385">
            <v>17.13605613701402</v>
          </cell>
          <cell r="DG2385">
            <v>21.679348620667902</v>
          </cell>
          <cell r="DH2385">
            <v>18.362277992096409</v>
          </cell>
          <cell r="DI2385">
            <v>14.300000632844487</v>
          </cell>
          <cell r="DJ2385">
            <v>22.424555351348332</v>
          </cell>
          <cell r="DU2385">
            <v>10.338663125444585</v>
          </cell>
          <cell r="DV2385">
            <v>11.644336226312735</v>
          </cell>
          <cell r="DW2385">
            <v>9.8476005987137558</v>
          </cell>
          <cell r="DX2385">
            <v>7.1073990168282446</v>
          </cell>
          <cell r="DY2385">
            <v>12.587802180599267</v>
          </cell>
        </row>
        <row r="2386">
          <cell r="A2386">
            <v>42803</v>
          </cell>
          <cell r="DF2386">
            <v>17.069460513798031</v>
          </cell>
          <cell r="DG2386">
            <v>21.679348620667902</v>
          </cell>
          <cell r="DH2386">
            <v>18.362277992096409</v>
          </cell>
          <cell r="DI2386">
            <v>14.300000632844487</v>
          </cell>
          <cell r="DJ2386">
            <v>22.424555351348332</v>
          </cell>
          <cell r="DU2386">
            <v>10.299793171668027</v>
          </cell>
          <cell r="DV2386">
            <v>11.644336226312735</v>
          </cell>
          <cell r="DW2386">
            <v>9.8476005987137558</v>
          </cell>
          <cell r="DX2386">
            <v>7.1073990168282446</v>
          </cell>
          <cell r="DY2386">
            <v>12.587802180599267</v>
          </cell>
        </row>
        <row r="2387">
          <cell r="A2387">
            <v>42804</v>
          </cell>
          <cell r="DF2387">
            <v>17.050427212180523</v>
          </cell>
          <cell r="DG2387">
            <v>21.679348620667902</v>
          </cell>
          <cell r="DH2387">
            <v>18.362277992096409</v>
          </cell>
          <cell r="DI2387">
            <v>14.300000632844487</v>
          </cell>
          <cell r="DJ2387">
            <v>22.424555351348332</v>
          </cell>
          <cell r="DU2387">
            <v>10.288683979826873</v>
          </cell>
          <cell r="DV2387">
            <v>11.644336226312735</v>
          </cell>
          <cell r="DW2387">
            <v>9.8476005987137558</v>
          </cell>
          <cell r="DX2387">
            <v>7.1073990168282446</v>
          </cell>
          <cell r="DY2387">
            <v>12.587802180599267</v>
          </cell>
        </row>
        <row r="2388">
          <cell r="A2388">
            <v>42807</v>
          </cell>
          <cell r="DF2388">
            <v>16.888677450049201</v>
          </cell>
          <cell r="DG2388">
            <v>21.679348620667902</v>
          </cell>
          <cell r="DH2388">
            <v>18.362277992096409</v>
          </cell>
          <cell r="DI2388">
            <v>14.300000632844487</v>
          </cell>
          <cell r="DJ2388">
            <v>22.424555351348332</v>
          </cell>
          <cell r="DU2388">
            <v>10.194275286375323</v>
          </cell>
          <cell r="DV2388">
            <v>11.644336226312735</v>
          </cell>
          <cell r="DW2388">
            <v>9.8476005987137558</v>
          </cell>
          <cell r="DX2388">
            <v>7.1073990168282446</v>
          </cell>
          <cell r="DY2388">
            <v>12.587802180599267</v>
          </cell>
        </row>
        <row r="2389">
          <cell r="A2389">
            <v>42808</v>
          </cell>
          <cell r="DF2389">
            <v>16.755471931495432</v>
          </cell>
          <cell r="DG2389">
            <v>21.679348620667902</v>
          </cell>
          <cell r="DH2389">
            <v>18.362277992096409</v>
          </cell>
          <cell r="DI2389">
            <v>14.300000632844487</v>
          </cell>
          <cell r="DJ2389">
            <v>22.424555351348332</v>
          </cell>
          <cell r="DU2389">
            <v>10.116527048594374</v>
          </cell>
          <cell r="DV2389">
            <v>11.644336226312735</v>
          </cell>
          <cell r="DW2389">
            <v>9.8476005987137558</v>
          </cell>
          <cell r="DX2389">
            <v>7.1073990168282446</v>
          </cell>
          <cell r="DY2389">
            <v>12.587802180599267</v>
          </cell>
        </row>
        <row r="2390">
          <cell r="A2390">
            <v>42809</v>
          </cell>
          <cell r="DF2390">
            <v>16.888677450049201</v>
          </cell>
          <cell r="DG2390">
            <v>21.679348620667902</v>
          </cell>
          <cell r="DH2390">
            <v>18.362277992096409</v>
          </cell>
          <cell r="DI2390">
            <v>14.300000632844487</v>
          </cell>
          <cell r="DJ2390">
            <v>22.424555351348332</v>
          </cell>
          <cell r="DU2390">
            <v>10.194275286375323</v>
          </cell>
          <cell r="DV2390">
            <v>11.644336226312735</v>
          </cell>
          <cell r="DW2390">
            <v>9.8476005987137558</v>
          </cell>
          <cell r="DX2390">
            <v>7.1073990168282446</v>
          </cell>
          <cell r="DY2390">
            <v>12.587802180599267</v>
          </cell>
        </row>
        <row r="2391">
          <cell r="A2391">
            <v>42810</v>
          </cell>
          <cell r="DF2391">
            <v>17.440534728831366</v>
          </cell>
          <cell r="DG2391">
            <v>21.679348620667902</v>
          </cell>
          <cell r="DH2391">
            <v>18.362277992096409</v>
          </cell>
          <cell r="DI2391">
            <v>14.300000632844487</v>
          </cell>
          <cell r="DJ2391">
            <v>22.424555351348332</v>
          </cell>
          <cell r="DU2391">
            <v>10.516378540037318</v>
          </cell>
          <cell r="DV2391">
            <v>11.644336226312735</v>
          </cell>
          <cell r="DW2391">
            <v>9.8476005987137558</v>
          </cell>
          <cell r="DX2391">
            <v>7.1073990168282446</v>
          </cell>
          <cell r="DY2391">
            <v>12.587802180599267</v>
          </cell>
        </row>
        <row r="2392">
          <cell r="A2392">
            <v>42811</v>
          </cell>
          <cell r="DF2392">
            <v>17.564231208374672</v>
          </cell>
          <cell r="DG2392">
            <v>21.679348620667902</v>
          </cell>
          <cell r="DH2392">
            <v>18.362277992096409</v>
          </cell>
          <cell r="DI2392">
            <v>14.300000632844487</v>
          </cell>
          <cell r="DJ2392">
            <v>22.424555351348332</v>
          </cell>
          <cell r="DU2392">
            <v>10.588576624685865</v>
          </cell>
          <cell r="DV2392">
            <v>11.644336226312735</v>
          </cell>
          <cell r="DW2392">
            <v>9.8476005987137558</v>
          </cell>
          <cell r="DX2392">
            <v>7.1073990168282446</v>
          </cell>
          <cell r="DY2392">
            <v>12.587802180599267</v>
          </cell>
        </row>
        <row r="2393">
          <cell r="A2393">
            <v>42814</v>
          </cell>
          <cell r="DF2393">
            <v>17.445295806231073</v>
          </cell>
          <cell r="DG2393">
            <v>21.679348620667902</v>
          </cell>
          <cell r="DH2393">
            <v>18.362277992096409</v>
          </cell>
          <cell r="DI2393">
            <v>14.300000632844487</v>
          </cell>
          <cell r="DJ2393">
            <v>22.424555351348332</v>
          </cell>
          <cell r="DU2393">
            <v>10.516378540037318</v>
          </cell>
          <cell r="DV2393">
            <v>11.644336226312735</v>
          </cell>
          <cell r="DW2393">
            <v>9.8476005987137558</v>
          </cell>
          <cell r="DX2393">
            <v>7.1073990168282446</v>
          </cell>
          <cell r="DY2393">
            <v>12.587802180599267</v>
          </cell>
        </row>
        <row r="2394">
          <cell r="A2394">
            <v>42815</v>
          </cell>
          <cell r="DF2394">
            <v>17.502397974456819</v>
          </cell>
          <cell r="DG2394">
            <v>21.679348620667902</v>
          </cell>
          <cell r="DH2394">
            <v>18.362277992096409</v>
          </cell>
          <cell r="DI2394">
            <v>14.300000632844487</v>
          </cell>
          <cell r="DJ2394">
            <v>22.424555351348332</v>
          </cell>
          <cell r="DU2394">
            <v>10.549698340681473</v>
          </cell>
          <cell r="DV2394">
            <v>11.644336226312735</v>
          </cell>
          <cell r="DW2394">
            <v>9.8476005987137558</v>
          </cell>
          <cell r="DX2394">
            <v>7.1073990168282446</v>
          </cell>
          <cell r="DY2394">
            <v>12.587802180599267</v>
          </cell>
        </row>
        <row r="2395">
          <cell r="A2395">
            <v>42816</v>
          </cell>
          <cell r="DF2395">
            <v>17.670284940547777</v>
          </cell>
          <cell r="DG2395">
            <v>21.679348620667902</v>
          </cell>
          <cell r="DH2395">
            <v>18.362277992096409</v>
          </cell>
          <cell r="DI2395">
            <v>14.300000632844487</v>
          </cell>
          <cell r="DJ2395">
            <v>22.424555351348332</v>
          </cell>
          <cell r="DU2395">
            <v>10.658911659947279</v>
          </cell>
          <cell r="DV2395">
            <v>11.644336226312735</v>
          </cell>
          <cell r="DW2395">
            <v>9.8476005987137558</v>
          </cell>
          <cell r="DX2395">
            <v>7.1073990168282446</v>
          </cell>
          <cell r="DY2395">
            <v>12.587802180599267</v>
          </cell>
        </row>
        <row r="2396">
          <cell r="A2396">
            <v>42817</v>
          </cell>
          <cell r="DF2396">
            <v>17.670284940547777</v>
          </cell>
          <cell r="DG2396">
            <v>21.679348620667902</v>
          </cell>
          <cell r="DH2396">
            <v>18.362277992096409</v>
          </cell>
          <cell r="DI2396">
            <v>14.300000632844487</v>
          </cell>
          <cell r="DJ2396">
            <v>22.424555351348332</v>
          </cell>
          <cell r="DU2396">
            <v>10.658911659947279</v>
          </cell>
          <cell r="DV2396">
            <v>11.644336226312735</v>
          </cell>
          <cell r="DW2396">
            <v>9.8476005987137558</v>
          </cell>
          <cell r="DX2396">
            <v>7.1073990168282446</v>
          </cell>
          <cell r="DY2396">
            <v>12.587802180599267</v>
          </cell>
        </row>
        <row r="2397">
          <cell r="A2397">
            <v>42818</v>
          </cell>
          <cell r="DF2397">
            <v>21.106941838651231</v>
          </cell>
          <cell r="DG2397">
            <v>21.679348620667902</v>
          </cell>
          <cell r="DH2397">
            <v>18.362277992096409</v>
          </cell>
          <cell r="DI2397">
            <v>14.300000632844487</v>
          </cell>
          <cell r="DJ2397">
            <v>22.424555351348332</v>
          </cell>
          <cell r="DU2397">
            <v>12.369411911592243</v>
          </cell>
          <cell r="DV2397">
            <v>11.644336226312735</v>
          </cell>
          <cell r="DW2397">
            <v>9.8476005987137558</v>
          </cell>
          <cell r="DX2397">
            <v>7.1073990168282446</v>
          </cell>
          <cell r="DY2397">
            <v>12.587802180599267</v>
          </cell>
        </row>
        <row r="2398">
          <cell r="A2398">
            <v>42821</v>
          </cell>
          <cell r="DF2398">
            <v>20.562850844279694</v>
          </cell>
          <cell r="DG2398">
            <v>21.679348620667902</v>
          </cell>
          <cell r="DH2398">
            <v>18.362277992096409</v>
          </cell>
          <cell r="DI2398">
            <v>14.300000632844487</v>
          </cell>
          <cell r="DJ2398">
            <v>22.424555351348332</v>
          </cell>
          <cell r="DU2398">
            <v>12.049448968976277</v>
          </cell>
          <cell r="DV2398">
            <v>11.644336226312735</v>
          </cell>
          <cell r="DW2398">
            <v>9.8476005987137558</v>
          </cell>
          <cell r="DX2398">
            <v>7.1073990168282446</v>
          </cell>
          <cell r="DY2398">
            <v>12.587802180599267</v>
          </cell>
        </row>
        <row r="2399">
          <cell r="A2399">
            <v>42822</v>
          </cell>
          <cell r="DF2399">
            <v>20.982287409460497</v>
          </cell>
          <cell r="DG2399">
            <v>21.679348620667902</v>
          </cell>
          <cell r="DH2399">
            <v>18.362277992096409</v>
          </cell>
          <cell r="DI2399">
            <v>14.300000632844487</v>
          </cell>
          <cell r="DJ2399">
            <v>22.424555351348332</v>
          </cell>
          <cell r="DU2399">
            <v>12.364967374034386</v>
          </cell>
          <cell r="DV2399">
            <v>11.644336226312735</v>
          </cell>
          <cell r="DW2399">
            <v>9.8476005987137558</v>
          </cell>
          <cell r="DX2399">
            <v>7.1073990168282446</v>
          </cell>
          <cell r="DY2399">
            <v>12.587802180599267</v>
          </cell>
        </row>
        <row r="2400">
          <cell r="A2400">
            <v>42823</v>
          </cell>
          <cell r="DF2400">
            <v>20.359501059814569</v>
          </cell>
          <cell r="DG2400">
            <v>21.679348620667902</v>
          </cell>
          <cell r="DH2400">
            <v>18.362277992096409</v>
          </cell>
          <cell r="DI2400">
            <v>14.300000632844487</v>
          </cell>
          <cell r="DJ2400">
            <v>22.424555351348332</v>
          </cell>
          <cell r="DU2400">
            <v>11.93155728106823</v>
          </cell>
          <cell r="DV2400">
            <v>11.644336226312735</v>
          </cell>
          <cell r="DW2400">
            <v>9.8476005987137558</v>
          </cell>
          <cell r="DX2400">
            <v>7.1073990168282446</v>
          </cell>
          <cell r="DY2400">
            <v>12.587802180599267</v>
          </cell>
        </row>
        <row r="2401">
          <cell r="A2401">
            <v>42824</v>
          </cell>
          <cell r="DF2401">
            <v>21.442443828018746</v>
          </cell>
          <cell r="DG2401">
            <v>21.679348620667902</v>
          </cell>
          <cell r="DH2401">
            <v>18.362277992096409</v>
          </cell>
          <cell r="DI2401">
            <v>14.300000632844487</v>
          </cell>
          <cell r="DJ2401">
            <v>22.424555351348332</v>
          </cell>
          <cell r="DU2401">
            <v>12.567769629018708</v>
          </cell>
          <cell r="DV2401">
            <v>11.644336226312735</v>
          </cell>
          <cell r="DW2401">
            <v>9.8476005987137558</v>
          </cell>
          <cell r="DX2401">
            <v>7.1073990168282446</v>
          </cell>
          <cell r="DY2401">
            <v>12.587802180599267</v>
          </cell>
        </row>
        <row r="2402">
          <cell r="A2402">
            <v>42825</v>
          </cell>
          <cell r="DF2402">
            <v>21.243573632540663</v>
          </cell>
          <cell r="DG2402">
            <v>21.679348620667902</v>
          </cell>
          <cell r="DH2402">
            <v>18.362277992096409</v>
          </cell>
          <cell r="DI2402">
            <v>14.300000632844487</v>
          </cell>
          <cell r="DJ2402">
            <v>22.424555351348332</v>
          </cell>
          <cell r="DU2402">
            <v>12.237011308623432</v>
          </cell>
          <cell r="DV2402">
            <v>11.644336226312735</v>
          </cell>
          <cell r="DW2402">
            <v>9.8476005987137558</v>
          </cell>
          <cell r="DX2402">
            <v>7.1073990168282446</v>
          </cell>
          <cell r="DY2402">
            <v>12.587802180599267</v>
          </cell>
        </row>
        <row r="2403">
          <cell r="A2403">
            <v>42828</v>
          </cell>
          <cell r="DF2403">
            <v>20.60775502571498</v>
          </cell>
          <cell r="DG2403">
            <v>21.679348620667902</v>
          </cell>
          <cell r="DH2403">
            <v>18.362277992096409</v>
          </cell>
          <cell r="DI2403">
            <v>14.300000632844487</v>
          </cell>
          <cell r="DJ2403">
            <v>22.424555351348332</v>
          </cell>
          <cell r="DU2403">
            <v>11.869499894791735</v>
          </cell>
          <cell r="DV2403">
            <v>11.644336226312735</v>
          </cell>
          <cell r="DW2403">
            <v>9.8476005987137558</v>
          </cell>
          <cell r="DX2403">
            <v>7.1073990168282446</v>
          </cell>
          <cell r="DY2403">
            <v>12.587802180599267</v>
          </cell>
        </row>
        <row r="2404">
          <cell r="A2404">
            <v>42829</v>
          </cell>
          <cell r="DF2404">
            <v>20.675165525826554</v>
          </cell>
          <cell r="DG2404">
            <v>21.679348620667902</v>
          </cell>
          <cell r="DH2404">
            <v>18.362277992096409</v>
          </cell>
          <cell r="DI2404">
            <v>14.300000632844487</v>
          </cell>
          <cell r="DJ2404">
            <v>22.424555351348332</v>
          </cell>
          <cell r="DU2404">
            <v>11.928949571150669</v>
          </cell>
          <cell r="DV2404">
            <v>11.644336226312735</v>
          </cell>
          <cell r="DW2404">
            <v>9.8476005987137558</v>
          </cell>
          <cell r="DX2404">
            <v>7.1073990168282446</v>
          </cell>
          <cell r="DY2404">
            <v>12.587802180599267</v>
          </cell>
        </row>
        <row r="2405">
          <cell r="A2405">
            <v>42830</v>
          </cell>
          <cell r="DF2405">
            <v>20.777842252646728</v>
          </cell>
          <cell r="DG2405">
            <v>21.679348620667902</v>
          </cell>
          <cell r="DH2405">
            <v>18.362277992096409</v>
          </cell>
          <cell r="DI2405">
            <v>14.300000632844487</v>
          </cell>
          <cell r="DJ2405">
            <v>22.424555351348332</v>
          </cell>
          <cell r="DU2405">
            <v>11.988399787961209</v>
          </cell>
          <cell r="DV2405">
            <v>11.644336226312735</v>
          </cell>
          <cell r="DW2405">
            <v>9.8476005987137558</v>
          </cell>
          <cell r="DX2405">
            <v>7.1073990168282446</v>
          </cell>
          <cell r="DY2405">
            <v>12.587802180599267</v>
          </cell>
        </row>
        <row r="2406">
          <cell r="A2406">
            <v>42831</v>
          </cell>
          <cell r="DF2406">
            <v>20.469813005602514</v>
          </cell>
          <cell r="DG2406">
            <v>21.679348620667902</v>
          </cell>
          <cell r="DH2406">
            <v>18.362277992096409</v>
          </cell>
          <cell r="DI2406">
            <v>14.300000632844487</v>
          </cell>
          <cell r="DJ2406">
            <v>22.424555351348332</v>
          </cell>
          <cell r="DU2406">
            <v>11.810049677981199</v>
          </cell>
          <cell r="DV2406">
            <v>11.644336226312735</v>
          </cell>
          <cell r="DW2406">
            <v>9.8476005987137558</v>
          </cell>
          <cell r="DX2406">
            <v>7.1073990168282446</v>
          </cell>
          <cell r="DY2406">
            <v>12.587802180599267</v>
          </cell>
        </row>
        <row r="2407">
          <cell r="A2407">
            <v>42832</v>
          </cell>
          <cell r="DF2407">
            <v>20.049778469199236</v>
          </cell>
          <cell r="DG2407">
            <v>21.679348620667902</v>
          </cell>
          <cell r="DH2407">
            <v>18.362277992096409</v>
          </cell>
          <cell r="DI2407">
            <v>14.300000632844487</v>
          </cell>
          <cell r="DJ2407">
            <v>22.424555351348332</v>
          </cell>
          <cell r="DU2407">
            <v>11.56684807786764</v>
          </cell>
          <cell r="DV2407">
            <v>11.644336226312735</v>
          </cell>
          <cell r="DW2407">
            <v>9.8476005987137558</v>
          </cell>
          <cell r="DX2407">
            <v>7.1073990168282446</v>
          </cell>
          <cell r="DY2407">
            <v>12.587802180599267</v>
          </cell>
        </row>
        <row r="2408">
          <cell r="A2408">
            <v>42835</v>
          </cell>
          <cell r="DF2408">
            <v>20.1897993154967</v>
          </cell>
          <cell r="DG2408">
            <v>21.679348620667902</v>
          </cell>
          <cell r="DH2408">
            <v>18.362277992096409</v>
          </cell>
          <cell r="DI2408">
            <v>14.300000632844487</v>
          </cell>
          <cell r="DJ2408">
            <v>22.424555351348332</v>
          </cell>
          <cell r="DU2408">
            <v>11.647912575647474</v>
          </cell>
          <cell r="DV2408">
            <v>11.644336226312735</v>
          </cell>
          <cell r="DW2408">
            <v>9.8476005987137558</v>
          </cell>
          <cell r="DX2408">
            <v>7.1073990168282446</v>
          </cell>
          <cell r="DY2408">
            <v>12.587802180599267</v>
          </cell>
        </row>
        <row r="2409">
          <cell r="A2409">
            <v>42836</v>
          </cell>
          <cell r="DF2409">
            <v>19.676417548228446</v>
          </cell>
          <cell r="DG2409">
            <v>21.679348620667902</v>
          </cell>
          <cell r="DH2409">
            <v>18.362277992096409</v>
          </cell>
          <cell r="DI2409">
            <v>14.300000632844487</v>
          </cell>
          <cell r="DJ2409">
            <v>22.424555351348332</v>
          </cell>
          <cell r="DU2409">
            <v>11.350670679272042</v>
          </cell>
          <cell r="DV2409">
            <v>11.644336226312735</v>
          </cell>
          <cell r="DW2409">
            <v>9.8476005987137558</v>
          </cell>
          <cell r="DX2409">
            <v>7.1073990168282446</v>
          </cell>
          <cell r="DY2409">
            <v>12.587802180599267</v>
          </cell>
        </row>
        <row r="2410">
          <cell r="A2410">
            <v>42837</v>
          </cell>
          <cell r="DF2410">
            <v>19.741749222155025</v>
          </cell>
          <cell r="DG2410">
            <v>21.679348620667902</v>
          </cell>
          <cell r="DH2410">
            <v>18.362277992096409</v>
          </cell>
          <cell r="DI2410">
            <v>14.300000632844487</v>
          </cell>
          <cell r="DJ2410">
            <v>22.424555351348332</v>
          </cell>
          <cell r="DU2410">
            <v>11.388497967887627</v>
          </cell>
          <cell r="DV2410">
            <v>11.644336226312735</v>
          </cell>
          <cell r="DW2410">
            <v>9.8476005987137558</v>
          </cell>
          <cell r="DX2410">
            <v>7.1073990168282446</v>
          </cell>
          <cell r="DY2410">
            <v>12.587802180599267</v>
          </cell>
        </row>
        <row r="2411">
          <cell r="A2411">
            <v>42838</v>
          </cell>
          <cell r="DF2411">
            <v>19.247040448041723</v>
          </cell>
          <cell r="DG2411">
            <v>21.679348620667902</v>
          </cell>
          <cell r="DH2411">
            <v>18.362277992096409</v>
          </cell>
          <cell r="DI2411">
            <v>14.300000632844487</v>
          </cell>
          <cell r="DJ2411">
            <v>22.424555351348332</v>
          </cell>
          <cell r="DU2411">
            <v>11.102059699061421</v>
          </cell>
          <cell r="DV2411">
            <v>11.644336226312735</v>
          </cell>
          <cell r="DW2411">
            <v>9.8476005987137558</v>
          </cell>
          <cell r="DX2411">
            <v>7.1073990168282446</v>
          </cell>
          <cell r="DY2411">
            <v>12.587802180599267</v>
          </cell>
        </row>
        <row r="2412">
          <cell r="A2412">
            <v>42839</v>
          </cell>
          <cell r="DF2412">
            <v>19.107033602988814</v>
          </cell>
          <cell r="DG2412">
            <v>21.679348620667902</v>
          </cell>
          <cell r="DH2412">
            <v>18.362277992096409</v>
          </cell>
          <cell r="DI2412">
            <v>14.300000632844487</v>
          </cell>
          <cell r="DJ2412">
            <v>22.424555351348332</v>
          </cell>
          <cell r="DU2412">
            <v>11.020995201281586</v>
          </cell>
          <cell r="DV2412">
            <v>11.644336226312735</v>
          </cell>
          <cell r="DW2412">
            <v>9.8476005987137558</v>
          </cell>
          <cell r="DX2412">
            <v>7.1073990168282446</v>
          </cell>
          <cell r="DY2412">
            <v>12.587802180599267</v>
          </cell>
        </row>
        <row r="2413">
          <cell r="A2413">
            <v>42842</v>
          </cell>
          <cell r="DF2413">
            <v>18.864350031115737</v>
          </cell>
          <cell r="DG2413">
            <v>21.679348620667902</v>
          </cell>
          <cell r="DH2413">
            <v>18.362277992096409</v>
          </cell>
          <cell r="DI2413">
            <v>14.300000632844487</v>
          </cell>
          <cell r="DJ2413">
            <v>22.424555351348332</v>
          </cell>
          <cell r="DU2413">
            <v>10.880472379917162</v>
          </cell>
          <cell r="DV2413">
            <v>11.644336226312735</v>
          </cell>
          <cell r="DW2413">
            <v>9.8476005987137558</v>
          </cell>
          <cell r="DX2413">
            <v>7.1073990168282446</v>
          </cell>
          <cell r="DY2413">
            <v>12.587802180599267</v>
          </cell>
        </row>
        <row r="2414">
          <cell r="A2414">
            <v>42843</v>
          </cell>
          <cell r="DF2414">
            <v>18.957683260736154</v>
          </cell>
          <cell r="DG2414">
            <v>21.679348620667902</v>
          </cell>
          <cell r="DH2414">
            <v>18.362277992096409</v>
          </cell>
          <cell r="DI2414">
            <v>14.300000632844487</v>
          </cell>
          <cell r="DJ2414">
            <v>22.424555351348332</v>
          </cell>
          <cell r="DU2414">
            <v>10.934520782953085</v>
          </cell>
          <cell r="DV2414">
            <v>11.644336226312735</v>
          </cell>
          <cell r="DW2414">
            <v>9.8476005987137558</v>
          </cell>
          <cell r="DX2414">
            <v>7.1073990168282446</v>
          </cell>
          <cell r="DY2414">
            <v>12.587802180599267</v>
          </cell>
        </row>
        <row r="2415">
          <cell r="A2415">
            <v>42844</v>
          </cell>
          <cell r="DF2415">
            <v>18.957683260736154</v>
          </cell>
          <cell r="DG2415">
            <v>21.679348620667902</v>
          </cell>
          <cell r="DH2415">
            <v>18.362277992096409</v>
          </cell>
          <cell r="DI2415">
            <v>14.300000632844487</v>
          </cell>
          <cell r="DJ2415">
            <v>22.424555351348332</v>
          </cell>
          <cell r="DU2415">
            <v>10.934520782953085</v>
          </cell>
          <cell r="DV2415">
            <v>11.644336226312735</v>
          </cell>
          <cell r="DW2415">
            <v>9.8476005987137558</v>
          </cell>
          <cell r="DX2415">
            <v>7.1073990168282446</v>
          </cell>
          <cell r="DY2415">
            <v>12.587802180599267</v>
          </cell>
        </row>
        <row r="2416">
          <cell r="A2416">
            <v>42845</v>
          </cell>
          <cell r="DF2416">
            <v>18.743001244556918</v>
          </cell>
          <cell r="DG2416">
            <v>21.679348620667902</v>
          </cell>
          <cell r="DH2416">
            <v>18.362277992096409</v>
          </cell>
          <cell r="DI2416">
            <v>14.300000632844487</v>
          </cell>
          <cell r="DJ2416">
            <v>22.424555351348332</v>
          </cell>
          <cell r="DU2416">
            <v>10.810219076009</v>
          </cell>
          <cell r="DV2416">
            <v>11.644336226312735</v>
          </cell>
          <cell r="DW2416">
            <v>9.8476005987137558</v>
          </cell>
          <cell r="DX2416">
            <v>7.1073990168282446</v>
          </cell>
          <cell r="DY2416">
            <v>12.587802180599267</v>
          </cell>
        </row>
        <row r="2417">
          <cell r="A2417">
            <v>42846</v>
          </cell>
          <cell r="DF2417">
            <v>18.995028313629749</v>
          </cell>
          <cell r="DG2417">
            <v>21.679348620667902</v>
          </cell>
          <cell r="DH2417">
            <v>18.362277992096409</v>
          </cell>
          <cell r="DI2417">
            <v>14.300000632844487</v>
          </cell>
          <cell r="DJ2417">
            <v>22.424555351348332</v>
          </cell>
          <cell r="DU2417">
            <v>10.956143711148036</v>
          </cell>
          <cell r="DV2417">
            <v>11.644336226312735</v>
          </cell>
          <cell r="DW2417">
            <v>9.8476005987137558</v>
          </cell>
          <cell r="DX2417">
            <v>7.1073990168282446</v>
          </cell>
          <cell r="DY2417">
            <v>12.587802180599267</v>
          </cell>
        </row>
        <row r="2418">
          <cell r="A2418">
            <v>42849</v>
          </cell>
          <cell r="DF2418">
            <v>18.997220984215414</v>
          </cell>
          <cell r="DG2418">
            <v>21.679348620667902</v>
          </cell>
          <cell r="DH2418">
            <v>18.362277992096409</v>
          </cell>
          <cell r="DI2418">
            <v>14.300000632844487</v>
          </cell>
          <cell r="DJ2418">
            <v>22.424555351348332</v>
          </cell>
          <cell r="DU2418">
            <v>10.975088373020908</v>
          </cell>
          <cell r="DV2418">
            <v>11.644336226312735</v>
          </cell>
          <cell r="DW2418">
            <v>9.8476005987137558</v>
          </cell>
          <cell r="DX2418">
            <v>7.1073990168282446</v>
          </cell>
          <cell r="DY2418">
            <v>12.587802180599267</v>
          </cell>
        </row>
        <row r="2419">
          <cell r="A2419">
            <v>42850</v>
          </cell>
          <cell r="DF2419">
            <v>19.220052924791087</v>
          </cell>
          <cell r="DG2419">
            <v>21.679348620667902</v>
          </cell>
          <cell r="DH2419">
            <v>18.362277992096409</v>
          </cell>
          <cell r="DI2419">
            <v>14.300000632844487</v>
          </cell>
          <cell r="DJ2419">
            <v>22.424555351348332</v>
          </cell>
          <cell r="DU2419">
            <v>11.104314427451168</v>
          </cell>
          <cell r="DV2419">
            <v>11.644336226312735</v>
          </cell>
          <cell r="DW2419">
            <v>9.8476005987137558</v>
          </cell>
          <cell r="DX2419">
            <v>7.1073990168282446</v>
          </cell>
          <cell r="DY2419">
            <v>12.587802180599267</v>
          </cell>
        </row>
        <row r="2420">
          <cell r="A2420">
            <v>42851</v>
          </cell>
          <cell r="DF2420">
            <v>19.610024141132776</v>
          </cell>
          <cell r="DG2420">
            <v>21.679348620667902</v>
          </cell>
          <cell r="DH2420">
            <v>18.362277992096409</v>
          </cell>
          <cell r="DI2420">
            <v>14.300000632844487</v>
          </cell>
          <cell r="DJ2420">
            <v>22.424555351348332</v>
          </cell>
          <cell r="DU2420">
            <v>11.330468907365558</v>
          </cell>
          <cell r="DV2420">
            <v>11.644336226312735</v>
          </cell>
          <cell r="DW2420">
            <v>9.8476005987137558</v>
          </cell>
          <cell r="DX2420">
            <v>7.1073990168282446</v>
          </cell>
          <cell r="DY2420">
            <v>12.587802180599267</v>
          </cell>
        </row>
        <row r="2421">
          <cell r="A2421">
            <v>42852</v>
          </cell>
          <cell r="DF2421">
            <v>20.055716805942435</v>
          </cell>
          <cell r="DG2421">
            <v>21.679348620667902</v>
          </cell>
          <cell r="DH2421">
            <v>18.362277992096409</v>
          </cell>
          <cell r="DI2421">
            <v>14.300000632844487</v>
          </cell>
          <cell r="DJ2421">
            <v>22.424555351348332</v>
          </cell>
          <cell r="DU2421">
            <v>11.588937708620293</v>
          </cell>
          <cell r="DV2421">
            <v>11.644336226312735</v>
          </cell>
          <cell r="DW2421">
            <v>9.8476005987137558</v>
          </cell>
          <cell r="DX2421">
            <v>7.1073990168282446</v>
          </cell>
          <cell r="DY2421">
            <v>12.587802180599267</v>
          </cell>
        </row>
        <row r="2422">
          <cell r="A2422">
            <v>42853</v>
          </cell>
          <cell r="DF2422">
            <v>19.962859795728878</v>
          </cell>
          <cell r="DG2422">
            <v>21.679348620667902</v>
          </cell>
          <cell r="DH2422">
            <v>18.362277992096409</v>
          </cell>
          <cell r="DI2422">
            <v>14.300000632844487</v>
          </cell>
          <cell r="DJ2422">
            <v>22.424555351348332</v>
          </cell>
          <cell r="DU2422">
            <v>11.535087506422672</v>
          </cell>
          <cell r="DV2422">
            <v>11.644336226312735</v>
          </cell>
          <cell r="DW2422">
            <v>9.8476005987137558</v>
          </cell>
          <cell r="DX2422">
            <v>7.1073990168282446</v>
          </cell>
          <cell r="DY2422">
            <v>12.587802180599267</v>
          </cell>
        </row>
        <row r="2423">
          <cell r="A2423">
            <v>42856</v>
          </cell>
          <cell r="DF2423">
            <v>20.111424326833799</v>
          </cell>
          <cell r="DG2423">
            <v>21.679348620667902</v>
          </cell>
          <cell r="DH2423">
            <v>18.362277992096409</v>
          </cell>
          <cell r="DI2423">
            <v>14.300000632844487</v>
          </cell>
          <cell r="DJ2423">
            <v>22.424555351348332</v>
          </cell>
          <cell r="DU2423">
            <v>11.621243952995693</v>
          </cell>
          <cell r="DV2423">
            <v>11.644336226312735</v>
          </cell>
          <cell r="DW2423">
            <v>9.8476005987137558</v>
          </cell>
          <cell r="DX2423">
            <v>7.1073990168282446</v>
          </cell>
          <cell r="DY2423">
            <v>12.587802180599267</v>
          </cell>
        </row>
        <row r="2424">
          <cell r="A2424">
            <v>42857</v>
          </cell>
          <cell r="DF2424">
            <v>20.408538532961931</v>
          </cell>
          <cell r="DG2424">
            <v>21.679348620667902</v>
          </cell>
          <cell r="DH2424">
            <v>18.362277992096409</v>
          </cell>
          <cell r="DI2424">
            <v>14.300000632844487</v>
          </cell>
          <cell r="DJ2424">
            <v>22.424555351348332</v>
          </cell>
          <cell r="DU2424">
            <v>11.793548230712464</v>
          </cell>
          <cell r="DV2424">
            <v>11.644336226312735</v>
          </cell>
          <cell r="DW2424">
            <v>9.8476005987137558</v>
          </cell>
          <cell r="DX2424">
            <v>7.1073990168282446</v>
          </cell>
          <cell r="DY2424">
            <v>12.587802180599267</v>
          </cell>
        </row>
        <row r="2425">
          <cell r="A2425">
            <v>42858</v>
          </cell>
          <cell r="DF2425">
            <v>20.649959145775302</v>
          </cell>
          <cell r="DG2425">
            <v>21.679348620667902</v>
          </cell>
          <cell r="DH2425">
            <v>18.362277992096409</v>
          </cell>
          <cell r="DI2425">
            <v>14.300000632844487</v>
          </cell>
          <cell r="DJ2425">
            <v>22.424555351348332</v>
          </cell>
          <cell r="DU2425">
            <v>11.933554341018777</v>
          </cell>
          <cell r="DV2425">
            <v>11.644336226312735</v>
          </cell>
          <cell r="DW2425">
            <v>9.8476005987137558</v>
          </cell>
          <cell r="DX2425">
            <v>7.1073990168282446</v>
          </cell>
          <cell r="DY2425">
            <v>12.587802180599267</v>
          </cell>
        </row>
        <row r="2426">
          <cell r="A2426">
            <v>42859</v>
          </cell>
          <cell r="DF2426">
            <v>21.039929433611885</v>
          </cell>
          <cell r="DG2426">
            <v>21.679348620667902</v>
          </cell>
          <cell r="DH2426">
            <v>18.362277992096409</v>
          </cell>
          <cell r="DI2426">
            <v>14.300000632844487</v>
          </cell>
          <cell r="DJ2426">
            <v>22.424555351348332</v>
          </cell>
          <cell r="DU2426">
            <v>12.159708282468836</v>
          </cell>
          <cell r="DV2426">
            <v>11.644336226312735</v>
          </cell>
          <cell r="DW2426">
            <v>9.8476005987137558</v>
          </cell>
          <cell r="DX2426">
            <v>7.1073990168282446</v>
          </cell>
          <cell r="DY2426">
            <v>12.587802180599267</v>
          </cell>
        </row>
        <row r="2427">
          <cell r="A2427">
            <v>42860</v>
          </cell>
          <cell r="DF2427">
            <v>21.39275208913649</v>
          </cell>
          <cell r="DG2427">
            <v>21.679348620667902</v>
          </cell>
          <cell r="DH2427">
            <v>18.362277992096409</v>
          </cell>
          <cell r="DI2427">
            <v>14.300000632844487</v>
          </cell>
          <cell r="DJ2427">
            <v>22.424555351348332</v>
          </cell>
          <cell r="DU2427">
            <v>12.364319343025334</v>
          </cell>
          <cell r="DV2427">
            <v>11.644336226312735</v>
          </cell>
          <cell r="DW2427">
            <v>9.8476005987137558</v>
          </cell>
          <cell r="DX2427">
            <v>7.1073990168282446</v>
          </cell>
          <cell r="DY2427">
            <v>12.587802180599267</v>
          </cell>
        </row>
        <row r="2428">
          <cell r="A2428">
            <v>42863</v>
          </cell>
          <cell r="DF2428">
            <v>21.717734447539463</v>
          </cell>
          <cell r="DG2428">
            <v>21.679348620667902</v>
          </cell>
          <cell r="DH2428">
            <v>18.362277992096409</v>
          </cell>
          <cell r="DI2428">
            <v>14.300000632844487</v>
          </cell>
          <cell r="DJ2428">
            <v>22.424555351348332</v>
          </cell>
          <cell r="DU2428">
            <v>12.552785089126912</v>
          </cell>
          <cell r="DV2428">
            <v>11.644336226312735</v>
          </cell>
          <cell r="DW2428">
            <v>9.8476005987137558</v>
          </cell>
          <cell r="DX2428">
            <v>7.1073990168282446</v>
          </cell>
          <cell r="DY2428">
            <v>12.587802180599267</v>
          </cell>
        </row>
        <row r="2429">
          <cell r="A2429">
            <v>42864</v>
          </cell>
          <cell r="DF2429">
            <v>22.172706592386259</v>
          </cell>
          <cell r="DG2429">
            <v>21.679348620667902</v>
          </cell>
          <cell r="DH2429">
            <v>18.362277992096409</v>
          </cell>
          <cell r="DI2429">
            <v>14.300000632844487</v>
          </cell>
          <cell r="DJ2429">
            <v>22.424555351348332</v>
          </cell>
          <cell r="DU2429">
            <v>12.816635302890401</v>
          </cell>
          <cell r="DV2429">
            <v>11.644336226312735</v>
          </cell>
          <cell r="DW2429">
            <v>9.8476005987137558</v>
          </cell>
          <cell r="DX2429">
            <v>7.1073990168282446</v>
          </cell>
          <cell r="DY2429">
            <v>12.587802180599267</v>
          </cell>
        </row>
        <row r="2430">
          <cell r="A2430">
            <v>42865</v>
          </cell>
          <cell r="DF2430">
            <v>22.720521819870012</v>
          </cell>
          <cell r="DG2430">
            <v>21.679348620667902</v>
          </cell>
          <cell r="DH2430">
            <v>18.362277992096409</v>
          </cell>
          <cell r="DI2430">
            <v>14.300000632844487</v>
          </cell>
          <cell r="DJ2430">
            <v>22.424555351348332</v>
          </cell>
          <cell r="DU2430">
            <v>13.134327641886568</v>
          </cell>
          <cell r="DV2430">
            <v>11.644336226312735</v>
          </cell>
          <cell r="DW2430">
            <v>9.8476005987137558</v>
          </cell>
          <cell r="DX2430">
            <v>7.1073990168282446</v>
          </cell>
          <cell r="DY2430">
            <v>12.587802180599267</v>
          </cell>
        </row>
        <row r="2431">
          <cell r="A2431">
            <v>42866</v>
          </cell>
          <cell r="DF2431">
            <v>23.259056638811515</v>
          </cell>
          <cell r="DG2431">
            <v>21.679348620667902</v>
          </cell>
          <cell r="DH2431">
            <v>18.362277992096409</v>
          </cell>
          <cell r="DI2431">
            <v>14.300000632844487</v>
          </cell>
          <cell r="DJ2431">
            <v>22.424555351348332</v>
          </cell>
          <cell r="DU2431">
            <v>13.446638029909648</v>
          </cell>
          <cell r="DV2431">
            <v>11.644336226312735</v>
          </cell>
          <cell r="DW2431">
            <v>9.8476005987137558</v>
          </cell>
          <cell r="DX2431">
            <v>7.1073990168282446</v>
          </cell>
          <cell r="DY2431">
            <v>12.587802180599267</v>
          </cell>
        </row>
        <row r="2432">
          <cell r="A2432">
            <v>42867</v>
          </cell>
          <cell r="DF2432">
            <v>24.577532033426184</v>
          </cell>
          <cell r="DG2432">
            <v>21.679348620667902</v>
          </cell>
          <cell r="DH2432">
            <v>18.362277992096409</v>
          </cell>
          <cell r="DI2432">
            <v>14.300000632844487</v>
          </cell>
          <cell r="DJ2432">
            <v>22.424555351348332</v>
          </cell>
          <cell r="DU2432">
            <v>14.211256300832854</v>
          </cell>
          <cell r="DV2432">
            <v>11.644336226312735</v>
          </cell>
          <cell r="DW2432">
            <v>9.8476005987137558</v>
          </cell>
          <cell r="DX2432">
            <v>7.1073990168282446</v>
          </cell>
          <cell r="DY2432">
            <v>12.587802180599267</v>
          </cell>
        </row>
        <row r="2433">
          <cell r="A2433">
            <v>42870</v>
          </cell>
          <cell r="DF2433">
            <v>24.377906220984215</v>
          </cell>
          <cell r="DG2433">
            <v>21.679348620667902</v>
          </cell>
          <cell r="DH2433">
            <v>18.362277992096409</v>
          </cell>
          <cell r="DI2433">
            <v>14.300000632844487</v>
          </cell>
          <cell r="DJ2433">
            <v>22.424555351348332</v>
          </cell>
          <cell r="DU2433">
            <v>14.095488085389116</v>
          </cell>
          <cell r="DV2433">
            <v>11.644336226312735</v>
          </cell>
          <cell r="DW2433">
            <v>9.8476005987137558</v>
          </cell>
          <cell r="DX2433">
            <v>7.1073990168282446</v>
          </cell>
          <cell r="DY2433">
            <v>12.587802180599267</v>
          </cell>
        </row>
        <row r="2434">
          <cell r="A2434">
            <v>42871</v>
          </cell>
          <cell r="DF2434">
            <v>24.510760028606722</v>
          </cell>
          <cell r="DG2434">
            <v>21.679348620667902</v>
          </cell>
          <cell r="DH2434">
            <v>18.362277992096409</v>
          </cell>
          <cell r="DI2434">
            <v>14.300000632844487</v>
          </cell>
          <cell r="DJ2434">
            <v>22.424555351348332</v>
          </cell>
          <cell r="DU2434">
            <v>14.168178077546342</v>
          </cell>
          <cell r="DV2434">
            <v>11.644336226312735</v>
          </cell>
          <cell r="DW2434">
            <v>9.8476005987137558</v>
          </cell>
          <cell r="DX2434">
            <v>7.1073990168282446</v>
          </cell>
          <cell r="DY2434">
            <v>12.587802180599267</v>
          </cell>
        </row>
        <row r="2435">
          <cell r="A2435">
            <v>42872</v>
          </cell>
          <cell r="DF2435">
            <v>24.538622790641515</v>
          </cell>
          <cell r="DG2435">
            <v>21.679348620667902</v>
          </cell>
          <cell r="DH2435">
            <v>18.362277992096409</v>
          </cell>
          <cell r="DI2435">
            <v>14.300000632844487</v>
          </cell>
          <cell r="DJ2435">
            <v>22.424555351348332</v>
          </cell>
          <cell r="DU2435">
            <v>14.184331468966207</v>
          </cell>
          <cell r="DV2435">
            <v>11.644336226312735</v>
          </cell>
          <cell r="DW2435">
            <v>9.8476005987137558</v>
          </cell>
          <cell r="DX2435">
            <v>7.1073990168282446</v>
          </cell>
          <cell r="DY2435">
            <v>12.587802180599267</v>
          </cell>
        </row>
        <row r="2436">
          <cell r="A2436">
            <v>42873</v>
          </cell>
          <cell r="DF2436">
            <v>23.600549843498936</v>
          </cell>
          <cell r="DG2436">
            <v>21.679348620667902</v>
          </cell>
          <cell r="DH2436">
            <v>18.362277992096409</v>
          </cell>
          <cell r="DI2436">
            <v>14.300000632844487</v>
          </cell>
          <cell r="DJ2436">
            <v>22.424555351348332</v>
          </cell>
          <cell r="DU2436">
            <v>13.64048518851998</v>
          </cell>
          <cell r="DV2436">
            <v>11.644336226312735</v>
          </cell>
          <cell r="DW2436">
            <v>9.8476005987137558</v>
          </cell>
          <cell r="DX2436">
            <v>7.1073990168282446</v>
          </cell>
          <cell r="DY2436">
            <v>12.587802180599267</v>
          </cell>
        </row>
        <row r="2437">
          <cell r="A2437">
            <v>42874</v>
          </cell>
          <cell r="DF2437">
            <v>24.39001272441881</v>
          </cell>
          <cell r="DG2437">
            <v>21.679348620667902</v>
          </cell>
          <cell r="DH2437">
            <v>18.362277992096409</v>
          </cell>
          <cell r="DI2437">
            <v>14.300000632844487</v>
          </cell>
          <cell r="DJ2437">
            <v>22.424555351348332</v>
          </cell>
          <cell r="DU2437">
            <v>14.098175022393185</v>
          </cell>
          <cell r="DV2437">
            <v>11.644336226312735</v>
          </cell>
          <cell r="DW2437">
            <v>9.8476005987137558</v>
          </cell>
          <cell r="DX2437">
            <v>7.1073990168282446</v>
          </cell>
          <cell r="DY2437">
            <v>12.587802180599267</v>
          </cell>
        </row>
        <row r="2438">
          <cell r="A2438">
            <v>42877</v>
          </cell>
          <cell r="DF2438">
            <v>23.834725162488397</v>
          </cell>
          <cell r="DG2438">
            <v>21.679348620667902</v>
          </cell>
          <cell r="DH2438">
            <v>18.362277992096409</v>
          </cell>
          <cell r="DI2438">
            <v>14.300000632844487</v>
          </cell>
          <cell r="DJ2438">
            <v>22.424555351348332</v>
          </cell>
          <cell r="DU2438">
            <v>13.75873114700738</v>
          </cell>
          <cell r="DV2438">
            <v>11.644336226312735</v>
          </cell>
          <cell r="DW2438">
            <v>9.8476005987137558</v>
          </cell>
          <cell r="DX2438">
            <v>7.1073990168282446</v>
          </cell>
          <cell r="DY2438">
            <v>12.587802180599267</v>
          </cell>
        </row>
        <row r="2439">
          <cell r="A2439">
            <v>42878</v>
          </cell>
          <cell r="DF2439">
            <v>23.992569173630457</v>
          </cell>
          <cell r="DG2439">
            <v>21.679348620667902</v>
          </cell>
          <cell r="DH2439">
            <v>18.362277992096409</v>
          </cell>
          <cell r="DI2439">
            <v>14.300000632844487</v>
          </cell>
          <cell r="DJ2439">
            <v>22.424555351348332</v>
          </cell>
          <cell r="DU2439">
            <v>13.850124516354605</v>
          </cell>
          <cell r="DV2439">
            <v>11.644336226312735</v>
          </cell>
          <cell r="DW2439">
            <v>9.8476005987137558</v>
          </cell>
          <cell r="DX2439">
            <v>7.1073990168282446</v>
          </cell>
          <cell r="DY2439">
            <v>12.587802180599267</v>
          </cell>
        </row>
        <row r="2440">
          <cell r="A2440">
            <v>42879</v>
          </cell>
          <cell r="DF2440">
            <v>23.796455204320061</v>
          </cell>
          <cell r="DG2440">
            <v>21.679348620667902</v>
          </cell>
          <cell r="DH2440">
            <v>18.362277992096409</v>
          </cell>
          <cell r="DI2440">
            <v>14.300000632844487</v>
          </cell>
          <cell r="DJ2440">
            <v>22.424555351348332</v>
          </cell>
          <cell r="DU2440">
            <v>13.688615763524362</v>
          </cell>
          <cell r="DV2440">
            <v>11.644336226312735</v>
          </cell>
          <cell r="DW2440">
            <v>9.8476005987137558</v>
          </cell>
          <cell r="DX2440">
            <v>7.1073990168282446</v>
          </cell>
          <cell r="DY2440">
            <v>12.587802180599267</v>
          </cell>
        </row>
        <row r="2441">
          <cell r="A2441">
            <v>42880</v>
          </cell>
          <cell r="DF2441">
            <v>23.796455204320061</v>
          </cell>
          <cell r="DG2441">
            <v>21.679348620667902</v>
          </cell>
          <cell r="DH2441">
            <v>18.362277992096409</v>
          </cell>
          <cell r="DI2441">
            <v>14.300000632844487</v>
          </cell>
          <cell r="DJ2441">
            <v>22.424555351348332</v>
          </cell>
          <cell r="DU2441">
            <v>13.688615763524362</v>
          </cell>
          <cell r="DV2441">
            <v>11.644336226312735</v>
          </cell>
          <cell r="DW2441">
            <v>9.8476005987137558</v>
          </cell>
          <cell r="DX2441">
            <v>7.1073990168282446</v>
          </cell>
          <cell r="DY2441">
            <v>12.587802180599267</v>
          </cell>
        </row>
        <row r="2442">
          <cell r="A2442">
            <v>42881</v>
          </cell>
          <cell r="DF2442">
            <v>23.824209714728699</v>
          </cell>
          <cell r="DG2442">
            <v>21.679348620667902</v>
          </cell>
          <cell r="DH2442">
            <v>18.362277992096409</v>
          </cell>
          <cell r="DI2442">
            <v>14.300000632844487</v>
          </cell>
          <cell r="DJ2442">
            <v>22.424555351348332</v>
          </cell>
          <cell r="DU2442">
            <v>13.704629645111162</v>
          </cell>
          <cell r="DV2442">
            <v>11.644336226312735</v>
          </cell>
          <cell r="DW2442">
            <v>9.8476005987137558</v>
          </cell>
          <cell r="DX2442">
            <v>7.1073990168282446</v>
          </cell>
          <cell r="DY2442">
            <v>12.587802180599267</v>
          </cell>
        </row>
        <row r="2443">
          <cell r="A2443">
            <v>42884</v>
          </cell>
          <cell r="DF2443">
            <v>23.444870007712471</v>
          </cell>
          <cell r="DG2443">
            <v>21.679348620667902</v>
          </cell>
          <cell r="DH2443">
            <v>18.362277992096409</v>
          </cell>
          <cell r="DI2443">
            <v>14.300000632844487</v>
          </cell>
          <cell r="DJ2443">
            <v>22.424555351348332</v>
          </cell>
          <cell r="DU2443">
            <v>13.48575707053176</v>
          </cell>
          <cell r="DV2443">
            <v>11.644336226312735</v>
          </cell>
          <cell r="DW2443">
            <v>9.8476005987137558</v>
          </cell>
          <cell r="DX2443">
            <v>7.1073990168282446</v>
          </cell>
          <cell r="DY2443">
            <v>12.587802180599267</v>
          </cell>
        </row>
        <row r="2444">
          <cell r="A2444">
            <v>42885</v>
          </cell>
          <cell r="DF2444">
            <v>23.734301656516422</v>
          </cell>
          <cell r="DG2444">
            <v>21.679348620667902</v>
          </cell>
          <cell r="DH2444">
            <v>18.362277992096409</v>
          </cell>
          <cell r="DI2444">
            <v>14.300000632844487</v>
          </cell>
          <cell r="DJ2444">
            <v>22.424555351348332</v>
          </cell>
          <cell r="DU2444">
            <v>13.656586932687476</v>
          </cell>
          <cell r="DV2444">
            <v>11.644336226312735</v>
          </cell>
          <cell r="DW2444">
            <v>9.8476005987137558</v>
          </cell>
          <cell r="DX2444">
            <v>7.1073990168282446</v>
          </cell>
          <cell r="DY2444">
            <v>12.587802180599267</v>
          </cell>
        </row>
        <row r="2445">
          <cell r="A2445">
            <v>42886</v>
          </cell>
          <cell r="DF2445">
            <v>23.281069985812032</v>
          </cell>
          <cell r="DG2445">
            <v>21.679348620667902</v>
          </cell>
          <cell r="DH2445">
            <v>18.362277992096409</v>
          </cell>
          <cell r="DI2445">
            <v>14.300000632844487</v>
          </cell>
          <cell r="DJ2445">
            <v>22.424555351348332</v>
          </cell>
          <cell r="DU2445">
            <v>13.395951593651297</v>
          </cell>
          <cell r="DV2445">
            <v>11.644336226312735</v>
          </cell>
          <cell r="DW2445">
            <v>9.8476005987137558</v>
          </cell>
          <cell r="DX2445">
            <v>7.1073990168282446</v>
          </cell>
          <cell r="DY2445">
            <v>12.587802180599267</v>
          </cell>
        </row>
        <row r="2446">
          <cell r="A2446">
            <v>42887</v>
          </cell>
          <cell r="DF2446">
            <v>23.204166028490626</v>
          </cell>
          <cell r="DG2446">
            <v>21.679348620667902</v>
          </cell>
          <cell r="DH2446">
            <v>18.362277992096409</v>
          </cell>
          <cell r="DI2446">
            <v>14.300000632844487</v>
          </cell>
          <cell r="DJ2446">
            <v>22.424555351348332</v>
          </cell>
          <cell r="DU2446">
            <v>13.23096726962809</v>
          </cell>
          <cell r="DV2446">
            <v>11.644336226312735</v>
          </cell>
          <cell r="DW2446">
            <v>9.8476005987137558</v>
          </cell>
          <cell r="DX2446">
            <v>7.1073990168282446</v>
          </cell>
          <cell r="DY2446">
            <v>12.587802180599267</v>
          </cell>
        </row>
        <row r="2447">
          <cell r="A2447">
            <v>42888</v>
          </cell>
          <cell r="DF2447">
            <v>23.54418379537686</v>
          </cell>
          <cell r="DG2447">
            <v>21.679348620667902</v>
          </cell>
          <cell r="DH2447">
            <v>18.362277992096409</v>
          </cell>
          <cell r="DI2447">
            <v>14.300000632844487</v>
          </cell>
          <cell r="DJ2447">
            <v>22.424555351348332</v>
          </cell>
          <cell r="DU2447">
            <v>13.425443956939175</v>
          </cell>
          <cell r="DV2447">
            <v>11.644336226312735</v>
          </cell>
          <cell r="DW2447">
            <v>9.8476005987137558</v>
          </cell>
          <cell r="DX2447">
            <v>7.1073990168282446</v>
          </cell>
          <cell r="DY2447">
            <v>12.587802180599267</v>
          </cell>
        </row>
        <row r="2448">
          <cell r="A2448">
            <v>42891</v>
          </cell>
          <cell r="DF2448">
            <v>23.286871190077402</v>
          </cell>
          <cell r="DG2448">
            <v>21.679348620667902</v>
          </cell>
          <cell r="DH2448">
            <v>18.362277992096409</v>
          </cell>
          <cell r="DI2448">
            <v>14.300000632844487</v>
          </cell>
          <cell r="DJ2448">
            <v>22.424555351348332</v>
          </cell>
          <cell r="DU2448">
            <v>13.278271344342238</v>
          </cell>
          <cell r="DV2448">
            <v>11.644336226312735</v>
          </cell>
          <cell r="DW2448">
            <v>9.8476005987137558</v>
          </cell>
          <cell r="DX2448">
            <v>7.1073990168282446</v>
          </cell>
          <cell r="DY2448">
            <v>12.587802180599267</v>
          </cell>
        </row>
        <row r="2449">
          <cell r="A2449">
            <v>42892</v>
          </cell>
          <cell r="DF2449">
            <v>22.735493337419971</v>
          </cell>
          <cell r="DG2449">
            <v>21.679348620667902</v>
          </cell>
          <cell r="DH2449">
            <v>18.362277992096409</v>
          </cell>
          <cell r="DI2449">
            <v>14.300000632844487</v>
          </cell>
          <cell r="DJ2449">
            <v>22.424555351348332</v>
          </cell>
          <cell r="DU2449">
            <v>12.962905064446067</v>
          </cell>
          <cell r="DV2449">
            <v>11.644336226312735</v>
          </cell>
          <cell r="DW2449">
            <v>9.8476005987137558</v>
          </cell>
          <cell r="DX2449">
            <v>7.1073990168282446</v>
          </cell>
          <cell r="DY2449">
            <v>12.587802180599267</v>
          </cell>
        </row>
        <row r="2450">
          <cell r="A2450">
            <v>42893</v>
          </cell>
          <cell r="DF2450">
            <v>22.6987259917315</v>
          </cell>
          <cell r="DG2450">
            <v>21.679348620667902</v>
          </cell>
          <cell r="DH2450">
            <v>18.362277992096409</v>
          </cell>
          <cell r="DI2450">
            <v>14.300000632844487</v>
          </cell>
          <cell r="DJ2450">
            <v>22.424555351348332</v>
          </cell>
          <cell r="DU2450">
            <v>12.941875599850155</v>
          </cell>
          <cell r="DV2450">
            <v>11.644336226312735</v>
          </cell>
          <cell r="DW2450">
            <v>9.8476005987137558</v>
          </cell>
          <cell r="DX2450">
            <v>7.1073990168282446</v>
          </cell>
          <cell r="DY2450">
            <v>12.587802180599267</v>
          </cell>
        </row>
        <row r="2451">
          <cell r="A2451">
            <v>42894</v>
          </cell>
          <cell r="DF2451">
            <v>22.71711012406417</v>
          </cell>
          <cell r="DG2451">
            <v>21.679348620667902</v>
          </cell>
          <cell r="DH2451">
            <v>18.362277992096409</v>
          </cell>
          <cell r="DI2451">
            <v>14.300000632844487</v>
          </cell>
          <cell r="DJ2451">
            <v>22.424555351348332</v>
          </cell>
          <cell r="DU2451">
            <v>12.952390594957288</v>
          </cell>
          <cell r="DV2451">
            <v>11.644336226312735</v>
          </cell>
          <cell r="DW2451">
            <v>9.8476005987137558</v>
          </cell>
          <cell r="DX2451">
            <v>7.1073990168282446</v>
          </cell>
          <cell r="DY2451">
            <v>12.587802180599267</v>
          </cell>
        </row>
        <row r="2452">
          <cell r="A2452">
            <v>42895</v>
          </cell>
          <cell r="DF2452">
            <v>22.86022167487916</v>
          </cell>
          <cell r="DG2452">
            <v>21.679348620667902</v>
          </cell>
          <cell r="DH2452">
            <v>18.362277992096409</v>
          </cell>
          <cell r="DI2452">
            <v>14.300000632844487</v>
          </cell>
          <cell r="DJ2452">
            <v>22.424555351348332</v>
          </cell>
          <cell r="DU2452">
            <v>13.171727023120278</v>
          </cell>
          <cell r="DV2452">
            <v>11.644336226312735</v>
          </cell>
          <cell r="DW2452">
            <v>9.8476005987137558</v>
          </cell>
          <cell r="DX2452">
            <v>7.1073990168282446</v>
          </cell>
          <cell r="DY2452">
            <v>12.587802180599267</v>
          </cell>
        </row>
        <row r="2453">
          <cell r="A2453">
            <v>42898</v>
          </cell>
          <cell r="DF2453">
            <v>22.463061576356953</v>
          </cell>
          <cell r="DG2453">
            <v>21.679348620667902</v>
          </cell>
          <cell r="DH2453">
            <v>18.362277992096409</v>
          </cell>
          <cell r="DI2453">
            <v>14.300000632844487</v>
          </cell>
          <cell r="DJ2453">
            <v>22.424555351348332</v>
          </cell>
          <cell r="DU2453">
            <v>12.942159488672978</v>
          </cell>
          <cell r="DV2453">
            <v>11.644336226312735</v>
          </cell>
          <cell r="DW2453">
            <v>9.8476005987137558</v>
          </cell>
          <cell r="DX2453">
            <v>7.1073990168282446</v>
          </cell>
          <cell r="DY2453">
            <v>12.587802180599267</v>
          </cell>
        </row>
        <row r="2454">
          <cell r="A2454">
            <v>42899</v>
          </cell>
          <cell r="DF2454">
            <v>22.315274630544128</v>
          </cell>
          <cell r="DG2454">
            <v>21.679348620667902</v>
          </cell>
          <cell r="DH2454">
            <v>18.362277992096409</v>
          </cell>
          <cell r="DI2454">
            <v>14.300000632844487</v>
          </cell>
          <cell r="DJ2454">
            <v>22.424555351348332</v>
          </cell>
          <cell r="DU2454">
            <v>12.856746273844642</v>
          </cell>
          <cell r="DV2454">
            <v>11.644336226312735</v>
          </cell>
          <cell r="DW2454">
            <v>9.8476005987137558</v>
          </cell>
          <cell r="DX2454">
            <v>7.1073990168282446</v>
          </cell>
          <cell r="DY2454">
            <v>12.587802180599267</v>
          </cell>
        </row>
        <row r="2455">
          <cell r="A2455">
            <v>42900</v>
          </cell>
          <cell r="DF2455">
            <v>22.315274630544128</v>
          </cell>
          <cell r="DG2455">
            <v>21.679348620667902</v>
          </cell>
          <cell r="DH2455">
            <v>18.362277992096409</v>
          </cell>
          <cell r="DI2455">
            <v>14.300000632844487</v>
          </cell>
          <cell r="DJ2455">
            <v>22.424555351348332</v>
          </cell>
          <cell r="DU2455">
            <v>12.856746273844642</v>
          </cell>
          <cell r="DV2455">
            <v>11.644336226312735</v>
          </cell>
          <cell r="DW2455">
            <v>9.8476005987137558</v>
          </cell>
          <cell r="DX2455">
            <v>7.1073990168282446</v>
          </cell>
          <cell r="DY2455">
            <v>12.587802180599267</v>
          </cell>
        </row>
        <row r="2456">
          <cell r="A2456">
            <v>42901</v>
          </cell>
          <cell r="DF2456">
            <v>22.038178263549028</v>
          </cell>
          <cell r="DG2456">
            <v>21.679348620667902</v>
          </cell>
          <cell r="DH2456">
            <v>18.362277992096409</v>
          </cell>
          <cell r="DI2456">
            <v>14.300000632844487</v>
          </cell>
          <cell r="DJ2456">
            <v>22.424555351348332</v>
          </cell>
          <cell r="DU2456">
            <v>12.856746273844642</v>
          </cell>
          <cell r="DV2456">
            <v>11.644336226312735</v>
          </cell>
          <cell r="DW2456">
            <v>9.8476005987137558</v>
          </cell>
          <cell r="DX2456">
            <v>7.1073990168282446</v>
          </cell>
          <cell r="DY2456">
            <v>12.587802180599267</v>
          </cell>
        </row>
        <row r="2457">
          <cell r="A2457">
            <v>42902</v>
          </cell>
          <cell r="DF2457">
            <v>21.927345443351971</v>
          </cell>
          <cell r="DG2457">
            <v>21.679348620667902</v>
          </cell>
          <cell r="DH2457">
            <v>18.362277992096409</v>
          </cell>
          <cell r="DI2457">
            <v>14.300000632844487</v>
          </cell>
          <cell r="DJ2457">
            <v>22.424555351348332</v>
          </cell>
          <cell r="DU2457">
            <v>12.856746273844642</v>
          </cell>
          <cell r="DV2457">
            <v>11.644336226312735</v>
          </cell>
          <cell r="DW2457">
            <v>9.8476005987137558</v>
          </cell>
          <cell r="DX2457">
            <v>7.1073990168282446</v>
          </cell>
          <cell r="DY2457">
            <v>12.587802180599267</v>
          </cell>
        </row>
        <row r="2458">
          <cell r="A2458">
            <v>42905</v>
          </cell>
          <cell r="DF2458">
            <v>21.668725677342092</v>
          </cell>
          <cell r="DG2458">
            <v>21.679348620667902</v>
          </cell>
          <cell r="DH2458">
            <v>18.362277992096409</v>
          </cell>
          <cell r="DI2458">
            <v>14.300000632844487</v>
          </cell>
          <cell r="DJ2458">
            <v>22.424555351348332</v>
          </cell>
          <cell r="DU2458">
            <v>12.856746273844642</v>
          </cell>
          <cell r="DV2458">
            <v>11.644336226312735</v>
          </cell>
          <cell r="DW2458">
            <v>9.8476005987137558</v>
          </cell>
          <cell r="DX2458">
            <v>7.1073990168282446</v>
          </cell>
          <cell r="DY2458">
            <v>12.587802180599267</v>
          </cell>
        </row>
        <row r="2459">
          <cell r="A2459">
            <v>42906</v>
          </cell>
          <cell r="DF2459">
            <v>21.840003692309907</v>
          </cell>
          <cell r="DG2459">
            <v>21.679348620667902</v>
          </cell>
          <cell r="DH2459">
            <v>18.362277992096409</v>
          </cell>
          <cell r="DI2459">
            <v>14.300000632844487</v>
          </cell>
          <cell r="DJ2459">
            <v>22.424555351348332</v>
          </cell>
          <cell r="DU2459">
            <v>12.607927339378497</v>
          </cell>
          <cell r="DV2459">
            <v>11.644336226312735</v>
          </cell>
          <cell r="DW2459">
            <v>9.8476005987137558</v>
          </cell>
          <cell r="DX2459">
            <v>7.1073990168282446</v>
          </cell>
          <cell r="DY2459">
            <v>12.587802180599267</v>
          </cell>
        </row>
        <row r="2460">
          <cell r="A2460">
            <v>42907</v>
          </cell>
          <cell r="DF2460">
            <v>22.403081538463809</v>
          </cell>
          <cell r="DG2460">
            <v>21.679348620667902</v>
          </cell>
          <cell r="DH2460">
            <v>18.362277992096409</v>
          </cell>
          <cell r="DI2460">
            <v>14.300000632844487</v>
          </cell>
          <cell r="DJ2460">
            <v>22.424555351348332</v>
          </cell>
          <cell r="DU2460">
            <v>12.934056743300737</v>
          </cell>
          <cell r="DV2460">
            <v>11.644336226312735</v>
          </cell>
          <cell r="DW2460">
            <v>9.8476005987137558</v>
          </cell>
          <cell r="DX2460">
            <v>7.1073990168282446</v>
          </cell>
          <cell r="DY2460">
            <v>12.587802180599267</v>
          </cell>
        </row>
        <row r="2461">
          <cell r="A2461">
            <v>42908</v>
          </cell>
          <cell r="DF2461">
            <v>22.267853509043047</v>
          </cell>
          <cell r="DG2461">
            <v>21.679348620667902</v>
          </cell>
          <cell r="DH2461">
            <v>18.362277992096409</v>
          </cell>
          <cell r="DI2461">
            <v>14.300000632844487</v>
          </cell>
          <cell r="DJ2461">
            <v>22.424555351348332</v>
          </cell>
          <cell r="DU2461">
            <v>12.815340041589961</v>
          </cell>
          <cell r="DV2461">
            <v>11.644336226312735</v>
          </cell>
          <cell r="DW2461">
            <v>9.8476005987137558</v>
          </cell>
          <cell r="DX2461">
            <v>7.1073990168282446</v>
          </cell>
          <cell r="DY2461">
            <v>12.587802180599267</v>
          </cell>
        </row>
        <row r="2462">
          <cell r="A2462">
            <v>42909</v>
          </cell>
          <cell r="DF2462">
            <v>22.07477321483524</v>
          </cell>
          <cell r="DG2462">
            <v>21.679348620667902</v>
          </cell>
          <cell r="DH2462">
            <v>18.362277992096409</v>
          </cell>
          <cell r="DI2462">
            <v>14.300000632844487</v>
          </cell>
          <cell r="DJ2462">
            <v>22.424555351348332</v>
          </cell>
          <cell r="DU2462">
            <v>12.703862565423885</v>
          </cell>
          <cell r="DV2462">
            <v>11.644336226312735</v>
          </cell>
          <cell r="DW2462">
            <v>9.8476005987137558</v>
          </cell>
          <cell r="DX2462">
            <v>7.1073990168282446</v>
          </cell>
          <cell r="DY2462">
            <v>12.587802180599267</v>
          </cell>
        </row>
        <row r="2463">
          <cell r="A2463">
            <v>42912</v>
          </cell>
          <cell r="DF2463">
            <v>22.304623046278721</v>
          </cell>
          <cell r="DG2463">
            <v>21.679348620667902</v>
          </cell>
          <cell r="DH2463">
            <v>18.362277992096409</v>
          </cell>
          <cell r="DI2463">
            <v>14.300000632844487</v>
          </cell>
          <cell r="DJ2463">
            <v>22.424555351348332</v>
          </cell>
          <cell r="DU2463">
            <v>12.836569423012051</v>
          </cell>
          <cell r="DV2463">
            <v>11.644336226312735</v>
          </cell>
          <cell r="DW2463">
            <v>9.8476005987137558</v>
          </cell>
          <cell r="DX2463">
            <v>7.1073990168282446</v>
          </cell>
          <cell r="DY2463">
            <v>12.587802180599267</v>
          </cell>
        </row>
        <row r="2464">
          <cell r="A2464">
            <v>42913</v>
          </cell>
          <cell r="DF2464">
            <v>22.877679326448174</v>
          </cell>
          <cell r="DG2464">
            <v>21.679348620667902</v>
          </cell>
          <cell r="DH2464">
            <v>18.362277992096409</v>
          </cell>
          <cell r="DI2464">
            <v>14.300000632844487</v>
          </cell>
          <cell r="DJ2464">
            <v>22.424555351348332</v>
          </cell>
          <cell r="DU2464">
            <v>13.170993358271391</v>
          </cell>
          <cell r="DV2464">
            <v>11.644336226312735</v>
          </cell>
          <cell r="DW2464">
            <v>9.8476005987137558</v>
          </cell>
          <cell r="DX2464">
            <v>7.1073990168282446</v>
          </cell>
          <cell r="DY2464">
            <v>12.587802180599267</v>
          </cell>
        </row>
        <row r="2465">
          <cell r="A2465">
            <v>42914</v>
          </cell>
          <cell r="DF2465">
            <v>23.171814221113451</v>
          </cell>
          <cell r="DG2465">
            <v>21.679348620667902</v>
          </cell>
          <cell r="DH2465">
            <v>18.362277992096409</v>
          </cell>
          <cell r="DI2465">
            <v>14.300000632844487</v>
          </cell>
          <cell r="DJ2465">
            <v>22.424555351348332</v>
          </cell>
          <cell r="DU2465">
            <v>13.340861851776259</v>
          </cell>
          <cell r="DV2465">
            <v>11.644336226312735</v>
          </cell>
          <cell r="DW2465">
            <v>9.8476005987137558</v>
          </cell>
          <cell r="DX2465">
            <v>7.1073990168282446</v>
          </cell>
          <cell r="DY2465">
            <v>12.587802180599267</v>
          </cell>
        </row>
        <row r="2466">
          <cell r="A2466">
            <v>42915</v>
          </cell>
          <cell r="DF2466">
            <v>23.484322953052157</v>
          </cell>
          <cell r="DG2466">
            <v>21.679348620667902</v>
          </cell>
          <cell r="DH2466">
            <v>18.362277992096409</v>
          </cell>
          <cell r="DI2466">
            <v>14.300000632844487</v>
          </cell>
          <cell r="DJ2466">
            <v>22.424555351348332</v>
          </cell>
          <cell r="DU2466">
            <v>13.521341585613877</v>
          </cell>
          <cell r="DV2466">
            <v>11.644336226312735</v>
          </cell>
          <cell r="DW2466">
            <v>9.8476005987137558</v>
          </cell>
          <cell r="DX2466">
            <v>7.1073990168282446</v>
          </cell>
          <cell r="DY2466">
            <v>12.587802180599267</v>
          </cell>
        </row>
        <row r="2467">
          <cell r="A2467">
            <v>42916</v>
          </cell>
          <cell r="DF2467">
            <v>26.06281530608722</v>
          </cell>
          <cell r="DG2467">
            <v>21.679348620667902</v>
          </cell>
          <cell r="DH2467">
            <v>18.362277992096409</v>
          </cell>
          <cell r="DI2467">
            <v>14.300000632844487</v>
          </cell>
          <cell r="DJ2467">
            <v>22.424555351348332</v>
          </cell>
          <cell r="DU2467">
            <v>15.443284440595232</v>
          </cell>
          <cell r="DV2467">
            <v>11.644336226312735</v>
          </cell>
          <cell r="DW2467">
            <v>9.8476005987137558</v>
          </cell>
          <cell r="DX2467">
            <v>7.1073990168282446</v>
          </cell>
          <cell r="DY2467">
            <v>12.587802180599267</v>
          </cell>
        </row>
        <row r="2468">
          <cell r="A2468">
            <v>42919</v>
          </cell>
          <cell r="DF2468">
            <v>25.444337698786601</v>
          </cell>
          <cell r="DG2468">
            <v>21.679348620667902</v>
          </cell>
          <cell r="DH2468">
            <v>18.362277992096409</v>
          </cell>
          <cell r="DI2468">
            <v>14.300000632844487</v>
          </cell>
          <cell r="DJ2468">
            <v>22.424555351348332</v>
          </cell>
          <cell r="DU2468">
            <v>15.011576769372159</v>
          </cell>
          <cell r="DV2468">
            <v>11.644336226312735</v>
          </cell>
          <cell r="DW2468">
            <v>9.8476005987137558</v>
          </cell>
          <cell r="DX2468">
            <v>7.1073990168282446</v>
          </cell>
          <cell r="DY2468">
            <v>12.587802180599267</v>
          </cell>
        </row>
        <row r="2469">
          <cell r="A2469">
            <v>42920</v>
          </cell>
          <cell r="DF2469">
            <v>26.086829249959301</v>
          </cell>
          <cell r="DG2469">
            <v>21.679348620667902</v>
          </cell>
          <cell r="DH2469">
            <v>18.362277992096409</v>
          </cell>
          <cell r="DI2469">
            <v>14.300000632844487</v>
          </cell>
          <cell r="DJ2469">
            <v>22.424555351348332</v>
          </cell>
          <cell r="DU2469">
            <v>14.943847205144641</v>
          </cell>
          <cell r="DV2469">
            <v>11.644336226312735</v>
          </cell>
          <cell r="DW2469">
            <v>9.8476005987137558</v>
          </cell>
          <cell r="DX2469">
            <v>7.1073990168282446</v>
          </cell>
          <cell r="DY2469">
            <v>12.587802180599267</v>
          </cell>
        </row>
        <row r="2470">
          <cell r="A2470">
            <v>42921</v>
          </cell>
          <cell r="DF2470">
            <v>26.776617453966033</v>
          </cell>
          <cell r="DG2470">
            <v>21.679348620667902</v>
          </cell>
          <cell r="DH2470">
            <v>18.362277992096409</v>
          </cell>
          <cell r="DI2470">
            <v>14.300000632844487</v>
          </cell>
          <cell r="DJ2470">
            <v>22.424555351348332</v>
          </cell>
          <cell r="DU2470">
            <v>15.407618160100945</v>
          </cell>
          <cell r="DV2470">
            <v>11.644336226312735</v>
          </cell>
          <cell r="DW2470">
            <v>9.8476005987137558</v>
          </cell>
          <cell r="DX2470">
            <v>7.1073990168282446</v>
          </cell>
          <cell r="DY2470">
            <v>12.587802180599267</v>
          </cell>
        </row>
        <row r="2471">
          <cell r="A2471">
            <v>42922</v>
          </cell>
          <cell r="DF2471">
            <v>26.949563490795516</v>
          </cell>
          <cell r="DG2471">
            <v>21.679348620667902</v>
          </cell>
          <cell r="DH2471">
            <v>18.362277992096409</v>
          </cell>
          <cell r="DI2471">
            <v>14.300000632844487</v>
          </cell>
          <cell r="DJ2471">
            <v>22.424555351348332</v>
          </cell>
          <cell r="DU2471">
            <v>15.509922688497221</v>
          </cell>
          <cell r="DV2471">
            <v>11.644336226312735</v>
          </cell>
          <cell r="DW2471">
            <v>9.8476005987137558</v>
          </cell>
          <cell r="DX2471">
            <v>7.1073990168282446</v>
          </cell>
          <cell r="DY2471">
            <v>12.587802180599267</v>
          </cell>
        </row>
        <row r="2472">
          <cell r="A2472">
            <v>42923</v>
          </cell>
          <cell r="DF2472">
            <v>26.757412650122959</v>
          </cell>
          <cell r="DG2472">
            <v>21.679348620667902</v>
          </cell>
          <cell r="DH2472">
            <v>18.362277992096409</v>
          </cell>
          <cell r="DI2472">
            <v>14.300000632844487</v>
          </cell>
          <cell r="DJ2472">
            <v>22.424555351348332</v>
          </cell>
          <cell r="DU2472">
            <v>15.396257747129784</v>
          </cell>
          <cell r="DV2472">
            <v>11.644336226312735</v>
          </cell>
          <cell r="DW2472">
            <v>9.8476005987137558</v>
          </cell>
          <cell r="DX2472">
            <v>7.1073990168282446</v>
          </cell>
          <cell r="DY2472">
            <v>12.587802180599267</v>
          </cell>
        </row>
        <row r="2473">
          <cell r="A2473">
            <v>42926</v>
          </cell>
          <cell r="DF2473">
            <v>26.767014571660187</v>
          </cell>
          <cell r="DG2473">
            <v>21.679348620667902</v>
          </cell>
          <cell r="DH2473">
            <v>18.362277992096409</v>
          </cell>
          <cell r="DI2473">
            <v>14.300000632844487</v>
          </cell>
          <cell r="DJ2473">
            <v>22.424555351348332</v>
          </cell>
          <cell r="DU2473">
            <v>15.40192914445027</v>
          </cell>
          <cell r="DV2473">
            <v>11.644336226312735</v>
          </cell>
          <cell r="DW2473">
            <v>9.8476005987137558</v>
          </cell>
          <cell r="DX2473">
            <v>7.1073990168282446</v>
          </cell>
          <cell r="DY2473">
            <v>12.587802180599267</v>
          </cell>
        </row>
        <row r="2474">
          <cell r="A2474">
            <v>42927</v>
          </cell>
          <cell r="DF2474">
            <v>27.670139951964529</v>
          </cell>
          <cell r="DG2474">
            <v>21.679348620667902</v>
          </cell>
          <cell r="DH2474">
            <v>18.362277992096409</v>
          </cell>
          <cell r="DI2474">
            <v>14.300000632844487</v>
          </cell>
          <cell r="DJ2474">
            <v>22.424555351348332</v>
          </cell>
          <cell r="DU2474">
            <v>15.93617261237396</v>
          </cell>
          <cell r="DV2474">
            <v>11.644336226312735</v>
          </cell>
          <cell r="DW2474">
            <v>9.8476005987137558</v>
          </cell>
          <cell r="DX2474">
            <v>7.1073990168282446</v>
          </cell>
          <cell r="DY2474">
            <v>12.587802180599267</v>
          </cell>
        </row>
        <row r="2475">
          <cell r="A2475">
            <v>42928</v>
          </cell>
          <cell r="DF2475">
            <v>27.804646597280797</v>
          </cell>
          <cell r="DG2475">
            <v>21.679348620667902</v>
          </cell>
          <cell r="DH2475">
            <v>18.362277992096409</v>
          </cell>
          <cell r="DI2475">
            <v>14.300000632844487</v>
          </cell>
          <cell r="DJ2475">
            <v>22.424555351348332</v>
          </cell>
          <cell r="DU2475">
            <v>16.015738696497721</v>
          </cell>
          <cell r="DV2475">
            <v>11.644336226312735</v>
          </cell>
          <cell r="DW2475">
            <v>9.8476005987137558</v>
          </cell>
          <cell r="DX2475">
            <v>7.1073990168282446</v>
          </cell>
          <cell r="DY2475">
            <v>12.587802180599267</v>
          </cell>
        </row>
        <row r="2476">
          <cell r="A2476">
            <v>42929</v>
          </cell>
          <cell r="DF2476">
            <v>27.823865812653096</v>
          </cell>
          <cell r="DG2476">
            <v>21.679348620667902</v>
          </cell>
          <cell r="DH2476">
            <v>18.362277992096409</v>
          </cell>
          <cell r="DI2476">
            <v>14.300000632844487</v>
          </cell>
          <cell r="DJ2476">
            <v>22.424555351348332</v>
          </cell>
          <cell r="DU2476">
            <v>16.02710763446736</v>
          </cell>
          <cell r="DV2476">
            <v>11.644336226312735</v>
          </cell>
          <cell r="DW2476">
            <v>9.8476005987137558</v>
          </cell>
          <cell r="DX2476">
            <v>7.1073990168282446</v>
          </cell>
          <cell r="DY2476">
            <v>12.587802180599267</v>
          </cell>
        </row>
        <row r="2477">
          <cell r="A2477">
            <v>42930</v>
          </cell>
          <cell r="DF2477">
            <v>28.102481985591474</v>
          </cell>
          <cell r="DG2477">
            <v>21.679348620667902</v>
          </cell>
          <cell r="DH2477">
            <v>18.362277992096409</v>
          </cell>
          <cell r="DI2477">
            <v>14.300000632844487</v>
          </cell>
          <cell r="DJ2477">
            <v>22.424555351348332</v>
          </cell>
          <cell r="DU2477">
            <v>16.191920293367076</v>
          </cell>
          <cell r="DV2477">
            <v>11.644336226312735</v>
          </cell>
          <cell r="DW2477">
            <v>9.8476005987137558</v>
          </cell>
          <cell r="DX2477">
            <v>7.1073990168282446</v>
          </cell>
          <cell r="DY2477">
            <v>12.587802180599267</v>
          </cell>
        </row>
        <row r="2478">
          <cell r="A2478">
            <v>42933</v>
          </cell>
          <cell r="DF2478">
            <v>28.361894315455395</v>
          </cell>
          <cell r="DG2478">
            <v>21.679348620667902</v>
          </cell>
          <cell r="DH2478">
            <v>18.362277992096409</v>
          </cell>
          <cell r="DI2478">
            <v>14.300000632844487</v>
          </cell>
          <cell r="DJ2478">
            <v>22.424555351348332</v>
          </cell>
          <cell r="DU2478">
            <v>16.345373107628863</v>
          </cell>
          <cell r="DV2478">
            <v>11.644336226312735</v>
          </cell>
          <cell r="DW2478">
            <v>9.8476005987137558</v>
          </cell>
          <cell r="DX2478">
            <v>7.1073990168282446</v>
          </cell>
          <cell r="DY2478">
            <v>12.587802180599267</v>
          </cell>
        </row>
        <row r="2479">
          <cell r="A2479">
            <v>42934</v>
          </cell>
          <cell r="DF2479">
            <v>28.169743474782837</v>
          </cell>
          <cell r="DG2479">
            <v>21.679348620667902</v>
          </cell>
          <cell r="DH2479">
            <v>18.362277992096409</v>
          </cell>
          <cell r="DI2479">
            <v>14.300000632844487</v>
          </cell>
          <cell r="DJ2479">
            <v>22.424555351348332</v>
          </cell>
          <cell r="DU2479">
            <v>16.231708166261427</v>
          </cell>
          <cell r="DV2479">
            <v>11.644336226312735</v>
          </cell>
          <cell r="DW2479">
            <v>9.8476005987137558</v>
          </cell>
          <cell r="DX2479">
            <v>7.1073990168282446</v>
          </cell>
          <cell r="DY2479">
            <v>12.587802180599267</v>
          </cell>
        </row>
        <row r="2480">
          <cell r="A2480">
            <v>42935</v>
          </cell>
          <cell r="DF2480">
            <v>28.409935628505842</v>
          </cell>
          <cell r="DG2480">
            <v>21.679348620667902</v>
          </cell>
          <cell r="DH2480">
            <v>18.362277992096409</v>
          </cell>
          <cell r="DI2480">
            <v>14.300000632844487</v>
          </cell>
          <cell r="DJ2480">
            <v>22.424555351348332</v>
          </cell>
          <cell r="DU2480">
            <v>16.373791474220344</v>
          </cell>
          <cell r="DV2480">
            <v>11.644336226312735</v>
          </cell>
          <cell r="DW2480">
            <v>9.8476005987137558</v>
          </cell>
          <cell r="DX2480">
            <v>7.1073990168282446</v>
          </cell>
          <cell r="DY2480">
            <v>12.587802180599267</v>
          </cell>
        </row>
        <row r="2481">
          <cell r="A2481">
            <v>42936</v>
          </cell>
          <cell r="DF2481">
            <v>28.726975820659597</v>
          </cell>
          <cell r="DG2481">
            <v>21.679348620667902</v>
          </cell>
          <cell r="DH2481">
            <v>18.362277992096409</v>
          </cell>
          <cell r="DI2481">
            <v>14.300000632844487</v>
          </cell>
          <cell r="DJ2481">
            <v>22.424555351348332</v>
          </cell>
          <cell r="DU2481">
            <v>16.561333484060864</v>
          </cell>
          <cell r="DV2481">
            <v>11.644336226312735</v>
          </cell>
          <cell r="DW2481">
            <v>9.8476005987137558</v>
          </cell>
          <cell r="DX2481">
            <v>7.1073990168282446</v>
          </cell>
          <cell r="DY2481">
            <v>12.587802180599267</v>
          </cell>
        </row>
        <row r="2482">
          <cell r="A2482">
            <v>42937</v>
          </cell>
          <cell r="DF2482">
            <v>28.928743955167224</v>
          </cell>
          <cell r="DG2482">
            <v>21.679348620667902</v>
          </cell>
          <cell r="DH2482">
            <v>18.362277992096409</v>
          </cell>
          <cell r="DI2482">
            <v>14.300000632844487</v>
          </cell>
          <cell r="DJ2482">
            <v>22.424555351348332</v>
          </cell>
          <cell r="DU2482">
            <v>16.680687441078977</v>
          </cell>
          <cell r="DV2482">
            <v>11.644336226312735</v>
          </cell>
          <cell r="DW2482">
            <v>9.8476005987137558</v>
          </cell>
          <cell r="DX2482">
            <v>7.1073990168282446</v>
          </cell>
          <cell r="DY2482">
            <v>12.587802180599267</v>
          </cell>
        </row>
        <row r="2483">
          <cell r="A2483">
            <v>42940</v>
          </cell>
          <cell r="DF2483">
            <v>29.293840832669268</v>
          </cell>
          <cell r="DG2483">
            <v>21.679348620667902</v>
          </cell>
          <cell r="DH2483">
            <v>18.362277992096409</v>
          </cell>
          <cell r="DI2483">
            <v>14.300000632844487</v>
          </cell>
          <cell r="DJ2483">
            <v>22.424555351348332</v>
          </cell>
          <cell r="DU2483">
            <v>16.896648385844202</v>
          </cell>
          <cell r="DV2483">
            <v>11.644336226312735</v>
          </cell>
          <cell r="DW2483">
            <v>9.8476005987137558</v>
          </cell>
          <cell r="DX2483">
            <v>7.1073990168282446</v>
          </cell>
          <cell r="DY2483">
            <v>12.587802180599267</v>
          </cell>
        </row>
        <row r="2484">
          <cell r="A2484">
            <v>42941</v>
          </cell>
          <cell r="DF2484">
            <v>28.734267394918074</v>
          </cell>
          <cell r="DG2484">
            <v>21.679348620667902</v>
          </cell>
          <cell r="DH2484">
            <v>18.362277992096409</v>
          </cell>
          <cell r="DI2484">
            <v>14.300000632844487</v>
          </cell>
          <cell r="DJ2484">
            <v>22.424555351348332</v>
          </cell>
          <cell r="DU2484">
            <v>16.6101326055289</v>
          </cell>
          <cell r="DV2484">
            <v>11.644336226312735</v>
          </cell>
          <cell r="DW2484">
            <v>9.8476005987137558</v>
          </cell>
          <cell r="DX2484">
            <v>7.1073990168282446</v>
          </cell>
          <cell r="DY2484">
            <v>12.587802180599267</v>
          </cell>
        </row>
        <row r="2485">
          <cell r="A2485">
            <v>42942</v>
          </cell>
          <cell r="DF2485">
            <v>28.734267394918074</v>
          </cell>
          <cell r="DG2485">
            <v>21.679348620667902</v>
          </cell>
          <cell r="DH2485">
            <v>18.362277992096409</v>
          </cell>
          <cell r="DI2485">
            <v>14.300000632844487</v>
          </cell>
          <cell r="DJ2485">
            <v>22.424555351348332</v>
          </cell>
          <cell r="DU2485">
            <v>16.6101326055289</v>
          </cell>
          <cell r="DV2485">
            <v>11.644336226312735</v>
          </cell>
          <cell r="DW2485">
            <v>9.8476005987137558</v>
          </cell>
          <cell r="DX2485">
            <v>7.1073990168282446</v>
          </cell>
          <cell r="DY2485">
            <v>12.587802180599267</v>
          </cell>
        </row>
        <row r="2486">
          <cell r="A2486">
            <v>42943</v>
          </cell>
          <cell r="DF2486">
            <v>28.800767513654719</v>
          </cell>
          <cell r="DG2486">
            <v>21.679348620667902</v>
          </cell>
          <cell r="DH2486">
            <v>18.362277992096409</v>
          </cell>
          <cell r="DI2486">
            <v>14.300000632844487</v>
          </cell>
          <cell r="DJ2486">
            <v>22.424555351348332</v>
          </cell>
          <cell r="DU2486">
            <v>16.649564100039012</v>
          </cell>
          <cell r="DV2486">
            <v>11.644336226312735</v>
          </cell>
          <cell r="DW2486">
            <v>9.8476005987137558</v>
          </cell>
          <cell r="DX2486">
            <v>7.1073990168282446</v>
          </cell>
          <cell r="DY2486">
            <v>12.587802180599267</v>
          </cell>
        </row>
        <row r="2487">
          <cell r="A2487">
            <v>42944</v>
          </cell>
          <cell r="DF2487">
            <v>30.938027071954412</v>
          </cell>
          <cell r="DG2487">
            <v>21.679348620667902</v>
          </cell>
          <cell r="DH2487">
            <v>18.362277992096409</v>
          </cell>
          <cell r="DI2487">
            <v>14.300000632844487</v>
          </cell>
          <cell r="DJ2487">
            <v>22.424555351348332</v>
          </cell>
          <cell r="DU2487">
            <v>17.916860161171293</v>
          </cell>
          <cell r="DV2487">
            <v>11.644336226312735</v>
          </cell>
          <cell r="DW2487">
            <v>9.8476005987137558</v>
          </cell>
          <cell r="DX2487">
            <v>7.1073990168282446</v>
          </cell>
          <cell r="DY2487">
            <v>12.587802180599267</v>
          </cell>
        </row>
        <row r="2488">
          <cell r="A2488">
            <v>42947</v>
          </cell>
          <cell r="DF2488">
            <v>30.795534552362859</v>
          </cell>
          <cell r="DG2488">
            <v>21.679348620667902</v>
          </cell>
          <cell r="DH2488">
            <v>18.362277992096409</v>
          </cell>
          <cell r="DI2488">
            <v>14.300000632844487</v>
          </cell>
          <cell r="DJ2488">
            <v>22.424555351348332</v>
          </cell>
          <cell r="DU2488">
            <v>17.832368687911558</v>
          </cell>
          <cell r="DV2488">
            <v>11.644336226312735</v>
          </cell>
          <cell r="DW2488">
            <v>9.8476005987137558</v>
          </cell>
          <cell r="DX2488">
            <v>7.1073990168282446</v>
          </cell>
          <cell r="DY2488">
            <v>12.587802180599267</v>
          </cell>
        </row>
        <row r="2489">
          <cell r="A2489">
            <v>42948</v>
          </cell>
          <cell r="DF2489">
            <v>30.900022797435291</v>
          </cell>
          <cell r="DG2489">
            <v>21.679348620667902</v>
          </cell>
          <cell r="DH2489">
            <v>18.362277992096409</v>
          </cell>
          <cell r="DI2489">
            <v>14.300000632844487</v>
          </cell>
          <cell r="DJ2489">
            <v>22.424555351348332</v>
          </cell>
          <cell r="DU2489">
            <v>17.894325384233582</v>
          </cell>
          <cell r="DV2489">
            <v>11.644336226312735</v>
          </cell>
          <cell r="DW2489">
            <v>9.8476005987137558</v>
          </cell>
          <cell r="DX2489">
            <v>7.1073990168282446</v>
          </cell>
          <cell r="DY2489">
            <v>12.587802180599267</v>
          </cell>
        </row>
        <row r="2490">
          <cell r="A2490">
            <v>42949</v>
          </cell>
          <cell r="DF2490">
            <v>30.491576347660889</v>
          </cell>
          <cell r="DG2490">
            <v>21.679348620667902</v>
          </cell>
          <cell r="DH2490">
            <v>18.362277992096409</v>
          </cell>
          <cell r="DI2490">
            <v>14.300000632844487</v>
          </cell>
          <cell r="DJ2490">
            <v>22.424555351348332</v>
          </cell>
          <cell r="DU2490">
            <v>17.652135531825405</v>
          </cell>
          <cell r="DV2490">
            <v>11.644336226312735</v>
          </cell>
          <cell r="DW2490">
            <v>9.8476005987137558</v>
          </cell>
          <cell r="DX2490">
            <v>7.1073990168282446</v>
          </cell>
          <cell r="DY2490">
            <v>12.587802180599267</v>
          </cell>
        </row>
        <row r="2491">
          <cell r="A2491">
            <v>42950</v>
          </cell>
          <cell r="DF2491">
            <v>30.71954120161482</v>
          </cell>
          <cell r="DG2491">
            <v>21.679348620667902</v>
          </cell>
          <cell r="DH2491">
            <v>18.362277992096409</v>
          </cell>
          <cell r="DI2491">
            <v>14.300000632844487</v>
          </cell>
          <cell r="DJ2491">
            <v>22.424555351348332</v>
          </cell>
          <cell r="DU2491">
            <v>17.787308145919248</v>
          </cell>
          <cell r="DV2491">
            <v>11.644336226312735</v>
          </cell>
          <cell r="DW2491">
            <v>9.8476005987137558</v>
          </cell>
          <cell r="DX2491">
            <v>7.1073990168282446</v>
          </cell>
          <cell r="DY2491">
            <v>12.587802180599267</v>
          </cell>
        </row>
        <row r="2492">
          <cell r="A2492">
            <v>42951</v>
          </cell>
          <cell r="DF2492">
            <v>30.938027071954412</v>
          </cell>
          <cell r="DG2492">
            <v>21.679348620667902</v>
          </cell>
          <cell r="DH2492">
            <v>18.362277992096409</v>
          </cell>
          <cell r="DI2492">
            <v>14.300000632844487</v>
          </cell>
          <cell r="DJ2492">
            <v>22.424555351348332</v>
          </cell>
          <cell r="DU2492">
            <v>17.916860161171293</v>
          </cell>
          <cell r="DV2492">
            <v>11.644336226312735</v>
          </cell>
          <cell r="DW2492">
            <v>9.8476005987137558</v>
          </cell>
          <cell r="DX2492">
            <v>7.1073990168282446</v>
          </cell>
          <cell r="DY2492">
            <v>12.587802180599267</v>
          </cell>
        </row>
        <row r="2493">
          <cell r="A2493">
            <v>42954</v>
          </cell>
          <cell r="DF2493">
            <v>31.109000237473289</v>
          </cell>
          <cell r="DG2493">
            <v>21.679348620667902</v>
          </cell>
          <cell r="DH2493">
            <v>18.362277992096409</v>
          </cell>
          <cell r="DI2493">
            <v>14.300000632844487</v>
          </cell>
          <cell r="DJ2493">
            <v>22.424555351348332</v>
          </cell>
          <cell r="DU2493">
            <v>18.018239340120321</v>
          </cell>
          <cell r="DV2493">
            <v>11.644336226312735</v>
          </cell>
          <cell r="DW2493">
            <v>9.8476005987137558</v>
          </cell>
          <cell r="DX2493">
            <v>7.1073990168282446</v>
          </cell>
          <cell r="DY2493">
            <v>12.587802180599267</v>
          </cell>
        </row>
        <row r="2494">
          <cell r="A2494">
            <v>42955</v>
          </cell>
          <cell r="DF2494">
            <v>31.222983614343391</v>
          </cell>
          <cell r="DG2494">
            <v>21.679348620667902</v>
          </cell>
          <cell r="DH2494">
            <v>18.362277992096409</v>
          </cell>
          <cell r="DI2494">
            <v>14.300000632844487</v>
          </cell>
          <cell r="DJ2494">
            <v>22.424555351348332</v>
          </cell>
          <cell r="DU2494">
            <v>18.085826210409934</v>
          </cell>
          <cell r="DV2494">
            <v>11.644336226312735</v>
          </cell>
          <cell r="DW2494">
            <v>9.8476005987137558</v>
          </cell>
          <cell r="DX2494">
            <v>7.1073990168282446</v>
          </cell>
          <cell r="DY2494">
            <v>12.587802180599267</v>
          </cell>
        </row>
        <row r="2495">
          <cell r="A2495">
            <v>42956</v>
          </cell>
          <cell r="DF2495">
            <v>31.393971978152464</v>
          </cell>
          <cell r="DG2495">
            <v>21.679348620667902</v>
          </cell>
          <cell r="DH2495">
            <v>18.362277992096409</v>
          </cell>
          <cell r="DI2495">
            <v>14.300000632844487</v>
          </cell>
          <cell r="DJ2495">
            <v>22.424555351348332</v>
          </cell>
          <cell r="DU2495">
            <v>18.18721440124207</v>
          </cell>
          <cell r="DV2495">
            <v>11.644336226312735</v>
          </cell>
          <cell r="DW2495">
            <v>9.8476005987137558</v>
          </cell>
          <cell r="DX2495">
            <v>7.1073990168282446</v>
          </cell>
          <cell r="DY2495">
            <v>12.587802180599267</v>
          </cell>
        </row>
        <row r="2496">
          <cell r="A2496">
            <v>42957</v>
          </cell>
          <cell r="DF2496">
            <v>31.260986938969371</v>
          </cell>
          <cell r="DG2496">
            <v>21.679348620667902</v>
          </cell>
          <cell r="DH2496">
            <v>18.362277992096409</v>
          </cell>
          <cell r="DI2496">
            <v>14.300000632844487</v>
          </cell>
          <cell r="DJ2496">
            <v>22.424555351348332</v>
          </cell>
          <cell r="DU2496">
            <v>18.108351975464544</v>
          </cell>
          <cell r="DV2496">
            <v>11.644336226312735</v>
          </cell>
          <cell r="DW2496">
            <v>9.8476005987137558</v>
          </cell>
          <cell r="DX2496">
            <v>7.1073990168282446</v>
          </cell>
          <cell r="DY2496">
            <v>12.587802180599267</v>
          </cell>
        </row>
        <row r="2497">
          <cell r="A2497">
            <v>42958</v>
          </cell>
          <cell r="DF2497">
            <v>31.823432629232265</v>
          </cell>
          <cell r="DG2497">
            <v>21.679348620667902</v>
          </cell>
          <cell r="DH2497">
            <v>18.362277992096409</v>
          </cell>
          <cell r="DI2497">
            <v>14.300000632844487</v>
          </cell>
          <cell r="DJ2497">
            <v>22.424555351348332</v>
          </cell>
          <cell r="DU2497">
            <v>18.446300971222648</v>
          </cell>
          <cell r="DV2497">
            <v>11.644336226312735</v>
          </cell>
          <cell r="DW2497">
            <v>9.8476005987137558</v>
          </cell>
          <cell r="DX2497">
            <v>7.1073990168282446</v>
          </cell>
          <cell r="DY2497">
            <v>12.587802180599267</v>
          </cell>
        </row>
        <row r="2498">
          <cell r="A2498">
            <v>42961</v>
          </cell>
          <cell r="DF2498">
            <v>31.918405314352594</v>
          </cell>
          <cell r="DG2498">
            <v>21.679348620667902</v>
          </cell>
          <cell r="DH2498">
            <v>18.362277992096409</v>
          </cell>
          <cell r="DI2498">
            <v>14.300000632844487</v>
          </cell>
          <cell r="DJ2498">
            <v>22.424555351348332</v>
          </cell>
          <cell r="DU2498">
            <v>18.502628620062463</v>
          </cell>
          <cell r="DV2498">
            <v>11.644336226312735</v>
          </cell>
          <cell r="DW2498">
            <v>9.8476005987137558</v>
          </cell>
          <cell r="DX2498">
            <v>7.1073990168282446</v>
          </cell>
          <cell r="DY2498">
            <v>12.587802180599267</v>
          </cell>
        </row>
        <row r="2499">
          <cell r="A2499">
            <v>42962</v>
          </cell>
          <cell r="DF2499">
            <v>32.089339243445494</v>
          </cell>
          <cell r="DG2499">
            <v>21.679348620667902</v>
          </cell>
          <cell r="DH2499">
            <v>18.362277992096409</v>
          </cell>
          <cell r="DI2499">
            <v>14.300000632844487</v>
          </cell>
          <cell r="DJ2499">
            <v>22.424555351348332</v>
          </cell>
          <cell r="DU2499">
            <v>18.086959518264209</v>
          </cell>
          <cell r="DV2499">
            <v>11.644336226312735</v>
          </cell>
          <cell r="DW2499">
            <v>9.8476005987137558</v>
          </cell>
          <cell r="DX2499">
            <v>7.1073990168282446</v>
          </cell>
          <cell r="DY2499">
            <v>12.587802180599267</v>
          </cell>
        </row>
        <row r="2500">
          <cell r="A2500">
            <v>42963</v>
          </cell>
          <cell r="DF2500">
            <v>32.773102500243354</v>
          </cell>
          <cell r="DG2500">
            <v>21.679348620667902</v>
          </cell>
          <cell r="DH2500">
            <v>18.362277992096409</v>
          </cell>
          <cell r="DI2500">
            <v>14.300000632844487</v>
          </cell>
          <cell r="DJ2500">
            <v>22.424555351348332</v>
          </cell>
          <cell r="DU2500">
            <v>18.481224047834264</v>
          </cell>
          <cell r="DV2500">
            <v>11.644336226312735</v>
          </cell>
          <cell r="DW2500">
            <v>9.8476005987137558</v>
          </cell>
          <cell r="DX2500">
            <v>7.1073990168282446</v>
          </cell>
          <cell r="DY2500">
            <v>12.587802180599267</v>
          </cell>
        </row>
        <row r="2501">
          <cell r="A2501">
            <v>42964</v>
          </cell>
          <cell r="DF2501">
            <v>32.728994779307072</v>
          </cell>
          <cell r="DG2501">
            <v>21.679348620667902</v>
          </cell>
          <cell r="DH2501">
            <v>18.362277992096409</v>
          </cell>
          <cell r="DI2501">
            <v>14.300000632844487</v>
          </cell>
          <cell r="DJ2501">
            <v>22.424555351348332</v>
          </cell>
          <cell r="DU2501">
            <v>18.232730992609142</v>
          </cell>
          <cell r="DV2501">
            <v>11.644336226312735</v>
          </cell>
          <cell r="DW2501">
            <v>9.8476005987137558</v>
          </cell>
          <cell r="DX2501">
            <v>7.1073990168282446</v>
          </cell>
          <cell r="DY2501">
            <v>12.587802180599267</v>
          </cell>
        </row>
        <row r="2502">
          <cell r="A2502">
            <v>42965</v>
          </cell>
          <cell r="DF2502">
            <v>34.171808258186999</v>
          </cell>
          <cell r="DG2502">
            <v>21.679348620667902</v>
          </cell>
          <cell r="DH2502">
            <v>18.362277992096409</v>
          </cell>
          <cell r="DI2502">
            <v>14.300000632844487</v>
          </cell>
          <cell r="DJ2502">
            <v>22.424555351348332</v>
          </cell>
          <cell r="DU2502">
            <v>19.054607424671875</v>
          </cell>
          <cell r="DV2502">
            <v>11.644336226312735</v>
          </cell>
          <cell r="DW2502">
            <v>9.8476005987137558</v>
          </cell>
          <cell r="DX2502">
            <v>7.1073990168282446</v>
          </cell>
          <cell r="DY2502">
            <v>12.587802180599267</v>
          </cell>
        </row>
        <row r="2503">
          <cell r="A2503">
            <v>42968</v>
          </cell>
          <cell r="DF2503">
            <v>34.361648789748465</v>
          </cell>
          <cell r="DG2503">
            <v>21.679348620667902</v>
          </cell>
          <cell r="DH2503">
            <v>18.362277992096409</v>
          </cell>
          <cell r="DI2503">
            <v>14.300000632844487</v>
          </cell>
          <cell r="DJ2503">
            <v>22.424555351348332</v>
          </cell>
          <cell r="DU2503">
            <v>19.16274715376683</v>
          </cell>
          <cell r="DV2503">
            <v>11.644336226312735</v>
          </cell>
          <cell r="DW2503">
            <v>9.8476005987137558</v>
          </cell>
          <cell r="DX2503">
            <v>7.1073990168282446</v>
          </cell>
          <cell r="DY2503">
            <v>12.587802180599267</v>
          </cell>
        </row>
        <row r="2504">
          <cell r="A2504">
            <v>42969</v>
          </cell>
          <cell r="DF2504">
            <v>34.343312640012151</v>
          </cell>
          <cell r="DG2504">
            <v>21.679348620667902</v>
          </cell>
          <cell r="DH2504">
            <v>18.362277992096409</v>
          </cell>
          <cell r="DI2504">
            <v>14.300000632844487</v>
          </cell>
          <cell r="DJ2504">
            <v>22.424555351348332</v>
          </cell>
          <cell r="DU2504">
            <v>19.151930855818286</v>
          </cell>
          <cell r="DV2504">
            <v>11.644336226312735</v>
          </cell>
          <cell r="DW2504">
            <v>9.8476005987137558</v>
          </cell>
          <cell r="DX2504">
            <v>7.1073990168282446</v>
          </cell>
          <cell r="DY2504">
            <v>12.587802180599267</v>
          </cell>
        </row>
        <row r="2505">
          <cell r="A2505">
            <v>42970</v>
          </cell>
          <cell r="DF2505">
            <v>34.524404568213718</v>
          </cell>
          <cell r="DG2505">
            <v>21.679348620667902</v>
          </cell>
          <cell r="DH2505">
            <v>18.362277992096409</v>
          </cell>
          <cell r="DI2505">
            <v>14.300000632844487</v>
          </cell>
          <cell r="DJ2505">
            <v>22.424555351348332</v>
          </cell>
          <cell r="DU2505">
            <v>19.338581479704068</v>
          </cell>
          <cell r="DV2505">
            <v>11.644336226312735</v>
          </cell>
          <cell r="DW2505">
            <v>9.8476005987137558</v>
          </cell>
          <cell r="DX2505">
            <v>7.1073990168282446</v>
          </cell>
          <cell r="DY2505">
            <v>12.587802180599267</v>
          </cell>
        </row>
        <row r="2506">
          <cell r="A2506">
            <v>42971</v>
          </cell>
          <cell r="DF2506">
            <v>34.852945869840781</v>
          </cell>
          <cell r="DG2506">
            <v>21.679348620667902</v>
          </cell>
          <cell r="DH2506">
            <v>18.362277992096409</v>
          </cell>
          <cell r="DI2506">
            <v>14.300000632844487</v>
          </cell>
          <cell r="DJ2506">
            <v>22.424555351348332</v>
          </cell>
          <cell r="DU2506">
            <v>19.526493320859309</v>
          </cell>
          <cell r="DV2506">
            <v>11.644336226312735</v>
          </cell>
          <cell r="DW2506">
            <v>9.8476005987137558</v>
          </cell>
          <cell r="DX2506">
            <v>7.1073990168282446</v>
          </cell>
          <cell r="DY2506">
            <v>12.587802180599267</v>
          </cell>
        </row>
        <row r="2507">
          <cell r="A2507">
            <v>42972</v>
          </cell>
          <cell r="DF2507">
            <v>34.139545682106046</v>
          </cell>
          <cell r="DG2507">
            <v>21.679348620667902</v>
          </cell>
          <cell r="DH2507">
            <v>18.362277992096409</v>
          </cell>
          <cell r="DI2507">
            <v>14.300000632844487</v>
          </cell>
          <cell r="DJ2507">
            <v>22.424555351348332</v>
          </cell>
          <cell r="DU2507">
            <v>19.118458342931632</v>
          </cell>
          <cell r="DV2507">
            <v>11.644336226312735</v>
          </cell>
          <cell r="DW2507">
            <v>9.8476005987137558</v>
          </cell>
          <cell r="DX2507">
            <v>7.1073990168282446</v>
          </cell>
          <cell r="DY2507">
            <v>12.587802180599267</v>
          </cell>
        </row>
        <row r="2508">
          <cell r="A2508">
            <v>42975</v>
          </cell>
          <cell r="DF2508">
            <v>34.139545682106046</v>
          </cell>
          <cell r="DG2508">
            <v>21.679348620667902</v>
          </cell>
          <cell r="DH2508">
            <v>18.362277992096409</v>
          </cell>
          <cell r="DI2508">
            <v>14.300000632844487</v>
          </cell>
          <cell r="DJ2508">
            <v>22.424555351348332</v>
          </cell>
          <cell r="DU2508">
            <v>19.118458342931632</v>
          </cell>
          <cell r="DV2508">
            <v>11.644336226312735</v>
          </cell>
          <cell r="DW2508">
            <v>9.8476005987137558</v>
          </cell>
          <cell r="DX2508">
            <v>7.1073990168282446</v>
          </cell>
          <cell r="DY2508">
            <v>12.587802180599267</v>
          </cell>
        </row>
        <row r="2509">
          <cell r="A2509">
            <v>42976</v>
          </cell>
          <cell r="DF2509">
            <v>34.523787391477541</v>
          </cell>
          <cell r="DG2509">
            <v>21.679348620667902</v>
          </cell>
          <cell r="DH2509">
            <v>18.362277992096409</v>
          </cell>
          <cell r="DI2509">
            <v>14.300000632844487</v>
          </cell>
          <cell r="DJ2509">
            <v>22.424555351348332</v>
          </cell>
          <cell r="DU2509">
            <v>19.085781423612573</v>
          </cell>
          <cell r="DV2509">
            <v>11.644336226312735</v>
          </cell>
          <cell r="DW2509">
            <v>9.8476005987137558</v>
          </cell>
          <cell r="DX2509">
            <v>7.1073990168282446</v>
          </cell>
          <cell r="DY2509">
            <v>12.587802180599267</v>
          </cell>
        </row>
        <row r="2510">
          <cell r="A2510">
            <v>42977</v>
          </cell>
          <cell r="DF2510">
            <v>34.033453531601914</v>
          </cell>
          <cell r="DG2510">
            <v>21.679348620667902</v>
          </cell>
          <cell r="DH2510">
            <v>18.362277992096409</v>
          </cell>
          <cell r="DI2510">
            <v>14.300000632844487</v>
          </cell>
          <cell r="DJ2510">
            <v>22.424555351348332</v>
          </cell>
          <cell r="DU2510">
            <v>18.812976817957967</v>
          </cell>
          <cell r="DV2510">
            <v>11.644336226312735</v>
          </cell>
          <cell r="DW2510">
            <v>9.8476005987137558</v>
          </cell>
          <cell r="DX2510">
            <v>7.1073990168282446</v>
          </cell>
          <cell r="DY2510">
            <v>12.587802180599267</v>
          </cell>
        </row>
        <row r="2511">
          <cell r="A2511">
            <v>42978</v>
          </cell>
          <cell r="DF2511">
            <v>34.247218401490414</v>
          </cell>
          <cell r="DG2511">
            <v>21.679348620667902</v>
          </cell>
          <cell r="DH2511">
            <v>18.362277992096409</v>
          </cell>
          <cell r="DI2511">
            <v>14.300000632844487</v>
          </cell>
          <cell r="DJ2511">
            <v>22.424555351348332</v>
          </cell>
          <cell r="DU2511">
            <v>18.93364523618402</v>
          </cell>
          <cell r="DV2511">
            <v>11.644336226312735</v>
          </cell>
          <cell r="DW2511">
            <v>9.8476005987137558</v>
          </cell>
          <cell r="DX2511">
            <v>7.1073990168282446</v>
          </cell>
          <cell r="DY2511">
            <v>12.587802180599267</v>
          </cell>
        </row>
        <row r="2512">
          <cell r="A2512">
            <v>42979</v>
          </cell>
          <cell r="DF2512">
            <v>34.302977695170718</v>
          </cell>
          <cell r="DG2512">
            <v>21.679348620667902</v>
          </cell>
          <cell r="DH2512">
            <v>18.362277992096409</v>
          </cell>
          <cell r="DI2512">
            <v>14.300000632844487</v>
          </cell>
          <cell r="DJ2512">
            <v>22.424555351348332</v>
          </cell>
          <cell r="DU2512">
            <v>18.96512087468961</v>
          </cell>
          <cell r="DV2512">
            <v>11.644336226312735</v>
          </cell>
          <cell r="DW2512">
            <v>9.8476005987137558</v>
          </cell>
          <cell r="DX2512">
            <v>7.1073990168282446</v>
          </cell>
          <cell r="DY2512">
            <v>12.587802180599267</v>
          </cell>
        </row>
        <row r="2513">
          <cell r="A2513">
            <v>42982</v>
          </cell>
          <cell r="DF2513">
            <v>33.968405204464368</v>
          </cell>
          <cell r="DG2513">
            <v>21.679348620667902</v>
          </cell>
          <cell r="DH2513">
            <v>18.362277992096409</v>
          </cell>
          <cell r="DI2513">
            <v>14.300000632844487</v>
          </cell>
          <cell r="DJ2513">
            <v>22.424555351348332</v>
          </cell>
          <cell r="DU2513">
            <v>18.77624920656908</v>
          </cell>
          <cell r="DV2513">
            <v>11.644336226312735</v>
          </cell>
          <cell r="DW2513">
            <v>9.8476005987137558</v>
          </cell>
          <cell r="DX2513">
            <v>7.1073990168282446</v>
          </cell>
          <cell r="DY2513">
            <v>12.587802180599267</v>
          </cell>
        </row>
        <row r="2514">
          <cell r="A2514">
            <v>42983</v>
          </cell>
          <cell r="DF2514">
            <v>33.867747571916581</v>
          </cell>
          <cell r="DG2514">
            <v>21.679348620667902</v>
          </cell>
          <cell r="DH2514">
            <v>18.362277992096409</v>
          </cell>
          <cell r="DI2514">
            <v>14.300000632844487</v>
          </cell>
          <cell r="DJ2514">
            <v>22.424555351348332</v>
          </cell>
          <cell r="DU2514">
            <v>18.933358060448924</v>
          </cell>
          <cell r="DV2514">
            <v>11.644336226312735</v>
          </cell>
          <cell r="DW2514">
            <v>9.8476005987137558</v>
          </cell>
          <cell r="DX2514">
            <v>7.1073990168282446</v>
          </cell>
          <cell r="DY2514">
            <v>12.587802180599267</v>
          </cell>
        </row>
        <row r="2515">
          <cell r="A2515">
            <v>42984</v>
          </cell>
          <cell r="DF2515">
            <v>33.44017544510033</v>
          </cell>
          <cell r="DG2515">
            <v>21.679348620667902</v>
          </cell>
          <cell r="DH2515">
            <v>18.362277992096409</v>
          </cell>
          <cell r="DI2515">
            <v>14.300000632844487</v>
          </cell>
          <cell r="DJ2515">
            <v>22.424555351348332</v>
          </cell>
          <cell r="DU2515">
            <v>18.752985055451319</v>
          </cell>
          <cell r="DV2515">
            <v>11.644336226312735</v>
          </cell>
          <cell r="DW2515">
            <v>9.8476005987137558</v>
          </cell>
          <cell r="DX2515">
            <v>7.1073990168282446</v>
          </cell>
          <cell r="DY2515">
            <v>12.587802180599267</v>
          </cell>
        </row>
        <row r="2516">
          <cell r="A2516">
            <v>42985</v>
          </cell>
          <cell r="DF2516">
            <v>33.199322859739873</v>
          </cell>
          <cell r="DG2516">
            <v>21.679348620667902</v>
          </cell>
          <cell r="DH2516">
            <v>18.362277992096409</v>
          </cell>
          <cell r="DI2516">
            <v>14.300000632844487</v>
          </cell>
          <cell r="DJ2516">
            <v>22.424555351348332</v>
          </cell>
          <cell r="DU2516">
            <v>18.616377755643864</v>
          </cell>
          <cell r="DV2516">
            <v>11.644336226312735</v>
          </cell>
          <cell r="DW2516">
            <v>9.8476005987137558</v>
          </cell>
          <cell r="DX2516">
            <v>7.1073990168282446</v>
          </cell>
          <cell r="DY2516">
            <v>12.587802180599267</v>
          </cell>
        </row>
        <row r="2517">
          <cell r="A2517">
            <v>42986</v>
          </cell>
          <cell r="DF2517">
            <v>31.902479759900924</v>
          </cell>
          <cell r="DG2517">
            <v>21.679348620667902</v>
          </cell>
          <cell r="DH2517">
            <v>18.362277992096409</v>
          </cell>
          <cell r="DI2517">
            <v>14.300000632844487</v>
          </cell>
          <cell r="DJ2517">
            <v>22.424555351348332</v>
          </cell>
          <cell r="DU2517">
            <v>17.873606685073348</v>
          </cell>
          <cell r="DV2517">
            <v>11.644336226312735</v>
          </cell>
          <cell r="DW2517">
            <v>9.8476005987137558</v>
          </cell>
          <cell r="DX2517">
            <v>7.1073990168282446</v>
          </cell>
          <cell r="DY2517">
            <v>12.587802180599267</v>
          </cell>
        </row>
        <row r="2518">
          <cell r="A2518">
            <v>42989</v>
          </cell>
          <cell r="DF2518">
            <v>31.856160957448026</v>
          </cell>
          <cell r="DG2518">
            <v>21.679348620667902</v>
          </cell>
          <cell r="DH2518">
            <v>18.362277992096409</v>
          </cell>
          <cell r="DI2518">
            <v>14.300000632844487</v>
          </cell>
          <cell r="DJ2518">
            <v>22.424555351348332</v>
          </cell>
          <cell r="DU2518">
            <v>17.847077441489635</v>
          </cell>
          <cell r="DV2518">
            <v>11.644336226312735</v>
          </cell>
          <cell r="DW2518">
            <v>9.8476005987137558</v>
          </cell>
          <cell r="DX2518">
            <v>7.1073990168282446</v>
          </cell>
          <cell r="DY2518">
            <v>12.587802180599267</v>
          </cell>
        </row>
        <row r="2519">
          <cell r="A2519">
            <v>42990</v>
          </cell>
          <cell r="DF2519">
            <v>32.267819500157501</v>
          </cell>
          <cell r="DG2519">
            <v>21.679348620667902</v>
          </cell>
          <cell r="DH2519">
            <v>18.362277992096409</v>
          </cell>
          <cell r="DI2519">
            <v>14.300000632844487</v>
          </cell>
          <cell r="DJ2519">
            <v>22.424555351348332</v>
          </cell>
          <cell r="DU2519">
            <v>18.096437900133896</v>
          </cell>
          <cell r="DV2519">
            <v>11.644336226312735</v>
          </cell>
          <cell r="DW2519">
            <v>9.8476005987137558</v>
          </cell>
          <cell r="DX2519">
            <v>7.1073990168282446</v>
          </cell>
          <cell r="DY2519">
            <v>12.587802180599267</v>
          </cell>
        </row>
        <row r="2520">
          <cell r="A2520">
            <v>42991</v>
          </cell>
          <cell r="DF2520">
            <v>32.230800370259317</v>
          </cell>
          <cell r="DG2520">
            <v>21.679348620667902</v>
          </cell>
          <cell r="DH2520">
            <v>18.362277992096409</v>
          </cell>
          <cell r="DI2520">
            <v>14.300000632844487</v>
          </cell>
          <cell r="DJ2520">
            <v>22.424555351348332</v>
          </cell>
          <cell r="DU2520">
            <v>18.075219492465489</v>
          </cell>
          <cell r="DV2520">
            <v>11.644336226312735</v>
          </cell>
          <cell r="DW2520">
            <v>9.8476005987137558</v>
          </cell>
          <cell r="DX2520">
            <v>7.1073990168282446</v>
          </cell>
          <cell r="DY2520">
            <v>12.587802180599267</v>
          </cell>
        </row>
        <row r="2521">
          <cell r="A2521">
            <v>42992</v>
          </cell>
          <cell r="DF2521">
            <v>31.2958944770164</v>
          </cell>
          <cell r="DG2521">
            <v>21.679348620667902</v>
          </cell>
          <cell r="DH2521">
            <v>18.362277992096409</v>
          </cell>
          <cell r="DI2521">
            <v>14.300000632844487</v>
          </cell>
          <cell r="DJ2521">
            <v>22.424555351348332</v>
          </cell>
          <cell r="DU2521">
            <v>17.53935561805822</v>
          </cell>
          <cell r="DV2521">
            <v>11.644336226312735</v>
          </cell>
          <cell r="DW2521">
            <v>9.8476005987137558</v>
          </cell>
          <cell r="DX2521">
            <v>7.1073990168282446</v>
          </cell>
          <cell r="DY2521">
            <v>12.587802180599267</v>
          </cell>
        </row>
        <row r="2522">
          <cell r="A2522">
            <v>42993</v>
          </cell>
          <cell r="DF2522">
            <v>31.184822277078094</v>
          </cell>
          <cell r="DG2522">
            <v>21.679348620667902</v>
          </cell>
          <cell r="DH2522">
            <v>18.362277992096409</v>
          </cell>
          <cell r="DI2522">
            <v>14.300000632844487</v>
          </cell>
          <cell r="DJ2522">
            <v>22.424555351348332</v>
          </cell>
          <cell r="DU2522">
            <v>17.475691906204375</v>
          </cell>
          <cell r="DV2522">
            <v>11.644336226312735</v>
          </cell>
          <cell r="DW2522">
            <v>9.8476005987137558</v>
          </cell>
          <cell r="DX2522">
            <v>7.1073990168282446</v>
          </cell>
          <cell r="DY2522">
            <v>12.587802180599267</v>
          </cell>
        </row>
        <row r="2523">
          <cell r="A2523">
            <v>42996</v>
          </cell>
          <cell r="DF2523">
            <v>31.425483184205554</v>
          </cell>
          <cell r="DG2523">
            <v>21.679348620667902</v>
          </cell>
          <cell r="DH2523">
            <v>18.362277992096409</v>
          </cell>
          <cell r="DI2523">
            <v>14.300000632844487</v>
          </cell>
          <cell r="DJ2523">
            <v>22.424555351348332</v>
          </cell>
          <cell r="DU2523">
            <v>17.613632512894057</v>
          </cell>
          <cell r="DV2523">
            <v>11.644336226312735</v>
          </cell>
          <cell r="DW2523">
            <v>9.8476005987137558</v>
          </cell>
          <cell r="DX2523">
            <v>7.1073990168282446</v>
          </cell>
          <cell r="DY2523">
            <v>12.587802180599267</v>
          </cell>
        </row>
        <row r="2524">
          <cell r="A2524">
            <v>42997</v>
          </cell>
          <cell r="DF2524">
            <v>32.262045977582055</v>
          </cell>
          <cell r="DG2524">
            <v>21.679348620667902</v>
          </cell>
          <cell r="DH2524">
            <v>18.362277992096409</v>
          </cell>
          <cell r="DI2524">
            <v>14.300000632844487</v>
          </cell>
          <cell r="DJ2524">
            <v>22.424555351348332</v>
          </cell>
          <cell r="DU2524">
            <v>18.096437900133896</v>
          </cell>
          <cell r="DV2524">
            <v>11.644336226312735</v>
          </cell>
          <cell r="DW2524">
            <v>9.8476005987137558</v>
          </cell>
          <cell r="DX2524">
            <v>7.1073990168282446</v>
          </cell>
          <cell r="DY2524">
            <v>12.587802180599267</v>
          </cell>
        </row>
        <row r="2525">
          <cell r="A2525">
            <v>42998</v>
          </cell>
          <cell r="DF2525">
            <v>31.882597683848719</v>
          </cell>
          <cell r="DG2525">
            <v>21.679348620667902</v>
          </cell>
          <cell r="DH2525">
            <v>18.362277992096409</v>
          </cell>
          <cell r="DI2525">
            <v>14.300000632844487</v>
          </cell>
          <cell r="DJ2525">
            <v>22.424555351348332</v>
          </cell>
          <cell r="DU2525">
            <v>17.865213231498</v>
          </cell>
          <cell r="DV2525">
            <v>11.644336226312735</v>
          </cell>
          <cell r="DW2525">
            <v>9.8476005987137558</v>
          </cell>
          <cell r="DX2525">
            <v>7.1073990168282446</v>
          </cell>
          <cell r="DY2525">
            <v>12.587802180599267</v>
          </cell>
        </row>
        <row r="2526">
          <cell r="A2526">
            <v>42999</v>
          </cell>
          <cell r="DF2526">
            <v>31.725268850378601</v>
          </cell>
          <cell r="DG2526">
            <v>21.679348620667902</v>
          </cell>
          <cell r="DH2526">
            <v>18.362277992096409</v>
          </cell>
          <cell r="DI2526">
            <v>14.300000632844487</v>
          </cell>
          <cell r="DJ2526">
            <v>22.424555351348332</v>
          </cell>
          <cell r="DU2526">
            <v>17.77508936667077</v>
          </cell>
          <cell r="DV2526">
            <v>11.644336226312735</v>
          </cell>
          <cell r="DW2526">
            <v>9.8476005987137558</v>
          </cell>
          <cell r="DX2526">
            <v>7.1073990168282446</v>
          </cell>
          <cell r="DY2526">
            <v>12.587802180599267</v>
          </cell>
        </row>
        <row r="2527">
          <cell r="A2527">
            <v>43000</v>
          </cell>
          <cell r="DF2527">
            <v>30.714769230772415</v>
          </cell>
          <cell r="DG2527">
            <v>21.679348620667902</v>
          </cell>
          <cell r="DH2527">
            <v>18.362277992096409</v>
          </cell>
          <cell r="DI2527">
            <v>14.300000632844487</v>
          </cell>
          <cell r="DJ2527">
            <v>22.424555351348332</v>
          </cell>
          <cell r="DU2527">
            <v>17.40046658013992</v>
          </cell>
          <cell r="DV2527">
            <v>11.644336226312735</v>
          </cell>
          <cell r="DW2527">
            <v>9.8476005987137558</v>
          </cell>
          <cell r="DX2527">
            <v>7.1073990168282446</v>
          </cell>
          <cell r="DY2527">
            <v>12.587802180599267</v>
          </cell>
        </row>
        <row r="2528">
          <cell r="A2528">
            <v>43003</v>
          </cell>
          <cell r="DF2528">
            <v>25.922394372591754</v>
          </cell>
          <cell r="DG2528">
            <v>21.679348620667902</v>
          </cell>
          <cell r="DH2528">
            <v>18.362277992096409</v>
          </cell>
          <cell r="DI2528">
            <v>14.300000632844487</v>
          </cell>
          <cell r="DJ2528">
            <v>22.424555351348332</v>
          </cell>
          <cell r="DU2528">
            <v>14.623849535812781</v>
          </cell>
          <cell r="DV2528">
            <v>11.644336226312735</v>
          </cell>
          <cell r="DW2528">
            <v>9.8476005987137558</v>
          </cell>
          <cell r="DX2528">
            <v>7.1073990168282446</v>
          </cell>
          <cell r="DY2528">
            <v>12.587802180599267</v>
          </cell>
        </row>
        <row r="2529">
          <cell r="A2529">
            <v>43004</v>
          </cell>
          <cell r="DF2529">
            <v>25.822552303156751</v>
          </cell>
          <cell r="DG2529">
            <v>21.679348620667902</v>
          </cell>
          <cell r="DH2529">
            <v>18.362277992096409</v>
          </cell>
          <cell r="DI2529">
            <v>14.300000632844487</v>
          </cell>
          <cell r="DJ2529">
            <v>22.424555351348332</v>
          </cell>
          <cell r="DU2529">
            <v>14.566002810559036</v>
          </cell>
          <cell r="DV2529">
            <v>11.644336226312735</v>
          </cell>
          <cell r="DW2529">
            <v>9.8476005987137558</v>
          </cell>
          <cell r="DX2529">
            <v>7.1073990168282446</v>
          </cell>
          <cell r="DY2529">
            <v>12.587802180599267</v>
          </cell>
        </row>
        <row r="2530">
          <cell r="A2530">
            <v>43005</v>
          </cell>
          <cell r="DF2530">
            <v>27.50170546857558</v>
          </cell>
          <cell r="DG2530">
            <v>21.679348620667902</v>
          </cell>
          <cell r="DH2530">
            <v>18.362277992096409</v>
          </cell>
          <cell r="DI2530">
            <v>14.300000632844487</v>
          </cell>
          <cell r="DJ2530">
            <v>22.424555351348332</v>
          </cell>
          <cell r="DU2530">
            <v>14.566002810559036</v>
          </cell>
          <cell r="DV2530">
            <v>11.644336226312735</v>
          </cell>
          <cell r="DW2530">
            <v>9.8476005987137558</v>
          </cell>
          <cell r="DX2530">
            <v>7.1073990168282446</v>
          </cell>
          <cell r="DY2530">
            <v>12.587802180599267</v>
          </cell>
        </row>
        <row r="2531">
          <cell r="A2531">
            <v>43006</v>
          </cell>
          <cell r="DF2531">
            <v>27.011334373739473</v>
          </cell>
          <cell r="DG2531">
            <v>21.679348620667902</v>
          </cell>
          <cell r="DH2531">
            <v>18.362277992096409</v>
          </cell>
          <cell r="DI2531">
            <v>14.300000632844487</v>
          </cell>
          <cell r="DJ2531">
            <v>22.424555351348332</v>
          </cell>
          <cell r="DU2531">
            <v>15.201458829334772</v>
          </cell>
          <cell r="DV2531">
            <v>11.644336226312735</v>
          </cell>
          <cell r="DW2531">
            <v>9.8476005987137558</v>
          </cell>
          <cell r="DX2531">
            <v>7.1073990168282446</v>
          </cell>
          <cell r="DY2531">
            <v>12.587802180599267</v>
          </cell>
        </row>
        <row r="2532">
          <cell r="A2532">
            <v>43007</v>
          </cell>
          <cell r="DF2532">
            <v>27.143282667470523</v>
          </cell>
          <cell r="DG2532">
            <v>21.679348620667902</v>
          </cell>
          <cell r="DH2532">
            <v>18.362277992096409</v>
          </cell>
          <cell r="DI2532">
            <v>14.300000632844487</v>
          </cell>
          <cell r="DJ2532">
            <v>22.424555351348332</v>
          </cell>
          <cell r="DU2532">
            <v>15.214382290791447</v>
          </cell>
          <cell r="DV2532">
            <v>11.644336226312735</v>
          </cell>
          <cell r="DW2532">
            <v>9.8476005987137558</v>
          </cell>
          <cell r="DX2532">
            <v>7.1073990168282446</v>
          </cell>
          <cell r="DY2532">
            <v>12.587802180599267</v>
          </cell>
        </row>
        <row r="2533">
          <cell r="A2533">
            <v>43010</v>
          </cell>
          <cell r="DF2533">
            <v>28.017419945932616</v>
          </cell>
          <cell r="DG2533">
            <v>21.679348620667902</v>
          </cell>
          <cell r="DH2533">
            <v>18.362277992096409</v>
          </cell>
          <cell r="DI2533">
            <v>14.300000632844487</v>
          </cell>
          <cell r="DJ2533">
            <v>22.424555351348332</v>
          </cell>
          <cell r="DU2533">
            <v>15.214382290791447</v>
          </cell>
          <cell r="DV2533">
            <v>11.644336226312735</v>
          </cell>
          <cell r="DW2533">
            <v>9.8476005987137558</v>
          </cell>
          <cell r="DX2533">
            <v>7.1073990168282446</v>
          </cell>
          <cell r="DY2533">
            <v>12.587802180599267</v>
          </cell>
        </row>
        <row r="2534">
          <cell r="A2534">
            <v>43011</v>
          </cell>
          <cell r="DF2534">
            <v>28.431965154704063</v>
          </cell>
          <cell r="DG2534">
            <v>21.679348620667902</v>
          </cell>
          <cell r="DH2534">
            <v>18.362277992096409</v>
          </cell>
          <cell r="DI2534">
            <v>14.300000632844487</v>
          </cell>
          <cell r="DJ2534">
            <v>22.424555351348332</v>
          </cell>
          <cell r="DU2534">
            <v>15.973131435129142</v>
          </cell>
          <cell r="DV2534">
            <v>11.644336226312735</v>
          </cell>
          <cell r="DW2534">
            <v>9.8476005987137558</v>
          </cell>
          <cell r="DX2534">
            <v>7.1073990168282446</v>
          </cell>
          <cell r="DY2534">
            <v>12.587802180599267</v>
          </cell>
        </row>
        <row r="2535">
          <cell r="A2535">
            <v>43012</v>
          </cell>
          <cell r="DF2535">
            <v>29.261041153502585</v>
          </cell>
          <cell r="DG2535">
            <v>21.679348620667902</v>
          </cell>
          <cell r="DH2535">
            <v>18.362277992096409</v>
          </cell>
          <cell r="DI2535">
            <v>14.300000632844487</v>
          </cell>
          <cell r="DJ2535">
            <v>22.424555351348332</v>
          </cell>
          <cell r="DU2535">
            <v>16.392563306705167</v>
          </cell>
          <cell r="DV2535">
            <v>11.644336226312735</v>
          </cell>
          <cell r="DW2535">
            <v>9.8476005987137558</v>
          </cell>
          <cell r="DX2535">
            <v>7.1073990168282446</v>
          </cell>
          <cell r="DY2535">
            <v>12.587802180599267</v>
          </cell>
        </row>
        <row r="2536">
          <cell r="A2536">
            <v>43013</v>
          </cell>
          <cell r="DF2536">
            <v>28.284083364089099</v>
          </cell>
          <cell r="DG2536">
            <v>21.679348620667902</v>
          </cell>
          <cell r="DH2536">
            <v>18.362277992096409</v>
          </cell>
          <cell r="DI2536">
            <v>14.300000632844487</v>
          </cell>
          <cell r="DJ2536">
            <v>22.424555351348332</v>
          </cell>
          <cell r="DU2536">
            <v>15.812997229442239</v>
          </cell>
          <cell r="DV2536">
            <v>11.644336226312735</v>
          </cell>
          <cell r="DW2536">
            <v>9.8476005987137558</v>
          </cell>
          <cell r="DX2536">
            <v>7.1073990168282446</v>
          </cell>
          <cell r="DY2536">
            <v>12.587802180599267</v>
          </cell>
        </row>
        <row r="2537">
          <cell r="A2537">
            <v>43014</v>
          </cell>
          <cell r="DF2537">
            <v>28.111007745897396</v>
          </cell>
          <cell r="DG2537">
            <v>21.679348620667902</v>
          </cell>
          <cell r="DH2537">
            <v>18.362277992096409</v>
          </cell>
          <cell r="DI2537">
            <v>14.300000632844487</v>
          </cell>
          <cell r="DJ2537">
            <v>22.424555351348332</v>
          </cell>
          <cell r="DU2537">
            <v>15.501206370503388</v>
          </cell>
          <cell r="DV2537">
            <v>11.644336226312735</v>
          </cell>
          <cell r="DW2537">
            <v>9.8476005987137558</v>
          </cell>
          <cell r="DX2537">
            <v>7.1073990168282446</v>
          </cell>
          <cell r="DY2537">
            <v>12.587802180599267</v>
          </cell>
        </row>
        <row r="2538">
          <cell r="A2538">
            <v>43017</v>
          </cell>
          <cell r="DF2538">
            <v>29.9865406133165</v>
          </cell>
          <cell r="DG2538">
            <v>21.679348620667902</v>
          </cell>
          <cell r="DH2538">
            <v>18.362277992096409</v>
          </cell>
          <cell r="DI2538">
            <v>14.300000632844487</v>
          </cell>
          <cell r="DJ2538">
            <v>22.424555351348332</v>
          </cell>
          <cell r="DU2538">
            <v>14.922226332154823</v>
          </cell>
          <cell r="DV2538">
            <v>11.644336226312735</v>
          </cell>
          <cell r="DW2538">
            <v>9.8476005987137558</v>
          </cell>
          <cell r="DX2538">
            <v>7.1073990168282446</v>
          </cell>
          <cell r="DY2538">
            <v>12.587802180599267</v>
          </cell>
        </row>
        <row r="2539">
          <cell r="A2539">
            <v>43018</v>
          </cell>
          <cell r="DF2539">
            <v>29.513388212152947</v>
          </cell>
          <cell r="DG2539">
            <v>21.679348620667902</v>
          </cell>
          <cell r="DH2539">
            <v>18.362277992096409</v>
          </cell>
          <cell r="DI2539">
            <v>14.300000632844487</v>
          </cell>
          <cell r="DJ2539">
            <v>22.424555351348332</v>
          </cell>
          <cell r="DU2539">
            <v>15.72828794702767</v>
          </cell>
          <cell r="DV2539">
            <v>11.644336226312735</v>
          </cell>
          <cell r="DW2539">
            <v>9.8476005987137558</v>
          </cell>
          <cell r="DX2539">
            <v>7.1073990168282446</v>
          </cell>
          <cell r="DY2539">
            <v>12.587802180599267</v>
          </cell>
        </row>
        <row r="2540">
          <cell r="A2540">
            <v>43019</v>
          </cell>
          <cell r="DF2540">
            <v>29.299038092784812</v>
          </cell>
          <cell r="DG2540">
            <v>21.679348620667902</v>
          </cell>
          <cell r="DH2540">
            <v>18.362277992096409</v>
          </cell>
          <cell r="DI2540">
            <v>14.300000632844487</v>
          </cell>
          <cell r="DJ2540">
            <v>22.424555351348332</v>
          </cell>
          <cell r="DU2540">
            <v>15.619494194043083</v>
          </cell>
          <cell r="DV2540">
            <v>11.644336226312735</v>
          </cell>
          <cell r="DW2540">
            <v>9.8476005987137558</v>
          </cell>
          <cell r="DX2540">
            <v>7.1073990168282446</v>
          </cell>
          <cell r="DY2540">
            <v>12.587802180599267</v>
          </cell>
        </row>
        <row r="2541">
          <cell r="A2541">
            <v>43020</v>
          </cell>
          <cell r="DF2541">
            <v>29.604045886274196</v>
          </cell>
          <cell r="DG2541">
            <v>21.679348620667902</v>
          </cell>
          <cell r="DH2541">
            <v>18.362277992096409</v>
          </cell>
          <cell r="DI2541">
            <v>14.300000632844487</v>
          </cell>
          <cell r="DJ2541">
            <v>22.424555351348332</v>
          </cell>
          <cell r="DU2541">
            <v>15.787627251800766</v>
          </cell>
          <cell r="DV2541">
            <v>11.644336226312735</v>
          </cell>
          <cell r="DW2541">
            <v>9.8476005987137558</v>
          </cell>
          <cell r="DX2541">
            <v>7.1073990168282446</v>
          </cell>
          <cell r="DY2541">
            <v>12.587802180599267</v>
          </cell>
        </row>
        <row r="2542">
          <cell r="A2542">
            <v>43021</v>
          </cell>
          <cell r="DF2542">
            <v>29.487420298959069</v>
          </cell>
          <cell r="DG2542">
            <v>21.679348620667902</v>
          </cell>
          <cell r="DH2542">
            <v>18.362277992096409</v>
          </cell>
          <cell r="DI2542">
            <v>14.300000632844487</v>
          </cell>
          <cell r="DJ2542">
            <v>22.424555351348332</v>
          </cell>
          <cell r="DU2542">
            <v>15.787627251800766</v>
          </cell>
          <cell r="DV2542">
            <v>11.644336226312735</v>
          </cell>
          <cell r="DW2542">
            <v>9.8476005987137558</v>
          </cell>
          <cell r="DX2542">
            <v>7.1073990168282446</v>
          </cell>
          <cell r="DY2542">
            <v>12.587802180599267</v>
          </cell>
        </row>
        <row r="2543">
          <cell r="A2543">
            <v>43024</v>
          </cell>
          <cell r="DF2543">
            <v>29.374437890977134</v>
          </cell>
          <cell r="DG2543">
            <v>21.679348620667902</v>
          </cell>
          <cell r="DH2543">
            <v>18.362277992096409</v>
          </cell>
          <cell r="DI2543">
            <v>14.300000632844487</v>
          </cell>
          <cell r="DJ2543">
            <v>22.424555351348332</v>
          </cell>
          <cell r="DU2543">
            <v>15.787627251800766</v>
          </cell>
          <cell r="DV2543">
            <v>11.644336226312735</v>
          </cell>
          <cell r="DW2543">
            <v>9.8476005987137558</v>
          </cell>
          <cell r="DX2543">
            <v>7.1073990168282446</v>
          </cell>
          <cell r="DY2543">
            <v>12.587802180599267</v>
          </cell>
        </row>
        <row r="2544">
          <cell r="A2544">
            <v>43025</v>
          </cell>
          <cell r="DF2544">
            <v>29.729626614250101</v>
          </cell>
          <cell r="DG2544">
            <v>21.679348620667902</v>
          </cell>
          <cell r="DH2544">
            <v>18.362277992096409</v>
          </cell>
          <cell r="DI2544">
            <v>14.300000632844487</v>
          </cell>
          <cell r="DJ2544">
            <v>22.424555351348332</v>
          </cell>
          <cell r="DU2544">
            <v>15.916198630145535</v>
          </cell>
          <cell r="DV2544">
            <v>11.644336226312735</v>
          </cell>
          <cell r="DW2544">
            <v>9.8476005987137558</v>
          </cell>
          <cell r="DX2544">
            <v>7.1073990168282446</v>
          </cell>
          <cell r="DY2544">
            <v>12.587802180599267</v>
          </cell>
        </row>
        <row r="2545">
          <cell r="A2545">
            <v>43026</v>
          </cell>
          <cell r="DF2545">
            <v>29.139692766999499</v>
          </cell>
          <cell r="DG2545">
            <v>21.679348620667902</v>
          </cell>
          <cell r="DH2545">
            <v>18.362277992096409</v>
          </cell>
          <cell r="DI2545">
            <v>14.300000632844487</v>
          </cell>
          <cell r="DJ2545">
            <v>22.424555351348332</v>
          </cell>
          <cell r="DU2545">
            <v>15.589824788913944</v>
          </cell>
          <cell r="DV2545">
            <v>11.644336226312735</v>
          </cell>
          <cell r="DW2545">
            <v>9.8476005987137558</v>
          </cell>
          <cell r="DX2545">
            <v>7.1073990168282446</v>
          </cell>
          <cell r="DY2545">
            <v>12.587802180599267</v>
          </cell>
        </row>
        <row r="2546">
          <cell r="A2546">
            <v>43027</v>
          </cell>
          <cell r="DF2546">
            <v>29.171570375886912</v>
          </cell>
          <cell r="DG2546">
            <v>21.679348620667902</v>
          </cell>
          <cell r="DH2546">
            <v>18.362277992096409</v>
          </cell>
          <cell r="DI2546">
            <v>14.300000632844487</v>
          </cell>
          <cell r="DJ2546">
            <v>22.424555351348332</v>
          </cell>
          <cell r="DU2546">
            <v>15.619494194043083</v>
          </cell>
          <cell r="DV2546">
            <v>11.644336226312735</v>
          </cell>
          <cell r="DW2546">
            <v>9.8476005987137558</v>
          </cell>
          <cell r="DX2546">
            <v>7.1073990168282446</v>
          </cell>
          <cell r="DY2546">
            <v>12.587802180599267</v>
          </cell>
        </row>
        <row r="2547">
          <cell r="A2547">
            <v>43028</v>
          </cell>
          <cell r="DF2547">
            <v>29.3055434313391</v>
          </cell>
          <cell r="DG2547">
            <v>21.679348620667902</v>
          </cell>
          <cell r="DH2547">
            <v>18.362277992096409</v>
          </cell>
          <cell r="DI2547">
            <v>14.300000632844487</v>
          </cell>
          <cell r="DJ2547">
            <v>22.424555351348332</v>
          </cell>
          <cell r="DU2547">
            <v>15.693668448638155</v>
          </cell>
          <cell r="DV2547">
            <v>11.644336226312735</v>
          </cell>
          <cell r="DW2547">
            <v>9.8476005987137558</v>
          </cell>
          <cell r="DX2547">
            <v>7.1073990168282446</v>
          </cell>
          <cell r="DY2547">
            <v>12.587802180599267</v>
          </cell>
        </row>
        <row r="2548">
          <cell r="A2548">
            <v>43031</v>
          </cell>
          <cell r="DF2548">
            <v>30.947278820378543</v>
          </cell>
          <cell r="DG2548">
            <v>21.679348620667902</v>
          </cell>
          <cell r="DH2548">
            <v>18.362277992096409</v>
          </cell>
          <cell r="DI2548">
            <v>14.300000632844487</v>
          </cell>
          <cell r="DJ2548">
            <v>22.424555351348332</v>
          </cell>
          <cell r="DU2548">
            <v>15.693668448638155</v>
          </cell>
          <cell r="DV2548">
            <v>11.644336226312735</v>
          </cell>
          <cell r="DW2548">
            <v>9.8476005987137558</v>
          </cell>
          <cell r="DX2548">
            <v>7.1073990168282446</v>
          </cell>
          <cell r="DY2548">
            <v>12.587802180599267</v>
          </cell>
        </row>
        <row r="2549">
          <cell r="A2549">
            <v>43032</v>
          </cell>
          <cell r="DF2549">
            <v>29.849962930273612</v>
          </cell>
          <cell r="DG2549">
            <v>21.679348620667902</v>
          </cell>
          <cell r="DH2549">
            <v>18.362277992096409</v>
          </cell>
          <cell r="DI2549">
            <v>14.300000632844487</v>
          </cell>
          <cell r="DJ2549">
            <v>22.424555351348332</v>
          </cell>
          <cell r="DU2549">
            <v>16.171958460542225</v>
          </cell>
          <cell r="DV2549">
            <v>11.644336226312735</v>
          </cell>
          <cell r="DW2549">
            <v>9.8476005987137558</v>
          </cell>
          <cell r="DX2549">
            <v>7.1073990168282446</v>
          </cell>
          <cell r="DY2549">
            <v>12.587802180599267</v>
          </cell>
        </row>
        <row r="2550">
          <cell r="A2550">
            <v>43033</v>
          </cell>
          <cell r="DF2550">
            <v>29.593997352162397</v>
          </cell>
          <cell r="DG2550">
            <v>21.679348620667902</v>
          </cell>
          <cell r="DH2550">
            <v>18.362277992096409</v>
          </cell>
          <cell r="DI2550">
            <v>14.300000632844487</v>
          </cell>
          <cell r="DJ2550">
            <v>22.424555351348332</v>
          </cell>
          <cell r="DU2550">
            <v>16.02873224912226</v>
          </cell>
          <cell r="DV2550">
            <v>11.644336226312735</v>
          </cell>
          <cell r="DW2550">
            <v>9.8476005987137558</v>
          </cell>
          <cell r="DX2550">
            <v>7.1073990168282446</v>
          </cell>
          <cell r="DY2550">
            <v>12.587802180599267</v>
          </cell>
        </row>
        <row r="2551">
          <cell r="A2551">
            <v>43034</v>
          </cell>
          <cell r="DF2551">
            <v>29.020304501323917</v>
          </cell>
          <cell r="DG2551">
            <v>21.679348620667902</v>
          </cell>
          <cell r="DH2551">
            <v>18.362277992096409</v>
          </cell>
          <cell r="DI2551">
            <v>14.300000632844487</v>
          </cell>
          <cell r="DJ2551">
            <v>22.424555351348332</v>
          </cell>
          <cell r="DU2551">
            <v>15.707720907868346</v>
          </cell>
          <cell r="DV2551">
            <v>11.644336226312735</v>
          </cell>
          <cell r="DW2551">
            <v>9.8476005987137558</v>
          </cell>
          <cell r="DX2551">
            <v>7.1073990168282446</v>
          </cell>
          <cell r="DY2551">
            <v>12.587802180599267</v>
          </cell>
        </row>
        <row r="2552">
          <cell r="A2552">
            <v>43035</v>
          </cell>
          <cell r="DF2552">
            <v>29.232123565754634</v>
          </cell>
          <cell r="DG2552">
            <v>21.679348620667902</v>
          </cell>
          <cell r="DH2552">
            <v>18.362277992096409</v>
          </cell>
          <cell r="DI2552">
            <v>14.300000632844487</v>
          </cell>
          <cell r="DJ2552">
            <v>22.424555351348332</v>
          </cell>
          <cell r="DU2552">
            <v>15.707720907868346</v>
          </cell>
          <cell r="DV2552">
            <v>11.644336226312735</v>
          </cell>
          <cell r="DW2552">
            <v>9.8476005987137558</v>
          </cell>
          <cell r="DX2552">
            <v>7.1073990168282446</v>
          </cell>
          <cell r="DY2552">
            <v>12.587802180599267</v>
          </cell>
        </row>
        <row r="2553">
          <cell r="A2553">
            <v>43038</v>
          </cell>
          <cell r="DF2553">
            <v>29.188003530450132</v>
          </cell>
          <cell r="DG2553">
            <v>21.679348620667902</v>
          </cell>
          <cell r="DH2553">
            <v>18.362277992096409</v>
          </cell>
          <cell r="DI2553">
            <v>14.300000632844487</v>
          </cell>
          <cell r="DJ2553">
            <v>22.424555351348332</v>
          </cell>
          <cell r="DU2553">
            <v>15.826244821625808</v>
          </cell>
          <cell r="DV2553">
            <v>11.644336226312735</v>
          </cell>
          <cell r="DW2553">
            <v>9.8476005987137558</v>
          </cell>
          <cell r="DX2553">
            <v>7.1073990168282446</v>
          </cell>
          <cell r="DY2553">
            <v>12.587802180599267</v>
          </cell>
        </row>
        <row r="2554">
          <cell r="A2554">
            <v>43039</v>
          </cell>
          <cell r="DF2554">
            <v>29.786055996715945</v>
          </cell>
          <cell r="DG2554">
            <v>21.679348620667902</v>
          </cell>
          <cell r="DH2554">
            <v>18.362277992096409</v>
          </cell>
          <cell r="DI2554">
            <v>14.300000632844487</v>
          </cell>
          <cell r="DJ2554">
            <v>22.424555351348332</v>
          </cell>
          <cell r="DU2554">
            <v>16.132448019948932</v>
          </cell>
          <cell r="DV2554">
            <v>11.644336226312735</v>
          </cell>
          <cell r="DW2554">
            <v>9.8476005987137558</v>
          </cell>
          <cell r="DX2554">
            <v>7.1073990168282446</v>
          </cell>
          <cell r="DY2554">
            <v>12.587802180599267</v>
          </cell>
        </row>
        <row r="2555">
          <cell r="A2555">
            <v>43040</v>
          </cell>
          <cell r="DF2555">
            <v>28.673705026285706</v>
          </cell>
          <cell r="DG2555">
            <v>21.679348620667902</v>
          </cell>
          <cell r="DH2555">
            <v>18.362277992096409</v>
          </cell>
          <cell r="DI2555">
            <v>14.300000632844487</v>
          </cell>
          <cell r="DJ2555">
            <v>22.424555351348332</v>
          </cell>
          <cell r="DU2555">
            <v>15.510169198770051</v>
          </cell>
          <cell r="DV2555">
            <v>11.644336226312735</v>
          </cell>
          <cell r="DW2555">
            <v>9.8476005987137558</v>
          </cell>
          <cell r="DX2555">
            <v>7.1073990168282446</v>
          </cell>
          <cell r="DY2555">
            <v>12.587802180599267</v>
          </cell>
        </row>
        <row r="2556">
          <cell r="A2556">
            <v>43041</v>
          </cell>
          <cell r="DF2556">
            <v>28.761991445559243</v>
          </cell>
          <cell r="DG2556">
            <v>21.679348620667902</v>
          </cell>
          <cell r="DH2556">
            <v>18.362277992096409</v>
          </cell>
          <cell r="DI2556">
            <v>14.300000632844487</v>
          </cell>
          <cell r="DJ2556">
            <v>22.424555351348332</v>
          </cell>
          <cell r="DU2556">
            <v>15.55955897805023</v>
          </cell>
          <cell r="DV2556">
            <v>11.644336226312735</v>
          </cell>
          <cell r="DW2556">
            <v>9.8476005987137558</v>
          </cell>
          <cell r="DX2556">
            <v>7.1073990168282446</v>
          </cell>
          <cell r="DY2556">
            <v>12.587802180599267</v>
          </cell>
        </row>
        <row r="2557">
          <cell r="A2557">
            <v>43042</v>
          </cell>
          <cell r="DF2557">
            <v>29.421392630061639</v>
          </cell>
          <cell r="DG2557">
            <v>21.679348620667902</v>
          </cell>
          <cell r="DH2557">
            <v>18.362277992096409</v>
          </cell>
          <cell r="DI2557">
            <v>14.300000632844487</v>
          </cell>
          <cell r="DJ2557">
            <v>22.424555351348332</v>
          </cell>
          <cell r="DU2557">
            <v>15.964494458179571</v>
          </cell>
          <cell r="DV2557">
            <v>11.644336226312735</v>
          </cell>
          <cell r="DW2557">
            <v>9.8476005987137558</v>
          </cell>
          <cell r="DX2557">
            <v>7.1073990168282446</v>
          </cell>
          <cell r="DY2557">
            <v>12.587802180599267</v>
          </cell>
        </row>
        <row r="2558">
          <cell r="A2558">
            <v>43045</v>
          </cell>
          <cell r="DF2558">
            <v>29.275618374558302</v>
          </cell>
          <cell r="DG2558">
            <v>21.679348620667902</v>
          </cell>
          <cell r="DH2558">
            <v>18.362277992096409</v>
          </cell>
          <cell r="DI2558">
            <v>14.300000632844487</v>
          </cell>
          <cell r="DJ2558">
            <v>22.424555351348332</v>
          </cell>
          <cell r="DU2558">
            <v>15.964494458179571</v>
          </cell>
          <cell r="DV2558">
            <v>11.644336226312735</v>
          </cell>
          <cell r="DW2558">
            <v>9.8476005987137558</v>
          </cell>
          <cell r="DX2558">
            <v>7.1073990168282446</v>
          </cell>
          <cell r="DY2558">
            <v>12.587802180599267</v>
          </cell>
        </row>
        <row r="2559">
          <cell r="A2559">
            <v>43046</v>
          </cell>
          <cell r="DF2559">
            <v>29.566356015299952</v>
          </cell>
          <cell r="DG2559">
            <v>21.679348620667902</v>
          </cell>
          <cell r="DH2559">
            <v>18.362277992096409</v>
          </cell>
          <cell r="DI2559">
            <v>14.300000632844487</v>
          </cell>
          <cell r="DJ2559">
            <v>22.424555351348332</v>
          </cell>
          <cell r="DU2559">
            <v>16.063665198686746</v>
          </cell>
          <cell r="DV2559">
            <v>11.644336226312735</v>
          </cell>
          <cell r="DW2559">
            <v>9.8476005987137558</v>
          </cell>
          <cell r="DX2559">
            <v>7.1073990168282446</v>
          </cell>
          <cell r="DY2559">
            <v>12.587802180599267</v>
          </cell>
        </row>
        <row r="2560">
          <cell r="A2560">
            <v>43047</v>
          </cell>
          <cell r="DF2560">
            <v>29.787198219128474</v>
          </cell>
          <cell r="DG2560">
            <v>21.679348620667902</v>
          </cell>
          <cell r="DH2560">
            <v>18.362277992096409</v>
          </cell>
          <cell r="DI2560">
            <v>14.300000632844487</v>
          </cell>
          <cell r="DJ2560">
            <v>22.424555351348332</v>
          </cell>
          <cell r="DU2560">
            <v>16.187630483799982</v>
          </cell>
          <cell r="DV2560">
            <v>11.644336226312735</v>
          </cell>
          <cell r="DW2560">
            <v>9.8476005987137558</v>
          </cell>
          <cell r="DX2560">
            <v>7.1073990168282446</v>
          </cell>
          <cell r="DY2560">
            <v>12.587802180599267</v>
          </cell>
        </row>
        <row r="2561">
          <cell r="A2561">
            <v>43048</v>
          </cell>
          <cell r="DF2561">
            <v>29.460356174306337</v>
          </cell>
          <cell r="DG2561">
            <v>21.679348620667902</v>
          </cell>
          <cell r="DH2561">
            <v>18.362277992096409</v>
          </cell>
          <cell r="DI2561">
            <v>14.300000632844487</v>
          </cell>
          <cell r="DJ2561">
            <v>22.424555351348332</v>
          </cell>
          <cell r="DU2561">
            <v>16.00416434113809</v>
          </cell>
          <cell r="DV2561">
            <v>11.644336226312735</v>
          </cell>
          <cell r="DW2561">
            <v>9.8476005987137558</v>
          </cell>
          <cell r="DX2561">
            <v>7.1073990168282446</v>
          </cell>
          <cell r="DY2561">
            <v>12.587802180599267</v>
          </cell>
        </row>
        <row r="2562">
          <cell r="A2562">
            <v>43049</v>
          </cell>
          <cell r="DF2562">
            <v>30.522129203539826</v>
          </cell>
          <cell r="DG2562">
            <v>21.679348620667902</v>
          </cell>
          <cell r="DH2562">
            <v>18.362277992096409</v>
          </cell>
          <cell r="DI2562">
            <v>14.300000632844487</v>
          </cell>
          <cell r="DJ2562">
            <v>22.424555351348332</v>
          </cell>
          <cell r="DU2562">
            <v>16.569445545393322</v>
          </cell>
          <cell r="DV2562">
            <v>11.644336226312735</v>
          </cell>
          <cell r="DW2562">
            <v>9.8476005987137558</v>
          </cell>
          <cell r="DX2562">
            <v>7.1073990168282446</v>
          </cell>
          <cell r="DY2562">
            <v>12.587802180599267</v>
          </cell>
        </row>
        <row r="2563">
          <cell r="A2563">
            <v>43052</v>
          </cell>
          <cell r="DF2563">
            <v>30.309734513274339</v>
          </cell>
          <cell r="DG2563">
            <v>21.679348620667902</v>
          </cell>
          <cell r="DH2563">
            <v>18.362277992096409</v>
          </cell>
          <cell r="DI2563">
            <v>14.300000632844487</v>
          </cell>
          <cell r="DJ2563">
            <v>22.424555351348332</v>
          </cell>
          <cell r="DU2563">
            <v>16.569445545393322</v>
          </cell>
          <cell r="DV2563">
            <v>11.644336226312735</v>
          </cell>
          <cell r="DW2563">
            <v>9.8476005987137558</v>
          </cell>
          <cell r="DX2563">
            <v>7.1073990168282446</v>
          </cell>
          <cell r="DY2563">
            <v>12.587802180599267</v>
          </cell>
        </row>
        <row r="2564">
          <cell r="A2564">
            <v>43053</v>
          </cell>
          <cell r="DF2564">
            <v>30.294042524946345</v>
          </cell>
          <cell r="DG2564">
            <v>21.679348620667902</v>
          </cell>
          <cell r="DH2564">
            <v>18.362277992096409</v>
          </cell>
          <cell r="DI2564">
            <v>14.300000632844487</v>
          </cell>
          <cell r="DJ2564">
            <v>22.424555351348332</v>
          </cell>
          <cell r="DU2564">
            <v>16.44051669026415</v>
          </cell>
          <cell r="DV2564">
            <v>11.644336226312735</v>
          </cell>
          <cell r="DW2564">
            <v>9.8476005987137558</v>
          </cell>
          <cell r="DX2564">
            <v>7.1073990168282446</v>
          </cell>
          <cell r="DY2564">
            <v>12.587802180599267</v>
          </cell>
        </row>
        <row r="2565">
          <cell r="A2565">
            <v>43054</v>
          </cell>
          <cell r="DF2565">
            <v>30.294042524946345</v>
          </cell>
          <cell r="DG2565">
            <v>21.679348620667902</v>
          </cell>
          <cell r="DH2565">
            <v>18.362277992096409</v>
          </cell>
          <cell r="DI2565">
            <v>14.300000632844487</v>
          </cell>
          <cell r="DJ2565">
            <v>22.424555351348332</v>
          </cell>
          <cell r="DU2565">
            <v>16.44051669026415</v>
          </cell>
          <cell r="DV2565">
            <v>11.644336226312735</v>
          </cell>
          <cell r="DW2565">
            <v>9.8476005987137558</v>
          </cell>
          <cell r="DX2565">
            <v>7.1073990168282446</v>
          </cell>
          <cell r="DY2565">
            <v>12.587802180599267</v>
          </cell>
        </row>
        <row r="2566">
          <cell r="A2566">
            <v>43055</v>
          </cell>
          <cell r="DF2566">
            <v>30.258648140363295</v>
          </cell>
          <cell r="DG2566">
            <v>21.679348620667902</v>
          </cell>
          <cell r="DH2566">
            <v>18.362277992096409</v>
          </cell>
          <cell r="DI2566">
            <v>14.300000632844487</v>
          </cell>
          <cell r="DJ2566">
            <v>22.424555351348332</v>
          </cell>
          <cell r="DU2566">
            <v>16.420685715674011</v>
          </cell>
          <cell r="DV2566">
            <v>11.644336226312735</v>
          </cell>
          <cell r="DW2566">
            <v>9.8476005987137558</v>
          </cell>
          <cell r="DX2566">
            <v>7.1073990168282446</v>
          </cell>
          <cell r="DY2566">
            <v>12.587802180599267</v>
          </cell>
        </row>
        <row r="2567">
          <cell r="A2567">
            <v>43056</v>
          </cell>
          <cell r="DF2567">
            <v>30.62720759717314</v>
          </cell>
          <cell r="DG2567">
            <v>21.679348620667902</v>
          </cell>
          <cell r="DH2567">
            <v>18.362277992096409</v>
          </cell>
          <cell r="DI2567">
            <v>14.300000632844487</v>
          </cell>
          <cell r="DJ2567">
            <v>22.424555351348332</v>
          </cell>
          <cell r="DU2567">
            <v>16.658697079646871</v>
          </cell>
          <cell r="DV2567">
            <v>11.644336226312735</v>
          </cell>
          <cell r="DW2567">
            <v>9.8476005987137558</v>
          </cell>
          <cell r="DX2567">
            <v>7.1073990168282446</v>
          </cell>
          <cell r="DY2567">
            <v>12.587802180599267</v>
          </cell>
        </row>
        <row r="2568">
          <cell r="A2568">
            <v>43059</v>
          </cell>
          <cell r="DF2568">
            <v>30.556534452296813</v>
          </cell>
          <cell r="DG2568">
            <v>21.679348620667902</v>
          </cell>
          <cell r="DH2568">
            <v>18.362277992096409</v>
          </cell>
          <cell r="DI2568">
            <v>14.300000632844487</v>
          </cell>
          <cell r="DJ2568">
            <v>22.424555351348332</v>
          </cell>
          <cell r="DU2568">
            <v>16.619027196688354</v>
          </cell>
          <cell r="DV2568">
            <v>11.644336226312735</v>
          </cell>
          <cell r="DW2568">
            <v>9.8476005987137558</v>
          </cell>
          <cell r="DX2568">
            <v>7.1073990168282446</v>
          </cell>
          <cell r="DY2568">
            <v>12.587802180599267</v>
          </cell>
        </row>
        <row r="2569">
          <cell r="A2569">
            <v>43060</v>
          </cell>
          <cell r="DF2569">
            <v>30.340107773851589</v>
          </cell>
          <cell r="DG2569">
            <v>21.679348620667902</v>
          </cell>
          <cell r="DH2569">
            <v>18.362277992096409</v>
          </cell>
          <cell r="DI2569">
            <v>14.300000632844487</v>
          </cell>
          <cell r="DJ2569">
            <v>22.424555351348332</v>
          </cell>
          <cell r="DU2569">
            <v>16.619027196688354</v>
          </cell>
          <cell r="DV2569">
            <v>11.644336226312735</v>
          </cell>
          <cell r="DW2569">
            <v>9.8476005987137558</v>
          </cell>
          <cell r="DX2569">
            <v>7.1073990168282446</v>
          </cell>
          <cell r="DY2569">
            <v>12.587802180599267</v>
          </cell>
        </row>
        <row r="2570">
          <cell r="A2570">
            <v>43061</v>
          </cell>
          <cell r="DF2570">
            <v>29.960789707461029</v>
          </cell>
          <cell r="DG2570">
            <v>21.679348620667902</v>
          </cell>
          <cell r="DH2570">
            <v>18.362277992096409</v>
          </cell>
          <cell r="DI2570">
            <v>14.300000632844487</v>
          </cell>
          <cell r="DJ2570">
            <v>22.424555351348332</v>
          </cell>
          <cell r="DU2570">
            <v>16.480951111900708</v>
          </cell>
          <cell r="DV2570">
            <v>11.644336226312735</v>
          </cell>
          <cell r="DW2570">
            <v>9.8476005987137558</v>
          </cell>
          <cell r="DX2570">
            <v>7.1073990168282446</v>
          </cell>
          <cell r="DY2570">
            <v>12.587802180599267</v>
          </cell>
        </row>
        <row r="2571">
          <cell r="A2571">
            <v>43062</v>
          </cell>
          <cell r="DF2571">
            <v>30.453668004754324</v>
          </cell>
          <cell r="DG2571">
            <v>21.679348620667902</v>
          </cell>
          <cell r="DH2571">
            <v>18.362277992096409</v>
          </cell>
          <cell r="DI2571">
            <v>14.300000632844487</v>
          </cell>
          <cell r="DJ2571">
            <v>22.424555351348332</v>
          </cell>
          <cell r="DU2571">
            <v>16.760831871449618</v>
          </cell>
          <cell r="DV2571">
            <v>11.644336226312735</v>
          </cell>
          <cell r="DW2571">
            <v>9.8476005987137558</v>
          </cell>
          <cell r="DX2571">
            <v>7.1073990168282446</v>
          </cell>
          <cell r="DY2571">
            <v>12.587802180599267</v>
          </cell>
        </row>
        <row r="2572">
          <cell r="A2572">
            <v>43063</v>
          </cell>
          <cell r="DF2572">
            <v>30.681824300702257</v>
          </cell>
          <cell r="DG2572">
            <v>21.679348620667902</v>
          </cell>
          <cell r="DH2572">
            <v>18.362277992096409</v>
          </cell>
          <cell r="DI2572">
            <v>14.300000632844487</v>
          </cell>
          <cell r="DJ2572">
            <v>22.424555351348332</v>
          </cell>
          <cell r="DU2572">
            <v>16.854952217849398</v>
          </cell>
          <cell r="DV2572">
            <v>11.644336226312735</v>
          </cell>
          <cell r="DW2572">
            <v>9.8476005987137558</v>
          </cell>
          <cell r="DX2572">
            <v>7.1073990168282446</v>
          </cell>
          <cell r="DY2572">
            <v>12.587802180599267</v>
          </cell>
        </row>
        <row r="2573">
          <cell r="A2573">
            <v>43066</v>
          </cell>
          <cell r="DF2573">
            <v>30.052451923079815</v>
          </cell>
          <cell r="DG2573">
            <v>21.679348620667902</v>
          </cell>
          <cell r="DH2573">
            <v>18.362277992096409</v>
          </cell>
          <cell r="DI2573">
            <v>14.300000632844487</v>
          </cell>
          <cell r="DJ2573">
            <v>22.424555351348332</v>
          </cell>
          <cell r="DU2573">
            <v>16.854952217849398</v>
          </cell>
          <cell r="DV2573">
            <v>11.644336226312735</v>
          </cell>
          <cell r="DW2573">
            <v>9.8476005987137558</v>
          </cell>
          <cell r="DX2573">
            <v>7.1073990168282446</v>
          </cell>
          <cell r="DY2573">
            <v>12.587802180599267</v>
          </cell>
        </row>
        <row r="2574">
          <cell r="A2574">
            <v>43067</v>
          </cell>
          <cell r="DF2574">
            <v>30.445805944058879</v>
          </cell>
          <cell r="DG2574">
            <v>21.679348620667902</v>
          </cell>
          <cell r="DH2574">
            <v>18.362277992096409</v>
          </cell>
          <cell r="DI2574">
            <v>14.300000632844487</v>
          </cell>
          <cell r="DJ2574">
            <v>22.424555351348332</v>
          </cell>
          <cell r="DU2574">
            <v>16.721201886908975</v>
          </cell>
          <cell r="DV2574">
            <v>11.644336226312735</v>
          </cell>
          <cell r="DW2574">
            <v>9.8476005987137558</v>
          </cell>
          <cell r="DX2574">
            <v>7.1073990168282446</v>
          </cell>
          <cell r="DY2574">
            <v>12.587802180599267</v>
          </cell>
        </row>
        <row r="2575">
          <cell r="A2575">
            <v>43068</v>
          </cell>
          <cell r="DF2575">
            <v>29.493012237765079</v>
          </cell>
          <cell r="DG2575">
            <v>21.679348620667902</v>
          </cell>
          <cell r="DH2575">
            <v>18.362277992096409</v>
          </cell>
          <cell r="DI2575">
            <v>14.300000632844487</v>
          </cell>
          <cell r="DJ2575">
            <v>22.424555351348332</v>
          </cell>
          <cell r="DU2575">
            <v>16.181258827618439</v>
          </cell>
          <cell r="DV2575">
            <v>11.644336226312735</v>
          </cell>
          <cell r="DW2575">
            <v>9.8476005987137558</v>
          </cell>
          <cell r="DX2575">
            <v>7.1073990168282446</v>
          </cell>
          <cell r="DY2575">
            <v>12.587802180599267</v>
          </cell>
        </row>
        <row r="2576">
          <cell r="A2576">
            <v>43069</v>
          </cell>
          <cell r="DF2576">
            <v>30.297206293709213</v>
          </cell>
          <cell r="DG2576">
            <v>21.679348620667902</v>
          </cell>
          <cell r="DH2576">
            <v>18.362277992096409</v>
          </cell>
          <cell r="DI2576">
            <v>14.300000632844487</v>
          </cell>
          <cell r="DJ2576">
            <v>22.424555351348332</v>
          </cell>
          <cell r="DU2576">
            <v>16.181258827618439</v>
          </cell>
          <cell r="DV2576">
            <v>11.644336226312735</v>
          </cell>
          <cell r="DW2576">
            <v>9.8476005987137558</v>
          </cell>
          <cell r="DX2576">
            <v>7.1073990168282446</v>
          </cell>
          <cell r="DY2576">
            <v>12.587802180599267</v>
          </cell>
        </row>
        <row r="2577">
          <cell r="A2577">
            <v>43070</v>
          </cell>
          <cell r="DF2577">
            <v>30.425881958762066</v>
          </cell>
          <cell r="DG2577">
            <v>21.679348620667902</v>
          </cell>
          <cell r="DH2577">
            <v>18.362277992096409</v>
          </cell>
          <cell r="DI2577">
            <v>14.300000632844487</v>
          </cell>
          <cell r="DJ2577">
            <v>22.424555351348332</v>
          </cell>
          <cell r="DU2577">
            <v>16.711362398230136</v>
          </cell>
          <cell r="DV2577">
            <v>11.644336226312735</v>
          </cell>
          <cell r="DW2577">
            <v>9.8476005987137558</v>
          </cell>
          <cell r="DX2577">
            <v>7.1073990168282446</v>
          </cell>
          <cell r="DY2577">
            <v>12.587802180599267</v>
          </cell>
        </row>
        <row r="2578">
          <cell r="A2578">
            <v>43073</v>
          </cell>
          <cell r="DF2578">
            <v>31.123438791155635</v>
          </cell>
          <cell r="DG2578">
            <v>21.679348620667902</v>
          </cell>
          <cell r="DH2578">
            <v>18.362277992096409</v>
          </cell>
          <cell r="DI2578">
            <v>14.300000632844487</v>
          </cell>
          <cell r="DJ2578">
            <v>22.424555351348332</v>
          </cell>
          <cell r="DU2578">
            <v>16.704336800215867</v>
          </cell>
          <cell r="DV2578">
            <v>11.644336226312735</v>
          </cell>
          <cell r="DW2578">
            <v>9.8476005987137558</v>
          </cell>
          <cell r="DX2578">
            <v>7.1073990168282446</v>
          </cell>
          <cell r="DY2578">
            <v>12.587802180599267</v>
          </cell>
        </row>
        <row r="2579">
          <cell r="A2579">
            <v>43074</v>
          </cell>
          <cell r="DF2579">
            <v>31.578950872329493</v>
          </cell>
          <cell r="DG2579">
            <v>21.679348620667902</v>
          </cell>
          <cell r="DH2579">
            <v>18.362277992096409</v>
          </cell>
          <cell r="DI2579">
            <v>14.300000632844487</v>
          </cell>
          <cell r="DJ2579">
            <v>22.424555351348332</v>
          </cell>
          <cell r="DU2579">
            <v>16.956439995333202</v>
          </cell>
          <cell r="DV2579">
            <v>11.644336226312735</v>
          </cell>
          <cell r="DW2579">
            <v>9.8476005987137558</v>
          </cell>
          <cell r="DX2579">
            <v>7.1073990168282446</v>
          </cell>
          <cell r="DY2579">
            <v>12.587802180599267</v>
          </cell>
        </row>
        <row r="2580">
          <cell r="A2580">
            <v>43075</v>
          </cell>
          <cell r="DF2580">
            <v>31.578950872329493</v>
          </cell>
          <cell r="DG2580">
            <v>21.679348620667902</v>
          </cell>
          <cell r="DH2580">
            <v>18.362277992096409</v>
          </cell>
          <cell r="DI2580">
            <v>14.300000632844487</v>
          </cell>
          <cell r="DJ2580">
            <v>22.424555351348332</v>
          </cell>
          <cell r="DU2580">
            <v>16.956439995333202</v>
          </cell>
          <cell r="DV2580">
            <v>11.644336226312735</v>
          </cell>
          <cell r="DW2580">
            <v>9.8476005987137558</v>
          </cell>
          <cell r="DX2580">
            <v>7.1073990168282446</v>
          </cell>
          <cell r="DY2580">
            <v>12.587802180599267</v>
          </cell>
        </row>
        <row r="2581">
          <cell r="A2581">
            <v>43076</v>
          </cell>
          <cell r="DF2581">
            <v>31.351188261919951</v>
          </cell>
          <cell r="DG2581">
            <v>21.679348620667902</v>
          </cell>
          <cell r="DH2581">
            <v>18.362277992096409</v>
          </cell>
          <cell r="DI2581">
            <v>14.300000632844487</v>
          </cell>
          <cell r="DJ2581">
            <v>22.424555351348332</v>
          </cell>
          <cell r="DU2581">
            <v>16.956439995333202</v>
          </cell>
          <cell r="DV2581">
            <v>11.644336226312735</v>
          </cell>
          <cell r="DW2581">
            <v>9.8476005987137558</v>
          </cell>
          <cell r="DX2581">
            <v>7.1073990168282446</v>
          </cell>
          <cell r="DY2581">
            <v>12.587802180599267</v>
          </cell>
        </row>
        <row r="2582">
          <cell r="A2582">
            <v>43077</v>
          </cell>
          <cell r="DF2582">
            <v>32.270966055919601</v>
          </cell>
          <cell r="DG2582">
            <v>21.679348620667902</v>
          </cell>
          <cell r="DH2582">
            <v>18.362277992096409</v>
          </cell>
          <cell r="DI2582">
            <v>14.300000632844487</v>
          </cell>
          <cell r="DJ2582">
            <v>22.424555351348332</v>
          </cell>
          <cell r="DU2582">
            <v>17.339435850027531</v>
          </cell>
          <cell r="DV2582">
            <v>11.644336226312735</v>
          </cell>
          <cell r="DW2582">
            <v>9.8476005987137558</v>
          </cell>
          <cell r="DX2582">
            <v>7.1073990168282446</v>
          </cell>
          <cell r="DY2582">
            <v>12.587802180599267</v>
          </cell>
        </row>
        <row r="2583">
          <cell r="A2583">
            <v>43080</v>
          </cell>
          <cell r="DF2583">
            <v>33.278346740641211</v>
          </cell>
          <cell r="DG2583">
            <v>21.679348620667902</v>
          </cell>
          <cell r="DH2583">
            <v>18.362277992096409</v>
          </cell>
          <cell r="DI2583">
            <v>14.300000632844487</v>
          </cell>
          <cell r="DJ2583">
            <v>22.424555351348332</v>
          </cell>
          <cell r="DU2583">
            <v>17.339435850027531</v>
          </cell>
          <cell r="DV2583">
            <v>11.644336226312735</v>
          </cell>
          <cell r="DW2583">
            <v>9.8476005987137558</v>
          </cell>
          <cell r="DX2583">
            <v>7.1073990168282446</v>
          </cell>
          <cell r="DY2583">
            <v>12.587802180599267</v>
          </cell>
        </row>
        <row r="2584">
          <cell r="A2584">
            <v>43081</v>
          </cell>
          <cell r="DF2584">
            <v>33.82370944187258</v>
          </cell>
          <cell r="DG2584">
            <v>21.679348620667902</v>
          </cell>
          <cell r="DH2584">
            <v>18.362277992096409</v>
          </cell>
          <cell r="DI2584">
            <v>14.300000632844487</v>
          </cell>
          <cell r="DJ2584">
            <v>22.424555351348332</v>
          </cell>
          <cell r="DU2584">
            <v>18.202395696962959</v>
          </cell>
          <cell r="DV2584">
            <v>11.644336226312735</v>
          </cell>
          <cell r="DW2584">
            <v>9.8476005987137558</v>
          </cell>
          <cell r="DX2584">
            <v>7.1073990168282446</v>
          </cell>
          <cell r="DY2584">
            <v>12.587802180599267</v>
          </cell>
        </row>
        <row r="2585">
          <cell r="A2585">
            <v>43082</v>
          </cell>
          <cell r="DF2585">
            <v>34.65064513793687</v>
          </cell>
          <cell r="DG2585">
            <v>21.679348620667902</v>
          </cell>
          <cell r="DH2585">
            <v>18.362277992096409</v>
          </cell>
          <cell r="DI2585">
            <v>14.300000632844487</v>
          </cell>
          <cell r="DJ2585">
            <v>22.424555351348332</v>
          </cell>
          <cell r="DU2585">
            <v>18.896570628873132</v>
          </cell>
          <cell r="DV2585">
            <v>11.644336226312735</v>
          </cell>
          <cell r="DW2585">
            <v>9.8476005987137558</v>
          </cell>
          <cell r="DX2585">
            <v>7.1073990168282446</v>
          </cell>
          <cell r="DY2585">
            <v>12.587802180599267</v>
          </cell>
        </row>
        <row r="2586">
          <cell r="A2586">
            <v>43083</v>
          </cell>
          <cell r="DF2586">
            <v>35.076384910581901</v>
          </cell>
          <cell r="DG2586">
            <v>21.679348620667902</v>
          </cell>
          <cell r="DH2586">
            <v>18.362277992096409</v>
          </cell>
          <cell r="DI2586">
            <v>14.300000632844487</v>
          </cell>
          <cell r="DJ2586">
            <v>22.424555351348332</v>
          </cell>
          <cell r="DU2586">
            <v>19.135174716677842</v>
          </cell>
          <cell r="DV2586">
            <v>11.644336226312735</v>
          </cell>
          <cell r="DW2586">
            <v>9.8476005987137558</v>
          </cell>
          <cell r="DX2586">
            <v>7.1073990168282446</v>
          </cell>
          <cell r="DY2586">
            <v>12.587802180599267</v>
          </cell>
        </row>
        <row r="2587">
          <cell r="A2587">
            <v>43084</v>
          </cell>
          <cell r="DF2587">
            <v>35.076384910581901</v>
          </cell>
          <cell r="DG2587">
            <v>21.679348620667902</v>
          </cell>
          <cell r="DH2587">
            <v>18.362277992096409</v>
          </cell>
          <cell r="DI2587">
            <v>14.300000632844487</v>
          </cell>
          <cell r="DJ2587">
            <v>22.424555351348332</v>
          </cell>
          <cell r="DU2587">
            <v>19.135174716677842</v>
          </cell>
          <cell r="DV2587">
            <v>11.644336226312735</v>
          </cell>
          <cell r="DW2587">
            <v>9.8476005987137558</v>
          </cell>
          <cell r="DX2587">
            <v>7.1073990168282446</v>
          </cell>
          <cell r="DY2587">
            <v>12.587802180599267</v>
          </cell>
        </row>
        <row r="2588">
          <cell r="A2588">
            <v>43087</v>
          </cell>
          <cell r="DF2588">
            <v>35.550080775915411</v>
          </cell>
          <cell r="DG2588">
            <v>21.679348620667902</v>
          </cell>
          <cell r="DH2588">
            <v>18.362277992096409</v>
          </cell>
          <cell r="DI2588">
            <v>14.300000632844487</v>
          </cell>
          <cell r="DJ2588">
            <v>22.424555351348332</v>
          </cell>
          <cell r="DU2588">
            <v>19.135174716677842</v>
          </cell>
          <cell r="DV2588">
            <v>11.644336226312735</v>
          </cell>
          <cell r="DW2588">
            <v>9.8476005987137558</v>
          </cell>
          <cell r="DX2588">
            <v>7.1073990168282446</v>
          </cell>
          <cell r="DY2588">
            <v>12.587802180599267</v>
          </cell>
        </row>
        <row r="2589">
          <cell r="A2589">
            <v>43088</v>
          </cell>
          <cell r="DF2589">
            <v>35.625833148132408</v>
          </cell>
          <cell r="DG2589">
            <v>21.679348620667902</v>
          </cell>
          <cell r="DH2589">
            <v>18.362277992096409</v>
          </cell>
          <cell r="DI2589">
            <v>14.300000632844487</v>
          </cell>
          <cell r="DJ2589">
            <v>22.424555351348332</v>
          </cell>
          <cell r="DU2589">
            <v>19.446826109440011</v>
          </cell>
          <cell r="DV2589">
            <v>11.644336226312735</v>
          </cell>
          <cell r="DW2589">
            <v>9.8476005987137558</v>
          </cell>
          <cell r="DX2589">
            <v>7.1073990168282446</v>
          </cell>
          <cell r="DY2589">
            <v>12.587802180599267</v>
          </cell>
        </row>
        <row r="2590">
          <cell r="A2590">
            <v>43089</v>
          </cell>
          <cell r="DF2590">
            <v>33.434028945729807</v>
          </cell>
          <cell r="DG2590">
            <v>21.679348620667902</v>
          </cell>
          <cell r="DH2590">
            <v>18.362277992096409</v>
          </cell>
          <cell r="DI2590">
            <v>14.300000632844487</v>
          </cell>
          <cell r="DJ2590">
            <v>22.424555351348332</v>
          </cell>
          <cell r="DU2590">
            <v>18.507415945409029</v>
          </cell>
          <cell r="DV2590">
            <v>11.644336226312735</v>
          </cell>
          <cell r="DW2590">
            <v>9.8476005987137558</v>
          </cell>
          <cell r="DX2590">
            <v>7.1073990168282446</v>
          </cell>
          <cell r="DY2590">
            <v>12.587802180599267</v>
          </cell>
        </row>
        <row r="2591">
          <cell r="A2591">
            <v>43090</v>
          </cell>
          <cell r="DF2591">
            <v>34.055586780480418</v>
          </cell>
          <cell r="DG2591">
            <v>21.679348620667902</v>
          </cell>
          <cell r="DH2591">
            <v>18.362277992096409</v>
          </cell>
          <cell r="DI2591">
            <v>14.300000632844487</v>
          </cell>
          <cell r="DJ2591">
            <v>22.424555351348332</v>
          </cell>
          <cell r="DU2591">
            <v>18.680757388579767</v>
          </cell>
          <cell r="DV2591">
            <v>11.644336226312735</v>
          </cell>
          <cell r="DW2591">
            <v>9.8476005987137558</v>
          </cell>
          <cell r="DX2591">
            <v>7.1073990168282446</v>
          </cell>
          <cell r="DY2591">
            <v>12.587802180599267</v>
          </cell>
        </row>
        <row r="2592">
          <cell r="A2592">
            <v>43091</v>
          </cell>
          <cell r="DF2592">
            <v>32.287156927120648</v>
          </cell>
          <cell r="DG2592">
            <v>21.679348620667902</v>
          </cell>
          <cell r="DH2592">
            <v>18.362277992096409</v>
          </cell>
          <cell r="DI2592">
            <v>14.300000632844487</v>
          </cell>
          <cell r="DJ2592">
            <v>22.424555351348332</v>
          </cell>
          <cell r="DU2592">
            <v>18.680757388579767</v>
          </cell>
          <cell r="DV2592">
            <v>11.644336226312735</v>
          </cell>
          <cell r="DW2592">
            <v>9.8476005987137558</v>
          </cell>
          <cell r="DX2592">
            <v>7.1073990168282446</v>
          </cell>
          <cell r="DY2592">
            <v>12.587802180599267</v>
          </cell>
        </row>
        <row r="2593">
          <cell r="A2593">
            <v>43094</v>
          </cell>
          <cell r="DF2593">
            <v>32.597397402600663</v>
          </cell>
          <cell r="DG2593">
            <v>21.679348620667902</v>
          </cell>
          <cell r="DH2593">
            <v>18.362277992096409</v>
          </cell>
          <cell r="DI2593">
            <v>14.300000632844487</v>
          </cell>
          <cell r="DJ2593">
            <v>22.424555351348332</v>
          </cell>
          <cell r="DU2593">
            <v>18.0371358306198</v>
          </cell>
          <cell r="DV2593">
            <v>11.644336226312735</v>
          </cell>
          <cell r="DW2593">
            <v>9.8476005987137558</v>
          </cell>
          <cell r="DX2593">
            <v>7.1073990168282446</v>
          </cell>
          <cell r="DY2593">
            <v>12.587802180599267</v>
          </cell>
        </row>
        <row r="2594">
          <cell r="A2594">
            <v>43095</v>
          </cell>
          <cell r="DF2594">
            <v>31.307362770565906</v>
          </cell>
          <cell r="DG2594">
            <v>21.679348620667902</v>
          </cell>
          <cell r="DH2594">
            <v>18.362277992096409</v>
          </cell>
          <cell r="DI2594">
            <v>14.300000632844487</v>
          </cell>
          <cell r="DJ2594">
            <v>22.424555351348332</v>
          </cell>
          <cell r="DU2594">
            <v>17.302349856939411</v>
          </cell>
          <cell r="DV2594">
            <v>11.644336226312735</v>
          </cell>
          <cell r="DW2594">
            <v>9.8476005987137558</v>
          </cell>
          <cell r="DX2594">
            <v>7.1073990168282446</v>
          </cell>
          <cell r="DY2594">
            <v>12.587802180599267</v>
          </cell>
        </row>
        <row r="2595">
          <cell r="A2595">
            <v>43096</v>
          </cell>
          <cell r="DF2595">
            <v>29.783544588747571</v>
          </cell>
          <cell r="DG2595">
            <v>21.679348620667902</v>
          </cell>
          <cell r="DH2595">
            <v>18.362277992096409</v>
          </cell>
          <cell r="DI2595">
            <v>14.300000632844487</v>
          </cell>
          <cell r="DJ2595">
            <v>22.424555351348332</v>
          </cell>
          <cell r="DU2595">
            <v>17.302349856939411</v>
          </cell>
          <cell r="DV2595">
            <v>11.644336226312735</v>
          </cell>
          <cell r="DW2595">
            <v>9.8476005987137558</v>
          </cell>
          <cell r="DX2595">
            <v>7.1073990168282446</v>
          </cell>
          <cell r="DY2595">
            <v>12.587802180599267</v>
          </cell>
        </row>
        <row r="2596">
          <cell r="A2596">
            <v>43097</v>
          </cell>
          <cell r="DF2596">
            <v>30.672375160602641</v>
          </cell>
          <cell r="DG2596">
            <v>21.679348620667902</v>
          </cell>
          <cell r="DH2596">
            <v>18.362277992096409</v>
          </cell>
          <cell r="DI2596">
            <v>14.300000632844487</v>
          </cell>
          <cell r="DJ2596">
            <v>22.424555351348332</v>
          </cell>
          <cell r="DU2596">
            <v>17.095439755781914</v>
          </cell>
          <cell r="DV2596">
            <v>11.644336226312735</v>
          </cell>
          <cell r="DW2596">
            <v>9.8476005987137558</v>
          </cell>
          <cell r="DX2596">
            <v>7.1073990168282446</v>
          </cell>
          <cell r="DY2596">
            <v>12.587802180599267</v>
          </cell>
        </row>
        <row r="2597">
          <cell r="A2597">
            <v>43098</v>
          </cell>
          <cell r="DF2597">
            <v>27.301120935702933</v>
          </cell>
          <cell r="DG2597">
            <v>21.679348620667902</v>
          </cell>
          <cell r="DH2597">
            <v>18.362277992096409</v>
          </cell>
          <cell r="DI2597">
            <v>14.300000632844487</v>
          </cell>
          <cell r="DJ2597">
            <v>22.424555351348332</v>
          </cell>
          <cell r="DU2597">
            <v>15.801046032989696</v>
          </cell>
          <cell r="DV2597">
            <v>11.644336226312735</v>
          </cell>
          <cell r="DW2597">
            <v>9.8476005987137558</v>
          </cell>
          <cell r="DX2597">
            <v>7.1073990168282446</v>
          </cell>
          <cell r="DY2597">
            <v>12.587802180599267</v>
          </cell>
        </row>
        <row r="2598">
          <cell r="A2598">
            <v>43101</v>
          </cell>
          <cell r="DF2598">
            <v>26.228889841868074</v>
          </cell>
          <cell r="DG2598">
            <v>21.679348620667902</v>
          </cell>
          <cell r="DH2598">
            <v>18.362277992096409</v>
          </cell>
          <cell r="DI2598">
            <v>14.300000632844487</v>
          </cell>
          <cell r="DJ2598">
            <v>22.424555351348332</v>
          </cell>
          <cell r="DU2598">
            <v>15.814519139692662</v>
          </cell>
          <cell r="DV2598">
            <v>11.644336226312735</v>
          </cell>
          <cell r="DW2598">
            <v>9.8476005987137558</v>
          </cell>
          <cell r="DX2598">
            <v>7.1073990168282446</v>
          </cell>
          <cell r="DY2598">
            <v>12.587802180599267</v>
          </cell>
        </row>
        <row r="2599">
          <cell r="A2599">
            <v>43102</v>
          </cell>
          <cell r="DF2599">
            <v>26.499939967788936</v>
          </cell>
          <cell r="DG2599">
            <v>21.679348620667902</v>
          </cell>
          <cell r="DH2599">
            <v>18.362277992096409</v>
          </cell>
          <cell r="DI2599">
            <v>14.300000632844487</v>
          </cell>
          <cell r="DJ2599">
            <v>22.424555351348332</v>
          </cell>
          <cell r="DU2599">
            <v>15.389794775538032</v>
          </cell>
          <cell r="DV2599">
            <v>11.644336226312735</v>
          </cell>
          <cell r="DW2599">
            <v>9.8476005987137558</v>
          </cell>
          <cell r="DX2599">
            <v>7.1073990168282446</v>
          </cell>
          <cell r="DY2599">
            <v>12.587802180599267</v>
          </cell>
        </row>
        <row r="2600">
          <cell r="A2600">
            <v>43103</v>
          </cell>
          <cell r="DF2600">
            <v>26.708976691959698</v>
          </cell>
          <cell r="DG2600">
            <v>21.679348620667902</v>
          </cell>
          <cell r="DH2600">
            <v>18.362277992096409</v>
          </cell>
          <cell r="DI2600">
            <v>14.300000632844487</v>
          </cell>
          <cell r="DJ2600">
            <v>22.424555351348332</v>
          </cell>
          <cell r="DU2600">
            <v>15.516722184383351</v>
          </cell>
          <cell r="DV2600">
            <v>11.644336226312735</v>
          </cell>
          <cell r="DW2600">
            <v>9.8476005987137558</v>
          </cell>
          <cell r="DX2600">
            <v>7.1073990168282446</v>
          </cell>
          <cell r="DY2600">
            <v>12.587802180599267</v>
          </cell>
        </row>
        <row r="2601">
          <cell r="A2601">
            <v>43104</v>
          </cell>
          <cell r="DF2601">
            <v>26.53908244111615</v>
          </cell>
          <cell r="DG2601">
            <v>21.679348620667902</v>
          </cell>
          <cell r="DH2601">
            <v>18.362277992096409</v>
          </cell>
          <cell r="DI2601">
            <v>14.300000632844487</v>
          </cell>
          <cell r="DJ2601">
            <v>22.424555351348332</v>
          </cell>
          <cell r="DU2601">
            <v>15.433730566664215</v>
          </cell>
          <cell r="DV2601">
            <v>11.644336226312735</v>
          </cell>
          <cell r="DW2601">
            <v>9.8476005987137558</v>
          </cell>
          <cell r="DX2601">
            <v>7.1073990168282446</v>
          </cell>
          <cell r="DY2601">
            <v>12.587802180599267</v>
          </cell>
        </row>
        <row r="2602">
          <cell r="A2602">
            <v>43105</v>
          </cell>
          <cell r="DF2602">
            <v>27.061025428268238</v>
          </cell>
          <cell r="DG2602">
            <v>21.679348620667902</v>
          </cell>
          <cell r="DH2602">
            <v>18.362277992096409</v>
          </cell>
          <cell r="DI2602">
            <v>14.300000632844487</v>
          </cell>
          <cell r="DJ2602">
            <v>22.424555351348332</v>
          </cell>
          <cell r="DU2602">
            <v>15.751051773832028</v>
          </cell>
          <cell r="DV2602">
            <v>11.644336226312735</v>
          </cell>
          <cell r="DW2602">
            <v>9.8476005987137558</v>
          </cell>
          <cell r="DX2602">
            <v>7.1073990168282446</v>
          </cell>
          <cell r="DY2602">
            <v>12.587802180599267</v>
          </cell>
        </row>
        <row r="2603">
          <cell r="A2603">
            <v>43108</v>
          </cell>
          <cell r="DF2603">
            <v>26.804072537475914</v>
          </cell>
          <cell r="DG2603">
            <v>21.679348620667902</v>
          </cell>
          <cell r="DH2603">
            <v>18.362277992096409</v>
          </cell>
          <cell r="DI2603">
            <v>14.300000632844487</v>
          </cell>
          <cell r="DJ2603">
            <v>22.424555351348332</v>
          </cell>
          <cell r="DU2603">
            <v>15.751051773832028</v>
          </cell>
          <cell r="DV2603">
            <v>11.644336226312735</v>
          </cell>
          <cell r="DW2603">
            <v>9.8476005987137558</v>
          </cell>
          <cell r="DX2603">
            <v>7.1073990168282446</v>
          </cell>
          <cell r="DY2603">
            <v>12.587802180599267</v>
          </cell>
        </row>
        <row r="2604">
          <cell r="A2604">
            <v>43109</v>
          </cell>
          <cell r="DF2604">
            <v>26.353412048195409</v>
          </cell>
          <cell r="DG2604">
            <v>21.679348620667902</v>
          </cell>
          <cell r="DH2604">
            <v>18.362277992096409</v>
          </cell>
          <cell r="DI2604">
            <v>14.300000632844487</v>
          </cell>
          <cell r="DJ2604">
            <v>22.424555351348332</v>
          </cell>
          <cell r="DU2604">
            <v>15.316561622310175</v>
          </cell>
          <cell r="DV2604">
            <v>11.644336226312735</v>
          </cell>
          <cell r="DW2604">
            <v>9.8476005987137558</v>
          </cell>
          <cell r="DX2604">
            <v>7.1073990168282446</v>
          </cell>
          <cell r="DY2604">
            <v>12.587802180599267</v>
          </cell>
        </row>
        <row r="2605">
          <cell r="A2605">
            <v>43110</v>
          </cell>
          <cell r="DF2605">
            <v>25.991548455244214</v>
          </cell>
          <cell r="DG2605">
            <v>21.679348620667902</v>
          </cell>
          <cell r="DH2605">
            <v>18.362277992096409</v>
          </cell>
          <cell r="DI2605">
            <v>14.300000632844487</v>
          </cell>
          <cell r="DJ2605">
            <v>22.424555351348332</v>
          </cell>
          <cell r="DU2605">
            <v>15.333637140968506</v>
          </cell>
          <cell r="DV2605">
            <v>11.644336226312735</v>
          </cell>
          <cell r="DW2605">
            <v>9.8476005987137558</v>
          </cell>
          <cell r="DX2605">
            <v>7.1073990168282446</v>
          </cell>
          <cell r="DY2605">
            <v>12.587802180599267</v>
          </cell>
        </row>
        <row r="2606">
          <cell r="A2606">
            <v>43111</v>
          </cell>
          <cell r="DF2606">
            <v>25.785585423820905</v>
          </cell>
          <cell r="DG2606">
            <v>21.679348620667902</v>
          </cell>
          <cell r="DH2606">
            <v>18.362277992096409</v>
          </cell>
          <cell r="DI2606">
            <v>14.300000632844487</v>
          </cell>
          <cell r="DJ2606">
            <v>22.424555351348332</v>
          </cell>
          <cell r="DU2606">
            <v>15.333637140968506</v>
          </cell>
          <cell r="DV2606">
            <v>11.644336226312735</v>
          </cell>
          <cell r="DW2606">
            <v>9.8476005987137558</v>
          </cell>
          <cell r="DX2606">
            <v>7.1073990168282446</v>
          </cell>
          <cell r="DY2606">
            <v>12.587802180599267</v>
          </cell>
        </row>
        <row r="2607">
          <cell r="A2607">
            <v>43112</v>
          </cell>
          <cell r="DF2607">
            <v>26.210664722224113</v>
          </cell>
          <cell r="DG2607">
            <v>21.679348620667902</v>
          </cell>
          <cell r="DH2607">
            <v>18.362277992096409</v>
          </cell>
          <cell r="DI2607">
            <v>14.300000632844487</v>
          </cell>
          <cell r="DJ2607">
            <v>22.424555351348332</v>
          </cell>
          <cell r="DU2607">
            <v>15.578005133859678</v>
          </cell>
          <cell r="DV2607">
            <v>11.644336226312735</v>
          </cell>
          <cell r="DW2607">
            <v>9.8476005987137558</v>
          </cell>
          <cell r="DX2607">
            <v>7.1073990168282446</v>
          </cell>
          <cell r="DY2607">
            <v>12.587802180599267</v>
          </cell>
        </row>
        <row r="2608">
          <cell r="A2608">
            <v>43115</v>
          </cell>
          <cell r="DF2608">
            <v>25.730672748306212</v>
          </cell>
          <cell r="DG2608">
            <v>21.679348620667902</v>
          </cell>
          <cell r="DH2608">
            <v>18.362277992096409</v>
          </cell>
          <cell r="DI2608">
            <v>14.300000632844487</v>
          </cell>
          <cell r="DJ2608">
            <v>22.424555351348332</v>
          </cell>
          <cell r="DU2608">
            <v>15.279875693796466</v>
          </cell>
          <cell r="DV2608">
            <v>11.644336226312735</v>
          </cell>
          <cell r="DW2608">
            <v>9.8476005987137558</v>
          </cell>
          <cell r="DX2608">
            <v>7.1073990168282446</v>
          </cell>
          <cell r="DY2608">
            <v>12.587802180599267</v>
          </cell>
        </row>
        <row r="2609">
          <cell r="A2609">
            <v>43116</v>
          </cell>
          <cell r="DF2609">
            <v>26.076898260231271</v>
          </cell>
          <cell r="DG2609">
            <v>21.679348620667902</v>
          </cell>
          <cell r="DH2609">
            <v>18.362277992096409</v>
          </cell>
          <cell r="DI2609">
            <v>14.300000632844487</v>
          </cell>
          <cell r="DJ2609">
            <v>22.424555351348332</v>
          </cell>
          <cell r="DU2609">
            <v>15.49492099374865</v>
          </cell>
          <cell r="DV2609">
            <v>11.644336226312735</v>
          </cell>
          <cell r="DW2609">
            <v>9.8476005987137558</v>
          </cell>
          <cell r="DX2609">
            <v>7.1073990168282446</v>
          </cell>
          <cell r="DY2609">
            <v>12.587802180599267</v>
          </cell>
        </row>
        <row r="2610">
          <cell r="A2610">
            <v>43117</v>
          </cell>
          <cell r="DF2610">
            <v>26.169542386187857</v>
          </cell>
          <cell r="DG2610">
            <v>21.679348620667902</v>
          </cell>
          <cell r="DH2610">
            <v>18.362277992096409</v>
          </cell>
          <cell r="DI2610">
            <v>14.300000632844487</v>
          </cell>
          <cell r="DJ2610">
            <v>22.424555351348332</v>
          </cell>
          <cell r="DU2610">
            <v>15.592666724697157</v>
          </cell>
          <cell r="DV2610">
            <v>11.644336226312735</v>
          </cell>
          <cell r="DW2610">
            <v>9.8476005987137558</v>
          </cell>
          <cell r="DX2610">
            <v>7.1073990168282446</v>
          </cell>
          <cell r="DY2610">
            <v>12.587802180599267</v>
          </cell>
        </row>
        <row r="2611">
          <cell r="A2611">
            <v>43118</v>
          </cell>
          <cell r="DF2611">
            <v>25.76923233909206</v>
          </cell>
          <cell r="DG2611">
            <v>21.679348620667902</v>
          </cell>
          <cell r="DH2611">
            <v>18.362277992096409</v>
          </cell>
          <cell r="DI2611">
            <v>14.300000632844487</v>
          </cell>
          <cell r="DJ2611">
            <v>22.424555351348332</v>
          </cell>
          <cell r="DU2611">
            <v>15.592666724697157</v>
          </cell>
          <cell r="DV2611">
            <v>11.644336226312735</v>
          </cell>
          <cell r="DW2611">
            <v>9.8476005987137558</v>
          </cell>
          <cell r="DX2611">
            <v>7.1073990168282446</v>
          </cell>
          <cell r="DY2611">
            <v>12.587802180599267</v>
          </cell>
        </row>
        <row r="2612">
          <cell r="A2612">
            <v>43119</v>
          </cell>
          <cell r="DF2612">
            <v>25.447408948197207</v>
          </cell>
          <cell r="DG2612">
            <v>21.679348620667902</v>
          </cell>
          <cell r="DH2612">
            <v>18.362277992096409</v>
          </cell>
          <cell r="DI2612">
            <v>14.300000632844487</v>
          </cell>
          <cell r="DJ2612">
            <v>22.424555351348332</v>
          </cell>
          <cell r="DU2612">
            <v>15.150132865992438</v>
          </cell>
          <cell r="DV2612">
            <v>11.644336226312735</v>
          </cell>
          <cell r="DW2612">
            <v>9.8476005987137558</v>
          </cell>
          <cell r="DX2612">
            <v>7.1073990168282446</v>
          </cell>
          <cell r="DY2612">
            <v>12.587802180599267</v>
          </cell>
        </row>
        <row r="2613">
          <cell r="A2613">
            <v>43122</v>
          </cell>
          <cell r="DF2613">
            <v>24.655944175227759</v>
          </cell>
          <cell r="DG2613">
            <v>21.679348620667902</v>
          </cell>
          <cell r="DH2613">
            <v>18.362277992096409</v>
          </cell>
          <cell r="DI2613">
            <v>14.300000632844487</v>
          </cell>
          <cell r="DJ2613">
            <v>22.424555351348332</v>
          </cell>
          <cell r="DU2613">
            <v>15.090772985088339</v>
          </cell>
          <cell r="DV2613">
            <v>11.644336226312735</v>
          </cell>
          <cell r="DW2613">
            <v>9.8476005987137558</v>
          </cell>
          <cell r="DX2613">
            <v>7.1073990168282446</v>
          </cell>
          <cell r="DY2613">
            <v>12.587802180599267</v>
          </cell>
        </row>
        <row r="2614">
          <cell r="A2614">
            <v>43123</v>
          </cell>
          <cell r="DF2614">
            <v>25.586353944562902</v>
          </cell>
          <cell r="DG2614">
            <v>21.679348620667902</v>
          </cell>
          <cell r="DH2614">
            <v>18.362277992096409</v>
          </cell>
          <cell r="DI2614">
            <v>14.300000632844487</v>
          </cell>
          <cell r="DJ2614">
            <v>22.424555351348332</v>
          </cell>
          <cell r="DU2614">
            <v>15.373262118219646</v>
          </cell>
          <cell r="DV2614">
            <v>11.644336226312735</v>
          </cell>
          <cell r="DW2614">
            <v>9.8476005987137558</v>
          </cell>
          <cell r="DX2614">
            <v>7.1073990168282446</v>
          </cell>
          <cell r="DY2614">
            <v>12.587802180599267</v>
          </cell>
        </row>
        <row r="2615">
          <cell r="A2615">
            <v>43124</v>
          </cell>
          <cell r="DF2615">
            <v>25.687152548943594</v>
          </cell>
          <cell r="DG2615">
            <v>21.679348620667902</v>
          </cell>
          <cell r="DH2615">
            <v>18.362277992096409</v>
          </cell>
          <cell r="DI2615">
            <v>14.300000632844487</v>
          </cell>
          <cell r="DJ2615">
            <v>22.424555351348332</v>
          </cell>
          <cell r="DU2615">
            <v>15.43658097414013</v>
          </cell>
          <cell r="DV2615">
            <v>11.644336226312735</v>
          </cell>
          <cell r="DW2615">
            <v>9.8476005987137558</v>
          </cell>
          <cell r="DX2615">
            <v>7.1073990168282446</v>
          </cell>
          <cell r="DY2615">
            <v>12.587802180599267</v>
          </cell>
        </row>
        <row r="2616">
          <cell r="A2616">
            <v>43125</v>
          </cell>
          <cell r="DF2616">
            <v>24.888549718937778</v>
          </cell>
          <cell r="DG2616">
            <v>21.679348620667902</v>
          </cell>
          <cell r="DH2616">
            <v>18.362277992096409</v>
          </cell>
          <cell r="DI2616">
            <v>14.300000632844487</v>
          </cell>
          <cell r="DJ2616">
            <v>22.424555351348332</v>
          </cell>
          <cell r="DU2616">
            <v>14.934921076748603</v>
          </cell>
          <cell r="DV2616">
            <v>11.644336226312735</v>
          </cell>
          <cell r="DW2616">
            <v>9.8476005987137558</v>
          </cell>
          <cell r="DX2616">
            <v>7.1073990168282446</v>
          </cell>
          <cell r="DY2616">
            <v>12.587802180599267</v>
          </cell>
        </row>
        <row r="2617">
          <cell r="A2617">
            <v>43126</v>
          </cell>
          <cell r="DF2617">
            <v>25.384769141306457</v>
          </cell>
          <cell r="DG2617">
            <v>21.679348620667902</v>
          </cell>
          <cell r="DH2617">
            <v>18.362277992096409</v>
          </cell>
          <cell r="DI2617">
            <v>14.300000632844487</v>
          </cell>
          <cell r="DJ2617">
            <v>22.424555351348332</v>
          </cell>
          <cell r="DU2617">
            <v>15.24663219916892</v>
          </cell>
          <cell r="DV2617">
            <v>11.644336226312735</v>
          </cell>
          <cell r="DW2617">
            <v>9.8476005987137558</v>
          </cell>
          <cell r="DX2617">
            <v>7.1073990168282446</v>
          </cell>
          <cell r="DY2617">
            <v>12.587802180599267</v>
          </cell>
        </row>
        <row r="2618">
          <cell r="A2618">
            <v>43129</v>
          </cell>
          <cell r="DF2618">
            <v>24.663692963752666</v>
          </cell>
          <cell r="DG2618">
            <v>21.679348620667902</v>
          </cell>
          <cell r="DH2618">
            <v>18.362277992096409</v>
          </cell>
          <cell r="DI2618">
            <v>14.300000632844487</v>
          </cell>
          <cell r="DJ2618">
            <v>22.424555351348332</v>
          </cell>
          <cell r="DU2618">
            <v>15.24663219916892</v>
          </cell>
          <cell r="DV2618">
            <v>11.644336226312735</v>
          </cell>
          <cell r="DW2618">
            <v>9.8476005987137558</v>
          </cell>
          <cell r="DX2618">
            <v>7.1073990168282446</v>
          </cell>
          <cell r="DY2618">
            <v>12.587802180599267</v>
          </cell>
        </row>
        <row r="2619">
          <cell r="A2619">
            <v>43130</v>
          </cell>
          <cell r="DF2619">
            <v>25.25296220197713</v>
          </cell>
          <cell r="DG2619">
            <v>21.679348620667902</v>
          </cell>
          <cell r="DH2619">
            <v>18.362277992096409</v>
          </cell>
          <cell r="DI2619">
            <v>14.300000632844487</v>
          </cell>
          <cell r="DJ2619">
            <v>22.424555351348332</v>
          </cell>
          <cell r="DU2619">
            <v>15.163834777002307</v>
          </cell>
          <cell r="DV2619">
            <v>11.644336226312735</v>
          </cell>
          <cell r="DW2619">
            <v>9.8476005987137558</v>
          </cell>
          <cell r="DX2619">
            <v>7.1073990168282446</v>
          </cell>
          <cell r="DY2619">
            <v>12.587802180599267</v>
          </cell>
        </row>
        <row r="2620">
          <cell r="A2620">
            <v>43131</v>
          </cell>
          <cell r="DF2620">
            <v>25.601864702461718</v>
          </cell>
          <cell r="DG2620">
            <v>21.679348620667902</v>
          </cell>
          <cell r="DH2620">
            <v>18.362277992096409</v>
          </cell>
          <cell r="DI2620">
            <v>14.300000632844487</v>
          </cell>
          <cell r="DJ2620">
            <v>22.424555351348332</v>
          </cell>
          <cell r="DU2620">
            <v>15.383005541262524</v>
          </cell>
          <cell r="DV2620">
            <v>11.644336226312735</v>
          </cell>
          <cell r="DW2620">
            <v>9.8476005987137558</v>
          </cell>
          <cell r="DX2620">
            <v>7.1073990168282446</v>
          </cell>
          <cell r="DY2620">
            <v>12.587802180599267</v>
          </cell>
        </row>
        <row r="2621">
          <cell r="A2621">
            <v>43132</v>
          </cell>
          <cell r="DF2621">
            <v>22.492727272727272</v>
          </cell>
          <cell r="DG2621">
            <v>21.679348620667902</v>
          </cell>
          <cell r="DH2621">
            <v>18.362277992096409</v>
          </cell>
          <cell r="DI2621">
            <v>14.300000632844487</v>
          </cell>
          <cell r="DJ2621">
            <v>22.424555351348332</v>
          </cell>
          <cell r="DU2621">
            <v>13.355155424840127</v>
          </cell>
          <cell r="DV2621">
            <v>11.644336226312735</v>
          </cell>
          <cell r="DW2621">
            <v>9.8476005987137558</v>
          </cell>
          <cell r="DX2621">
            <v>7.1073990168282446</v>
          </cell>
          <cell r="DY2621">
            <v>12.587802180599267</v>
          </cell>
        </row>
        <row r="2622">
          <cell r="A2622">
            <v>43133</v>
          </cell>
          <cell r="DF2622">
            <v>22.678813723589844</v>
          </cell>
          <cell r="DG2622">
            <v>21.679348620667902</v>
          </cell>
          <cell r="DH2622">
            <v>18.362277992096409</v>
          </cell>
          <cell r="DI2622">
            <v>14.300000632844487</v>
          </cell>
          <cell r="DJ2622">
            <v>22.424555351348332</v>
          </cell>
          <cell r="DU2622">
            <v>13.471398852087026</v>
          </cell>
          <cell r="DV2622">
            <v>11.644336226312735</v>
          </cell>
          <cell r="DW2622">
            <v>9.8476005987137558</v>
          </cell>
          <cell r="DX2622">
            <v>7.1073990168282446</v>
          </cell>
          <cell r="DY2622">
            <v>12.587802180599267</v>
          </cell>
        </row>
        <row r="2623">
          <cell r="A2623">
            <v>43136</v>
          </cell>
          <cell r="DF2623">
            <v>22.601274665632875</v>
          </cell>
          <cell r="DG2623">
            <v>21.679348620667902</v>
          </cell>
          <cell r="DH2623">
            <v>18.362277992096409</v>
          </cell>
          <cell r="DI2623">
            <v>14.300000632844487</v>
          </cell>
          <cell r="DJ2623">
            <v>22.424555351348332</v>
          </cell>
          <cell r="DU2623">
            <v>13.471398852087026</v>
          </cell>
          <cell r="DV2623">
            <v>11.644336226312735</v>
          </cell>
          <cell r="DW2623">
            <v>9.8476005987137558</v>
          </cell>
          <cell r="DX2623">
            <v>7.1073990168282446</v>
          </cell>
          <cell r="DY2623">
            <v>12.587802180599267</v>
          </cell>
        </row>
      </sheetData>
      <sheetData sheetId="6">
        <row r="11">
          <cell r="AF11" t="str">
            <v>Abs NTM P/E</v>
          </cell>
        </row>
      </sheetData>
      <sheetData sheetId="7"/>
      <sheetData sheetId="8">
        <row r="8">
          <cell r="Z8">
            <v>1.133952236175263</v>
          </cell>
        </row>
      </sheetData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2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drawing3.xml" Type="http://schemas.openxmlformats.org/officeDocument/2006/relationships/drawing"/>
<Relationship Id="rId3" Target="../drawings/vmlDrawing1.vml" Type="http://schemas.openxmlformats.org/officeDocument/2006/relationships/vmlDrawing"/>
<Relationship Id="rId4" Target="../ctrlProps/ctrlProp1.xml" Type="http://schemas.openxmlformats.org/officeDocument/2006/relationships/ctrlProp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drawing4.xml" Type="http://schemas.openxmlformats.org/officeDocument/2006/relationships/drawing"/>
<Relationship Id="rId3" Target="../drawings/vmlDrawing2.vml" Type="http://schemas.openxmlformats.org/officeDocument/2006/relationships/vmlDrawing"/>
<Relationship Id="rId4" Target="../ctrlProps/ctrlProp2.xml" Type="http://schemas.openxmlformats.org/officeDocument/2006/relationships/ctrlProp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Relationship Id="rId2" Target="../drawings/drawing5.xml" Type="http://schemas.openxmlformats.org/officeDocument/2006/relationships/drawing"/>
<Relationship Id="rId3" Target="../drawings/vmlDrawing3.vml" Type="http://schemas.openxmlformats.org/officeDocument/2006/relationships/vmlDrawing"/>
<Relationship Id="rId4" Target="../ctrlProps/ctrlProp3.xml" Type="http://schemas.openxmlformats.org/officeDocument/2006/relationships/ctrlProp"/>
<Relationship Id="rId5" Target="../ctrlProps/ctrlProp4.xml" Type="http://schemas.openxmlformats.org/officeDocument/2006/relationships/ctrlProp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10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85"/>
  <sheetViews>
    <sheetView showGridLines="0" tabSelected="1" workbookViewId="0">
      <selection activeCell="Z1" sqref="Z1"/>
    </sheetView>
  </sheetViews>
  <sheetFormatPr defaultRowHeight="12.75" x14ac:dyDescent="0.2"/>
  <cols>
    <col min="1" max="1" width="25.7109375" style="920" customWidth="1"/>
    <col min="2" max="5" width="9.140625" style="920"/>
    <col min="6" max="6" width="18.7109375" style="920" customWidth="1"/>
    <col min="7" max="256" width="9.140625" style="920"/>
    <col min="257" max="257" width="100.7109375" style="920" customWidth="1"/>
    <col min="258" max="512" width="9.140625" style="920"/>
    <col min="513" max="513" width="100.7109375" style="920" customWidth="1"/>
    <col min="514" max="768" width="9.140625" style="920"/>
    <col min="769" max="769" width="100.7109375" style="920" customWidth="1"/>
    <col min="770" max="1024" width="9.140625" style="920"/>
    <col min="1025" max="1025" width="100.7109375" style="920" customWidth="1"/>
    <col min="1026" max="1280" width="9.140625" style="920"/>
    <col min="1281" max="1281" width="100.7109375" style="920" customWidth="1"/>
    <col min="1282" max="1536" width="9.140625" style="920"/>
    <col min="1537" max="1537" width="100.7109375" style="920" customWidth="1"/>
    <col min="1538" max="1792" width="9.140625" style="920"/>
    <col min="1793" max="1793" width="100.7109375" style="920" customWidth="1"/>
    <col min="1794" max="2048" width="9.140625" style="920"/>
    <col min="2049" max="2049" width="100.7109375" style="920" customWidth="1"/>
    <col min="2050" max="2304" width="9.140625" style="920"/>
    <col min="2305" max="2305" width="100.7109375" style="920" customWidth="1"/>
    <col min="2306" max="2560" width="9.140625" style="920"/>
    <col min="2561" max="2561" width="100.7109375" style="920" customWidth="1"/>
    <col min="2562" max="2816" width="9.140625" style="920"/>
    <col min="2817" max="2817" width="100.7109375" style="920" customWidth="1"/>
    <col min="2818" max="3072" width="9.140625" style="920"/>
    <col min="3073" max="3073" width="100.7109375" style="920" customWidth="1"/>
    <col min="3074" max="3328" width="9.140625" style="920"/>
    <col min="3329" max="3329" width="100.7109375" style="920" customWidth="1"/>
    <col min="3330" max="3584" width="9.140625" style="920"/>
    <col min="3585" max="3585" width="100.7109375" style="920" customWidth="1"/>
    <col min="3586" max="3840" width="9.140625" style="920"/>
    <col min="3841" max="3841" width="100.7109375" style="920" customWidth="1"/>
    <col min="3842" max="4096" width="9.140625" style="920"/>
    <col min="4097" max="4097" width="100.7109375" style="920" customWidth="1"/>
    <col min="4098" max="4352" width="9.140625" style="920"/>
    <col min="4353" max="4353" width="100.7109375" style="920" customWidth="1"/>
    <col min="4354" max="4608" width="9.140625" style="920"/>
    <col min="4609" max="4609" width="100.7109375" style="920" customWidth="1"/>
    <col min="4610" max="4864" width="9.140625" style="920"/>
    <col min="4865" max="4865" width="100.7109375" style="920" customWidth="1"/>
    <col min="4866" max="5120" width="9.140625" style="920"/>
    <col min="5121" max="5121" width="100.7109375" style="920" customWidth="1"/>
    <col min="5122" max="5376" width="9.140625" style="920"/>
    <col min="5377" max="5377" width="100.7109375" style="920" customWidth="1"/>
    <col min="5378" max="5632" width="9.140625" style="920"/>
    <col min="5633" max="5633" width="100.7109375" style="920" customWidth="1"/>
    <col min="5634" max="5888" width="9.140625" style="920"/>
    <col min="5889" max="5889" width="100.7109375" style="920" customWidth="1"/>
    <col min="5890" max="6144" width="9.140625" style="920"/>
    <col min="6145" max="6145" width="100.7109375" style="920" customWidth="1"/>
    <col min="6146" max="6400" width="9.140625" style="920"/>
    <col min="6401" max="6401" width="100.7109375" style="920" customWidth="1"/>
    <col min="6402" max="6656" width="9.140625" style="920"/>
    <col min="6657" max="6657" width="100.7109375" style="920" customWidth="1"/>
    <col min="6658" max="6912" width="9.140625" style="920"/>
    <col min="6913" max="6913" width="100.7109375" style="920" customWidth="1"/>
    <col min="6914" max="7168" width="9.140625" style="920"/>
    <col min="7169" max="7169" width="100.7109375" style="920" customWidth="1"/>
    <col min="7170" max="7424" width="9.140625" style="920"/>
    <col min="7425" max="7425" width="100.7109375" style="920" customWidth="1"/>
    <col min="7426" max="7680" width="9.140625" style="920"/>
    <col min="7681" max="7681" width="100.7109375" style="920" customWidth="1"/>
    <col min="7682" max="7936" width="9.140625" style="920"/>
    <col min="7937" max="7937" width="100.7109375" style="920" customWidth="1"/>
    <col min="7938" max="8192" width="9.140625" style="920"/>
    <col min="8193" max="8193" width="100.7109375" style="920" customWidth="1"/>
    <col min="8194" max="8448" width="9.140625" style="920"/>
    <col min="8449" max="8449" width="100.7109375" style="920" customWidth="1"/>
    <col min="8450" max="8704" width="9.140625" style="920"/>
    <col min="8705" max="8705" width="100.7109375" style="920" customWidth="1"/>
    <col min="8706" max="8960" width="9.140625" style="920"/>
    <col min="8961" max="8961" width="100.7109375" style="920" customWidth="1"/>
    <col min="8962" max="9216" width="9.140625" style="920"/>
    <col min="9217" max="9217" width="100.7109375" style="920" customWidth="1"/>
    <col min="9218" max="9472" width="9.140625" style="920"/>
    <col min="9473" max="9473" width="100.7109375" style="920" customWidth="1"/>
    <col min="9474" max="9728" width="9.140625" style="920"/>
    <col min="9729" max="9729" width="100.7109375" style="920" customWidth="1"/>
    <col min="9730" max="9984" width="9.140625" style="920"/>
    <col min="9985" max="9985" width="100.7109375" style="920" customWidth="1"/>
    <col min="9986" max="10240" width="9.140625" style="920"/>
    <col min="10241" max="10241" width="100.7109375" style="920" customWidth="1"/>
    <col min="10242" max="10496" width="9.140625" style="920"/>
    <col min="10497" max="10497" width="100.7109375" style="920" customWidth="1"/>
    <col min="10498" max="10752" width="9.140625" style="920"/>
    <col min="10753" max="10753" width="100.7109375" style="920" customWidth="1"/>
    <col min="10754" max="11008" width="9.140625" style="920"/>
    <col min="11009" max="11009" width="100.7109375" style="920" customWidth="1"/>
    <col min="11010" max="11264" width="9.140625" style="920"/>
    <col min="11265" max="11265" width="100.7109375" style="920" customWidth="1"/>
    <col min="11266" max="11520" width="9.140625" style="920"/>
    <col min="11521" max="11521" width="100.7109375" style="920" customWidth="1"/>
    <col min="11522" max="11776" width="9.140625" style="920"/>
    <col min="11777" max="11777" width="100.7109375" style="920" customWidth="1"/>
    <col min="11778" max="12032" width="9.140625" style="920"/>
    <col min="12033" max="12033" width="100.7109375" style="920" customWidth="1"/>
    <col min="12034" max="12288" width="9.140625" style="920"/>
    <col min="12289" max="12289" width="100.7109375" style="920" customWidth="1"/>
    <col min="12290" max="12544" width="9.140625" style="920"/>
    <col min="12545" max="12545" width="100.7109375" style="920" customWidth="1"/>
    <col min="12546" max="12800" width="9.140625" style="920"/>
    <col min="12801" max="12801" width="100.7109375" style="920" customWidth="1"/>
    <col min="12802" max="13056" width="9.140625" style="920"/>
    <col min="13057" max="13057" width="100.7109375" style="920" customWidth="1"/>
    <col min="13058" max="13312" width="9.140625" style="920"/>
    <col min="13313" max="13313" width="100.7109375" style="920" customWidth="1"/>
    <col min="13314" max="13568" width="9.140625" style="920"/>
    <col min="13569" max="13569" width="100.7109375" style="920" customWidth="1"/>
    <col min="13570" max="13824" width="9.140625" style="920"/>
    <col min="13825" max="13825" width="100.7109375" style="920" customWidth="1"/>
    <col min="13826" max="14080" width="9.140625" style="920"/>
    <col min="14081" max="14081" width="100.7109375" style="920" customWidth="1"/>
    <col min="14082" max="14336" width="9.140625" style="920"/>
    <col min="14337" max="14337" width="100.7109375" style="920" customWidth="1"/>
    <col min="14338" max="14592" width="9.140625" style="920"/>
    <col min="14593" max="14593" width="100.7109375" style="920" customWidth="1"/>
    <col min="14594" max="14848" width="9.140625" style="920"/>
    <col min="14849" max="14849" width="100.7109375" style="920" customWidth="1"/>
    <col min="14850" max="15104" width="9.140625" style="920"/>
    <col min="15105" max="15105" width="100.7109375" style="920" customWidth="1"/>
    <col min="15106" max="15360" width="9.140625" style="920"/>
    <col min="15361" max="15361" width="100.7109375" style="920" customWidth="1"/>
    <col min="15362" max="15616" width="9.140625" style="920"/>
    <col min="15617" max="15617" width="100.7109375" style="920" customWidth="1"/>
    <col min="15618" max="15872" width="9.140625" style="920"/>
    <col min="15873" max="15873" width="100.7109375" style="920" customWidth="1"/>
    <col min="15874" max="16128" width="9.140625" style="920"/>
    <col min="16129" max="16129" width="100.7109375" style="920" customWidth="1"/>
    <col min="16130" max="16384" width="9.140625" style="920"/>
  </cols>
  <sheetData>
    <row r="1" spans="1:8" ht="30" customHeight="1" x14ac:dyDescent="0.2">
      <c r="A1" s="918"/>
      <c r="B1" s="919"/>
      <c r="C1" s="919"/>
      <c r="D1" s="919"/>
      <c r="E1" s="919"/>
      <c r="F1" s="919"/>
      <c r="G1" s="919"/>
      <c r="H1" s="919"/>
    </row>
    <row r="2" spans="1:8" ht="14.25" x14ac:dyDescent="0.2">
      <c r="A2" s="921" t="s">
        <v>412</v>
      </c>
      <c r="B2" s="919"/>
      <c r="C2" s="919"/>
      <c r="D2" s="919"/>
      <c r="E2" s="919"/>
      <c r="F2" s="919"/>
      <c r="G2" s="919"/>
      <c r="H2" s="919"/>
    </row>
    <row r="3" spans="1:8" ht="14.25" x14ac:dyDescent="0.2">
      <c r="A3" s="921" t="s">
        <v>413</v>
      </c>
      <c r="B3" s="919"/>
      <c r="C3" s="919"/>
      <c r="D3" s="919"/>
      <c r="E3" s="919"/>
      <c r="F3" s="919"/>
      <c r="G3" s="919"/>
      <c r="H3" s="919"/>
    </row>
    <row r="4" spans="1:8" ht="14.25" x14ac:dyDescent="0.2">
      <c r="A4" s="921" t="s">
        <v>414</v>
      </c>
      <c r="B4" s="919"/>
      <c r="C4" s="919"/>
      <c r="D4" s="919"/>
      <c r="E4" s="919"/>
      <c r="F4" s="919"/>
      <c r="G4" s="919"/>
      <c r="H4" s="919"/>
    </row>
    <row r="5" spans="1:8" ht="14.25" x14ac:dyDescent="0.2">
      <c r="A5" s="921" t="s">
        <v>415</v>
      </c>
      <c r="B5" s="919"/>
      <c r="C5" s="919"/>
      <c r="D5" s="919"/>
      <c r="E5" s="919"/>
      <c r="F5" s="919"/>
      <c r="G5" s="919"/>
      <c r="H5" s="919"/>
    </row>
    <row r="6" spans="1:8" ht="14.25" x14ac:dyDescent="0.2">
      <c r="A6" s="921"/>
      <c r="B6" s="919"/>
      <c r="C6" s="919"/>
      <c r="D6" s="919"/>
      <c r="E6" s="919"/>
      <c r="F6" s="919"/>
      <c r="G6" s="919"/>
      <c r="H6" s="919"/>
    </row>
    <row r="7" spans="1:8" x14ac:dyDescent="0.2">
      <c r="A7" s="918" t="s">
        <v>416</v>
      </c>
      <c r="B7" s="919"/>
      <c r="C7" s="919"/>
      <c r="D7" s="919"/>
      <c r="E7" s="919"/>
      <c r="F7" s="919"/>
      <c r="G7" s="919"/>
      <c r="H7" s="919"/>
    </row>
    <row r="8" spans="1:8" x14ac:dyDescent="0.2">
      <c r="A8" s="918" t="s">
        <v>417</v>
      </c>
      <c r="B8" s="919"/>
      <c r="C8" s="919"/>
      <c r="D8" s="919"/>
      <c r="E8" s="919"/>
      <c r="F8" s="919"/>
      <c r="G8" s="919"/>
      <c r="H8" s="919"/>
    </row>
    <row r="9" spans="1:8" x14ac:dyDescent="0.2">
      <c r="A9" s="918"/>
      <c r="B9" s="919"/>
      <c r="C9" s="919"/>
      <c r="D9" s="919"/>
      <c r="E9" s="919"/>
      <c r="F9" s="919"/>
      <c r="G9" s="919"/>
      <c r="H9" s="919"/>
    </row>
    <row r="10" spans="1:8" x14ac:dyDescent="0.2">
      <c r="A10" s="922" t="s">
        <v>418</v>
      </c>
      <c r="B10" s="919"/>
      <c r="C10" s="919"/>
      <c r="D10" s="919"/>
      <c r="E10" s="919"/>
      <c r="F10" s="919"/>
      <c r="G10" s="919"/>
      <c r="H10" s="919"/>
    </row>
    <row r="11" spans="1:8" x14ac:dyDescent="0.2">
      <c r="A11" s="922" t="s">
        <v>419</v>
      </c>
      <c r="B11" s="919"/>
      <c r="C11" s="919"/>
      <c r="D11" s="919"/>
      <c r="E11" s="919"/>
      <c r="F11" s="919"/>
      <c r="G11" s="919"/>
      <c r="H11" s="919"/>
    </row>
    <row r="12" spans="1:8" x14ac:dyDescent="0.2">
      <c r="A12" s="922" t="s">
        <v>420</v>
      </c>
      <c r="B12" s="919"/>
      <c r="C12" s="919"/>
      <c r="D12" s="919"/>
      <c r="E12" s="919"/>
      <c r="F12" s="919"/>
      <c r="G12" s="919"/>
      <c r="H12" s="919"/>
    </row>
    <row r="13" spans="1:8" x14ac:dyDescent="0.2">
      <c r="A13" s="922" t="s">
        <v>421</v>
      </c>
      <c r="B13" s="919"/>
      <c r="C13" s="919"/>
      <c r="D13" s="919"/>
      <c r="E13" s="919"/>
      <c r="F13" s="919"/>
      <c r="G13" s="919"/>
      <c r="H13" s="919"/>
    </row>
    <row r="14" spans="1:8" x14ac:dyDescent="0.2">
      <c r="A14" s="922" t="s">
        <v>422</v>
      </c>
      <c r="B14" s="919"/>
      <c r="C14" s="919"/>
      <c r="D14" s="919"/>
      <c r="E14" s="919"/>
      <c r="F14" s="919"/>
      <c r="G14" s="919"/>
      <c r="H14" s="919"/>
    </row>
    <row r="15" spans="1:8" x14ac:dyDescent="0.2">
      <c r="A15" s="922" t="s">
        <v>423</v>
      </c>
      <c r="B15" s="919"/>
      <c r="C15" s="919"/>
      <c r="D15" s="919"/>
      <c r="E15" s="919"/>
      <c r="F15" s="919"/>
      <c r="G15" s="919"/>
      <c r="H15" s="919"/>
    </row>
    <row r="16" spans="1:8" x14ac:dyDescent="0.2">
      <c r="A16" s="922"/>
      <c r="B16" s="919"/>
      <c r="C16" s="919"/>
      <c r="D16" s="919"/>
      <c r="E16" s="919"/>
      <c r="F16" s="919"/>
      <c r="G16" s="919"/>
      <c r="H16" s="919"/>
    </row>
    <row r="17" spans="1:8" x14ac:dyDescent="0.2">
      <c r="A17" s="922" t="s">
        <v>409</v>
      </c>
      <c r="B17" s="919"/>
      <c r="C17" s="919"/>
      <c r="D17" s="919"/>
      <c r="E17" s="919"/>
      <c r="F17" s="919"/>
      <c r="G17" s="919"/>
      <c r="H17" s="919"/>
    </row>
    <row r="18" spans="1:8" x14ac:dyDescent="0.2">
      <c r="A18" s="922"/>
      <c r="B18" s="919"/>
      <c r="C18" s="919"/>
      <c r="D18" s="919"/>
      <c r="E18" s="919"/>
      <c r="F18" s="919"/>
      <c r="G18" s="919"/>
      <c r="H18" s="919"/>
    </row>
    <row r="19" spans="1:8" x14ac:dyDescent="0.2">
      <c r="A19" s="922" t="s">
        <v>410</v>
      </c>
      <c r="B19" s="919"/>
      <c r="C19" s="919"/>
      <c r="D19" s="919"/>
      <c r="E19" s="919"/>
      <c r="F19" s="919"/>
      <c r="G19" s="919"/>
      <c r="H19" s="919"/>
    </row>
    <row r="20" spans="1:8" x14ac:dyDescent="0.2">
      <c r="A20" s="918"/>
      <c r="B20" s="919"/>
      <c r="C20" s="919"/>
      <c r="D20" s="919"/>
      <c r="E20" s="919"/>
      <c r="F20" s="919"/>
      <c r="G20" s="919"/>
      <c r="H20" s="919"/>
    </row>
    <row r="21" spans="1:8" x14ac:dyDescent="0.2">
      <c r="A21" s="923" t="s">
        <v>411</v>
      </c>
      <c r="B21" s="919"/>
      <c r="C21" s="919"/>
      <c r="D21" s="919"/>
      <c r="E21" s="919"/>
      <c r="F21" s="919"/>
      <c r="G21" s="919"/>
      <c r="H21" s="919"/>
    </row>
    <row r="22" spans="1:8" x14ac:dyDescent="0.2">
      <c r="A22" s="924"/>
      <c r="B22" s="924"/>
      <c r="C22" s="924"/>
      <c r="D22" s="924"/>
      <c r="E22" s="924"/>
      <c r="F22" s="924"/>
      <c r="G22" s="924"/>
      <c r="H22" s="924"/>
    </row>
    <row r="23" spans="1:8" x14ac:dyDescent="0.2">
      <c r="A23" s="925" t="s">
        <v>697</v>
      </c>
      <c r="B23" s="924"/>
      <c r="C23" s="924"/>
      <c r="D23" s="924"/>
      <c r="E23" s="924"/>
      <c r="F23" s="924"/>
      <c r="G23" s="924"/>
      <c r="H23" s="924"/>
    </row>
    <row r="24" spans="1:8" x14ac:dyDescent="0.2">
      <c r="A24" s="925" t="s">
        <v>698</v>
      </c>
      <c r="B24" s="924"/>
      <c r="C24" s="924"/>
      <c r="D24" s="924"/>
      <c r="E24" s="924"/>
      <c r="F24" s="924"/>
      <c r="G24" s="924"/>
      <c r="H24" s="924"/>
    </row>
    <row r="25" spans="1:8" x14ac:dyDescent="0.2">
      <c r="A25" s="925" t="s">
        <v>699</v>
      </c>
      <c r="B25" s="924"/>
      <c r="C25" s="924"/>
      <c r="D25" s="924"/>
      <c r="E25" s="924"/>
      <c r="F25" s="924"/>
      <c r="G25" s="924"/>
      <c r="H25" s="924"/>
    </row>
    <row r="26" spans="1:8" x14ac:dyDescent="0.2">
      <c r="A26" s="925" t="s">
        <v>700</v>
      </c>
      <c r="B26" s="924"/>
      <c r="C26" s="924"/>
      <c r="D26" s="924"/>
      <c r="E26" s="924"/>
      <c r="F26" s="924"/>
      <c r="G26" s="924"/>
      <c r="H26" s="924"/>
    </row>
    <row r="27" spans="1:8" x14ac:dyDescent="0.2">
      <c r="A27" s="924"/>
      <c r="B27" s="924"/>
      <c r="C27" s="924"/>
      <c r="D27" s="924"/>
      <c r="E27" s="924"/>
      <c r="F27" s="924"/>
      <c r="G27" s="924"/>
      <c r="H27" s="924"/>
    </row>
    <row r="28" spans="1:8" x14ac:dyDescent="0.2">
      <c r="A28" s="924"/>
      <c r="B28" s="924"/>
      <c r="C28" s="924"/>
      <c r="D28" s="924"/>
      <c r="E28" s="924"/>
      <c r="F28" s="924"/>
      <c r="G28" s="924"/>
      <c r="H28" s="924"/>
    </row>
    <row r="29" spans="1:8" x14ac:dyDescent="0.2">
      <c r="A29" s="925" t="s">
        <v>692</v>
      </c>
      <c r="B29" s="924"/>
      <c r="C29" s="924"/>
      <c r="D29" s="924"/>
      <c r="E29" s="924"/>
      <c r="F29" s="924"/>
      <c r="G29" s="924"/>
      <c r="H29" s="924"/>
    </row>
    <row r="30" spans="1:8" x14ac:dyDescent="0.2">
      <c r="A30" s="925" t="s">
        <v>693</v>
      </c>
      <c r="B30" s="924"/>
      <c r="C30" s="924"/>
      <c r="D30" s="924"/>
      <c r="E30" s="924"/>
      <c r="F30" s="924"/>
      <c r="G30" s="924"/>
      <c r="H30" s="924"/>
    </row>
    <row r="31" spans="1:8" x14ac:dyDescent="0.2">
      <c r="A31" s="925" t="s">
        <v>694</v>
      </c>
      <c r="B31" s="924"/>
      <c r="C31" s="924"/>
      <c r="D31" s="924"/>
      <c r="E31" s="924"/>
      <c r="F31" s="924"/>
      <c r="G31" s="924"/>
      <c r="H31" s="924"/>
    </row>
    <row r="32" spans="1:8" x14ac:dyDescent="0.2">
      <c r="A32" s="925" t="s">
        <v>695</v>
      </c>
      <c r="B32" s="924"/>
      <c r="C32" s="924"/>
      <c r="D32" s="924"/>
      <c r="E32" s="924"/>
      <c r="F32" s="924"/>
      <c r="G32" s="924"/>
      <c r="H32" s="924"/>
    </row>
    <row r="33" spans="1:8" x14ac:dyDescent="0.2">
      <c r="A33" s="925" t="s">
        <v>696</v>
      </c>
      <c r="B33" s="924"/>
      <c r="C33" s="924"/>
      <c r="D33" s="924"/>
      <c r="E33" s="924"/>
      <c r="F33" s="924"/>
      <c r="G33" s="924"/>
      <c r="H33" s="924"/>
    </row>
    <row r="34" spans="1:8" x14ac:dyDescent="0.2">
      <c r="A34" s="924"/>
      <c r="B34" s="924"/>
      <c r="C34" s="924"/>
      <c r="D34" s="924"/>
      <c r="E34" s="924"/>
      <c r="F34" s="924"/>
      <c r="G34" s="924"/>
      <c r="H34" s="924"/>
    </row>
    <row r="35" spans="1:8" x14ac:dyDescent="0.2">
      <c r="A35" s="925" t="s">
        <v>688</v>
      </c>
      <c r="B35" s="924"/>
      <c r="C35" s="924"/>
      <c r="D35" s="924"/>
      <c r="E35" s="924"/>
      <c r="F35" s="924"/>
      <c r="G35" s="924"/>
      <c r="H35" s="924"/>
    </row>
    <row r="36" spans="1:8" x14ac:dyDescent="0.2">
      <c r="A36" s="925" t="s">
        <v>689</v>
      </c>
      <c r="B36" s="924"/>
      <c r="C36" s="924"/>
      <c r="D36" s="924"/>
      <c r="E36" s="924"/>
      <c r="F36" s="924"/>
      <c r="G36" s="924"/>
      <c r="H36" s="924"/>
    </row>
    <row r="37" spans="1:8" x14ac:dyDescent="0.2">
      <c r="A37" s="925" t="s">
        <v>690</v>
      </c>
      <c r="B37" s="924"/>
      <c r="C37" s="924"/>
      <c r="D37" s="924"/>
      <c r="E37" s="924"/>
      <c r="F37" s="924"/>
      <c r="G37" s="924"/>
      <c r="H37" s="924"/>
    </row>
    <row r="38" spans="1:8" x14ac:dyDescent="0.2">
      <c r="A38" s="925" t="s">
        <v>691</v>
      </c>
      <c r="B38" s="924"/>
      <c r="C38" s="924"/>
      <c r="D38" s="924"/>
      <c r="E38" s="924"/>
      <c r="F38" s="924"/>
      <c r="G38" s="924"/>
      <c r="H38" s="924"/>
    </row>
    <row r="39" spans="1:8" x14ac:dyDescent="0.2">
      <c r="A39" s="924"/>
      <c r="B39" s="924"/>
      <c r="C39" s="924"/>
      <c r="D39" s="924"/>
      <c r="E39" s="924"/>
      <c r="F39" s="924"/>
      <c r="G39" s="924"/>
      <c r="H39" s="924"/>
    </row>
    <row r="40" spans="1:8" x14ac:dyDescent="0.2">
      <c r="A40" s="925" t="s">
        <v>682</v>
      </c>
      <c r="B40" s="924"/>
      <c r="C40" s="924"/>
      <c r="D40" s="924"/>
      <c r="E40" s="924"/>
      <c r="F40" s="924"/>
      <c r="G40" s="924"/>
      <c r="H40" s="924"/>
    </row>
    <row r="41" spans="1:8" x14ac:dyDescent="0.2">
      <c r="A41" s="925" t="s">
        <v>683</v>
      </c>
      <c r="B41" s="924"/>
      <c r="C41" s="924"/>
      <c r="D41" s="924"/>
      <c r="E41" s="924"/>
      <c r="F41" s="924"/>
      <c r="G41" s="924"/>
      <c r="H41" s="924"/>
    </row>
    <row r="42" spans="1:8" x14ac:dyDescent="0.2">
      <c r="A42" s="925" t="s">
        <v>684</v>
      </c>
      <c r="B42" s="924"/>
      <c r="C42" s="924"/>
      <c r="D42" s="924"/>
      <c r="E42" s="924"/>
      <c r="F42" s="924"/>
      <c r="G42" s="924"/>
      <c r="H42" s="924"/>
    </row>
    <row r="43" spans="1:8" x14ac:dyDescent="0.2">
      <c r="A43" s="925" t="s">
        <v>685</v>
      </c>
      <c r="B43" s="924"/>
      <c r="C43" s="924"/>
      <c r="D43" s="924"/>
      <c r="E43" s="924"/>
      <c r="F43" s="924"/>
      <c r="G43" s="924"/>
      <c r="H43" s="924"/>
    </row>
    <row r="44" spans="1:8" x14ac:dyDescent="0.2">
      <c r="A44" s="925" t="s">
        <v>686</v>
      </c>
      <c r="B44" s="924"/>
      <c r="C44" s="924"/>
      <c r="D44" s="924"/>
      <c r="E44" s="924"/>
      <c r="F44" s="924"/>
      <c r="G44" s="924"/>
      <c r="H44" s="924"/>
    </row>
    <row r="45" spans="1:8" x14ac:dyDescent="0.2">
      <c r="A45" s="925" t="s">
        <v>687</v>
      </c>
      <c r="B45" s="924"/>
      <c r="C45" s="924"/>
      <c r="D45" s="924"/>
      <c r="E45" s="924"/>
      <c r="F45" s="924"/>
      <c r="G45" s="924"/>
      <c r="H45" s="924"/>
    </row>
    <row r="46" spans="1:8" x14ac:dyDescent="0.2">
      <c r="A46" s="924"/>
      <c r="B46" s="924"/>
      <c r="C46" s="924"/>
      <c r="D46" s="924"/>
      <c r="E46" s="924"/>
      <c r="F46" s="924"/>
      <c r="G46" s="924"/>
      <c r="H46" s="924"/>
    </row>
    <row r="47" spans="1:8" ht="15.75" x14ac:dyDescent="0.2">
      <c r="A47" s="926" t="s">
        <v>424</v>
      </c>
      <c r="B47" s="924"/>
      <c r="C47" s="924"/>
      <c r="D47" s="924"/>
      <c r="E47" s="924"/>
      <c r="F47" s="924"/>
      <c r="G47" s="924"/>
      <c r="H47" s="924"/>
    </row>
    <row r="48" spans="1:8" x14ac:dyDescent="0.2">
      <c r="A48" s="924"/>
      <c r="B48" s="924"/>
      <c r="C48" s="924"/>
      <c r="D48" s="924"/>
      <c r="E48" s="924"/>
      <c r="F48" s="924"/>
      <c r="G48" s="924"/>
      <c r="H48" s="924"/>
    </row>
    <row r="49" spans="1:8" x14ac:dyDescent="0.2">
      <c r="A49" s="925" t="s">
        <v>678</v>
      </c>
      <c r="B49" s="924"/>
      <c r="C49" s="924"/>
      <c r="D49" s="924"/>
      <c r="E49" s="924"/>
      <c r="F49" s="924"/>
      <c r="G49" s="924"/>
      <c r="H49" s="924"/>
    </row>
    <row r="50" spans="1:8" x14ac:dyDescent="0.2">
      <c r="A50" s="925" t="s">
        <v>679</v>
      </c>
      <c r="B50" s="924"/>
      <c r="C50" s="924"/>
      <c r="D50" s="924"/>
      <c r="E50" s="924"/>
      <c r="F50" s="924"/>
      <c r="G50" s="924"/>
      <c r="H50" s="924"/>
    </row>
    <row r="51" spans="1:8" x14ac:dyDescent="0.2">
      <c r="A51" s="925" t="s">
        <v>680</v>
      </c>
      <c r="B51" s="924"/>
      <c r="C51" s="924"/>
      <c r="D51" s="924"/>
      <c r="E51" s="924"/>
      <c r="F51" s="924"/>
      <c r="G51" s="924"/>
      <c r="H51" s="924"/>
    </row>
    <row r="52" spans="1:8" x14ac:dyDescent="0.2">
      <c r="A52" s="925" t="s">
        <v>681</v>
      </c>
      <c r="B52" s="924"/>
      <c r="C52" s="924"/>
      <c r="D52" s="924"/>
      <c r="E52" s="924"/>
      <c r="F52" s="924"/>
      <c r="G52" s="924"/>
      <c r="H52" s="924"/>
    </row>
    <row r="53" spans="1:8" x14ac:dyDescent="0.2">
      <c r="A53" s="924"/>
      <c r="B53" s="924"/>
      <c r="C53" s="924"/>
      <c r="D53" s="924"/>
      <c r="E53" s="924"/>
      <c r="F53" s="924"/>
      <c r="G53" s="924"/>
      <c r="H53" s="924"/>
    </row>
    <row r="54" spans="1:8" x14ac:dyDescent="0.2">
      <c r="A54" s="925" t="s">
        <v>425</v>
      </c>
      <c r="B54" s="924"/>
      <c r="C54" s="924"/>
      <c r="D54" s="924"/>
      <c r="E54" s="924"/>
      <c r="F54" s="924"/>
      <c r="G54" s="924"/>
      <c r="H54" s="924"/>
    </row>
    <row r="55" spans="1:8" x14ac:dyDescent="0.2">
      <c r="A55" s="924"/>
      <c r="B55" s="924"/>
      <c r="C55" s="924"/>
      <c r="D55" s="924"/>
      <c r="E55" s="924"/>
      <c r="F55" s="924"/>
      <c r="G55" s="924"/>
      <c r="H55" s="924"/>
    </row>
    <row r="56" spans="1:8" ht="15.75" x14ac:dyDescent="0.2">
      <c r="A56" s="926" t="s">
        <v>426</v>
      </c>
      <c r="B56" s="924"/>
      <c r="C56" s="924"/>
      <c r="D56" s="924"/>
      <c r="E56" s="924"/>
      <c r="F56" s="924"/>
      <c r="G56" s="924"/>
      <c r="H56" s="924"/>
    </row>
    <row r="57" spans="1:8" x14ac:dyDescent="0.2">
      <c r="A57" s="924"/>
      <c r="B57" s="924"/>
      <c r="C57" s="924"/>
      <c r="D57" s="924"/>
      <c r="E57" s="924"/>
      <c r="F57" s="924"/>
      <c r="G57" s="924"/>
      <c r="H57" s="924"/>
    </row>
    <row r="58" spans="1:8" x14ac:dyDescent="0.2">
      <c r="A58" s="925" t="s">
        <v>676</v>
      </c>
      <c r="B58" s="924"/>
      <c r="C58" s="924"/>
      <c r="D58" s="924"/>
      <c r="E58" s="924"/>
      <c r="F58" s="924"/>
      <c r="G58" s="924"/>
      <c r="H58" s="924"/>
    </row>
    <row r="59" spans="1:8" x14ac:dyDescent="0.2">
      <c r="A59" s="925" t="s">
        <v>677</v>
      </c>
      <c r="B59" s="924"/>
      <c r="C59" s="924"/>
      <c r="D59" s="924"/>
      <c r="E59" s="924"/>
      <c r="F59" s="924"/>
      <c r="G59" s="924"/>
      <c r="H59" s="924"/>
    </row>
    <row r="60" spans="1:8" x14ac:dyDescent="0.2">
      <c r="A60" s="924"/>
      <c r="B60" s="924"/>
      <c r="C60" s="924"/>
      <c r="D60" s="924"/>
      <c r="E60" s="924"/>
      <c r="F60" s="924"/>
      <c r="G60" s="924"/>
      <c r="H60" s="924"/>
    </row>
    <row r="61" spans="1:8" ht="15.75" x14ac:dyDescent="0.2">
      <c r="A61" s="926" t="s">
        <v>427</v>
      </c>
      <c r="B61" s="924"/>
      <c r="C61" s="924"/>
      <c r="D61" s="924"/>
      <c r="E61" s="924"/>
      <c r="F61" s="924"/>
      <c r="G61" s="924"/>
      <c r="H61" s="924"/>
    </row>
    <row r="62" spans="1:8" x14ac:dyDescent="0.2">
      <c r="A62" s="924"/>
      <c r="B62" s="924"/>
      <c r="C62" s="924"/>
      <c r="D62" s="924"/>
      <c r="E62" s="924"/>
      <c r="F62" s="924"/>
      <c r="G62" s="924"/>
      <c r="H62" s="924"/>
    </row>
    <row r="63" spans="1:8" x14ac:dyDescent="0.2">
      <c r="A63" s="925" t="s">
        <v>674</v>
      </c>
      <c r="B63" s="924"/>
      <c r="C63" s="924"/>
      <c r="D63" s="924"/>
      <c r="E63" s="924"/>
      <c r="F63" s="924"/>
      <c r="G63" s="924"/>
      <c r="H63" s="924"/>
    </row>
    <row r="64" spans="1:8" x14ac:dyDescent="0.2">
      <c r="A64" s="925" t="s">
        <v>675</v>
      </c>
      <c r="B64" s="924"/>
      <c r="C64" s="924"/>
      <c r="D64" s="924"/>
      <c r="E64" s="924"/>
      <c r="F64" s="924"/>
      <c r="G64" s="924"/>
      <c r="H64" s="924"/>
    </row>
    <row r="65" spans="1:8" x14ac:dyDescent="0.2">
      <c r="A65" s="924"/>
      <c r="B65" s="924"/>
      <c r="C65" s="924"/>
      <c r="D65" s="924"/>
      <c r="E65" s="924"/>
      <c r="F65" s="924"/>
      <c r="G65" s="924"/>
      <c r="H65" s="924"/>
    </row>
    <row r="66" spans="1:8" x14ac:dyDescent="0.2">
      <c r="A66" s="925" t="s">
        <v>672</v>
      </c>
      <c r="B66" s="924"/>
      <c r="C66" s="924"/>
      <c r="D66" s="924"/>
      <c r="E66" s="924"/>
      <c r="F66" s="924"/>
      <c r="G66" s="924"/>
      <c r="H66" s="924"/>
    </row>
    <row r="67" spans="1:8" x14ac:dyDescent="0.2">
      <c r="A67" s="925" t="s">
        <v>673</v>
      </c>
      <c r="B67" s="924"/>
      <c r="C67" s="924"/>
      <c r="D67" s="924"/>
      <c r="E67" s="924"/>
      <c r="F67" s="924"/>
      <c r="G67" s="924"/>
      <c r="H67" s="924"/>
    </row>
    <row r="68" spans="1:8" x14ac:dyDescent="0.2">
      <c r="A68" s="924"/>
      <c r="B68" s="924"/>
      <c r="C68" s="924"/>
      <c r="D68" s="924"/>
      <c r="E68" s="924"/>
      <c r="F68" s="924"/>
      <c r="G68" s="924"/>
      <c r="H68" s="924"/>
    </row>
    <row r="69" spans="1:8" x14ac:dyDescent="0.2">
      <c r="A69" s="925" t="s">
        <v>669</v>
      </c>
      <c r="B69" s="924"/>
      <c r="C69" s="924"/>
      <c r="D69" s="924"/>
      <c r="E69" s="924"/>
      <c r="F69" s="924"/>
      <c r="G69" s="924"/>
      <c r="H69" s="924"/>
    </row>
    <row r="70" spans="1:8" x14ac:dyDescent="0.2">
      <c r="A70" s="925" t="s">
        <v>670</v>
      </c>
      <c r="B70" s="924"/>
      <c r="C70" s="924"/>
      <c r="D70" s="924"/>
      <c r="E70" s="924"/>
      <c r="F70" s="924"/>
      <c r="G70" s="924"/>
      <c r="H70" s="924"/>
    </row>
    <row r="71" spans="1:8" x14ac:dyDescent="0.2">
      <c r="A71" s="925" t="s">
        <v>671</v>
      </c>
      <c r="B71" s="924"/>
      <c r="C71" s="924"/>
      <c r="D71" s="924"/>
      <c r="E71" s="924"/>
      <c r="F71" s="924"/>
      <c r="G71" s="924"/>
      <c r="H71" s="924"/>
    </row>
    <row r="72" spans="1:8" x14ac:dyDescent="0.2">
      <c r="A72" s="924"/>
      <c r="B72" s="924"/>
      <c r="C72" s="924"/>
      <c r="D72" s="924"/>
      <c r="E72" s="924"/>
      <c r="F72" s="924"/>
      <c r="G72" s="924"/>
      <c r="H72" s="924"/>
    </row>
    <row r="73" spans="1:8" x14ac:dyDescent="0.2">
      <c r="A73" s="925" t="s">
        <v>428</v>
      </c>
      <c r="B73" s="924"/>
      <c r="C73" s="924"/>
      <c r="D73" s="924"/>
      <c r="E73" s="924"/>
      <c r="F73" s="924"/>
      <c r="G73" s="924"/>
      <c r="H73" s="924"/>
    </row>
    <row r="74" spans="1:8" x14ac:dyDescent="0.2">
      <c r="A74" s="924"/>
      <c r="B74" s="924"/>
      <c r="C74" s="924"/>
      <c r="D74" s="924"/>
      <c r="E74" s="924"/>
      <c r="F74" s="924"/>
      <c r="G74" s="924"/>
      <c r="H74" s="924"/>
    </row>
    <row r="75" spans="1:8" x14ac:dyDescent="0.2">
      <c r="A75" s="925" t="s">
        <v>664</v>
      </c>
      <c r="B75" s="924"/>
      <c r="C75" s="924"/>
      <c r="D75" s="924"/>
      <c r="E75" s="924"/>
      <c r="F75" s="924"/>
      <c r="G75" s="924"/>
      <c r="H75" s="924"/>
    </row>
    <row r="76" spans="1:8" x14ac:dyDescent="0.2">
      <c r="A76" s="925" t="s">
        <v>665</v>
      </c>
      <c r="B76" s="924"/>
      <c r="C76" s="924"/>
      <c r="D76" s="924"/>
      <c r="E76" s="924"/>
      <c r="F76" s="924"/>
      <c r="G76" s="924"/>
      <c r="H76" s="924"/>
    </row>
    <row r="77" spans="1:8" x14ac:dyDescent="0.2">
      <c r="A77" s="925" t="s">
        <v>666</v>
      </c>
      <c r="B77" s="924"/>
      <c r="C77" s="924"/>
      <c r="D77" s="924"/>
      <c r="E77" s="924"/>
      <c r="F77" s="924"/>
      <c r="G77" s="924"/>
      <c r="H77" s="924"/>
    </row>
    <row r="78" spans="1:8" x14ac:dyDescent="0.2">
      <c r="A78" s="925" t="s">
        <v>667</v>
      </c>
      <c r="B78" s="924"/>
      <c r="C78" s="924"/>
      <c r="D78" s="924"/>
      <c r="E78" s="924"/>
      <c r="F78" s="924"/>
      <c r="G78" s="924"/>
      <c r="H78" s="924"/>
    </row>
    <row r="79" spans="1:8" x14ac:dyDescent="0.2">
      <c r="A79" s="925" t="s">
        <v>668</v>
      </c>
      <c r="B79" s="924"/>
      <c r="C79" s="924"/>
      <c r="D79" s="924"/>
      <c r="E79" s="924"/>
      <c r="F79" s="924"/>
      <c r="G79" s="924"/>
      <c r="H79" s="924"/>
    </row>
    <row r="80" spans="1:8" x14ac:dyDescent="0.2">
      <c r="A80" s="925" t="s">
        <v>553</v>
      </c>
      <c r="B80" s="924"/>
      <c r="C80" s="924"/>
      <c r="D80" s="924"/>
      <c r="E80" s="924"/>
      <c r="F80" s="924"/>
      <c r="G80" s="924"/>
      <c r="H80" s="924"/>
    </row>
    <row r="81" spans="1:8" x14ac:dyDescent="0.2">
      <c r="A81" s="924"/>
      <c r="B81" s="924"/>
      <c r="C81" s="924"/>
      <c r="D81" s="924"/>
      <c r="E81" s="924"/>
      <c r="F81" s="924"/>
      <c r="G81" s="924"/>
      <c r="H81" s="924"/>
    </row>
    <row r="82" spans="1:8" x14ac:dyDescent="0.2">
      <c r="A82" s="925" t="s">
        <v>657</v>
      </c>
      <c r="B82" s="924"/>
      <c r="C82" s="924"/>
      <c r="D82" s="924"/>
      <c r="E82" s="924"/>
      <c r="F82" s="924"/>
      <c r="G82" s="924"/>
      <c r="H82" s="924"/>
    </row>
    <row r="83" spans="1:8" x14ac:dyDescent="0.2">
      <c r="A83" s="925" t="s">
        <v>658</v>
      </c>
      <c r="B83" s="924"/>
      <c r="C83" s="924"/>
      <c r="D83" s="924"/>
      <c r="E83" s="924"/>
      <c r="F83" s="924"/>
      <c r="G83" s="924"/>
      <c r="H83" s="924"/>
    </row>
    <row r="84" spans="1:8" x14ac:dyDescent="0.2">
      <c r="A84" s="925" t="s">
        <v>659</v>
      </c>
      <c r="B84" s="924"/>
      <c r="C84" s="924"/>
      <c r="D84" s="924"/>
      <c r="E84" s="924"/>
      <c r="F84" s="924"/>
      <c r="G84" s="924"/>
      <c r="H84" s="924"/>
    </row>
    <row r="85" spans="1:8" x14ac:dyDescent="0.2">
      <c r="A85" s="925" t="s">
        <v>660</v>
      </c>
      <c r="B85" s="924"/>
      <c r="C85" s="924"/>
      <c r="D85" s="924"/>
      <c r="E85" s="924"/>
      <c r="F85" s="924"/>
      <c r="G85" s="924"/>
      <c r="H85" s="924"/>
    </row>
    <row r="86" spans="1:8" x14ac:dyDescent="0.2">
      <c r="A86" s="925" t="s">
        <v>661</v>
      </c>
      <c r="B86" s="924"/>
      <c r="C86" s="924"/>
      <c r="D86" s="924"/>
      <c r="E86" s="924"/>
      <c r="F86" s="924"/>
      <c r="G86" s="924"/>
      <c r="H86" s="924"/>
    </row>
    <row r="87" spans="1:8" x14ac:dyDescent="0.2">
      <c r="A87" s="925" t="s">
        <v>662</v>
      </c>
      <c r="B87" s="924"/>
      <c r="C87" s="924"/>
      <c r="D87" s="924"/>
      <c r="E87" s="924"/>
      <c r="F87" s="924"/>
      <c r="G87" s="924"/>
      <c r="H87" s="924"/>
    </row>
    <row r="88" spans="1:8" x14ac:dyDescent="0.2">
      <c r="A88" s="925" t="s">
        <v>663</v>
      </c>
      <c r="B88" s="924"/>
      <c r="C88" s="924"/>
      <c r="D88" s="924"/>
      <c r="E88" s="924"/>
      <c r="F88" s="924"/>
      <c r="G88" s="924"/>
      <c r="H88" s="924"/>
    </row>
    <row r="89" spans="1:8" x14ac:dyDescent="0.2">
      <c r="A89" s="924"/>
      <c r="B89" s="924"/>
      <c r="C89" s="924"/>
      <c r="D89" s="924"/>
      <c r="E89" s="924"/>
      <c r="F89" s="924"/>
      <c r="G89" s="924"/>
      <c r="H89" s="924"/>
    </row>
    <row r="90" spans="1:8" x14ac:dyDescent="0.2">
      <c r="A90" s="925" t="s">
        <v>655</v>
      </c>
      <c r="B90" s="924"/>
      <c r="C90" s="924"/>
      <c r="D90" s="924"/>
      <c r="E90" s="924"/>
      <c r="F90" s="924"/>
      <c r="G90" s="924"/>
      <c r="H90" s="924"/>
    </row>
    <row r="91" spans="1:8" x14ac:dyDescent="0.2">
      <c r="A91" s="925" t="s">
        <v>656</v>
      </c>
      <c r="B91" s="924"/>
      <c r="C91" s="924"/>
      <c r="D91" s="924"/>
      <c r="E91" s="924"/>
      <c r="F91" s="924"/>
      <c r="G91" s="924"/>
      <c r="H91" s="924"/>
    </row>
    <row r="92" spans="1:8" x14ac:dyDescent="0.2">
      <c r="A92" s="924"/>
      <c r="B92" s="924"/>
      <c r="C92" s="924"/>
      <c r="D92" s="924"/>
      <c r="E92" s="924"/>
      <c r="F92" s="924"/>
      <c r="G92" s="924"/>
      <c r="H92" s="924"/>
    </row>
    <row r="93" spans="1:8" ht="15.75" x14ac:dyDescent="0.2">
      <c r="A93" s="926" t="s">
        <v>429</v>
      </c>
      <c r="B93" s="924"/>
      <c r="C93" s="924"/>
      <c r="D93" s="924"/>
      <c r="E93" s="924"/>
      <c r="F93" s="924"/>
      <c r="G93" s="924"/>
      <c r="H93" s="924"/>
    </row>
    <row r="94" spans="1:8" x14ac:dyDescent="0.2">
      <c r="A94" s="924"/>
      <c r="B94" s="924"/>
      <c r="C94" s="924"/>
      <c r="D94" s="924"/>
      <c r="E94" s="924"/>
      <c r="F94" s="924"/>
      <c r="G94" s="924"/>
      <c r="H94" s="924"/>
    </row>
    <row r="95" spans="1:8" x14ac:dyDescent="0.2">
      <c r="A95" s="925" t="s">
        <v>646</v>
      </c>
      <c r="B95" s="924"/>
      <c r="C95" s="924"/>
      <c r="D95" s="924"/>
      <c r="E95" s="924"/>
      <c r="F95" s="924"/>
      <c r="G95" s="924"/>
      <c r="H95" s="924"/>
    </row>
    <row r="96" spans="1:8" x14ac:dyDescent="0.2">
      <c r="A96" s="925" t="s">
        <v>647</v>
      </c>
      <c r="B96" s="924"/>
      <c r="C96" s="924"/>
      <c r="D96" s="924"/>
      <c r="E96" s="924"/>
      <c r="F96" s="924"/>
      <c r="G96" s="924"/>
      <c r="H96" s="924"/>
    </row>
    <row r="97" spans="1:8" x14ac:dyDescent="0.2">
      <c r="A97" s="925" t="s">
        <v>648</v>
      </c>
      <c r="B97" s="924"/>
      <c r="C97" s="924"/>
      <c r="D97" s="924"/>
      <c r="E97" s="924"/>
      <c r="F97" s="924"/>
      <c r="G97" s="924"/>
      <c r="H97" s="924"/>
    </row>
    <row r="98" spans="1:8" x14ac:dyDescent="0.2">
      <c r="A98" s="925" t="s">
        <v>649</v>
      </c>
      <c r="B98" s="924"/>
      <c r="C98" s="924"/>
      <c r="D98" s="924"/>
      <c r="E98" s="924"/>
      <c r="F98" s="924"/>
      <c r="G98" s="924"/>
      <c r="H98" s="924"/>
    </row>
    <row r="99" spans="1:8" x14ac:dyDescent="0.2">
      <c r="A99" s="925" t="s">
        <v>650</v>
      </c>
      <c r="B99" s="924"/>
      <c r="C99" s="924"/>
      <c r="D99" s="924"/>
      <c r="E99" s="924"/>
      <c r="F99" s="924"/>
      <c r="G99" s="924"/>
      <c r="H99" s="924"/>
    </row>
    <row r="100" spans="1:8" x14ac:dyDescent="0.2">
      <c r="A100" s="925" t="s">
        <v>651</v>
      </c>
      <c r="B100" s="924"/>
      <c r="C100" s="924"/>
      <c r="D100" s="924"/>
      <c r="E100" s="924"/>
      <c r="F100" s="924"/>
      <c r="G100" s="924"/>
      <c r="H100" s="924"/>
    </row>
    <row r="101" spans="1:8" x14ac:dyDescent="0.2">
      <c r="A101" s="925" t="s">
        <v>652</v>
      </c>
      <c r="B101" s="924"/>
      <c r="C101" s="924"/>
      <c r="D101" s="924"/>
      <c r="E101" s="924"/>
      <c r="F101" s="924"/>
      <c r="G101" s="924"/>
      <c r="H101" s="924"/>
    </row>
    <row r="102" spans="1:8" x14ac:dyDescent="0.2">
      <c r="A102" s="925" t="s">
        <v>653</v>
      </c>
      <c r="B102" s="924"/>
      <c r="C102" s="924"/>
      <c r="D102" s="924"/>
      <c r="E102" s="924"/>
      <c r="F102" s="924"/>
      <c r="G102" s="924"/>
      <c r="H102" s="924"/>
    </row>
    <row r="103" spans="1:8" x14ac:dyDescent="0.2">
      <c r="A103" s="925" t="s">
        <v>654</v>
      </c>
      <c r="B103" s="924"/>
      <c r="C103" s="924"/>
      <c r="D103" s="924"/>
      <c r="E103" s="924"/>
      <c r="F103" s="924"/>
      <c r="G103" s="924"/>
      <c r="H103" s="924"/>
    </row>
    <row r="104" spans="1:8" x14ac:dyDescent="0.2">
      <c r="A104" s="924"/>
      <c r="B104" s="924"/>
      <c r="C104" s="924"/>
      <c r="D104" s="924"/>
      <c r="E104" s="924"/>
      <c r="F104" s="924"/>
      <c r="G104" s="924"/>
      <c r="H104" s="924"/>
    </row>
    <row r="105" spans="1:8" ht="15.75" x14ac:dyDescent="0.2">
      <c r="A105" s="927" t="s">
        <v>430</v>
      </c>
      <c r="B105" s="927"/>
      <c r="C105" s="927"/>
      <c r="D105" s="927"/>
      <c r="E105" s="927"/>
      <c r="F105" s="927"/>
      <c r="G105" s="927"/>
      <c r="H105" s="927"/>
    </row>
    <row r="106" spans="1:8" x14ac:dyDescent="0.2">
      <c r="A106" s="928" t="s">
        <v>431</v>
      </c>
      <c r="B106" s="928"/>
      <c r="C106" s="928"/>
      <c r="D106" s="928"/>
      <c r="E106" s="928"/>
      <c r="F106" s="928"/>
      <c r="G106" s="928"/>
      <c r="H106" s="928"/>
    </row>
    <row r="107" spans="1:8" x14ac:dyDescent="0.2">
      <c r="A107" s="929"/>
      <c r="B107" s="929"/>
      <c r="C107" s="929"/>
      <c r="D107" s="929"/>
      <c r="E107" s="929"/>
      <c r="F107" s="929"/>
      <c r="G107" s="929"/>
      <c r="H107" s="929"/>
    </row>
    <row r="108" spans="1:8" x14ac:dyDescent="0.2">
      <c r="A108" s="928" t="s">
        <v>644</v>
      </c>
      <c r="B108" s="928"/>
      <c r="C108" s="928"/>
      <c r="D108" s="928"/>
      <c r="E108" s="928"/>
      <c r="F108" s="928"/>
      <c r="G108" s="928"/>
      <c r="H108" s="928"/>
    </row>
    <row r="109" spans="1:8" x14ac:dyDescent="0.2">
      <c r="A109" s="925" t="s">
        <v>645</v>
      </c>
      <c r="B109" s="925"/>
      <c r="C109" s="925"/>
      <c r="D109" s="925"/>
      <c r="E109" s="925"/>
      <c r="F109" s="925"/>
      <c r="G109" s="925"/>
      <c r="H109" s="925"/>
    </row>
    <row r="110" spans="1:8" x14ac:dyDescent="0.2">
      <c r="A110" s="929"/>
      <c r="B110" s="929"/>
      <c r="C110" s="929"/>
      <c r="D110" s="929"/>
      <c r="E110" s="929"/>
      <c r="F110" s="929"/>
      <c r="G110" s="929"/>
      <c r="H110" s="929"/>
    </row>
    <row r="111" spans="1:8" x14ac:dyDescent="0.2">
      <c r="A111" s="928" t="s">
        <v>637</v>
      </c>
      <c r="B111" s="928"/>
      <c r="C111" s="928"/>
      <c r="D111" s="928"/>
      <c r="E111" s="928"/>
      <c r="F111" s="928"/>
      <c r="G111" s="928"/>
      <c r="H111" s="928"/>
    </row>
    <row r="112" spans="1:8" x14ac:dyDescent="0.2">
      <c r="A112" s="925" t="s">
        <v>638</v>
      </c>
      <c r="B112" s="925"/>
      <c r="C112" s="925"/>
      <c r="D112" s="925"/>
      <c r="E112" s="925"/>
      <c r="F112" s="925"/>
      <c r="G112" s="925"/>
      <c r="H112" s="925"/>
    </row>
    <row r="113" spans="1:8" x14ac:dyDescent="0.2">
      <c r="A113" s="925" t="s">
        <v>639</v>
      </c>
      <c r="B113" s="925"/>
      <c r="C113" s="925"/>
      <c r="D113" s="925"/>
      <c r="E113" s="925"/>
      <c r="F113" s="925"/>
      <c r="G113" s="925"/>
      <c r="H113" s="925"/>
    </row>
    <row r="114" spans="1:8" x14ac:dyDescent="0.2">
      <c r="A114" s="925" t="s">
        <v>640</v>
      </c>
      <c r="B114" s="925"/>
      <c r="C114" s="925"/>
      <c r="D114" s="925"/>
      <c r="E114" s="925"/>
      <c r="F114" s="925"/>
      <c r="G114" s="925"/>
      <c r="H114" s="925"/>
    </row>
    <row r="115" spans="1:8" x14ac:dyDescent="0.2">
      <c r="A115" s="925" t="s">
        <v>641</v>
      </c>
      <c r="B115" s="925"/>
      <c r="C115" s="925"/>
      <c r="D115" s="925"/>
      <c r="E115" s="925"/>
      <c r="F115" s="925"/>
      <c r="G115" s="925"/>
      <c r="H115" s="925"/>
    </row>
    <row r="116" spans="1:8" x14ac:dyDescent="0.2">
      <c r="A116" s="925" t="s">
        <v>642</v>
      </c>
      <c r="B116" s="925"/>
      <c r="C116" s="925"/>
      <c r="D116" s="925"/>
      <c r="E116" s="925"/>
      <c r="F116" s="925"/>
      <c r="G116" s="925"/>
      <c r="H116" s="925"/>
    </row>
    <row r="117" spans="1:8" x14ac:dyDescent="0.2">
      <c r="A117" s="925" t="s">
        <v>643</v>
      </c>
      <c r="B117" s="925"/>
      <c r="C117" s="925"/>
      <c r="D117" s="925"/>
      <c r="E117" s="925"/>
      <c r="F117" s="925"/>
      <c r="G117" s="925"/>
      <c r="H117" s="925"/>
    </row>
    <row r="118" spans="1:8" x14ac:dyDescent="0.2">
      <c r="A118" s="930"/>
      <c r="B118" s="930"/>
      <c r="C118" s="930"/>
      <c r="D118" s="930"/>
      <c r="E118" s="930"/>
      <c r="F118" s="930"/>
      <c r="G118" s="930"/>
      <c r="H118" s="930"/>
    </row>
    <row r="119" spans="1:8" x14ac:dyDescent="0.2">
      <c r="A119" s="931"/>
      <c r="B119" s="932" t="s">
        <v>432</v>
      </c>
      <c r="C119" s="933"/>
      <c r="D119" s="932" t="s">
        <v>433</v>
      </c>
      <c r="E119" s="934"/>
      <c r="F119" s="933"/>
      <c r="G119" s="932" t="s">
        <v>434</v>
      </c>
      <c r="H119" s="933"/>
    </row>
    <row r="120" spans="1:8" x14ac:dyDescent="0.2">
      <c r="A120" s="931" t="s">
        <v>435</v>
      </c>
      <c r="B120" s="931" t="s">
        <v>289</v>
      </c>
      <c r="C120" s="931" t="s">
        <v>336</v>
      </c>
      <c r="D120" s="931" t="s">
        <v>289</v>
      </c>
      <c r="E120" s="931" t="s">
        <v>436</v>
      </c>
      <c r="F120" s="931" t="s">
        <v>437</v>
      </c>
      <c r="G120" s="931" t="s">
        <v>289</v>
      </c>
      <c r="H120" s="931" t="s">
        <v>438</v>
      </c>
    </row>
    <row r="121" spans="1:8" x14ac:dyDescent="0.2">
      <c r="A121" s="931" t="s">
        <v>439</v>
      </c>
      <c r="B121" s="931">
        <v>1175</v>
      </c>
      <c r="C121" s="935">
        <v>0.37</v>
      </c>
      <c r="D121" s="931">
        <v>315</v>
      </c>
      <c r="E121" s="935">
        <v>0.41</v>
      </c>
      <c r="F121" s="935">
        <v>0.27</v>
      </c>
      <c r="G121" s="931">
        <v>555</v>
      </c>
      <c r="H121" s="935">
        <v>0.39</v>
      </c>
    </row>
    <row r="122" spans="1:8" x14ac:dyDescent="0.2">
      <c r="A122" s="931" t="s">
        <v>440</v>
      </c>
      <c r="B122" s="931">
        <v>1369</v>
      </c>
      <c r="C122" s="935">
        <v>0.43</v>
      </c>
      <c r="D122" s="931">
        <v>357</v>
      </c>
      <c r="E122" s="935">
        <v>0.47</v>
      </c>
      <c r="F122" s="935">
        <v>0.26</v>
      </c>
      <c r="G122" s="931">
        <v>643</v>
      </c>
      <c r="H122" s="935">
        <v>0.45</v>
      </c>
    </row>
    <row r="123" spans="1:8" x14ac:dyDescent="0.2">
      <c r="A123" s="931" t="s">
        <v>441</v>
      </c>
      <c r="B123" s="931">
        <v>53</v>
      </c>
      <c r="C123" s="935">
        <v>0.02</v>
      </c>
      <c r="D123" s="931">
        <v>5</v>
      </c>
      <c r="E123" s="935">
        <v>0.01</v>
      </c>
      <c r="F123" s="935">
        <v>0.09</v>
      </c>
      <c r="G123" s="931">
        <v>7</v>
      </c>
      <c r="H123" s="935">
        <v>0</v>
      </c>
    </row>
    <row r="124" spans="1:8" x14ac:dyDescent="0.2">
      <c r="A124" s="931" t="s">
        <v>442</v>
      </c>
      <c r="B124" s="931">
        <v>552</v>
      </c>
      <c r="C124" s="935">
        <v>0.18</v>
      </c>
      <c r="D124" s="931">
        <v>87</v>
      </c>
      <c r="E124" s="935">
        <v>0.11</v>
      </c>
      <c r="F124" s="935">
        <v>0.16</v>
      </c>
      <c r="G124" s="931">
        <v>222</v>
      </c>
      <c r="H124" s="935">
        <v>0.16</v>
      </c>
    </row>
    <row r="125" spans="1:8" x14ac:dyDescent="0.2">
      <c r="A125" s="931" t="s">
        <v>5</v>
      </c>
      <c r="B125" s="936">
        <v>3149</v>
      </c>
      <c r="C125" s="931"/>
      <c r="D125" s="931">
        <v>764</v>
      </c>
      <c r="E125" s="931"/>
      <c r="F125" s="931"/>
      <c r="G125" s="931">
        <v>1427</v>
      </c>
      <c r="H125" s="931"/>
    </row>
    <row r="126" spans="1:8" x14ac:dyDescent="0.2">
      <c r="A126" s="937"/>
      <c r="B126" s="937"/>
      <c r="C126" s="937"/>
      <c r="D126" s="937"/>
      <c r="E126" s="937"/>
      <c r="F126" s="937"/>
      <c r="G126" s="937"/>
      <c r="H126" s="937"/>
    </row>
    <row r="127" spans="1:8" x14ac:dyDescent="0.2">
      <c r="A127" s="928" t="s">
        <v>633</v>
      </c>
      <c r="B127" s="928"/>
      <c r="C127" s="928"/>
      <c r="D127" s="928"/>
      <c r="E127" s="928"/>
      <c r="F127" s="928"/>
      <c r="G127" s="928"/>
      <c r="H127" s="928"/>
    </row>
    <row r="128" spans="1:8" x14ac:dyDescent="0.2">
      <c r="A128" s="925" t="s">
        <v>634</v>
      </c>
      <c r="B128" s="925"/>
      <c r="C128" s="925"/>
      <c r="D128" s="925"/>
      <c r="E128" s="925"/>
      <c r="F128" s="925"/>
      <c r="G128" s="925"/>
      <c r="H128" s="925"/>
    </row>
    <row r="129" spans="1:8" x14ac:dyDescent="0.2">
      <c r="A129" s="925" t="s">
        <v>635</v>
      </c>
      <c r="B129" s="925"/>
      <c r="C129" s="925"/>
      <c r="D129" s="925"/>
      <c r="E129" s="925"/>
      <c r="F129" s="925"/>
      <c r="G129" s="925"/>
      <c r="H129" s="925"/>
    </row>
    <row r="130" spans="1:8" x14ac:dyDescent="0.2">
      <c r="A130" s="925" t="s">
        <v>636</v>
      </c>
      <c r="B130" s="925"/>
      <c r="C130" s="925"/>
      <c r="D130" s="925"/>
      <c r="E130" s="925"/>
      <c r="F130" s="925"/>
      <c r="G130" s="925"/>
      <c r="H130" s="925"/>
    </row>
    <row r="131" spans="1:8" x14ac:dyDescent="0.2">
      <c r="A131" s="924"/>
      <c r="B131" s="924"/>
      <c r="C131" s="924"/>
      <c r="D131" s="924"/>
      <c r="E131" s="924"/>
      <c r="F131" s="924"/>
      <c r="G131" s="924"/>
      <c r="H131" s="924"/>
    </row>
    <row r="132" spans="1:8" ht="15.75" x14ac:dyDescent="0.2">
      <c r="A132" s="926" t="s">
        <v>443</v>
      </c>
      <c r="B132" s="924"/>
      <c r="C132" s="924"/>
      <c r="D132" s="924"/>
      <c r="E132" s="924"/>
      <c r="F132" s="924"/>
      <c r="G132" s="924"/>
      <c r="H132" s="924"/>
    </row>
    <row r="133" spans="1:8" x14ac:dyDescent="0.2">
      <c r="A133" s="924"/>
      <c r="B133" s="924"/>
      <c r="C133" s="924"/>
      <c r="D133" s="924"/>
      <c r="E133" s="924"/>
      <c r="F133" s="924"/>
      <c r="G133" s="924"/>
      <c r="H133" s="924"/>
    </row>
    <row r="134" spans="1:8" x14ac:dyDescent="0.2">
      <c r="A134" s="925" t="s">
        <v>631</v>
      </c>
      <c r="B134" s="924"/>
      <c r="C134" s="924"/>
      <c r="D134" s="924"/>
      <c r="E134" s="924"/>
      <c r="F134" s="924"/>
      <c r="G134" s="924"/>
      <c r="H134" s="924"/>
    </row>
    <row r="135" spans="1:8" x14ac:dyDescent="0.2">
      <c r="A135" s="925" t="s">
        <v>632</v>
      </c>
      <c r="B135" s="924"/>
      <c r="C135" s="924"/>
      <c r="D135" s="924"/>
      <c r="E135" s="924"/>
      <c r="F135" s="924"/>
      <c r="G135" s="924"/>
      <c r="H135" s="924"/>
    </row>
    <row r="136" spans="1:8" x14ac:dyDescent="0.2">
      <c r="A136" s="924"/>
      <c r="B136" s="924"/>
      <c r="C136" s="924"/>
      <c r="D136" s="924"/>
      <c r="E136" s="924"/>
      <c r="F136" s="924"/>
      <c r="G136" s="924"/>
      <c r="H136" s="924"/>
    </row>
    <row r="137" spans="1:8" x14ac:dyDescent="0.2">
      <c r="A137" s="925" t="s">
        <v>628</v>
      </c>
      <c r="B137" s="924"/>
      <c r="C137" s="924"/>
      <c r="D137" s="924"/>
      <c r="E137" s="924"/>
      <c r="F137" s="924"/>
      <c r="G137" s="924"/>
      <c r="H137" s="924"/>
    </row>
    <row r="138" spans="1:8" x14ac:dyDescent="0.2">
      <c r="A138" s="925" t="s">
        <v>629</v>
      </c>
      <c r="B138" s="924"/>
      <c r="C138" s="924"/>
      <c r="D138" s="924"/>
      <c r="E138" s="924"/>
      <c r="F138" s="924"/>
      <c r="G138" s="924"/>
      <c r="H138" s="924"/>
    </row>
    <row r="139" spans="1:8" x14ac:dyDescent="0.2">
      <c r="A139" s="925" t="s">
        <v>630</v>
      </c>
      <c r="B139" s="924"/>
      <c r="C139" s="924"/>
      <c r="D139" s="924"/>
      <c r="E139" s="924"/>
      <c r="F139" s="924"/>
      <c r="G139" s="924"/>
      <c r="H139" s="924"/>
    </row>
    <row r="140" spans="1:8" x14ac:dyDescent="0.2">
      <c r="A140" s="924"/>
      <c r="B140" s="924"/>
      <c r="C140" s="924"/>
      <c r="D140" s="924"/>
      <c r="E140" s="924"/>
      <c r="F140" s="924"/>
      <c r="G140" s="924"/>
      <c r="H140" s="924"/>
    </row>
    <row r="141" spans="1:8" x14ac:dyDescent="0.2">
      <c r="A141" s="925" t="s">
        <v>625</v>
      </c>
      <c r="B141" s="924"/>
      <c r="C141" s="924"/>
      <c r="D141" s="924"/>
      <c r="E141" s="924"/>
      <c r="F141" s="924"/>
      <c r="G141" s="924"/>
      <c r="H141" s="924"/>
    </row>
    <row r="142" spans="1:8" x14ac:dyDescent="0.2">
      <c r="A142" s="925" t="s">
        <v>626</v>
      </c>
      <c r="B142" s="924"/>
      <c r="C142" s="924"/>
      <c r="D142" s="924"/>
      <c r="E142" s="924"/>
      <c r="F142" s="924"/>
      <c r="G142" s="924"/>
      <c r="H142" s="924"/>
    </row>
    <row r="143" spans="1:8" x14ac:dyDescent="0.2">
      <c r="A143" s="925" t="s">
        <v>627</v>
      </c>
      <c r="B143" s="924"/>
      <c r="C143" s="924"/>
      <c r="D143" s="924"/>
      <c r="E143" s="924"/>
      <c r="F143" s="924"/>
      <c r="G143" s="924"/>
      <c r="H143" s="924"/>
    </row>
    <row r="144" spans="1:8" x14ac:dyDescent="0.2">
      <c r="A144" s="924"/>
      <c r="B144" s="924"/>
      <c r="C144" s="924"/>
      <c r="D144" s="924"/>
      <c r="E144" s="924"/>
      <c r="F144" s="924"/>
      <c r="G144" s="924"/>
      <c r="H144" s="924"/>
    </row>
    <row r="145" spans="1:8" x14ac:dyDescent="0.2">
      <c r="A145" s="925" t="s">
        <v>622</v>
      </c>
      <c r="B145" s="924"/>
      <c r="C145" s="924"/>
      <c r="D145" s="924"/>
      <c r="E145" s="924"/>
      <c r="F145" s="924"/>
      <c r="G145" s="924"/>
      <c r="H145" s="924"/>
    </row>
    <row r="146" spans="1:8" x14ac:dyDescent="0.2">
      <c r="A146" s="925" t="s">
        <v>623</v>
      </c>
      <c r="B146" s="924"/>
      <c r="C146" s="924"/>
      <c r="D146" s="924"/>
      <c r="E146" s="924"/>
      <c r="F146" s="924"/>
      <c r="G146" s="924"/>
      <c r="H146" s="924"/>
    </row>
    <row r="147" spans="1:8" x14ac:dyDescent="0.2">
      <c r="A147" s="925" t="s">
        <v>624</v>
      </c>
      <c r="B147" s="924"/>
      <c r="C147" s="924"/>
      <c r="D147" s="924"/>
      <c r="E147" s="924"/>
      <c r="F147" s="924"/>
      <c r="G147" s="924"/>
      <c r="H147" s="924"/>
    </row>
    <row r="148" spans="1:8" x14ac:dyDescent="0.2">
      <c r="A148" s="924"/>
      <c r="B148" s="924"/>
      <c r="C148" s="924"/>
      <c r="D148" s="924"/>
      <c r="E148" s="924"/>
      <c r="F148" s="924"/>
      <c r="G148" s="924"/>
      <c r="H148" s="924"/>
    </row>
    <row r="149" spans="1:8" x14ac:dyDescent="0.2">
      <c r="A149" s="925" t="s">
        <v>620</v>
      </c>
      <c r="B149" s="924"/>
      <c r="C149" s="924"/>
      <c r="D149" s="924"/>
      <c r="E149" s="924"/>
      <c r="F149" s="924"/>
      <c r="G149" s="924"/>
      <c r="H149" s="924"/>
    </row>
    <row r="150" spans="1:8" x14ac:dyDescent="0.2">
      <c r="A150" s="925" t="s">
        <v>621</v>
      </c>
      <c r="B150" s="924"/>
      <c r="C150" s="924"/>
      <c r="D150" s="924"/>
      <c r="E150" s="924"/>
      <c r="F150" s="924"/>
      <c r="G150" s="924"/>
      <c r="H150" s="924"/>
    </row>
    <row r="151" spans="1:8" x14ac:dyDescent="0.2">
      <c r="A151" s="924"/>
      <c r="B151" s="924"/>
      <c r="C151" s="924"/>
      <c r="D151" s="924"/>
      <c r="E151" s="924"/>
      <c r="F151" s="924"/>
      <c r="G151" s="924"/>
      <c r="H151" s="924"/>
    </row>
    <row r="152" spans="1:8" ht="15.75" x14ac:dyDescent="0.2">
      <c r="A152" s="926" t="s">
        <v>444</v>
      </c>
      <c r="B152" s="924"/>
      <c r="C152" s="924"/>
      <c r="D152" s="924"/>
      <c r="E152" s="924"/>
      <c r="F152" s="924"/>
      <c r="G152" s="924"/>
      <c r="H152" s="924"/>
    </row>
    <row r="153" spans="1:8" x14ac:dyDescent="0.2">
      <c r="A153" s="924"/>
      <c r="B153" s="924"/>
      <c r="C153" s="924"/>
      <c r="D153" s="924"/>
      <c r="E153" s="924"/>
      <c r="F153" s="924"/>
      <c r="G153" s="924"/>
      <c r="H153" s="924"/>
    </row>
    <row r="154" spans="1:8" x14ac:dyDescent="0.2">
      <c r="A154" s="925" t="s">
        <v>618</v>
      </c>
      <c r="B154" s="924"/>
      <c r="C154" s="924"/>
      <c r="D154" s="924"/>
      <c r="E154" s="924"/>
      <c r="F154" s="924"/>
      <c r="G154" s="924"/>
      <c r="H154" s="924"/>
    </row>
    <row r="155" spans="1:8" x14ac:dyDescent="0.2">
      <c r="A155" s="925" t="s">
        <v>619</v>
      </c>
      <c r="B155" s="924"/>
      <c r="C155" s="924"/>
      <c r="D155" s="924"/>
      <c r="E155" s="924"/>
      <c r="F155" s="924"/>
      <c r="G155" s="924"/>
      <c r="H155" s="924"/>
    </row>
    <row r="156" spans="1:8" x14ac:dyDescent="0.2">
      <c r="A156" s="924"/>
      <c r="B156" s="924"/>
      <c r="C156" s="924"/>
      <c r="D156" s="924"/>
      <c r="E156" s="924"/>
      <c r="F156" s="924"/>
      <c r="G156" s="924"/>
      <c r="H156" s="924"/>
    </row>
    <row r="157" spans="1:8" x14ac:dyDescent="0.2">
      <c r="A157" s="925" t="s">
        <v>616</v>
      </c>
      <c r="B157" s="924"/>
      <c r="C157" s="924"/>
      <c r="D157" s="924"/>
      <c r="E157" s="924"/>
      <c r="F157" s="924"/>
      <c r="G157" s="924"/>
      <c r="H157" s="924"/>
    </row>
    <row r="158" spans="1:8" x14ac:dyDescent="0.2">
      <c r="A158" s="925" t="s">
        <v>617</v>
      </c>
      <c r="B158" s="924"/>
      <c r="C158" s="924"/>
      <c r="D158" s="924"/>
      <c r="E158" s="924"/>
      <c r="F158" s="924"/>
      <c r="G158" s="924"/>
      <c r="H158" s="924"/>
    </row>
    <row r="159" spans="1:8" x14ac:dyDescent="0.2">
      <c r="A159" s="924"/>
      <c r="B159" s="924"/>
      <c r="C159" s="924"/>
      <c r="D159" s="924"/>
      <c r="E159" s="924"/>
      <c r="F159" s="924"/>
      <c r="G159" s="924"/>
      <c r="H159" s="924"/>
    </row>
    <row r="160" spans="1:8" x14ac:dyDescent="0.2">
      <c r="A160" s="925" t="s">
        <v>614</v>
      </c>
      <c r="B160" s="924"/>
      <c r="C160" s="924"/>
      <c r="D160" s="924"/>
      <c r="E160" s="924"/>
      <c r="F160" s="924"/>
      <c r="G160" s="924"/>
      <c r="H160" s="924"/>
    </row>
    <row r="161" spans="1:8" x14ac:dyDescent="0.2">
      <c r="A161" s="925" t="s">
        <v>615</v>
      </c>
      <c r="B161" s="924"/>
      <c r="C161" s="924"/>
      <c r="D161" s="924"/>
      <c r="E161" s="924"/>
      <c r="F161" s="924"/>
      <c r="G161" s="924"/>
      <c r="H161" s="924"/>
    </row>
    <row r="162" spans="1:8" x14ac:dyDescent="0.2">
      <c r="A162" s="924"/>
      <c r="B162" s="924"/>
      <c r="C162" s="924"/>
      <c r="D162" s="924"/>
      <c r="E162" s="924"/>
      <c r="F162" s="924"/>
      <c r="G162" s="924"/>
      <c r="H162" s="924"/>
    </row>
    <row r="163" spans="1:8" x14ac:dyDescent="0.2">
      <c r="A163" s="925" t="s">
        <v>611</v>
      </c>
      <c r="B163" s="924"/>
      <c r="C163" s="924"/>
      <c r="D163" s="924"/>
      <c r="E163" s="924"/>
      <c r="F163" s="924"/>
      <c r="G163" s="924"/>
      <c r="H163" s="924"/>
    </row>
    <row r="164" spans="1:8" x14ac:dyDescent="0.2">
      <c r="A164" s="925" t="s">
        <v>612</v>
      </c>
      <c r="B164" s="924"/>
      <c r="C164" s="924"/>
      <c r="D164" s="924"/>
      <c r="E164" s="924"/>
      <c r="F164" s="924"/>
      <c r="G164" s="924"/>
      <c r="H164" s="924"/>
    </row>
    <row r="165" spans="1:8" x14ac:dyDescent="0.2">
      <c r="A165" s="925" t="s">
        <v>613</v>
      </c>
      <c r="B165" s="924"/>
      <c r="C165" s="924"/>
      <c r="D165" s="924"/>
      <c r="E165" s="924"/>
      <c r="F165" s="924"/>
      <c r="G165" s="924"/>
      <c r="H165" s="924"/>
    </row>
    <row r="166" spans="1:8" x14ac:dyDescent="0.2">
      <c r="A166" s="924"/>
      <c r="B166" s="924"/>
      <c r="C166" s="924"/>
      <c r="D166" s="924"/>
      <c r="E166" s="924"/>
      <c r="F166" s="924"/>
      <c r="G166" s="924"/>
      <c r="H166" s="924"/>
    </row>
    <row r="167" spans="1:8" x14ac:dyDescent="0.2">
      <c r="A167" s="924"/>
      <c r="B167" s="924"/>
      <c r="C167" s="924"/>
      <c r="D167" s="924"/>
      <c r="E167" s="924"/>
      <c r="F167" s="924"/>
      <c r="G167" s="924"/>
      <c r="H167" s="924"/>
    </row>
    <row r="168" spans="1:8" x14ac:dyDescent="0.2">
      <c r="A168" s="925" t="s">
        <v>445</v>
      </c>
      <c r="B168" s="924"/>
      <c r="C168" s="924"/>
      <c r="D168" s="924"/>
      <c r="E168" s="924"/>
      <c r="F168" s="924"/>
      <c r="G168" s="924"/>
      <c r="H168" s="924"/>
    </row>
    <row r="169" spans="1:8" x14ac:dyDescent="0.2">
      <c r="A169" s="924"/>
      <c r="B169" s="924"/>
      <c r="C169" s="924"/>
      <c r="D169" s="924"/>
      <c r="E169" s="924"/>
      <c r="F169" s="924"/>
      <c r="G169" s="924"/>
      <c r="H169" s="924"/>
    </row>
    <row r="170" spans="1:8" ht="15.75" x14ac:dyDescent="0.2">
      <c r="A170" s="926" t="s">
        <v>446</v>
      </c>
      <c r="B170" s="924"/>
      <c r="C170" s="924"/>
      <c r="D170" s="924"/>
      <c r="E170" s="924"/>
      <c r="F170" s="924"/>
      <c r="G170" s="924"/>
      <c r="H170" s="924"/>
    </row>
    <row r="171" spans="1:8" x14ac:dyDescent="0.2">
      <c r="A171" s="924"/>
      <c r="B171" s="924"/>
      <c r="C171" s="924"/>
      <c r="D171" s="924"/>
      <c r="E171" s="924"/>
      <c r="F171" s="924"/>
      <c r="G171" s="924"/>
      <c r="H171" s="924"/>
    </row>
    <row r="172" spans="1:8" x14ac:dyDescent="0.2">
      <c r="A172" s="924"/>
      <c r="B172" s="924"/>
      <c r="C172" s="924"/>
      <c r="D172" s="924"/>
      <c r="E172" s="924"/>
      <c r="F172" s="924"/>
      <c r="G172" s="924"/>
      <c r="H172" s="924"/>
    </row>
    <row r="173" spans="1:8" x14ac:dyDescent="0.2">
      <c r="A173" s="924"/>
      <c r="B173" s="924"/>
      <c r="C173" s="924"/>
      <c r="D173" s="924"/>
      <c r="E173" s="924"/>
      <c r="F173" s="924"/>
      <c r="G173" s="924"/>
      <c r="H173" s="924"/>
    </row>
    <row r="174" spans="1:8" x14ac:dyDescent="0.2">
      <c r="A174" s="924"/>
      <c r="B174" s="924"/>
      <c r="C174" s="924"/>
      <c r="D174" s="924"/>
      <c r="E174" s="924"/>
      <c r="F174" s="924"/>
      <c r="G174" s="924"/>
      <c r="H174" s="924"/>
    </row>
    <row r="175" spans="1:8" x14ac:dyDescent="0.2">
      <c r="A175" s="924"/>
      <c r="B175" s="924"/>
      <c r="C175" s="924"/>
      <c r="D175" s="924"/>
      <c r="E175" s="924"/>
      <c r="F175" s="924"/>
      <c r="G175" s="924"/>
      <c r="H175" s="924"/>
    </row>
    <row r="176" spans="1:8" x14ac:dyDescent="0.2">
      <c r="A176" s="924"/>
      <c r="B176" s="924"/>
      <c r="C176" s="924"/>
      <c r="D176" s="924"/>
      <c r="E176" s="924"/>
      <c r="F176" s="924"/>
      <c r="G176" s="924"/>
      <c r="H176" s="924"/>
    </row>
    <row r="177" spans="1:8" x14ac:dyDescent="0.2">
      <c r="A177" s="924"/>
      <c r="B177" s="924"/>
      <c r="C177" s="924"/>
      <c r="D177" s="924"/>
      <c r="E177" s="924"/>
      <c r="F177" s="924"/>
      <c r="G177" s="924"/>
      <c r="H177" s="924"/>
    </row>
    <row r="178" spans="1:8" x14ac:dyDescent="0.2">
      <c r="A178" s="924"/>
      <c r="B178" s="924"/>
      <c r="C178" s="924"/>
      <c r="D178" s="924"/>
      <c r="E178" s="924"/>
      <c r="F178" s="924"/>
      <c r="G178" s="924"/>
      <c r="H178" s="924"/>
    </row>
    <row r="179" spans="1:8" x14ac:dyDescent="0.2">
      <c r="A179" s="924"/>
      <c r="B179" s="924"/>
      <c r="C179" s="924"/>
      <c r="D179" s="924"/>
      <c r="E179" s="924"/>
      <c r="F179" s="924"/>
      <c r="G179" s="924"/>
      <c r="H179" s="924"/>
    </row>
    <row r="180" spans="1:8" x14ac:dyDescent="0.2">
      <c r="A180" s="924"/>
      <c r="B180" s="924"/>
      <c r="C180" s="924"/>
      <c r="D180" s="924"/>
      <c r="E180" s="924"/>
      <c r="F180" s="924"/>
      <c r="G180" s="924"/>
      <c r="H180" s="924"/>
    </row>
    <row r="181" spans="1:8" x14ac:dyDescent="0.2">
      <c r="A181" s="924"/>
      <c r="B181" s="924"/>
      <c r="C181" s="924"/>
      <c r="D181" s="924"/>
      <c r="E181" s="924"/>
      <c r="F181" s="924"/>
      <c r="G181" s="924"/>
      <c r="H181" s="924"/>
    </row>
    <row r="182" spans="1:8" x14ac:dyDescent="0.2">
      <c r="A182" s="924"/>
      <c r="B182" s="924"/>
      <c r="C182" s="924"/>
      <c r="D182" s="924"/>
      <c r="E182" s="924"/>
      <c r="F182" s="924"/>
      <c r="G182" s="924"/>
      <c r="H182" s="924"/>
    </row>
    <row r="183" spans="1:8" x14ac:dyDescent="0.2">
      <c r="A183" s="924"/>
      <c r="B183" s="924"/>
      <c r="C183" s="924"/>
      <c r="D183" s="924"/>
      <c r="E183" s="924"/>
      <c r="F183" s="924"/>
      <c r="G183" s="924"/>
      <c r="H183" s="924"/>
    </row>
    <row r="184" spans="1:8" x14ac:dyDescent="0.2">
      <c r="A184" s="924"/>
      <c r="B184" s="924"/>
      <c r="C184" s="924"/>
      <c r="D184" s="924"/>
      <c r="E184" s="924"/>
      <c r="F184" s="924"/>
      <c r="G184" s="924"/>
      <c r="H184" s="924"/>
    </row>
    <row r="185" spans="1:8" x14ac:dyDescent="0.2">
      <c r="A185" s="924"/>
      <c r="B185" s="924"/>
      <c r="C185" s="924"/>
      <c r="D185" s="924"/>
      <c r="E185" s="924"/>
      <c r="F185" s="924"/>
      <c r="G185" s="924"/>
      <c r="H185" s="924"/>
    </row>
    <row r="186" spans="1:8" x14ac:dyDescent="0.2">
      <c r="A186" s="924"/>
      <c r="B186" s="924"/>
      <c r="C186" s="924"/>
      <c r="D186" s="924"/>
      <c r="E186" s="924"/>
      <c r="F186" s="924"/>
      <c r="G186" s="924"/>
      <c r="H186" s="924"/>
    </row>
    <row r="187" spans="1:8" x14ac:dyDescent="0.2">
      <c r="A187" s="924"/>
      <c r="B187" s="924"/>
      <c r="C187" s="924"/>
      <c r="D187" s="924"/>
      <c r="E187" s="924"/>
      <c r="F187" s="924"/>
      <c r="G187" s="924"/>
      <c r="H187" s="924"/>
    </row>
    <row r="188" spans="1:8" x14ac:dyDescent="0.2">
      <c r="A188" s="924"/>
      <c r="B188" s="924"/>
      <c r="C188" s="924"/>
      <c r="D188" s="924"/>
      <c r="E188" s="924"/>
      <c r="F188" s="924"/>
      <c r="G188" s="924"/>
      <c r="H188" s="924"/>
    </row>
    <row r="189" spans="1:8" x14ac:dyDescent="0.2">
      <c r="A189" s="924"/>
      <c r="B189" s="924"/>
      <c r="C189" s="924"/>
      <c r="D189" s="924"/>
      <c r="E189" s="924"/>
      <c r="F189" s="924"/>
      <c r="G189" s="924"/>
      <c r="H189" s="924"/>
    </row>
    <row r="190" spans="1:8" x14ac:dyDescent="0.2">
      <c r="A190" s="924"/>
      <c r="B190" s="924"/>
      <c r="C190" s="924"/>
      <c r="D190" s="924"/>
      <c r="E190" s="924"/>
      <c r="F190" s="924"/>
      <c r="G190" s="924"/>
      <c r="H190" s="924"/>
    </row>
    <row r="191" spans="1:8" x14ac:dyDescent="0.2">
      <c r="A191" s="924"/>
      <c r="B191" s="924"/>
      <c r="C191" s="924"/>
      <c r="D191" s="924"/>
      <c r="E191" s="924"/>
      <c r="F191" s="924"/>
      <c r="G191" s="924"/>
      <c r="H191" s="924"/>
    </row>
    <row r="192" spans="1:8" x14ac:dyDescent="0.2">
      <c r="A192" s="924"/>
      <c r="B192" s="924"/>
      <c r="C192" s="924"/>
      <c r="D192" s="924"/>
      <c r="E192" s="924"/>
      <c r="F192" s="924"/>
      <c r="G192" s="924"/>
      <c r="H192" s="924"/>
    </row>
    <row r="193" spans="1:8" x14ac:dyDescent="0.2">
      <c r="A193" s="924"/>
      <c r="B193" s="924"/>
      <c r="C193" s="924"/>
      <c r="D193" s="924"/>
      <c r="E193" s="924"/>
      <c r="F193" s="924"/>
      <c r="G193" s="924"/>
      <c r="H193" s="924"/>
    </row>
    <row r="194" spans="1:8" x14ac:dyDescent="0.2">
      <c r="A194" s="924"/>
      <c r="B194" s="924"/>
      <c r="C194" s="924"/>
      <c r="D194" s="924"/>
      <c r="E194" s="924"/>
      <c r="F194" s="924"/>
      <c r="G194" s="924"/>
      <c r="H194" s="924"/>
    </row>
    <row r="195" spans="1:8" x14ac:dyDescent="0.2">
      <c r="A195" s="924"/>
      <c r="B195" s="924"/>
      <c r="C195" s="924"/>
      <c r="D195" s="924"/>
      <c r="E195" s="924"/>
      <c r="F195" s="924"/>
      <c r="G195" s="924"/>
      <c r="H195" s="924"/>
    </row>
    <row r="196" spans="1:8" x14ac:dyDescent="0.2">
      <c r="A196" s="924"/>
      <c r="B196" s="924"/>
      <c r="C196" s="924"/>
      <c r="D196" s="924"/>
      <c r="E196" s="924"/>
      <c r="F196" s="924"/>
      <c r="G196" s="924"/>
      <c r="H196" s="924"/>
    </row>
    <row r="197" spans="1:8" ht="15.75" x14ac:dyDescent="0.2">
      <c r="A197" s="926" t="s">
        <v>447</v>
      </c>
      <c r="B197" s="924"/>
      <c r="C197" s="924"/>
      <c r="D197" s="924"/>
      <c r="E197" s="924"/>
      <c r="F197" s="924"/>
      <c r="G197" s="924"/>
      <c r="H197" s="924"/>
    </row>
    <row r="198" spans="1:8" x14ac:dyDescent="0.2">
      <c r="A198" s="924"/>
      <c r="B198" s="924"/>
      <c r="C198" s="924"/>
      <c r="D198" s="924"/>
      <c r="E198" s="924"/>
      <c r="F198" s="924"/>
      <c r="G198" s="924"/>
      <c r="H198" s="924"/>
    </row>
    <row r="199" spans="1:8" x14ac:dyDescent="0.2">
      <c r="A199" s="925" t="s">
        <v>606</v>
      </c>
      <c r="B199" s="924"/>
      <c r="C199" s="924"/>
      <c r="D199" s="924"/>
      <c r="E199" s="924"/>
      <c r="F199" s="924"/>
      <c r="G199" s="924"/>
      <c r="H199" s="924"/>
    </row>
    <row r="200" spans="1:8" x14ac:dyDescent="0.2">
      <c r="A200" s="925" t="s">
        <v>607</v>
      </c>
      <c r="B200" s="924"/>
      <c r="C200" s="924"/>
      <c r="D200" s="924"/>
      <c r="E200" s="924"/>
      <c r="F200" s="924"/>
      <c r="G200" s="924"/>
      <c r="H200" s="924"/>
    </row>
    <row r="201" spans="1:8" x14ac:dyDescent="0.2">
      <c r="A201" s="925" t="s">
        <v>608</v>
      </c>
      <c r="B201" s="924"/>
      <c r="C201" s="924"/>
      <c r="D201" s="924"/>
      <c r="E201" s="924"/>
      <c r="F201" s="924"/>
      <c r="G201" s="924"/>
      <c r="H201" s="924"/>
    </row>
    <row r="202" spans="1:8" x14ac:dyDescent="0.2">
      <c r="A202" s="925" t="s">
        <v>609</v>
      </c>
      <c r="B202" s="924"/>
      <c r="C202" s="924"/>
      <c r="D202" s="924"/>
      <c r="E202" s="924"/>
      <c r="F202" s="924"/>
      <c r="G202" s="924"/>
      <c r="H202" s="924"/>
    </row>
    <row r="203" spans="1:8" x14ac:dyDescent="0.2">
      <c r="A203" s="925" t="s">
        <v>610</v>
      </c>
      <c r="B203" s="924"/>
      <c r="C203" s="924"/>
      <c r="D203" s="924"/>
      <c r="E203" s="924"/>
      <c r="F203" s="924"/>
      <c r="G203" s="924"/>
      <c r="H203" s="924"/>
    </row>
    <row r="204" spans="1:8" x14ac:dyDescent="0.2">
      <c r="A204" s="924"/>
      <c r="B204" s="924"/>
      <c r="C204" s="924"/>
      <c r="D204" s="924"/>
      <c r="E204" s="924"/>
      <c r="F204" s="924"/>
      <c r="G204" s="924"/>
      <c r="H204" s="924"/>
    </row>
    <row r="205" spans="1:8" x14ac:dyDescent="0.2">
      <c r="A205" s="925" t="s">
        <v>603</v>
      </c>
      <c r="B205" s="924"/>
      <c r="C205" s="924"/>
      <c r="D205" s="924"/>
      <c r="E205" s="924"/>
      <c r="F205" s="924"/>
      <c r="G205" s="924"/>
      <c r="H205" s="924"/>
    </row>
    <row r="206" spans="1:8" x14ac:dyDescent="0.2">
      <c r="A206" s="925" t="s">
        <v>604</v>
      </c>
      <c r="B206" s="924"/>
      <c r="C206" s="924"/>
      <c r="D206" s="924"/>
      <c r="E206" s="924"/>
      <c r="F206" s="924"/>
      <c r="G206" s="924"/>
      <c r="H206" s="924"/>
    </row>
    <row r="207" spans="1:8" x14ac:dyDescent="0.2">
      <c r="A207" s="925" t="s">
        <v>605</v>
      </c>
      <c r="B207" s="924"/>
      <c r="C207" s="924"/>
      <c r="D207" s="924"/>
      <c r="E207" s="924"/>
      <c r="F207" s="924"/>
      <c r="G207" s="924"/>
      <c r="H207" s="924"/>
    </row>
    <row r="208" spans="1:8" ht="15.75" x14ac:dyDescent="0.2">
      <c r="A208" s="926" t="s">
        <v>448</v>
      </c>
      <c r="B208" s="924"/>
      <c r="C208" s="924"/>
      <c r="D208" s="924"/>
      <c r="E208" s="924"/>
      <c r="F208" s="924"/>
      <c r="G208" s="924"/>
      <c r="H208" s="924"/>
    </row>
    <row r="209" spans="1:8" x14ac:dyDescent="0.2">
      <c r="A209" s="924"/>
      <c r="B209" s="924"/>
      <c r="C209" s="924"/>
      <c r="D209" s="924"/>
      <c r="E209" s="924"/>
      <c r="F209" s="924"/>
      <c r="G209" s="924"/>
      <c r="H209" s="924"/>
    </row>
    <row r="210" spans="1:8" x14ac:dyDescent="0.2">
      <c r="A210" s="925" t="s">
        <v>596</v>
      </c>
      <c r="B210" s="924"/>
      <c r="C210" s="924"/>
      <c r="D210" s="924"/>
      <c r="E210" s="924"/>
      <c r="F210" s="924"/>
      <c r="G210" s="924"/>
      <c r="H210" s="924"/>
    </row>
    <row r="211" spans="1:8" x14ac:dyDescent="0.2">
      <c r="A211" s="925" t="s">
        <v>597</v>
      </c>
      <c r="B211" s="924"/>
      <c r="C211" s="924"/>
      <c r="D211" s="924"/>
      <c r="E211" s="924"/>
      <c r="F211" s="924"/>
      <c r="G211" s="924"/>
      <c r="H211" s="924"/>
    </row>
    <row r="212" spans="1:8" x14ac:dyDescent="0.2">
      <c r="A212" s="925" t="s">
        <v>598</v>
      </c>
      <c r="B212" s="924"/>
      <c r="C212" s="924"/>
      <c r="D212" s="924"/>
      <c r="E212" s="924"/>
      <c r="F212" s="924"/>
      <c r="G212" s="924"/>
      <c r="H212" s="924"/>
    </row>
    <row r="213" spans="1:8" x14ac:dyDescent="0.2">
      <c r="A213" s="925" t="s">
        <v>599</v>
      </c>
      <c r="B213" s="924"/>
      <c r="C213" s="924"/>
      <c r="D213" s="924"/>
      <c r="E213" s="924"/>
      <c r="F213" s="924"/>
      <c r="G213" s="924"/>
      <c r="H213" s="924"/>
    </row>
    <row r="214" spans="1:8" x14ac:dyDescent="0.2">
      <c r="A214" s="925" t="s">
        <v>600</v>
      </c>
      <c r="B214" s="924"/>
      <c r="C214" s="924"/>
      <c r="D214" s="924"/>
      <c r="E214" s="924"/>
      <c r="F214" s="924"/>
      <c r="G214" s="924"/>
      <c r="H214" s="924"/>
    </row>
    <row r="215" spans="1:8" x14ac:dyDescent="0.2">
      <c r="A215" s="925" t="s">
        <v>601</v>
      </c>
      <c r="B215" s="924"/>
      <c r="C215" s="924"/>
      <c r="D215" s="924"/>
      <c r="E215" s="924"/>
      <c r="F215" s="924"/>
      <c r="G215" s="924"/>
      <c r="H215" s="924"/>
    </row>
    <row r="216" spans="1:8" x14ac:dyDescent="0.2">
      <c r="A216" s="925" t="s">
        <v>602</v>
      </c>
      <c r="B216" s="924"/>
      <c r="C216" s="924"/>
      <c r="D216" s="924"/>
      <c r="E216" s="924"/>
      <c r="F216" s="924"/>
      <c r="G216" s="924"/>
      <c r="H216" s="924"/>
    </row>
    <row r="217" spans="1:8" x14ac:dyDescent="0.2">
      <c r="A217" s="924"/>
      <c r="B217" s="924"/>
      <c r="C217" s="924"/>
      <c r="D217" s="924"/>
      <c r="E217" s="924"/>
      <c r="F217" s="924"/>
      <c r="G217" s="924"/>
      <c r="H217" s="924"/>
    </row>
    <row r="218" spans="1:8" x14ac:dyDescent="0.2">
      <c r="A218" s="925" t="s">
        <v>593</v>
      </c>
      <c r="B218" s="924"/>
      <c r="C218" s="924"/>
      <c r="D218" s="924"/>
      <c r="E218" s="924"/>
      <c r="F218" s="924"/>
      <c r="G218" s="924"/>
      <c r="H218" s="924"/>
    </row>
    <row r="219" spans="1:8" x14ac:dyDescent="0.2">
      <c r="A219" s="925" t="s">
        <v>594</v>
      </c>
      <c r="B219" s="924"/>
      <c r="C219" s="924"/>
      <c r="D219" s="924"/>
      <c r="E219" s="924"/>
      <c r="F219" s="924"/>
      <c r="G219" s="924"/>
      <c r="H219" s="924"/>
    </row>
    <row r="220" spans="1:8" x14ac:dyDescent="0.2">
      <c r="A220" s="925" t="s">
        <v>595</v>
      </c>
      <c r="B220" s="924"/>
      <c r="C220" s="924"/>
      <c r="D220" s="924"/>
      <c r="E220" s="924"/>
      <c r="F220" s="924"/>
      <c r="G220" s="924"/>
      <c r="H220" s="924"/>
    </row>
    <row r="221" spans="1:8" x14ac:dyDescent="0.2">
      <c r="A221" s="924"/>
      <c r="B221" s="924"/>
      <c r="C221" s="924"/>
      <c r="D221" s="924"/>
      <c r="E221" s="924"/>
      <c r="F221" s="924"/>
      <c r="G221" s="924"/>
      <c r="H221" s="924"/>
    </row>
    <row r="222" spans="1:8" x14ac:dyDescent="0.2">
      <c r="A222" s="925" t="s">
        <v>588</v>
      </c>
      <c r="B222" s="924"/>
      <c r="C222" s="924"/>
      <c r="D222" s="924"/>
      <c r="E222" s="924"/>
      <c r="F222" s="924"/>
      <c r="G222" s="924"/>
      <c r="H222" s="924"/>
    </row>
    <row r="223" spans="1:8" x14ac:dyDescent="0.2">
      <c r="A223" s="925" t="s">
        <v>589</v>
      </c>
      <c r="B223" s="924"/>
      <c r="C223" s="924"/>
      <c r="D223" s="924"/>
      <c r="E223" s="924"/>
      <c r="F223" s="924"/>
      <c r="G223" s="924"/>
      <c r="H223" s="924"/>
    </row>
    <row r="224" spans="1:8" x14ac:dyDescent="0.2">
      <c r="A224" s="925" t="s">
        <v>590</v>
      </c>
      <c r="B224" s="924"/>
      <c r="C224" s="924"/>
      <c r="D224" s="924"/>
      <c r="E224" s="924"/>
      <c r="F224" s="924"/>
      <c r="G224" s="924"/>
      <c r="H224" s="924"/>
    </row>
    <row r="225" spans="1:8" x14ac:dyDescent="0.2">
      <c r="A225" s="925" t="s">
        <v>591</v>
      </c>
      <c r="B225" s="924"/>
      <c r="C225" s="924"/>
      <c r="D225" s="924"/>
      <c r="E225" s="924"/>
      <c r="F225" s="924"/>
      <c r="G225" s="924"/>
      <c r="H225" s="924"/>
    </row>
    <row r="226" spans="1:8" x14ac:dyDescent="0.2">
      <c r="A226" s="925" t="s">
        <v>592</v>
      </c>
      <c r="B226" s="924"/>
      <c r="C226" s="924"/>
      <c r="D226" s="924"/>
      <c r="E226" s="924"/>
      <c r="F226" s="924"/>
      <c r="G226" s="924"/>
      <c r="H226" s="924"/>
    </row>
    <row r="227" spans="1:8" x14ac:dyDescent="0.2">
      <c r="A227" s="924"/>
      <c r="B227" s="924"/>
      <c r="C227" s="924"/>
      <c r="D227" s="924"/>
      <c r="E227" s="924"/>
      <c r="F227" s="924"/>
      <c r="G227" s="924"/>
      <c r="H227" s="924"/>
    </row>
    <row r="228" spans="1:8" x14ac:dyDescent="0.2">
      <c r="A228" s="925" t="s">
        <v>582</v>
      </c>
      <c r="B228" s="924"/>
      <c r="C228" s="924"/>
      <c r="D228" s="924"/>
      <c r="E228" s="924"/>
      <c r="F228" s="924"/>
      <c r="G228" s="924"/>
      <c r="H228" s="924"/>
    </row>
    <row r="229" spans="1:8" x14ac:dyDescent="0.2">
      <c r="A229" s="925" t="s">
        <v>583</v>
      </c>
      <c r="B229" s="924"/>
      <c r="C229" s="924"/>
      <c r="D229" s="924"/>
      <c r="E229" s="924"/>
      <c r="F229" s="924"/>
      <c r="G229" s="924"/>
      <c r="H229" s="924"/>
    </row>
    <row r="230" spans="1:8" x14ac:dyDescent="0.2">
      <c r="A230" s="925" t="s">
        <v>584</v>
      </c>
      <c r="B230" s="924"/>
      <c r="C230" s="924"/>
      <c r="D230" s="924"/>
      <c r="E230" s="924"/>
      <c r="F230" s="924"/>
      <c r="G230" s="924"/>
      <c r="H230" s="924"/>
    </row>
    <row r="231" spans="1:8" x14ac:dyDescent="0.2">
      <c r="A231" s="925" t="s">
        <v>585</v>
      </c>
      <c r="B231" s="924"/>
      <c r="C231" s="924"/>
      <c r="D231" s="924"/>
      <c r="E231" s="924"/>
      <c r="F231" s="924"/>
      <c r="G231" s="924"/>
      <c r="H231" s="924"/>
    </row>
    <row r="232" spans="1:8" x14ac:dyDescent="0.2">
      <c r="A232" s="925" t="s">
        <v>586</v>
      </c>
      <c r="B232" s="924"/>
      <c r="C232" s="924"/>
      <c r="D232" s="924"/>
      <c r="E232" s="924"/>
      <c r="F232" s="924"/>
      <c r="G232" s="924"/>
      <c r="H232" s="924"/>
    </row>
    <row r="233" spans="1:8" x14ac:dyDescent="0.2">
      <c r="A233" s="925" t="s">
        <v>587</v>
      </c>
      <c r="B233" s="924"/>
      <c r="C233" s="924"/>
      <c r="D233" s="924"/>
      <c r="E233" s="924"/>
      <c r="F233" s="924"/>
      <c r="G233" s="924"/>
      <c r="H233" s="924"/>
    </row>
    <row r="234" spans="1:8" x14ac:dyDescent="0.2">
      <c r="A234" s="924"/>
      <c r="B234" s="924"/>
      <c r="C234" s="924"/>
      <c r="D234" s="924"/>
      <c r="E234" s="924"/>
      <c r="F234" s="924"/>
      <c r="G234" s="924"/>
      <c r="H234" s="924"/>
    </row>
    <row r="235" spans="1:8" x14ac:dyDescent="0.2">
      <c r="A235" s="925" t="s">
        <v>572</v>
      </c>
      <c r="B235" s="924"/>
      <c r="C235" s="924"/>
      <c r="D235" s="924"/>
      <c r="E235" s="924"/>
      <c r="F235" s="924"/>
      <c r="G235" s="924"/>
      <c r="H235" s="924"/>
    </row>
    <row r="236" spans="1:8" x14ac:dyDescent="0.2">
      <c r="A236" s="925" t="s">
        <v>573</v>
      </c>
      <c r="B236" s="924"/>
      <c r="C236" s="924"/>
      <c r="D236" s="924"/>
      <c r="E236" s="924"/>
      <c r="F236" s="924"/>
      <c r="G236" s="924"/>
      <c r="H236" s="924"/>
    </row>
    <row r="237" spans="1:8" x14ac:dyDescent="0.2">
      <c r="A237" s="925" t="s">
        <v>574</v>
      </c>
      <c r="B237" s="924"/>
      <c r="C237" s="924"/>
      <c r="D237" s="924"/>
      <c r="E237" s="924"/>
      <c r="F237" s="924"/>
      <c r="G237" s="924"/>
      <c r="H237" s="924"/>
    </row>
    <row r="238" spans="1:8" x14ac:dyDescent="0.2">
      <c r="A238" s="925" t="s">
        <v>575</v>
      </c>
      <c r="B238" s="924"/>
      <c r="C238" s="924"/>
      <c r="D238" s="924"/>
      <c r="E238" s="924"/>
      <c r="F238" s="924"/>
      <c r="G238" s="924"/>
      <c r="H238" s="924"/>
    </row>
    <row r="239" spans="1:8" x14ac:dyDescent="0.2">
      <c r="A239" s="925" t="s">
        <v>576</v>
      </c>
      <c r="B239" s="924"/>
      <c r="C239" s="924"/>
      <c r="D239" s="924"/>
      <c r="E239" s="924"/>
      <c r="F239" s="924"/>
      <c r="G239" s="924"/>
      <c r="H239" s="924"/>
    </row>
    <row r="240" spans="1:8" x14ac:dyDescent="0.2">
      <c r="A240" s="925" t="s">
        <v>577</v>
      </c>
      <c r="B240" s="924"/>
      <c r="C240" s="924"/>
      <c r="D240" s="924"/>
      <c r="E240" s="924"/>
      <c r="F240" s="924"/>
      <c r="G240" s="924"/>
      <c r="H240" s="924"/>
    </row>
    <row r="241" spans="1:8" x14ac:dyDescent="0.2">
      <c r="A241" s="925" t="s">
        <v>578</v>
      </c>
      <c r="B241" s="924"/>
      <c r="C241" s="924"/>
      <c r="D241" s="924"/>
      <c r="E241" s="924"/>
      <c r="F241" s="924"/>
      <c r="G241" s="924"/>
      <c r="H241" s="924"/>
    </row>
    <row r="242" spans="1:8" x14ac:dyDescent="0.2">
      <c r="A242" s="925" t="s">
        <v>579</v>
      </c>
      <c r="B242" s="924"/>
      <c r="C242" s="924"/>
      <c r="D242" s="924"/>
      <c r="E242" s="924"/>
      <c r="F242" s="924"/>
      <c r="G242" s="924"/>
      <c r="H242" s="924"/>
    </row>
    <row r="243" spans="1:8" x14ac:dyDescent="0.2">
      <c r="A243" s="925" t="s">
        <v>580</v>
      </c>
      <c r="B243" s="924"/>
      <c r="C243" s="924"/>
      <c r="D243" s="924"/>
      <c r="E243" s="924"/>
      <c r="F243" s="924"/>
      <c r="G243" s="924"/>
      <c r="H243" s="924"/>
    </row>
    <row r="244" spans="1:8" x14ac:dyDescent="0.2">
      <c r="A244" s="925" t="s">
        <v>581</v>
      </c>
      <c r="B244" s="924"/>
      <c r="C244" s="924"/>
      <c r="D244" s="924"/>
      <c r="E244" s="924"/>
      <c r="F244" s="924"/>
      <c r="G244" s="924"/>
      <c r="H244" s="924"/>
    </row>
    <row r="245" spans="1:8" x14ac:dyDescent="0.2">
      <c r="A245" s="924"/>
      <c r="B245" s="924"/>
      <c r="C245" s="924"/>
      <c r="D245" s="924"/>
      <c r="E245" s="924"/>
      <c r="F245" s="924"/>
      <c r="G245" s="924"/>
      <c r="H245" s="924"/>
    </row>
    <row r="246" spans="1:8" x14ac:dyDescent="0.2">
      <c r="A246" s="925" t="s">
        <v>570</v>
      </c>
      <c r="B246" s="924"/>
      <c r="C246" s="924"/>
      <c r="D246" s="924"/>
      <c r="E246" s="924"/>
      <c r="F246" s="924"/>
      <c r="G246" s="924"/>
      <c r="H246" s="924"/>
    </row>
    <row r="247" spans="1:8" x14ac:dyDescent="0.2">
      <c r="A247" s="925" t="s">
        <v>571</v>
      </c>
      <c r="B247" s="924"/>
      <c r="C247" s="924"/>
      <c r="D247" s="924"/>
      <c r="E247" s="924"/>
      <c r="F247" s="924"/>
      <c r="G247" s="924"/>
      <c r="H247" s="924"/>
    </row>
    <row r="248" spans="1:8" x14ac:dyDescent="0.2">
      <c r="A248" s="924"/>
      <c r="B248" s="924"/>
      <c r="C248" s="924"/>
      <c r="D248" s="924"/>
      <c r="E248" s="924"/>
      <c r="F248" s="924"/>
      <c r="G248" s="924"/>
      <c r="H248" s="924"/>
    </row>
    <row r="249" spans="1:8" x14ac:dyDescent="0.2">
      <c r="A249" s="925" t="s">
        <v>554</v>
      </c>
      <c r="B249" s="924"/>
      <c r="C249" s="924"/>
      <c r="D249" s="924"/>
      <c r="E249" s="924"/>
      <c r="F249" s="924"/>
      <c r="G249" s="924"/>
      <c r="H249" s="924"/>
    </row>
    <row r="250" spans="1:8" x14ac:dyDescent="0.2">
      <c r="A250" s="925" t="s">
        <v>555</v>
      </c>
      <c r="B250" s="924"/>
      <c r="C250" s="924"/>
      <c r="D250" s="924"/>
      <c r="E250" s="924"/>
      <c r="F250" s="924"/>
      <c r="G250" s="924"/>
      <c r="H250" s="924"/>
    </row>
    <row r="251" spans="1:8" x14ac:dyDescent="0.2">
      <c r="A251" s="925" t="s">
        <v>556</v>
      </c>
      <c r="B251" s="924"/>
      <c r="C251" s="924"/>
      <c r="D251" s="924"/>
      <c r="E251" s="924"/>
      <c r="F251" s="924"/>
      <c r="G251" s="924"/>
      <c r="H251" s="924"/>
    </row>
    <row r="252" spans="1:8" x14ac:dyDescent="0.2">
      <c r="A252" s="925" t="s">
        <v>557</v>
      </c>
      <c r="B252" s="924"/>
      <c r="C252" s="924"/>
      <c r="D252" s="924"/>
      <c r="E252" s="924"/>
      <c r="F252" s="924"/>
      <c r="G252" s="924"/>
      <c r="H252" s="924"/>
    </row>
    <row r="253" spans="1:8" x14ac:dyDescent="0.2">
      <c r="A253" s="925" t="s">
        <v>558</v>
      </c>
      <c r="B253" s="924"/>
      <c r="C253" s="924"/>
      <c r="D253" s="924"/>
      <c r="E253" s="924"/>
      <c r="F253" s="924"/>
      <c r="G253" s="924"/>
      <c r="H253" s="924"/>
    </row>
    <row r="254" spans="1:8" x14ac:dyDescent="0.2">
      <c r="A254" s="925" t="s">
        <v>559</v>
      </c>
      <c r="B254" s="924"/>
      <c r="C254" s="924"/>
      <c r="D254" s="924"/>
      <c r="E254" s="924"/>
      <c r="F254" s="924"/>
      <c r="G254" s="924"/>
      <c r="H254" s="924"/>
    </row>
    <row r="255" spans="1:8" x14ac:dyDescent="0.2">
      <c r="A255" s="925" t="s">
        <v>560</v>
      </c>
      <c r="B255" s="924"/>
      <c r="C255" s="924"/>
      <c r="D255" s="924"/>
      <c r="E255" s="924"/>
      <c r="F255" s="924"/>
      <c r="G255" s="924"/>
      <c r="H255" s="924"/>
    </row>
    <row r="256" spans="1:8" x14ac:dyDescent="0.2">
      <c r="A256" s="925" t="s">
        <v>561</v>
      </c>
      <c r="B256" s="924"/>
      <c r="C256" s="924"/>
      <c r="D256" s="924"/>
      <c r="E256" s="924"/>
      <c r="F256" s="924"/>
      <c r="G256" s="924"/>
      <c r="H256" s="924"/>
    </row>
    <row r="257" spans="1:8" x14ac:dyDescent="0.2">
      <c r="A257" s="925" t="s">
        <v>562</v>
      </c>
      <c r="B257" s="924"/>
      <c r="C257" s="924"/>
      <c r="D257" s="924"/>
      <c r="E257" s="924"/>
      <c r="F257" s="924"/>
      <c r="G257" s="924"/>
      <c r="H257" s="924"/>
    </row>
    <row r="258" spans="1:8" x14ac:dyDescent="0.2">
      <c r="A258" s="925" t="s">
        <v>563</v>
      </c>
      <c r="B258" s="924"/>
      <c r="C258" s="924"/>
      <c r="D258" s="924"/>
      <c r="E258" s="924"/>
      <c r="F258" s="924"/>
      <c r="G258" s="924"/>
      <c r="H258" s="924"/>
    </row>
    <row r="259" spans="1:8" x14ac:dyDescent="0.2">
      <c r="A259" s="925" t="s">
        <v>564</v>
      </c>
      <c r="B259" s="924"/>
      <c r="C259" s="924"/>
      <c r="D259" s="924"/>
      <c r="E259" s="924"/>
      <c r="F259" s="924"/>
      <c r="G259" s="924"/>
      <c r="H259" s="924"/>
    </row>
    <row r="260" spans="1:8" x14ac:dyDescent="0.2">
      <c r="A260" s="925" t="s">
        <v>565</v>
      </c>
      <c r="B260" s="924"/>
      <c r="C260" s="924"/>
      <c r="D260" s="924"/>
      <c r="E260" s="924"/>
      <c r="F260" s="924"/>
      <c r="G260" s="924"/>
      <c r="H260" s="924"/>
    </row>
    <row r="261" spans="1:8" x14ac:dyDescent="0.2">
      <c r="A261" s="925" t="s">
        <v>566</v>
      </c>
      <c r="B261" s="924"/>
      <c r="C261" s="924"/>
      <c r="D261" s="924"/>
      <c r="E261" s="924"/>
      <c r="F261" s="924"/>
      <c r="G261" s="924"/>
      <c r="H261" s="924"/>
    </row>
    <row r="262" spans="1:8" x14ac:dyDescent="0.2">
      <c r="A262" s="925" t="s">
        <v>567</v>
      </c>
      <c r="B262" s="924"/>
      <c r="C262" s="924"/>
      <c r="D262" s="924"/>
      <c r="E262" s="924"/>
      <c r="F262" s="924"/>
      <c r="G262" s="924"/>
      <c r="H262" s="924"/>
    </row>
    <row r="263" spans="1:8" x14ac:dyDescent="0.2">
      <c r="A263" s="925" t="s">
        <v>568</v>
      </c>
      <c r="B263" s="924"/>
      <c r="C263" s="924"/>
      <c r="D263" s="924"/>
      <c r="E263" s="924"/>
      <c r="F263" s="924"/>
      <c r="G263" s="924"/>
      <c r="H263" s="924"/>
    </row>
    <row r="264" spans="1:8" x14ac:dyDescent="0.2">
      <c r="A264" s="925" t="s">
        <v>569</v>
      </c>
      <c r="B264" s="924"/>
      <c r="C264" s="924"/>
      <c r="D264" s="924"/>
      <c r="E264" s="924"/>
      <c r="F264" s="924"/>
      <c r="G264" s="924"/>
      <c r="H264" s="924"/>
    </row>
    <row r="265" spans="1:8" x14ac:dyDescent="0.2">
      <c r="A265" s="924"/>
      <c r="B265" s="924"/>
      <c r="C265" s="924"/>
      <c r="D265" s="924"/>
      <c r="E265" s="924"/>
      <c r="F265" s="924"/>
      <c r="G265" s="924"/>
      <c r="H265" s="924"/>
    </row>
    <row r="266" spans="1:8" x14ac:dyDescent="0.2">
      <c r="A266" s="925" t="s">
        <v>547</v>
      </c>
      <c r="B266" s="924"/>
      <c r="C266" s="924"/>
      <c r="D266" s="924"/>
      <c r="E266" s="924"/>
      <c r="F266" s="924"/>
      <c r="G266" s="924"/>
      <c r="H266" s="924"/>
    </row>
    <row r="267" spans="1:8" x14ac:dyDescent="0.2">
      <c r="A267" s="925" t="s">
        <v>548</v>
      </c>
      <c r="B267" s="924"/>
      <c r="C267" s="924"/>
      <c r="D267" s="924"/>
      <c r="E267" s="924"/>
      <c r="F267" s="924"/>
      <c r="G267" s="924"/>
      <c r="H267" s="924"/>
    </row>
    <row r="268" spans="1:8" x14ac:dyDescent="0.2">
      <c r="A268" s="925" t="s">
        <v>549</v>
      </c>
      <c r="B268" s="924"/>
      <c r="C268" s="924"/>
      <c r="D268" s="924"/>
      <c r="E268" s="924"/>
      <c r="F268" s="924"/>
      <c r="G268" s="924"/>
      <c r="H268" s="924"/>
    </row>
    <row r="269" spans="1:8" x14ac:dyDescent="0.2">
      <c r="A269" s="925" t="s">
        <v>550</v>
      </c>
      <c r="B269" s="924"/>
      <c r="C269" s="924"/>
      <c r="D269" s="924"/>
      <c r="E269" s="924"/>
      <c r="F269" s="924"/>
      <c r="G269" s="924"/>
      <c r="H269" s="924"/>
    </row>
    <row r="270" spans="1:8" x14ac:dyDescent="0.2">
      <c r="A270" s="925" t="s">
        <v>551</v>
      </c>
      <c r="B270" s="924"/>
      <c r="C270" s="924"/>
      <c r="D270" s="924"/>
      <c r="E270" s="924"/>
      <c r="F270" s="924"/>
      <c r="G270" s="924"/>
      <c r="H270" s="924"/>
    </row>
    <row r="271" spans="1:8" x14ac:dyDescent="0.2">
      <c r="A271" s="925" t="s">
        <v>552</v>
      </c>
      <c r="B271" s="924"/>
      <c r="C271" s="924"/>
      <c r="D271" s="924"/>
      <c r="E271" s="924"/>
      <c r="F271" s="924"/>
      <c r="G271" s="924"/>
      <c r="H271" s="924"/>
    </row>
    <row r="272" spans="1:8" x14ac:dyDescent="0.2">
      <c r="A272" s="925" t="s">
        <v>553</v>
      </c>
      <c r="B272" s="924"/>
      <c r="C272" s="924"/>
      <c r="D272" s="924"/>
      <c r="E272" s="924"/>
      <c r="F272" s="924"/>
      <c r="G272" s="924"/>
      <c r="H272" s="924"/>
    </row>
    <row r="273" spans="1:8" x14ac:dyDescent="0.2">
      <c r="A273" s="924"/>
      <c r="B273" s="924"/>
      <c r="C273" s="924"/>
      <c r="D273" s="924"/>
      <c r="E273" s="924"/>
      <c r="F273" s="924"/>
      <c r="G273" s="924"/>
      <c r="H273" s="924"/>
    </row>
    <row r="274" spans="1:8" x14ac:dyDescent="0.2">
      <c r="A274" s="925" t="s">
        <v>538</v>
      </c>
      <c r="B274" s="924"/>
      <c r="C274" s="924"/>
      <c r="D274" s="924"/>
      <c r="E274" s="924"/>
      <c r="F274" s="924"/>
      <c r="G274" s="924"/>
      <c r="H274" s="924"/>
    </row>
    <row r="275" spans="1:8" x14ac:dyDescent="0.2">
      <c r="A275" s="925" t="s">
        <v>539</v>
      </c>
      <c r="B275" s="924"/>
      <c r="C275" s="924"/>
      <c r="D275" s="924"/>
      <c r="E275" s="924"/>
      <c r="F275" s="924"/>
      <c r="G275" s="924"/>
      <c r="H275" s="924"/>
    </row>
    <row r="276" spans="1:8" x14ac:dyDescent="0.2">
      <c r="A276" s="925" t="s">
        <v>540</v>
      </c>
      <c r="B276" s="924"/>
      <c r="C276" s="924"/>
      <c r="D276" s="924"/>
      <c r="E276" s="924"/>
      <c r="F276" s="924"/>
      <c r="G276" s="924"/>
      <c r="H276" s="924"/>
    </row>
    <row r="277" spans="1:8" x14ac:dyDescent="0.2">
      <c r="A277" s="925" t="s">
        <v>541</v>
      </c>
      <c r="B277" s="924"/>
      <c r="C277" s="924"/>
      <c r="D277" s="924"/>
      <c r="E277" s="924"/>
      <c r="F277" s="924"/>
      <c r="G277" s="924"/>
      <c r="H277" s="924"/>
    </row>
    <row r="278" spans="1:8" x14ac:dyDescent="0.2">
      <c r="A278" s="925" t="s">
        <v>542</v>
      </c>
      <c r="B278" s="924"/>
      <c r="C278" s="924"/>
      <c r="D278" s="924"/>
      <c r="E278" s="924"/>
      <c r="F278" s="924"/>
      <c r="G278" s="924"/>
      <c r="H278" s="924"/>
    </row>
    <row r="279" spans="1:8" x14ac:dyDescent="0.2">
      <c r="A279" s="925" t="s">
        <v>543</v>
      </c>
      <c r="B279" s="924"/>
      <c r="C279" s="924"/>
      <c r="D279" s="924"/>
      <c r="E279" s="924"/>
      <c r="F279" s="924"/>
      <c r="G279" s="924"/>
      <c r="H279" s="924"/>
    </row>
    <row r="280" spans="1:8" x14ac:dyDescent="0.2">
      <c r="A280" s="925" t="s">
        <v>544</v>
      </c>
      <c r="B280" s="924"/>
      <c r="C280" s="924"/>
      <c r="D280" s="924"/>
      <c r="E280" s="924"/>
      <c r="F280" s="924"/>
      <c r="G280" s="924"/>
      <c r="H280" s="924"/>
    </row>
    <row r="281" spans="1:8" x14ac:dyDescent="0.2">
      <c r="A281" s="925" t="s">
        <v>545</v>
      </c>
      <c r="B281" s="924"/>
      <c r="C281" s="924"/>
      <c r="D281" s="924"/>
      <c r="E281" s="924"/>
      <c r="F281" s="924"/>
      <c r="G281" s="924"/>
      <c r="H281" s="924"/>
    </row>
    <row r="282" spans="1:8" x14ac:dyDescent="0.2">
      <c r="A282" s="925" t="s">
        <v>546</v>
      </c>
      <c r="B282" s="924"/>
      <c r="C282" s="924"/>
      <c r="D282" s="924"/>
      <c r="E282" s="924"/>
      <c r="F282" s="924"/>
      <c r="G282" s="924"/>
      <c r="H282" s="924"/>
    </row>
    <row r="283" spans="1:8" x14ac:dyDescent="0.2">
      <c r="A283" s="924"/>
      <c r="B283" s="924"/>
      <c r="C283" s="924"/>
      <c r="D283" s="924"/>
      <c r="E283" s="924"/>
      <c r="F283" s="924"/>
      <c r="G283" s="924"/>
      <c r="H283" s="924"/>
    </row>
    <row r="284" spans="1:8" x14ac:dyDescent="0.2">
      <c r="A284" s="925" t="s">
        <v>531</v>
      </c>
      <c r="B284" s="924"/>
      <c r="C284" s="924"/>
      <c r="D284" s="924"/>
      <c r="E284" s="924"/>
      <c r="F284" s="924"/>
      <c r="G284" s="924"/>
      <c r="H284" s="924"/>
    </row>
    <row r="285" spans="1:8" x14ac:dyDescent="0.2">
      <c r="A285" s="925" t="s">
        <v>532</v>
      </c>
      <c r="B285" s="924"/>
      <c r="C285" s="924"/>
      <c r="D285" s="924"/>
      <c r="E285" s="924"/>
      <c r="F285" s="924"/>
      <c r="G285" s="924"/>
      <c r="H285" s="924"/>
    </row>
    <row r="286" spans="1:8" x14ac:dyDescent="0.2">
      <c r="A286" s="925" t="s">
        <v>533</v>
      </c>
      <c r="B286" s="924"/>
      <c r="C286" s="924"/>
      <c r="D286" s="924"/>
      <c r="E286" s="924"/>
      <c r="F286" s="924"/>
      <c r="G286" s="924"/>
      <c r="H286" s="924"/>
    </row>
    <row r="287" spans="1:8" x14ac:dyDescent="0.2">
      <c r="A287" s="925" t="s">
        <v>534</v>
      </c>
      <c r="B287" s="924"/>
      <c r="C287" s="924"/>
      <c r="D287" s="924"/>
      <c r="E287" s="924"/>
      <c r="F287" s="924"/>
      <c r="G287" s="924"/>
      <c r="H287" s="924"/>
    </row>
    <row r="288" spans="1:8" x14ac:dyDescent="0.2">
      <c r="A288" s="925" t="s">
        <v>535</v>
      </c>
      <c r="B288" s="924"/>
      <c r="C288" s="924"/>
      <c r="D288" s="924"/>
      <c r="E288" s="924"/>
      <c r="F288" s="924"/>
      <c r="G288" s="924"/>
      <c r="H288" s="924"/>
    </row>
    <row r="289" spans="1:8" x14ac:dyDescent="0.2">
      <c r="A289" s="925" t="s">
        <v>536</v>
      </c>
      <c r="B289" s="924"/>
      <c r="C289" s="924"/>
      <c r="D289" s="924"/>
      <c r="E289" s="924"/>
      <c r="F289" s="924"/>
      <c r="G289" s="924"/>
      <c r="H289" s="924"/>
    </row>
    <row r="290" spans="1:8" x14ac:dyDescent="0.2">
      <c r="A290" s="925" t="s">
        <v>537</v>
      </c>
      <c r="B290" s="924"/>
      <c r="C290" s="924"/>
      <c r="D290" s="924"/>
      <c r="E290" s="924"/>
      <c r="F290" s="924"/>
      <c r="G290" s="924"/>
      <c r="H290" s="924"/>
    </row>
    <row r="291" spans="1:8" x14ac:dyDescent="0.2">
      <c r="A291" s="924"/>
      <c r="B291" s="924"/>
      <c r="C291" s="924"/>
      <c r="D291" s="924"/>
      <c r="E291" s="924"/>
      <c r="F291" s="924"/>
      <c r="G291" s="924"/>
      <c r="H291" s="924"/>
    </row>
    <row r="292" spans="1:8" x14ac:dyDescent="0.2">
      <c r="A292" s="925" t="s">
        <v>528</v>
      </c>
      <c r="B292" s="924"/>
      <c r="C292" s="924"/>
      <c r="D292" s="924"/>
      <c r="E292" s="924"/>
      <c r="F292" s="924"/>
      <c r="G292" s="924"/>
      <c r="H292" s="924"/>
    </row>
    <row r="293" spans="1:8" x14ac:dyDescent="0.2">
      <c r="A293" s="925" t="s">
        <v>529</v>
      </c>
      <c r="B293" s="924"/>
      <c r="C293" s="924"/>
      <c r="D293" s="924"/>
      <c r="E293" s="924"/>
      <c r="F293" s="924"/>
      <c r="G293" s="924"/>
      <c r="H293" s="924"/>
    </row>
    <row r="294" spans="1:8" x14ac:dyDescent="0.2">
      <c r="A294" s="925" t="s">
        <v>530</v>
      </c>
      <c r="B294" s="924"/>
      <c r="C294" s="924"/>
      <c r="D294" s="924"/>
      <c r="E294" s="924"/>
      <c r="F294" s="924"/>
      <c r="G294" s="924"/>
      <c r="H294" s="924"/>
    </row>
    <row r="295" spans="1:8" x14ac:dyDescent="0.2">
      <c r="A295" s="924"/>
      <c r="B295" s="924"/>
      <c r="C295" s="924"/>
      <c r="D295" s="924"/>
      <c r="E295" s="924"/>
      <c r="F295" s="924"/>
      <c r="G295" s="924"/>
      <c r="H295" s="924"/>
    </row>
    <row r="296" spans="1:8" x14ac:dyDescent="0.2">
      <c r="A296" s="925" t="s">
        <v>526</v>
      </c>
      <c r="B296" s="924"/>
      <c r="C296" s="924"/>
      <c r="D296" s="924"/>
      <c r="E296" s="924"/>
      <c r="F296" s="924"/>
      <c r="G296" s="924"/>
      <c r="H296" s="924"/>
    </row>
    <row r="297" spans="1:8" x14ac:dyDescent="0.2">
      <c r="A297" s="925" t="s">
        <v>527</v>
      </c>
      <c r="B297" s="924"/>
      <c r="C297" s="924"/>
      <c r="D297" s="924"/>
      <c r="E297" s="924"/>
      <c r="F297" s="924"/>
      <c r="G297" s="924"/>
      <c r="H297" s="924"/>
    </row>
    <row r="298" spans="1:8" x14ac:dyDescent="0.2">
      <c r="A298" s="924"/>
      <c r="B298" s="924"/>
      <c r="C298" s="924"/>
      <c r="D298" s="924"/>
      <c r="E298" s="924"/>
      <c r="F298" s="924"/>
      <c r="G298" s="924"/>
      <c r="H298" s="924"/>
    </row>
    <row r="299" spans="1:8" x14ac:dyDescent="0.2">
      <c r="A299" s="925" t="s">
        <v>513</v>
      </c>
      <c r="B299" s="924"/>
      <c r="C299" s="924"/>
      <c r="D299" s="924"/>
      <c r="E299" s="924"/>
      <c r="F299" s="924"/>
      <c r="G299" s="924"/>
      <c r="H299" s="924"/>
    </row>
    <row r="300" spans="1:8" x14ac:dyDescent="0.2">
      <c r="A300" s="925" t="s">
        <v>514</v>
      </c>
      <c r="B300" s="924"/>
      <c r="C300" s="924"/>
      <c r="D300" s="924"/>
      <c r="E300" s="924"/>
      <c r="F300" s="924"/>
      <c r="G300" s="924"/>
      <c r="H300" s="924"/>
    </row>
    <row r="301" spans="1:8" x14ac:dyDescent="0.2">
      <c r="A301" s="925" t="s">
        <v>515</v>
      </c>
      <c r="B301" s="924"/>
      <c r="C301" s="924"/>
      <c r="D301" s="924"/>
      <c r="E301" s="924"/>
      <c r="F301" s="924"/>
      <c r="G301" s="924"/>
      <c r="H301" s="924"/>
    </row>
    <row r="302" spans="1:8" x14ac:dyDescent="0.2">
      <c r="A302" s="925" t="s">
        <v>516</v>
      </c>
      <c r="B302" s="924"/>
      <c r="C302" s="924"/>
      <c r="D302" s="924"/>
      <c r="E302" s="924"/>
      <c r="F302" s="924"/>
      <c r="G302" s="924"/>
      <c r="H302" s="924"/>
    </row>
    <row r="303" spans="1:8" x14ac:dyDescent="0.2">
      <c r="A303" s="925" t="s">
        <v>517</v>
      </c>
      <c r="B303" s="924"/>
      <c r="C303" s="924"/>
      <c r="D303" s="924"/>
      <c r="E303" s="924"/>
      <c r="F303" s="924"/>
      <c r="G303" s="924"/>
      <c r="H303" s="924"/>
    </row>
    <row r="304" spans="1:8" x14ac:dyDescent="0.2">
      <c r="A304" s="925" t="s">
        <v>518</v>
      </c>
      <c r="B304" s="924"/>
      <c r="C304" s="924"/>
      <c r="D304" s="924"/>
      <c r="E304" s="924"/>
      <c r="F304" s="924"/>
      <c r="G304" s="924"/>
      <c r="H304" s="924"/>
    </row>
    <row r="305" spans="1:8" x14ac:dyDescent="0.2">
      <c r="A305" s="925" t="s">
        <v>519</v>
      </c>
      <c r="B305" s="924"/>
      <c r="C305" s="924"/>
      <c r="D305" s="924"/>
      <c r="E305" s="924"/>
      <c r="F305" s="924"/>
      <c r="G305" s="924"/>
      <c r="H305" s="924"/>
    </row>
    <row r="306" spans="1:8" x14ac:dyDescent="0.2">
      <c r="A306" s="925" t="s">
        <v>520</v>
      </c>
      <c r="B306" s="924"/>
      <c r="C306" s="924"/>
      <c r="D306" s="924"/>
      <c r="E306" s="924"/>
      <c r="F306" s="924"/>
      <c r="G306" s="924"/>
      <c r="H306" s="924"/>
    </row>
    <row r="307" spans="1:8" x14ac:dyDescent="0.2">
      <c r="A307" s="925" t="s">
        <v>521</v>
      </c>
      <c r="B307" s="924"/>
      <c r="C307" s="924"/>
      <c r="D307" s="924"/>
      <c r="E307" s="924"/>
      <c r="F307" s="924"/>
      <c r="G307" s="924"/>
      <c r="H307" s="924"/>
    </row>
    <row r="308" spans="1:8" x14ac:dyDescent="0.2">
      <c r="A308" s="925" t="s">
        <v>522</v>
      </c>
      <c r="B308" s="924"/>
      <c r="C308" s="924"/>
      <c r="D308" s="924"/>
      <c r="E308" s="924"/>
      <c r="F308" s="924"/>
      <c r="G308" s="924"/>
      <c r="H308" s="924"/>
    </row>
    <row r="309" spans="1:8" x14ac:dyDescent="0.2">
      <c r="A309" s="925" t="s">
        <v>523</v>
      </c>
      <c r="B309" s="924"/>
      <c r="C309" s="924"/>
      <c r="D309" s="924"/>
      <c r="E309" s="924"/>
      <c r="F309" s="924"/>
      <c r="G309" s="924"/>
      <c r="H309" s="924"/>
    </row>
    <row r="310" spans="1:8" x14ac:dyDescent="0.2">
      <c r="A310" s="925" t="s">
        <v>524</v>
      </c>
      <c r="B310" s="924"/>
      <c r="C310" s="924"/>
      <c r="D310" s="924"/>
      <c r="E310" s="924"/>
      <c r="F310" s="924"/>
      <c r="G310" s="924"/>
      <c r="H310" s="924"/>
    </row>
    <row r="311" spans="1:8" x14ac:dyDescent="0.2">
      <c r="A311" s="925" t="s">
        <v>525</v>
      </c>
      <c r="B311" s="924"/>
      <c r="C311" s="924"/>
      <c r="D311" s="924"/>
      <c r="E311" s="924"/>
      <c r="F311" s="924"/>
      <c r="G311" s="924"/>
      <c r="H311" s="924"/>
    </row>
    <row r="312" spans="1:8" x14ac:dyDescent="0.2">
      <c r="A312" s="924"/>
      <c r="B312" s="924"/>
      <c r="C312" s="924"/>
      <c r="D312" s="924"/>
      <c r="E312" s="924"/>
      <c r="F312" s="924"/>
      <c r="G312" s="924"/>
      <c r="H312" s="924"/>
    </row>
    <row r="313" spans="1:8" x14ac:dyDescent="0.2">
      <c r="A313" s="925" t="s">
        <v>505</v>
      </c>
      <c r="B313" s="924"/>
      <c r="C313" s="924"/>
      <c r="D313" s="924"/>
      <c r="E313" s="924"/>
      <c r="F313" s="924"/>
      <c r="G313" s="924"/>
      <c r="H313" s="924"/>
    </row>
    <row r="314" spans="1:8" x14ac:dyDescent="0.2">
      <c r="A314" s="925" t="s">
        <v>506</v>
      </c>
      <c r="B314" s="924"/>
      <c r="C314" s="924"/>
      <c r="D314" s="924"/>
      <c r="E314" s="924"/>
      <c r="F314" s="924"/>
      <c r="G314" s="924"/>
      <c r="H314" s="924"/>
    </row>
    <row r="315" spans="1:8" x14ac:dyDescent="0.2">
      <c r="A315" s="925" t="s">
        <v>507</v>
      </c>
      <c r="B315" s="924"/>
      <c r="C315" s="924"/>
      <c r="D315" s="924"/>
      <c r="E315" s="924"/>
      <c r="F315" s="924"/>
      <c r="G315" s="924"/>
      <c r="H315" s="924"/>
    </row>
    <row r="316" spans="1:8" x14ac:dyDescent="0.2">
      <c r="A316" s="925" t="s">
        <v>508</v>
      </c>
      <c r="B316" s="924"/>
      <c r="C316" s="924"/>
      <c r="D316" s="924"/>
      <c r="E316" s="924"/>
      <c r="F316" s="924"/>
      <c r="G316" s="924"/>
      <c r="H316" s="924"/>
    </row>
    <row r="317" spans="1:8" x14ac:dyDescent="0.2">
      <c r="A317" s="925" t="s">
        <v>509</v>
      </c>
      <c r="B317" s="924"/>
      <c r="C317" s="924"/>
      <c r="D317" s="924"/>
      <c r="E317" s="924"/>
      <c r="F317" s="924"/>
      <c r="G317" s="924"/>
      <c r="H317" s="924"/>
    </row>
    <row r="318" spans="1:8" x14ac:dyDescent="0.2">
      <c r="A318" s="925" t="s">
        <v>510</v>
      </c>
      <c r="B318" s="924"/>
      <c r="C318" s="924"/>
      <c r="D318" s="924"/>
      <c r="E318" s="924"/>
      <c r="F318" s="924"/>
      <c r="G318" s="924"/>
      <c r="H318" s="924"/>
    </row>
    <row r="319" spans="1:8" x14ac:dyDescent="0.2">
      <c r="A319" s="925" t="s">
        <v>511</v>
      </c>
      <c r="B319" s="924"/>
      <c r="C319" s="924"/>
      <c r="D319" s="924"/>
      <c r="E319" s="924"/>
      <c r="F319" s="924"/>
      <c r="G319" s="924"/>
      <c r="H319" s="924"/>
    </row>
    <row r="320" spans="1:8" x14ac:dyDescent="0.2">
      <c r="A320" s="925" t="s">
        <v>512</v>
      </c>
      <c r="B320" s="924"/>
      <c r="C320" s="924"/>
      <c r="D320" s="924"/>
      <c r="E320" s="924"/>
      <c r="F320" s="924"/>
      <c r="G320" s="924"/>
      <c r="H320" s="924"/>
    </row>
    <row r="321" spans="1:8" x14ac:dyDescent="0.2">
      <c r="A321" s="924"/>
      <c r="B321" s="924"/>
      <c r="C321" s="924"/>
      <c r="D321" s="924"/>
      <c r="E321" s="924"/>
      <c r="F321" s="924"/>
      <c r="G321" s="924"/>
      <c r="H321" s="924"/>
    </row>
    <row r="322" spans="1:8" x14ac:dyDescent="0.2">
      <c r="A322" s="925" t="s">
        <v>470</v>
      </c>
      <c r="B322" s="924"/>
      <c r="C322" s="924"/>
      <c r="D322" s="924"/>
      <c r="E322" s="924"/>
      <c r="F322" s="924"/>
      <c r="G322" s="924"/>
      <c r="H322" s="924"/>
    </row>
    <row r="323" spans="1:8" x14ac:dyDescent="0.2">
      <c r="A323" s="925" t="s">
        <v>471</v>
      </c>
      <c r="B323" s="924"/>
      <c r="C323" s="924"/>
      <c r="D323" s="924"/>
      <c r="E323" s="924"/>
      <c r="F323" s="924"/>
      <c r="G323" s="924"/>
      <c r="H323" s="924"/>
    </row>
    <row r="324" spans="1:8" x14ac:dyDescent="0.2">
      <c r="A324" s="925" t="s">
        <v>472</v>
      </c>
      <c r="B324" s="924"/>
      <c r="C324" s="924"/>
      <c r="D324" s="924"/>
      <c r="E324" s="924"/>
      <c r="F324" s="924"/>
      <c r="G324" s="924"/>
      <c r="H324" s="924"/>
    </row>
    <row r="325" spans="1:8" x14ac:dyDescent="0.2">
      <c r="A325" s="925" t="s">
        <v>473</v>
      </c>
      <c r="B325" s="924"/>
      <c r="C325" s="924"/>
      <c r="D325" s="924"/>
      <c r="E325" s="924"/>
      <c r="F325" s="924"/>
      <c r="G325" s="924"/>
      <c r="H325" s="924"/>
    </row>
    <row r="326" spans="1:8" x14ac:dyDescent="0.2">
      <c r="A326" s="925" t="s">
        <v>474</v>
      </c>
      <c r="B326" s="924"/>
      <c r="C326" s="924"/>
      <c r="D326" s="924"/>
      <c r="E326" s="924"/>
      <c r="F326" s="924"/>
      <c r="G326" s="924"/>
      <c r="H326" s="924"/>
    </row>
    <row r="327" spans="1:8" x14ac:dyDescent="0.2">
      <c r="A327" s="925" t="s">
        <v>475</v>
      </c>
      <c r="B327" s="924"/>
      <c r="C327" s="924"/>
      <c r="D327" s="924"/>
      <c r="E327" s="924"/>
      <c r="F327" s="924"/>
      <c r="G327" s="924"/>
      <c r="H327" s="924"/>
    </row>
    <row r="328" spans="1:8" x14ac:dyDescent="0.2">
      <c r="A328" s="925" t="s">
        <v>476</v>
      </c>
      <c r="B328" s="924"/>
      <c r="C328" s="924"/>
      <c r="D328" s="924"/>
      <c r="E328" s="924"/>
      <c r="F328" s="924"/>
      <c r="G328" s="924"/>
      <c r="H328" s="924"/>
    </row>
    <row r="329" spans="1:8" x14ac:dyDescent="0.2">
      <c r="A329" s="925" t="s">
        <v>477</v>
      </c>
      <c r="B329" s="924"/>
      <c r="C329" s="924"/>
      <c r="D329" s="924"/>
      <c r="E329" s="924"/>
      <c r="F329" s="924"/>
      <c r="G329" s="924"/>
      <c r="H329" s="924"/>
    </row>
    <row r="330" spans="1:8" x14ac:dyDescent="0.2">
      <c r="A330" s="925" t="s">
        <v>478</v>
      </c>
      <c r="B330" s="924"/>
      <c r="C330" s="924"/>
      <c r="D330" s="924"/>
      <c r="E330" s="924"/>
      <c r="F330" s="924"/>
      <c r="G330" s="924"/>
      <c r="H330" s="924"/>
    </row>
    <row r="331" spans="1:8" x14ac:dyDescent="0.2">
      <c r="A331" s="925" t="s">
        <v>479</v>
      </c>
      <c r="B331" s="924"/>
      <c r="C331" s="924"/>
      <c r="D331" s="924"/>
      <c r="E331" s="924"/>
      <c r="F331" s="924"/>
      <c r="G331" s="924"/>
      <c r="H331" s="924"/>
    </row>
    <row r="332" spans="1:8" x14ac:dyDescent="0.2">
      <c r="A332" s="925" t="s">
        <v>480</v>
      </c>
      <c r="B332" s="924"/>
      <c r="C332" s="924"/>
      <c r="D332" s="924"/>
      <c r="E332" s="924"/>
      <c r="F332" s="924"/>
      <c r="G332" s="924"/>
      <c r="H332" s="924"/>
    </row>
    <row r="333" spans="1:8" x14ac:dyDescent="0.2">
      <c r="A333" s="925" t="s">
        <v>481</v>
      </c>
      <c r="B333" s="924"/>
      <c r="C333" s="924"/>
      <c r="D333" s="924"/>
      <c r="E333" s="924"/>
      <c r="F333" s="924"/>
      <c r="G333" s="924"/>
      <c r="H333" s="924"/>
    </row>
    <row r="334" spans="1:8" x14ac:dyDescent="0.2">
      <c r="A334" s="925" t="s">
        <v>482</v>
      </c>
      <c r="B334" s="924"/>
      <c r="C334" s="924"/>
      <c r="D334" s="924"/>
      <c r="E334" s="924"/>
      <c r="F334" s="924"/>
      <c r="G334" s="924"/>
      <c r="H334" s="924"/>
    </row>
    <row r="335" spans="1:8" x14ac:dyDescent="0.2">
      <c r="A335" s="925" t="s">
        <v>483</v>
      </c>
      <c r="B335" s="924"/>
      <c r="C335" s="924"/>
      <c r="D335" s="924"/>
      <c r="E335" s="924"/>
      <c r="F335" s="924"/>
      <c r="G335" s="924"/>
      <c r="H335" s="924"/>
    </row>
    <row r="336" spans="1:8" x14ac:dyDescent="0.2">
      <c r="A336" s="925" t="s">
        <v>484</v>
      </c>
      <c r="B336" s="924"/>
      <c r="C336" s="924"/>
      <c r="D336" s="924"/>
      <c r="E336" s="924"/>
      <c r="F336" s="924"/>
      <c r="G336" s="924"/>
      <c r="H336" s="924"/>
    </row>
    <row r="337" spans="1:8" x14ac:dyDescent="0.2">
      <c r="A337" s="925" t="s">
        <v>485</v>
      </c>
      <c r="B337" s="924"/>
      <c r="C337" s="924"/>
      <c r="D337" s="924"/>
      <c r="E337" s="924"/>
      <c r="F337" s="924"/>
      <c r="G337" s="924"/>
      <c r="H337" s="924"/>
    </row>
    <row r="338" spans="1:8" x14ac:dyDescent="0.2">
      <c r="A338" s="925" t="s">
        <v>486</v>
      </c>
      <c r="B338" s="924"/>
      <c r="C338" s="924"/>
      <c r="D338" s="924"/>
      <c r="E338" s="924"/>
      <c r="F338" s="924"/>
      <c r="G338" s="924"/>
      <c r="H338" s="924"/>
    </row>
    <row r="339" spans="1:8" x14ac:dyDescent="0.2">
      <c r="A339" s="925" t="s">
        <v>487</v>
      </c>
      <c r="B339" s="924"/>
      <c r="C339" s="924"/>
      <c r="D339" s="924"/>
      <c r="E339" s="924"/>
      <c r="F339" s="924"/>
      <c r="G339" s="924"/>
      <c r="H339" s="924"/>
    </row>
    <row r="340" spans="1:8" x14ac:dyDescent="0.2">
      <c r="A340" s="925" t="s">
        <v>488</v>
      </c>
      <c r="B340" s="924"/>
      <c r="C340" s="924"/>
      <c r="D340" s="924"/>
      <c r="E340" s="924"/>
      <c r="F340" s="924"/>
      <c r="G340" s="924"/>
      <c r="H340" s="924"/>
    </row>
    <row r="341" spans="1:8" x14ac:dyDescent="0.2">
      <c r="A341" s="925" t="s">
        <v>489</v>
      </c>
      <c r="B341" s="924"/>
      <c r="C341" s="924"/>
      <c r="D341" s="924"/>
      <c r="E341" s="924"/>
      <c r="F341" s="924"/>
      <c r="G341" s="924"/>
      <c r="H341" s="924"/>
    </row>
    <row r="342" spans="1:8" x14ac:dyDescent="0.2">
      <c r="A342" s="925" t="s">
        <v>490</v>
      </c>
      <c r="B342" s="924"/>
      <c r="C342" s="924"/>
      <c r="D342" s="924"/>
      <c r="E342" s="924"/>
      <c r="F342" s="924"/>
      <c r="G342" s="924"/>
      <c r="H342" s="924"/>
    </row>
    <row r="343" spans="1:8" x14ac:dyDescent="0.2">
      <c r="A343" s="925" t="s">
        <v>491</v>
      </c>
      <c r="B343" s="924"/>
      <c r="C343" s="924"/>
      <c r="D343" s="924"/>
      <c r="E343" s="924"/>
      <c r="F343" s="924"/>
      <c r="G343" s="924"/>
      <c r="H343" s="924"/>
    </row>
    <row r="344" spans="1:8" x14ac:dyDescent="0.2">
      <c r="A344" s="925" t="s">
        <v>492</v>
      </c>
      <c r="B344" s="924"/>
      <c r="C344" s="924"/>
      <c r="D344" s="924"/>
      <c r="E344" s="924"/>
      <c r="F344" s="924"/>
      <c r="G344" s="924"/>
      <c r="H344" s="924"/>
    </row>
    <row r="345" spans="1:8" x14ac:dyDescent="0.2">
      <c r="A345" s="925" t="s">
        <v>493</v>
      </c>
      <c r="B345" s="924"/>
      <c r="C345" s="924"/>
      <c r="D345" s="924"/>
      <c r="E345" s="924"/>
      <c r="F345" s="924"/>
      <c r="G345" s="924"/>
      <c r="H345" s="924"/>
    </row>
    <row r="346" spans="1:8" x14ac:dyDescent="0.2">
      <c r="A346" s="925" t="s">
        <v>494</v>
      </c>
      <c r="B346" s="924"/>
      <c r="C346" s="924"/>
      <c r="D346" s="924"/>
      <c r="E346" s="924"/>
      <c r="F346" s="924"/>
      <c r="G346" s="924"/>
      <c r="H346" s="924"/>
    </row>
    <row r="347" spans="1:8" x14ac:dyDescent="0.2">
      <c r="A347" s="925" t="s">
        <v>495</v>
      </c>
      <c r="B347" s="924"/>
      <c r="C347" s="924"/>
      <c r="D347" s="924"/>
      <c r="E347" s="924"/>
      <c r="F347" s="924"/>
      <c r="G347" s="924"/>
      <c r="H347" s="924"/>
    </row>
    <row r="348" spans="1:8" x14ac:dyDescent="0.2">
      <c r="A348" s="925" t="s">
        <v>496</v>
      </c>
      <c r="B348" s="924"/>
      <c r="C348" s="924"/>
      <c r="D348" s="924"/>
      <c r="E348" s="924"/>
      <c r="F348" s="924"/>
      <c r="G348" s="924"/>
      <c r="H348" s="924"/>
    </row>
    <row r="349" spans="1:8" x14ac:dyDescent="0.2">
      <c r="A349" s="925" t="s">
        <v>497</v>
      </c>
      <c r="B349" s="924"/>
      <c r="C349" s="924"/>
      <c r="D349" s="924"/>
      <c r="E349" s="924"/>
      <c r="F349" s="924"/>
      <c r="G349" s="924"/>
      <c r="H349" s="924"/>
    </row>
    <row r="350" spans="1:8" x14ac:dyDescent="0.2">
      <c r="A350" s="925" t="s">
        <v>498</v>
      </c>
      <c r="B350" s="924"/>
      <c r="C350" s="924"/>
      <c r="D350" s="924"/>
      <c r="E350" s="924"/>
      <c r="F350" s="924"/>
      <c r="G350" s="924"/>
      <c r="H350" s="924"/>
    </row>
    <row r="351" spans="1:8" x14ac:dyDescent="0.2">
      <c r="A351" s="925" t="s">
        <v>499</v>
      </c>
      <c r="B351" s="924"/>
      <c r="C351" s="924"/>
      <c r="D351" s="924"/>
      <c r="E351" s="924"/>
      <c r="F351" s="924"/>
      <c r="G351" s="924"/>
      <c r="H351" s="924"/>
    </row>
    <row r="352" spans="1:8" x14ac:dyDescent="0.2">
      <c r="A352" s="925" t="s">
        <v>500</v>
      </c>
      <c r="B352" s="924"/>
      <c r="C352" s="924"/>
      <c r="D352" s="924"/>
      <c r="E352" s="924"/>
      <c r="F352" s="924"/>
      <c r="G352" s="924"/>
      <c r="H352" s="924"/>
    </row>
    <row r="353" spans="1:8" x14ac:dyDescent="0.2">
      <c r="A353" s="925" t="s">
        <v>501</v>
      </c>
      <c r="B353" s="924"/>
      <c r="C353" s="924"/>
      <c r="D353" s="924"/>
      <c r="E353" s="924"/>
      <c r="F353" s="924"/>
      <c r="G353" s="924"/>
      <c r="H353" s="924"/>
    </row>
    <row r="354" spans="1:8" x14ac:dyDescent="0.2">
      <c r="A354" s="925" t="s">
        <v>502</v>
      </c>
      <c r="B354" s="924"/>
      <c r="C354" s="924"/>
      <c r="D354" s="924"/>
      <c r="E354" s="924"/>
      <c r="F354" s="924"/>
      <c r="G354" s="924"/>
      <c r="H354" s="924"/>
    </row>
    <row r="355" spans="1:8" x14ac:dyDescent="0.2">
      <c r="A355" s="925" t="s">
        <v>503</v>
      </c>
      <c r="B355" s="924"/>
      <c r="C355" s="924"/>
      <c r="D355" s="924"/>
      <c r="E355" s="924"/>
      <c r="F355" s="924"/>
      <c r="G355" s="924"/>
      <c r="H355" s="924"/>
    </row>
    <row r="356" spans="1:8" x14ac:dyDescent="0.2">
      <c r="A356" s="925" t="s">
        <v>504</v>
      </c>
      <c r="B356" s="924"/>
      <c r="C356" s="924"/>
      <c r="D356" s="924"/>
      <c r="E356" s="924"/>
      <c r="F356" s="924"/>
      <c r="G356" s="924"/>
      <c r="H356" s="924"/>
    </row>
    <row r="357" spans="1:8" x14ac:dyDescent="0.2">
      <c r="A357" s="924"/>
      <c r="B357" s="924"/>
      <c r="C357" s="924"/>
      <c r="D357" s="924"/>
      <c r="E357" s="924"/>
      <c r="F357" s="924"/>
      <c r="G357" s="924"/>
      <c r="H357" s="924"/>
    </row>
    <row r="358" spans="1:8" x14ac:dyDescent="0.2">
      <c r="A358" s="925" t="s">
        <v>462</v>
      </c>
      <c r="B358" s="924"/>
      <c r="C358" s="924"/>
      <c r="D358" s="924"/>
      <c r="E358" s="924"/>
      <c r="F358" s="924"/>
      <c r="G358" s="924"/>
      <c r="H358" s="924"/>
    </row>
    <row r="359" spans="1:8" x14ac:dyDescent="0.2">
      <c r="A359" s="925" t="s">
        <v>466</v>
      </c>
      <c r="B359" s="924"/>
      <c r="C359" s="924"/>
      <c r="D359" s="924"/>
      <c r="E359" s="924"/>
      <c r="F359" s="924"/>
      <c r="G359" s="924"/>
      <c r="H359" s="924"/>
    </row>
    <row r="360" spans="1:8" x14ac:dyDescent="0.2">
      <c r="A360" s="925" t="s">
        <v>467</v>
      </c>
      <c r="B360" s="924"/>
      <c r="C360" s="924"/>
      <c r="D360" s="924"/>
      <c r="E360" s="924"/>
      <c r="F360" s="924"/>
      <c r="G360" s="924"/>
      <c r="H360" s="924"/>
    </row>
    <row r="361" spans="1:8" x14ac:dyDescent="0.2">
      <c r="A361" s="925" t="s">
        <v>468</v>
      </c>
      <c r="B361" s="924"/>
      <c r="C361" s="924"/>
      <c r="D361" s="924"/>
      <c r="E361" s="924"/>
      <c r="F361" s="924"/>
      <c r="G361" s="924"/>
      <c r="H361" s="924"/>
    </row>
    <row r="362" spans="1:8" x14ac:dyDescent="0.2">
      <c r="A362" s="925" t="s">
        <v>469</v>
      </c>
      <c r="B362" s="924"/>
      <c r="C362" s="924"/>
      <c r="D362" s="924"/>
      <c r="E362" s="924"/>
      <c r="F362" s="924"/>
      <c r="G362" s="924"/>
      <c r="H362" s="924"/>
    </row>
    <row r="363" spans="1:8" x14ac:dyDescent="0.2">
      <c r="A363" s="924"/>
      <c r="B363" s="924"/>
      <c r="C363" s="924"/>
      <c r="D363" s="924"/>
      <c r="E363" s="924"/>
      <c r="F363" s="924"/>
      <c r="G363" s="924"/>
      <c r="H363" s="924"/>
    </row>
    <row r="364" spans="1:8" x14ac:dyDescent="0.2">
      <c r="A364" s="925" t="s">
        <v>462</v>
      </c>
      <c r="B364" s="924"/>
      <c r="C364" s="924"/>
      <c r="D364" s="924"/>
      <c r="E364" s="924"/>
      <c r="F364" s="924"/>
      <c r="G364" s="924"/>
      <c r="H364" s="924"/>
    </row>
    <row r="365" spans="1:8" x14ac:dyDescent="0.2">
      <c r="A365" s="925" t="s">
        <v>463</v>
      </c>
      <c r="B365" s="924"/>
      <c r="C365" s="924"/>
      <c r="D365" s="924"/>
      <c r="E365" s="924"/>
      <c r="F365" s="924"/>
      <c r="G365" s="924"/>
      <c r="H365" s="924"/>
    </row>
    <row r="366" spans="1:8" x14ac:dyDescent="0.2">
      <c r="A366" s="925" t="s">
        <v>464</v>
      </c>
      <c r="B366" s="924"/>
      <c r="C366" s="924"/>
      <c r="D366" s="924"/>
      <c r="E366" s="924"/>
      <c r="F366" s="924"/>
      <c r="G366" s="924"/>
      <c r="H366" s="924"/>
    </row>
    <row r="367" spans="1:8" x14ac:dyDescent="0.2">
      <c r="A367" s="925" t="s">
        <v>465</v>
      </c>
      <c r="B367" s="924"/>
      <c r="C367" s="924"/>
      <c r="D367" s="924"/>
      <c r="E367" s="924"/>
      <c r="F367" s="924"/>
      <c r="G367" s="924"/>
      <c r="H367" s="924"/>
    </row>
    <row r="368" spans="1:8" x14ac:dyDescent="0.2">
      <c r="A368" s="924"/>
      <c r="B368" s="924"/>
      <c r="C368" s="924"/>
      <c r="D368" s="924"/>
      <c r="E368" s="924"/>
      <c r="F368" s="924"/>
      <c r="G368" s="924"/>
      <c r="H368" s="924"/>
    </row>
    <row r="369" spans="1:8" x14ac:dyDescent="0.2">
      <c r="A369" s="925" t="s">
        <v>456</v>
      </c>
      <c r="B369" s="924"/>
      <c r="C369" s="924"/>
      <c r="D369" s="924"/>
      <c r="E369" s="924"/>
      <c r="F369" s="924"/>
      <c r="G369" s="924"/>
      <c r="H369" s="924"/>
    </row>
    <row r="370" spans="1:8" x14ac:dyDescent="0.2">
      <c r="A370" s="925" t="s">
        <v>457</v>
      </c>
      <c r="B370" s="924"/>
      <c r="C370" s="924"/>
      <c r="D370" s="924"/>
      <c r="E370" s="924"/>
      <c r="F370" s="924"/>
      <c r="G370" s="924"/>
      <c r="H370" s="924"/>
    </row>
    <row r="371" spans="1:8" x14ac:dyDescent="0.2">
      <c r="A371" s="925" t="s">
        <v>458</v>
      </c>
      <c r="B371" s="924"/>
      <c r="C371" s="924"/>
      <c r="D371" s="924"/>
      <c r="E371" s="924"/>
      <c r="F371" s="924"/>
      <c r="G371" s="924"/>
      <c r="H371" s="924"/>
    </row>
    <row r="372" spans="1:8" x14ac:dyDescent="0.2">
      <c r="A372" s="925" t="s">
        <v>459</v>
      </c>
      <c r="B372" s="924"/>
      <c r="C372" s="924"/>
      <c r="D372" s="924"/>
      <c r="E372" s="924"/>
      <c r="F372" s="924"/>
      <c r="G372" s="924"/>
      <c r="H372" s="924"/>
    </row>
    <row r="373" spans="1:8" x14ac:dyDescent="0.2">
      <c r="A373" s="925" t="s">
        <v>460</v>
      </c>
      <c r="B373" s="924"/>
      <c r="C373" s="924"/>
      <c r="D373" s="924"/>
      <c r="E373" s="924"/>
      <c r="F373" s="924"/>
      <c r="G373" s="924"/>
      <c r="H373" s="924"/>
    </row>
    <row r="374" spans="1:8" x14ac:dyDescent="0.2">
      <c r="A374" s="925" t="s">
        <v>461</v>
      </c>
      <c r="B374" s="924"/>
      <c r="C374" s="924"/>
      <c r="D374" s="924"/>
      <c r="E374" s="924"/>
      <c r="F374" s="924"/>
      <c r="G374" s="924"/>
      <c r="H374" s="924"/>
    </row>
    <row r="375" spans="1:8" x14ac:dyDescent="0.2">
      <c r="A375" s="924"/>
      <c r="B375" s="924"/>
      <c r="C375" s="924"/>
      <c r="D375" s="924"/>
      <c r="E375" s="924"/>
      <c r="F375" s="924"/>
      <c r="G375" s="924"/>
      <c r="H375" s="924"/>
    </row>
    <row r="376" spans="1:8" x14ac:dyDescent="0.2">
      <c r="A376" s="925" t="s">
        <v>451</v>
      </c>
      <c r="B376" s="924"/>
      <c r="C376" s="924"/>
      <c r="D376" s="924"/>
      <c r="E376" s="924"/>
      <c r="F376" s="924"/>
      <c r="G376" s="924"/>
      <c r="H376" s="924"/>
    </row>
    <row r="377" spans="1:8" x14ac:dyDescent="0.2">
      <c r="A377" s="925" t="s">
        <v>452</v>
      </c>
      <c r="B377" s="924"/>
      <c r="C377" s="924"/>
      <c r="D377" s="924"/>
      <c r="E377" s="924"/>
      <c r="F377" s="924"/>
      <c r="G377" s="924"/>
      <c r="H377" s="924"/>
    </row>
    <row r="378" spans="1:8" x14ac:dyDescent="0.2">
      <c r="A378" s="925" t="s">
        <v>453</v>
      </c>
      <c r="B378" s="924"/>
      <c r="C378" s="924"/>
      <c r="D378" s="924"/>
      <c r="E378" s="924"/>
      <c r="F378" s="924"/>
      <c r="G378" s="924"/>
      <c r="H378" s="924"/>
    </row>
    <row r="379" spans="1:8" x14ac:dyDescent="0.2">
      <c r="A379" s="925" t="s">
        <v>454</v>
      </c>
      <c r="B379" s="924"/>
      <c r="C379" s="924"/>
      <c r="D379" s="924"/>
      <c r="E379" s="924"/>
      <c r="F379" s="924"/>
      <c r="G379" s="924"/>
      <c r="H379" s="924"/>
    </row>
    <row r="380" spans="1:8" x14ac:dyDescent="0.2">
      <c r="A380" s="925" t="s">
        <v>455</v>
      </c>
      <c r="B380" s="924"/>
      <c r="C380" s="924"/>
      <c r="D380" s="924"/>
      <c r="E380" s="924"/>
      <c r="F380" s="924"/>
      <c r="G380" s="924"/>
      <c r="H380" s="924"/>
    </row>
    <row r="381" spans="1:8" x14ac:dyDescent="0.2">
      <c r="A381" s="924"/>
      <c r="B381" s="924"/>
      <c r="C381" s="924"/>
      <c r="D381" s="924"/>
      <c r="E381" s="924"/>
      <c r="F381" s="924"/>
      <c r="G381" s="924"/>
      <c r="H381" s="924"/>
    </row>
    <row r="382" spans="1:8" x14ac:dyDescent="0.2">
      <c r="A382" s="925" t="s">
        <v>449</v>
      </c>
      <c r="B382" s="924"/>
      <c r="C382" s="924"/>
      <c r="D382" s="924"/>
      <c r="E382" s="924"/>
      <c r="F382" s="924"/>
      <c r="G382" s="924"/>
      <c r="H382" s="924"/>
    </row>
    <row r="383" spans="1:8" x14ac:dyDescent="0.2">
      <c r="A383" s="925" t="s">
        <v>450</v>
      </c>
      <c r="B383" s="924"/>
      <c r="C383" s="924"/>
      <c r="D383" s="924"/>
      <c r="E383" s="924"/>
      <c r="F383" s="924"/>
      <c r="G383" s="924"/>
      <c r="H383" s="924"/>
    </row>
    <row r="385" spans="1:1" x14ac:dyDescent="0.2">
      <c r="A385" s="920" t="s">
        <v>701</v>
      </c>
    </row>
  </sheetData>
  <mergeCells count="12">
    <mergeCell ref="A126:H126"/>
    <mergeCell ref="A127:H127"/>
    <mergeCell ref="B119:C119"/>
    <mergeCell ref="D119:F119"/>
    <mergeCell ref="G119:H119"/>
    <mergeCell ref="A105:H105"/>
    <mergeCell ref="A106:H106"/>
    <mergeCell ref="A107:H107"/>
    <mergeCell ref="A108:H108"/>
    <mergeCell ref="A110:H110"/>
    <mergeCell ref="A111:H111"/>
    <mergeCell ref="A118:H118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>
    <tabColor indexed="8"/>
  </sheetPr>
  <dimension ref="A1:D17"/>
  <sheetViews>
    <sheetView showGridLines="0" zoomScaleNormal="100" zoomScaleSheetLayoutView="100" workbookViewId="0">
      <selection activeCell="A14" sqref="A14"/>
    </sheetView>
  </sheetViews>
  <sheetFormatPr defaultColWidth="8" defaultRowHeight="12.75" x14ac:dyDescent="0.2"/>
  <cols>
    <col min="1" max="1" width="63.7109375" bestFit="1" customWidth="1"/>
    <col min="2" max="2" width="48.140625" customWidth="1"/>
    <col min="3" max="3" width="12.5703125" customWidth="1"/>
  </cols>
  <sheetData>
    <row r="1" spans="1:4" x14ac:dyDescent="0.2">
      <c r="A1" s="325"/>
      <c r="B1" s="208"/>
      <c r="C1" s="208"/>
      <c r="D1" s="54"/>
    </row>
    <row r="2" spans="1:4" ht="36.75" customHeight="1" x14ac:dyDescent="0.2">
      <c r="A2" s="209"/>
      <c r="B2" s="209"/>
      <c r="C2" s="210"/>
      <c r="D2" s="54"/>
    </row>
    <row r="3" spans="1:4" ht="27" customHeight="1" x14ac:dyDescent="0.2">
      <c r="A3" s="209"/>
      <c r="B3" s="209"/>
      <c r="C3" s="210"/>
      <c r="D3" s="54"/>
    </row>
    <row r="4" spans="1:4" ht="21" customHeight="1" x14ac:dyDescent="0.3">
      <c r="A4" s="262" t="s">
        <v>275</v>
      </c>
      <c r="B4" s="211"/>
      <c r="C4" s="211"/>
      <c r="D4" s="730" t="s">
        <v>278</v>
      </c>
    </row>
    <row r="5" spans="1:4" ht="13.5" customHeight="1" x14ac:dyDescent="0.2">
      <c r="A5" s="212"/>
      <c r="B5" s="212"/>
      <c r="C5" s="212"/>
      <c r="D5" s="212"/>
    </row>
    <row r="6" spans="1:4" ht="13.5" customHeight="1" x14ac:dyDescent="0.2">
      <c r="A6" s="213" t="s">
        <v>300</v>
      </c>
      <c r="B6" s="214"/>
      <c r="C6" s="214"/>
      <c r="D6" s="214"/>
    </row>
    <row r="7" spans="1:4" ht="13.5" customHeight="1" x14ac:dyDescent="0.25">
      <c r="A7" s="215"/>
      <c r="B7" s="214"/>
      <c r="C7" s="214"/>
      <c r="D7" s="214"/>
    </row>
    <row r="8" spans="1:4" ht="13.5" customHeight="1" x14ac:dyDescent="0.2">
      <c r="A8" s="216"/>
      <c r="B8" s="208"/>
      <c r="C8" s="214"/>
      <c r="D8" s="214"/>
    </row>
    <row r="9" spans="1:4" ht="13.5" customHeight="1" x14ac:dyDescent="0.25">
      <c r="A9" s="220" t="s">
        <v>47</v>
      </c>
      <c r="B9" s="217"/>
      <c r="C9" s="218"/>
      <c r="D9" s="218"/>
    </row>
    <row r="10" spans="1:4" ht="13.5" customHeight="1" x14ac:dyDescent="0.25">
      <c r="A10" s="216"/>
      <c r="B10" s="217"/>
      <c r="C10" s="218"/>
      <c r="D10" s="218"/>
    </row>
    <row r="11" spans="1:4" ht="13.5" customHeight="1" x14ac:dyDescent="0.25">
      <c r="A11" s="220" t="s">
        <v>48</v>
      </c>
      <c r="B11" s="217"/>
      <c r="C11" s="218"/>
      <c r="D11" s="218"/>
    </row>
    <row r="12" spans="1:4" ht="13.5" customHeight="1" x14ac:dyDescent="0.25">
      <c r="A12" s="219"/>
      <c r="B12" s="217"/>
      <c r="C12" s="218"/>
      <c r="D12" s="218"/>
    </row>
    <row r="13" spans="1:4" ht="13.5" customHeight="1" x14ac:dyDescent="0.25">
      <c r="A13" s="220" t="s">
        <v>49</v>
      </c>
      <c r="B13" s="217"/>
      <c r="C13" s="218"/>
      <c r="D13" s="218"/>
    </row>
    <row r="14" spans="1:4" ht="13.5" customHeight="1" x14ac:dyDescent="0.25">
      <c r="A14" s="219"/>
      <c r="B14" s="217"/>
      <c r="C14" s="218"/>
      <c r="D14" s="218"/>
    </row>
    <row r="15" spans="1:4" ht="13.5" customHeight="1" x14ac:dyDescent="0.25">
      <c r="A15" s="220" t="s">
        <v>50</v>
      </c>
      <c r="B15" s="217"/>
      <c r="C15" s="218"/>
      <c r="D15" s="218"/>
    </row>
    <row r="16" spans="1:4" ht="13.5" customHeight="1" x14ac:dyDescent="0.2"/>
    <row r="17" ht="13.5" customHeight="1" x14ac:dyDescent="0.2"/>
  </sheetData>
  <phoneticPr fontId="18" type="noConversion"/>
  <hyperlinks>
    <hyperlink ref="A9" location="'P&amp;L'!A1" display="Quarterly Income Statement"/>
    <hyperlink ref="A13" location="'Bal Sht'!A1" display="Quarterly Balance Sheet"/>
    <hyperlink ref="A15" location="'Cash Flow'!A1" display="Quarterly Cash Flow Statement"/>
    <hyperlink ref="A11" location="MYGN!A1" display="Segment Sheet"/>
  </hyperlinks>
  <pageMargins left="0.75" right="0.75" top="1" bottom="1" header="0.5" footer="0.5"/>
  <pageSetup scale="94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indexed="42"/>
    <pageSetUpPr fitToPage="1"/>
  </sheetPr>
  <dimension ref="A1:EL163"/>
  <sheetViews>
    <sheetView showGridLines="0" zoomScaleNormal="100" zoomScaleSheetLayoutView="85" workbookViewId="0">
      <pane xSplit="2" ySplit="6" topLeftCell="AK7" activePane="bottomRight" state="frozen"/>
      <selection pane="topRight" activeCell="C1" sqref="C1"/>
      <selection pane="bottomLeft" activeCell="A7" sqref="A7"/>
      <selection pane="bottomRight" sqref="A1:XFD1048576"/>
    </sheetView>
  </sheetViews>
  <sheetFormatPr defaultRowHeight="12.75" outlineLevelRow="1" outlineLevelCol="1" x14ac:dyDescent="0.2"/>
  <cols>
    <col min="1" max="1" width="0.85546875" customWidth="1"/>
    <col min="2" max="2" width="28.140625" customWidth="1"/>
    <col min="3" max="6" width="6.28515625" hidden="1" customWidth="1" outlineLevel="1"/>
    <col min="7" max="7" width="6.28515625" hidden="1" customWidth="1" outlineLevel="1" collapsed="1"/>
    <col min="8" max="8" width="1.42578125" hidden="1" customWidth="1" outlineLevel="1"/>
    <col min="9" max="12" width="6.28515625" hidden="1" customWidth="1" outlineLevel="1"/>
    <col min="13" max="13" width="6.28515625" hidden="1" customWidth="1" outlineLevel="1" collapsed="1"/>
    <col min="14" max="14" width="1.42578125" hidden="1" customWidth="1" outlineLevel="1"/>
    <col min="15" max="19" width="6.28515625" hidden="1" customWidth="1" outlineLevel="1"/>
    <col min="20" max="20" width="1.42578125" hidden="1" customWidth="1" outlineLevel="1"/>
    <col min="21" max="25" width="6.28515625" hidden="1" customWidth="1" outlineLevel="1"/>
    <col min="26" max="26" width="1.42578125" hidden="1" customWidth="1" outlineLevel="1"/>
    <col min="27" max="31" width="6.28515625" hidden="1" customWidth="1" outlineLevel="1"/>
    <col min="32" max="32" width="1.42578125" hidden="1" customWidth="1" outlineLevel="1"/>
    <col min="33" max="36" width="6.28515625" hidden="1" customWidth="1" outlineLevel="1"/>
    <col min="37" max="37" width="6.28515625" customWidth="1" collapsed="1"/>
    <col min="38" max="38" width="1.42578125" customWidth="1"/>
    <col min="39" max="42" width="6.28515625" hidden="1" customWidth="1" outlineLevel="1"/>
    <col min="43" max="43" width="6.28515625" customWidth="1" collapsed="1"/>
    <col min="44" max="44" width="1.42578125" customWidth="1"/>
    <col min="45" max="48" width="6.28515625" hidden="1" customWidth="1" outlineLevel="1"/>
    <col min="49" max="49" width="6.28515625" customWidth="1" collapsed="1"/>
    <col min="50" max="50" width="1.42578125" customWidth="1"/>
    <col min="51" max="54" width="6.28515625" hidden="1" customWidth="1" outlineLevel="1"/>
    <col min="55" max="55" width="6.28515625" customWidth="1" collapsed="1"/>
    <col min="56" max="56" width="1.42578125" customWidth="1"/>
    <col min="57" max="60" width="6.28515625" hidden="1" customWidth="1" outlineLevel="1"/>
    <col min="61" max="61" width="6.28515625" customWidth="1" collapsed="1"/>
    <col min="62" max="62" width="1.42578125" customWidth="1"/>
    <col min="63" max="66" width="6.28515625" hidden="1" customWidth="1" outlineLevel="1"/>
    <col min="67" max="67" width="6.28515625" customWidth="1" collapsed="1"/>
    <col min="68" max="68" width="1.42578125" customWidth="1"/>
    <col min="69" max="72" width="6.28515625" customWidth="1" outlineLevel="1"/>
    <col min="73" max="73" width="6.28515625" customWidth="1"/>
    <col min="74" max="74" width="1.42578125" customWidth="1"/>
    <col min="75" max="78" width="6.28515625" customWidth="1" outlineLevel="1"/>
    <col min="79" max="79" width="6.28515625" customWidth="1"/>
    <col min="80" max="80" width="1.42578125" customWidth="1"/>
    <col min="81" max="84" width="6.28515625" hidden="1" customWidth="1" outlineLevel="1"/>
    <col min="85" max="85" width="6.28515625" customWidth="1" collapsed="1"/>
    <col min="86" max="86" width="1.42578125" customWidth="1"/>
    <col min="87" max="90" width="6.28515625" hidden="1" customWidth="1" outlineLevel="1"/>
    <col min="91" max="91" width="6.28515625" customWidth="1" collapsed="1"/>
    <col min="92" max="92" width="1.42578125" customWidth="1"/>
    <col min="93" max="96" width="6.28515625" hidden="1" customWidth="1" outlineLevel="1"/>
    <col min="97" max="97" width="6.28515625" customWidth="1" collapsed="1"/>
    <col min="98" max="98" width="25.140625" customWidth="1"/>
    <col min="99" max="99" width="26.5703125" hidden="1" customWidth="1" outlineLevel="1"/>
    <col min="100" max="104" width="9.140625" hidden="1" customWidth="1" outlineLevel="1"/>
    <col min="105" max="105" width="9.140625" collapsed="1"/>
    <col min="106" max="108" width="9.140625" customWidth="1" outlineLevel="1"/>
    <col min="114" max="124" width="9.7109375" customWidth="1"/>
    <col min="125" max="127" width="9.140625" customWidth="1"/>
  </cols>
  <sheetData>
    <row r="1" spans="1:142" x14ac:dyDescent="0.2">
      <c r="A1" s="236"/>
      <c r="B1" s="44" t="s">
        <v>275</v>
      </c>
      <c r="C1" s="43"/>
      <c r="D1" s="43"/>
      <c r="E1" s="43"/>
      <c r="F1" s="43"/>
      <c r="G1" s="43"/>
      <c r="H1" s="51"/>
      <c r="I1" s="43"/>
      <c r="J1" s="43"/>
      <c r="K1" s="43"/>
      <c r="L1" s="43"/>
      <c r="M1" s="43"/>
      <c r="N1" s="51"/>
      <c r="O1" s="43"/>
      <c r="P1" s="43"/>
      <c r="Q1" s="43"/>
      <c r="R1" s="43"/>
      <c r="S1" s="43"/>
      <c r="T1" s="51"/>
      <c r="U1" s="43"/>
      <c r="V1" s="43"/>
      <c r="W1" s="43"/>
      <c r="X1" s="43"/>
      <c r="Y1" s="36"/>
      <c r="Z1" s="51"/>
      <c r="AA1" s="43"/>
      <c r="AB1" s="43"/>
      <c r="AC1" s="43"/>
      <c r="AD1" s="43"/>
      <c r="AE1" s="43"/>
      <c r="AF1" s="51"/>
      <c r="AG1" s="43"/>
      <c r="AH1" s="43"/>
      <c r="AI1" s="43"/>
      <c r="AJ1" s="43"/>
      <c r="AK1" s="43"/>
      <c r="AL1" s="51"/>
      <c r="AM1" s="43"/>
      <c r="AN1" s="43"/>
      <c r="AO1" s="43"/>
      <c r="AP1" s="43"/>
      <c r="AQ1" s="43"/>
      <c r="CT1" s="43"/>
      <c r="DA1" s="43"/>
      <c r="DB1" s="43"/>
      <c r="DC1" s="43"/>
      <c r="DD1" s="43"/>
    </row>
    <row r="2" spans="1:142" x14ac:dyDescent="0.2">
      <c r="A2" s="43"/>
      <c r="B2" s="632" t="s">
        <v>277</v>
      </c>
      <c r="C2" s="43"/>
      <c r="D2" s="43"/>
      <c r="E2" s="43"/>
      <c r="F2" s="43"/>
      <c r="G2" s="43"/>
      <c r="H2" s="51"/>
      <c r="I2" s="43"/>
      <c r="J2" s="43"/>
      <c r="K2" s="43"/>
      <c r="L2" s="43"/>
      <c r="M2" s="43"/>
      <c r="N2" s="51"/>
      <c r="O2" s="43"/>
      <c r="P2" s="43"/>
      <c r="Q2" s="43"/>
      <c r="R2" s="43"/>
      <c r="S2" s="43"/>
      <c r="T2" s="51"/>
      <c r="U2" s="43"/>
      <c r="V2" s="43"/>
      <c r="W2" s="43"/>
      <c r="X2" s="43"/>
      <c r="Y2" s="36"/>
      <c r="Z2" s="51"/>
      <c r="AA2" s="43"/>
      <c r="AB2" s="43"/>
      <c r="AC2" s="43"/>
      <c r="AD2" s="597"/>
      <c r="AE2" s="43"/>
      <c r="AF2" s="51"/>
      <c r="AG2" s="43"/>
      <c r="AH2" s="43"/>
      <c r="AI2" s="301"/>
      <c r="AJ2" s="43"/>
      <c r="AK2" s="43"/>
      <c r="AL2" s="51"/>
      <c r="AM2" s="43"/>
      <c r="AN2" s="43"/>
      <c r="AO2" s="43"/>
      <c r="AP2" s="636"/>
      <c r="AQ2" s="301"/>
      <c r="BU2" s="348"/>
      <c r="CT2" s="43"/>
      <c r="DA2" s="43"/>
      <c r="DB2" s="43"/>
      <c r="DC2" s="43"/>
      <c r="DD2" s="43"/>
      <c r="DG2" s="635"/>
      <c r="DH2" s="635"/>
      <c r="DI2" s="301"/>
    </row>
    <row r="3" spans="1:142" x14ac:dyDescent="0.2">
      <c r="A3" s="43"/>
      <c r="B3" s="633" t="s">
        <v>115</v>
      </c>
      <c r="C3" s="43"/>
      <c r="D3" s="43"/>
      <c r="E3" s="43"/>
      <c r="F3" s="43"/>
      <c r="G3" s="236"/>
      <c r="H3" s="75"/>
      <c r="I3" s="43"/>
      <c r="J3" s="43"/>
      <c r="K3" s="43"/>
      <c r="L3" s="43"/>
      <c r="M3" s="236"/>
      <c r="N3" s="75"/>
      <c r="O3" s="43"/>
      <c r="P3" s="43"/>
      <c r="Q3" s="43"/>
      <c r="R3" s="43"/>
      <c r="S3" s="236"/>
      <c r="T3" s="75"/>
      <c r="U3" s="236"/>
      <c r="V3" s="236"/>
      <c r="W3" s="236"/>
      <c r="X3" s="236"/>
      <c r="Y3" s="36"/>
      <c r="Z3" s="75"/>
      <c r="AA3" s="236"/>
      <c r="AB3" s="236"/>
      <c r="AC3" s="236"/>
      <c r="AD3" s="236"/>
      <c r="AE3" s="43"/>
      <c r="AF3" s="75"/>
      <c r="AG3" s="637"/>
      <c r="AH3" s="236"/>
      <c r="AI3" s="236"/>
      <c r="AJ3" s="236"/>
      <c r="AK3" s="637"/>
      <c r="AL3" s="75"/>
      <c r="AM3" s="637"/>
      <c r="AN3" s="236"/>
      <c r="AO3" s="236"/>
      <c r="AP3" s="236"/>
      <c r="AQ3" s="637"/>
      <c r="BI3" s="348"/>
      <c r="BM3" s="363"/>
      <c r="CT3" s="236"/>
      <c r="DA3" s="43"/>
      <c r="DB3" s="340">
        <v>3</v>
      </c>
      <c r="DC3" s="339">
        <f>($AK$8*DB3*(1+DD3)-'Bal Sht'!$AE$51)/$AK$42</f>
        <v>22.076825883305382</v>
      </c>
      <c r="DD3" s="341">
        <v>0.05</v>
      </c>
      <c r="DG3" s="238"/>
      <c r="DH3" s="43"/>
      <c r="DI3" s="43"/>
    </row>
    <row r="4" spans="1:142" x14ac:dyDescent="0.2">
      <c r="A4" s="43"/>
      <c r="B4" s="634" t="s">
        <v>236</v>
      </c>
      <c r="C4" s="911" t="s">
        <v>274</v>
      </c>
      <c r="D4" s="911"/>
      <c r="E4" s="911"/>
      <c r="F4" s="911"/>
      <c r="G4" s="911"/>
      <c r="H4" s="75"/>
      <c r="I4" s="911" t="s">
        <v>274</v>
      </c>
      <c r="J4" s="911"/>
      <c r="K4" s="911"/>
      <c r="L4" s="911"/>
      <c r="M4" s="911"/>
      <c r="N4" s="75"/>
      <c r="O4" s="31"/>
      <c r="P4" s="31"/>
      <c r="Q4" s="31"/>
      <c r="R4" s="31"/>
      <c r="S4" s="423"/>
      <c r="T4" s="75"/>
      <c r="U4" s="423"/>
      <c r="V4" s="423"/>
      <c r="W4" s="423"/>
      <c r="X4" s="423"/>
      <c r="Y4" s="513"/>
      <c r="Z4" s="75"/>
      <c r="AA4" s="423"/>
      <c r="AB4" s="423"/>
      <c r="AC4" s="423"/>
      <c r="AD4" s="423"/>
      <c r="AE4" s="423"/>
      <c r="AF4" s="75"/>
      <c r="AG4" s="423"/>
      <c r="AH4" s="423"/>
      <c r="AI4" s="423"/>
      <c r="AJ4" s="423"/>
      <c r="AK4" s="423"/>
      <c r="AL4" s="75"/>
      <c r="AM4" s="423"/>
      <c r="AN4" s="423"/>
      <c r="AO4" s="423"/>
      <c r="AP4" s="423"/>
      <c r="AQ4" s="651"/>
      <c r="BI4" s="853"/>
      <c r="BO4" s="853"/>
      <c r="CT4" s="236"/>
      <c r="DA4" s="43"/>
      <c r="DB4" s="340">
        <v>2</v>
      </c>
      <c r="DC4" s="339">
        <f>($AK$8*DB4-'Bal Sht'!$AE$51)/$AK$42</f>
        <v>15.479870467819349</v>
      </c>
      <c r="DD4" s="340"/>
      <c r="DG4" s="43"/>
      <c r="DH4" s="597"/>
      <c r="DI4" s="43"/>
    </row>
    <row r="5" spans="1:142" ht="13.5" thickBot="1" x14ac:dyDescent="0.25">
      <c r="A5" s="43"/>
      <c r="B5" s="250"/>
      <c r="C5" s="912" t="s">
        <v>103</v>
      </c>
      <c r="D5" s="912"/>
      <c r="E5" s="912"/>
      <c r="F5" s="912"/>
      <c r="G5" s="912"/>
      <c r="H5" s="75"/>
      <c r="I5" s="912" t="s">
        <v>104</v>
      </c>
      <c r="J5" s="912"/>
      <c r="K5" s="912"/>
      <c r="L5" s="912"/>
      <c r="M5" s="912"/>
      <c r="N5" s="75"/>
      <c r="O5" s="910" t="s">
        <v>105</v>
      </c>
      <c r="P5" s="910"/>
      <c r="Q5" s="910"/>
      <c r="R5" s="910"/>
      <c r="S5" s="910"/>
      <c r="T5" s="75"/>
      <c r="U5" s="910" t="s">
        <v>185</v>
      </c>
      <c r="V5" s="910"/>
      <c r="W5" s="910"/>
      <c r="X5" s="910"/>
      <c r="Y5" s="910"/>
      <c r="Z5" s="75"/>
      <c r="AA5" s="910" t="s">
        <v>151</v>
      </c>
      <c r="AB5" s="910"/>
      <c r="AC5" s="910"/>
      <c r="AD5" s="910"/>
      <c r="AE5" s="910"/>
      <c r="AF5" s="75"/>
      <c r="AG5" s="910" t="s">
        <v>238</v>
      </c>
      <c r="AH5" s="910"/>
      <c r="AI5" s="910"/>
      <c r="AJ5" s="910"/>
      <c r="AK5" s="910"/>
      <c r="AL5" s="75"/>
      <c r="AM5" s="910" t="s">
        <v>239</v>
      </c>
      <c r="AN5" s="910"/>
      <c r="AO5" s="910"/>
      <c r="AP5" s="910"/>
      <c r="AQ5" s="910"/>
      <c r="AR5" s="75"/>
      <c r="AS5" s="910" t="s">
        <v>306</v>
      </c>
      <c r="AT5" s="910"/>
      <c r="AU5" s="910"/>
      <c r="AV5" s="910"/>
      <c r="AW5" s="910"/>
      <c r="AX5" s="75"/>
      <c r="AY5" s="910" t="s">
        <v>329</v>
      </c>
      <c r="AZ5" s="910"/>
      <c r="BA5" s="910"/>
      <c r="BB5" s="910"/>
      <c r="BC5" s="910"/>
      <c r="BD5" s="75"/>
      <c r="BE5" s="910" t="s">
        <v>368</v>
      </c>
      <c r="BF5" s="910"/>
      <c r="BG5" s="910"/>
      <c r="BH5" s="910"/>
      <c r="BI5" s="910"/>
      <c r="BJ5" s="75"/>
      <c r="BK5" s="910" t="s">
        <v>381</v>
      </c>
      <c r="BL5" s="910"/>
      <c r="BM5" s="910"/>
      <c r="BN5" s="910"/>
      <c r="BO5" s="910"/>
      <c r="BP5" s="75"/>
      <c r="BQ5" s="910" t="s">
        <v>7</v>
      </c>
      <c r="BR5" s="910"/>
      <c r="BS5" s="910"/>
      <c r="BT5" s="910"/>
      <c r="BU5" s="910"/>
      <c r="BV5" s="75"/>
      <c r="BW5" s="910" t="s">
        <v>356</v>
      </c>
      <c r="BX5" s="910"/>
      <c r="BY5" s="910"/>
      <c r="BZ5" s="910"/>
      <c r="CA5" s="910"/>
      <c r="CB5" s="75"/>
      <c r="CC5" s="910" t="s">
        <v>328</v>
      </c>
      <c r="CD5" s="910"/>
      <c r="CE5" s="910"/>
      <c r="CF5" s="910"/>
      <c r="CG5" s="910"/>
      <c r="CH5" s="75"/>
      <c r="CI5" s="910" t="s">
        <v>351</v>
      </c>
      <c r="CJ5" s="910"/>
      <c r="CK5" s="910"/>
      <c r="CL5" s="910"/>
      <c r="CM5" s="910"/>
      <c r="CN5" s="75"/>
      <c r="CO5" s="910" t="s">
        <v>365</v>
      </c>
      <c r="CP5" s="910"/>
      <c r="CQ5" s="910"/>
      <c r="CR5" s="910"/>
      <c r="CS5" s="910"/>
      <c r="CT5" s="364"/>
      <c r="DA5" s="43"/>
      <c r="DB5" s="340">
        <v>1</v>
      </c>
      <c r="DC5" s="339">
        <f>($AK$8*DB5*(1-DD5)-'Bal Sht'!$AE$51)/$AK$42</f>
        <v>8.8829150523333134</v>
      </c>
      <c r="DD5" s="341">
        <v>0.15</v>
      </c>
      <c r="DE5" s="328"/>
      <c r="DF5" s="73"/>
      <c r="DG5" s="73"/>
      <c r="DH5" s="73"/>
      <c r="DI5" s="73"/>
      <c r="DJ5" s="73"/>
      <c r="DK5" s="767"/>
      <c r="DL5" s="905"/>
      <c r="DM5" s="906"/>
      <c r="DN5" s="906"/>
      <c r="DO5" s="906"/>
      <c r="DP5" s="905"/>
      <c r="DQ5" s="906"/>
      <c r="DR5" s="906"/>
      <c r="DS5" s="906"/>
      <c r="DT5" s="905"/>
      <c r="DU5" s="906"/>
      <c r="DV5" s="906"/>
      <c r="DW5" s="906"/>
      <c r="DX5" s="905"/>
      <c r="DY5" s="906"/>
      <c r="DZ5" s="906"/>
      <c r="EA5" s="906"/>
      <c r="EB5" s="905"/>
      <c r="EC5" s="906"/>
      <c r="ED5" s="906"/>
      <c r="EE5" s="906"/>
      <c r="EF5" s="906"/>
      <c r="EG5" s="73"/>
      <c r="EH5" s="73"/>
      <c r="EI5" s="906"/>
      <c r="EJ5" s="906"/>
      <c r="EK5" s="906"/>
      <c r="EL5" s="906"/>
    </row>
    <row r="6" spans="1:142" x14ac:dyDescent="0.2">
      <c r="A6" s="43"/>
      <c r="B6" s="250"/>
      <c r="C6" s="669">
        <v>38990</v>
      </c>
      <c r="D6" s="669">
        <v>39082</v>
      </c>
      <c r="E6" s="669">
        <v>39172</v>
      </c>
      <c r="F6" s="669">
        <v>39263</v>
      </c>
      <c r="G6" s="670" t="str">
        <f>+C5</f>
        <v>2007A</v>
      </c>
      <c r="H6" s="671"/>
      <c r="I6" s="669">
        <v>39355</v>
      </c>
      <c r="J6" s="669">
        <v>39447</v>
      </c>
      <c r="K6" s="669">
        <v>39538</v>
      </c>
      <c r="L6" s="669">
        <v>39629</v>
      </c>
      <c r="M6" s="670" t="str">
        <f>+I5</f>
        <v>2008A</v>
      </c>
      <c r="N6" s="671"/>
      <c r="O6" s="669">
        <v>39721</v>
      </c>
      <c r="P6" s="669">
        <v>39813</v>
      </c>
      <c r="Q6" s="669">
        <v>39903</v>
      </c>
      <c r="R6" s="669">
        <v>39994</v>
      </c>
      <c r="S6" s="670" t="str">
        <f>+O5</f>
        <v>2009A</v>
      </c>
      <c r="T6" s="671"/>
      <c r="U6" s="669">
        <v>40086</v>
      </c>
      <c r="V6" s="669">
        <v>40178</v>
      </c>
      <c r="W6" s="669">
        <v>40268</v>
      </c>
      <c r="X6" s="669">
        <v>40359</v>
      </c>
      <c r="Y6" s="670" t="str">
        <f>+U5</f>
        <v>2010A</v>
      </c>
      <c r="Z6" s="671"/>
      <c r="AA6" s="669">
        <v>40451</v>
      </c>
      <c r="AB6" s="669">
        <v>40543</v>
      </c>
      <c r="AC6" s="669">
        <v>40633</v>
      </c>
      <c r="AD6" s="669">
        <v>40724</v>
      </c>
      <c r="AE6" s="670" t="str">
        <f>+AA5</f>
        <v>2011A</v>
      </c>
      <c r="AF6" s="671"/>
      <c r="AG6" s="669">
        <v>40816</v>
      </c>
      <c r="AH6" s="669">
        <v>40908</v>
      </c>
      <c r="AI6" s="669">
        <v>40999</v>
      </c>
      <c r="AJ6" s="669">
        <v>41090</v>
      </c>
      <c r="AK6" s="670" t="str">
        <f>+AG5</f>
        <v>2012A</v>
      </c>
      <c r="AL6" s="671"/>
      <c r="AM6" s="669">
        <v>41182</v>
      </c>
      <c r="AN6" s="669">
        <v>41274</v>
      </c>
      <c r="AO6" s="669">
        <v>41364</v>
      </c>
      <c r="AP6" s="669">
        <v>41455</v>
      </c>
      <c r="AQ6" s="670" t="str">
        <f>+AM5</f>
        <v>2013A</v>
      </c>
      <c r="AR6" s="671"/>
      <c r="AS6" s="669">
        <f>+AM6+365.25</f>
        <v>41547.25</v>
      </c>
      <c r="AT6" s="669">
        <f>+AN6+365.25</f>
        <v>41639.25</v>
      </c>
      <c r="AU6" s="669">
        <f>+AO6+365.25</f>
        <v>41729.25</v>
      </c>
      <c r="AV6" s="669">
        <f>+AP6+365.25</f>
        <v>41820.25</v>
      </c>
      <c r="AW6" s="670" t="str">
        <f>+AS5</f>
        <v>2014A</v>
      </c>
      <c r="AX6" s="671"/>
      <c r="AY6" s="669">
        <f>+AS6+365.25</f>
        <v>41912.5</v>
      </c>
      <c r="AZ6" s="669">
        <f>+AT6+365.25</f>
        <v>42004.5</v>
      </c>
      <c r="BA6" s="669">
        <f>+AU6+365.25</f>
        <v>42094.5</v>
      </c>
      <c r="BB6" s="669">
        <f>+AV6+365.25</f>
        <v>42185.5</v>
      </c>
      <c r="BC6" s="670" t="str">
        <f>+AY5</f>
        <v>2015A</v>
      </c>
      <c r="BD6" s="671"/>
      <c r="BE6" s="669">
        <f>+AY6+365.25</f>
        <v>42277.75</v>
      </c>
      <c r="BF6" s="420">
        <f>+AZ6+365.25</f>
        <v>42369.75</v>
      </c>
      <c r="BG6" s="420">
        <f>+BA6+365.25</f>
        <v>42459.75</v>
      </c>
      <c r="BH6" s="420">
        <f>+BB6+365.25</f>
        <v>42550.75</v>
      </c>
      <c r="BI6" s="670" t="str">
        <f>+BE5</f>
        <v>2016A</v>
      </c>
      <c r="BJ6" s="671"/>
      <c r="BK6" s="669">
        <f>+BE6+365.25</f>
        <v>42643</v>
      </c>
      <c r="BL6" s="420">
        <f>+BF6+365.25</f>
        <v>42735</v>
      </c>
      <c r="BM6" s="420">
        <f>+BG6+365.25</f>
        <v>42825</v>
      </c>
      <c r="BN6" s="420">
        <f>+BH6+365.25</f>
        <v>42916</v>
      </c>
      <c r="BO6" s="670" t="str">
        <f>+BK5</f>
        <v>2017A</v>
      </c>
      <c r="BP6" s="671"/>
      <c r="BQ6" s="669">
        <f>+BK6+365.25</f>
        <v>43008.25</v>
      </c>
      <c r="BR6" s="420">
        <f>+BL6+365.25</f>
        <v>43100.25</v>
      </c>
      <c r="BS6" s="672">
        <f>+BM6+365.25</f>
        <v>43190.25</v>
      </c>
      <c r="BT6" s="672">
        <f>+BN6+365.25</f>
        <v>43281.25</v>
      </c>
      <c r="BU6" s="670" t="str">
        <f>+BQ5</f>
        <v>2018E</v>
      </c>
      <c r="BV6" s="671"/>
      <c r="BW6" s="672">
        <f>+BQ6+365.25</f>
        <v>43373.5</v>
      </c>
      <c r="BX6" s="672">
        <f>+BR6+365.25</f>
        <v>43465.5</v>
      </c>
      <c r="BY6" s="672">
        <f>+BS6+365.25</f>
        <v>43555.5</v>
      </c>
      <c r="BZ6" s="672">
        <f>+BT6+365.25</f>
        <v>43646.5</v>
      </c>
      <c r="CA6" s="670" t="str">
        <f>+BW5</f>
        <v>2019E</v>
      </c>
      <c r="CB6" s="671"/>
      <c r="CC6" s="672">
        <f>+BW6+365.25</f>
        <v>43738.75</v>
      </c>
      <c r="CD6" s="672">
        <f>+BX6+365.25</f>
        <v>43830.75</v>
      </c>
      <c r="CE6" s="672">
        <f>+BY6+365.25</f>
        <v>43920.75</v>
      </c>
      <c r="CF6" s="672">
        <f>+BZ6+365.25</f>
        <v>44011.75</v>
      </c>
      <c r="CG6" s="670" t="str">
        <f>+CC5</f>
        <v>2020E</v>
      </c>
      <c r="CH6" s="671"/>
      <c r="CI6" s="672">
        <f>+CC6+365.25</f>
        <v>44104</v>
      </c>
      <c r="CJ6" s="672">
        <f>+CD6+365.25</f>
        <v>44196</v>
      </c>
      <c r="CK6" s="672">
        <f>+CE6+365.25</f>
        <v>44286</v>
      </c>
      <c r="CL6" s="672">
        <f>+CF6+365.25</f>
        <v>44377</v>
      </c>
      <c r="CM6" s="670" t="str">
        <f>+CI5</f>
        <v>2021E</v>
      </c>
      <c r="CN6" s="671"/>
      <c r="CO6" s="672">
        <f>+CI6+365.25</f>
        <v>44469.25</v>
      </c>
      <c r="CP6" s="672">
        <f>+CJ6+365.25</f>
        <v>44561.25</v>
      </c>
      <c r="CQ6" s="672">
        <f>+CK6+365.25</f>
        <v>44651.25</v>
      </c>
      <c r="CR6" s="672">
        <f>+CL6+365.25</f>
        <v>44742.25</v>
      </c>
      <c r="CS6" s="670" t="str">
        <f>+CO5</f>
        <v>2022E</v>
      </c>
      <c r="CT6" s="365"/>
      <c r="DA6" s="43"/>
      <c r="DB6" s="43"/>
      <c r="DC6" s="43"/>
      <c r="DD6" s="43"/>
      <c r="DE6" s="328"/>
      <c r="DF6" s="907"/>
      <c r="DG6" s="764"/>
      <c r="DH6" s="764"/>
      <c r="DI6" s="764"/>
      <c r="DJ6" s="73"/>
      <c r="DK6" s="773"/>
      <c r="DL6" s="905"/>
      <c r="DM6" s="767"/>
      <c r="DN6" s="767"/>
      <c r="DO6" s="773"/>
      <c r="DP6" s="905"/>
      <c r="DQ6" s="767"/>
      <c r="DR6" s="767"/>
      <c r="DS6" s="773"/>
      <c r="DT6" s="905"/>
      <c r="DU6" s="767"/>
      <c r="DV6" s="767"/>
      <c r="DW6" s="773"/>
      <c r="DX6" s="905"/>
      <c r="DY6" s="767"/>
      <c r="DZ6" s="767"/>
      <c r="EA6" s="773"/>
      <c r="EB6" s="905"/>
      <c r="EC6" s="767"/>
      <c r="ED6" s="767"/>
      <c r="EE6" s="767"/>
      <c r="EF6" s="767"/>
      <c r="EG6" s="73"/>
      <c r="EH6" s="73"/>
      <c r="EI6" s="767"/>
      <c r="EJ6" s="767"/>
      <c r="EK6" s="767"/>
      <c r="EL6" s="767"/>
    </row>
    <row r="7" spans="1:142" ht="12.75" hidden="1" customHeight="1" outlineLevel="1" x14ac:dyDescent="0.2">
      <c r="A7" s="43"/>
      <c r="B7" s="630" t="s">
        <v>186</v>
      </c>
      <c r="C7" s="465">
        <v>91</v>
      </c>
      <c r="D7" s="465">
        <f>+D6-C6</f>
        <v>92</v>
      </c>
      <c r="E7" s="465">
        <f>+E6-D6</f>
        <v>90</v>
      </c>
      <c r="F7" s="465">
        <f>+F6-E6</f>
        <v>91</v>
      </c>
      <c r="G7" s="465">
        <f t="shared" ref="G7:G13" si="0">+SUM(C7:F7)</f>
        <v>364</v>
      </c>
      <c r="H7" s="442"/>
      <c r="I7" s="465">
        <f>+I6-F6</f>
        <v>92</v>
      </c>
      <c r="J7" s="465">
        <f>+J6-I6</f>
        <v>92</v>
      </c>
      <c r="K7" s="465">
        <f>+K6-J6</f>
        <v>91</v>
      </c>
      <c r="L7" s="465">
        <f>+L6-K6</f>
        <v>91</v>
      </c>
      <c r="M7" s="465">
        <f t="shared" ref="M7:M13" si="1">+SUM(I7:L7)</f>
        <v>366</v>
      </c>
      <c r="N7" s="442"/>
      <c r="O7" s="465">
        <f>+O6-L6</f>
        <v>92</v>
      </c>
      <c r="P7" s="465">
        <f>+P6-O6</f>
        <v>92</v>
      </c>
      <c r="Q7" s="465">
        <f>+Q6-P6</f>
        <v>90</v>
      </c>
      <c r="R7" s="465">
        <f>+R6-Q6</f>
        <v>91</v>
      </c>
      <c r="S7" s="465">
        <f t="shared" ref="S7:S13" si="2">+SUM(O7:R7)</f>
        <v>365</v>
      </c>
      <c r="T7" s="442"/>
      <c r="U7" s="465">
        <f>+U6-R6</f>
        <v>92</v>
      </c>
      <c r="V7" s="465">
        <f>+V6-U6</f>
        <v>92</v>
      </c>
      <c r="W7" s="465">
        <f>+W6-V6</f>
        <v>90</v>
      </c>
      <c r="X7" s="465">
        <f>+X6-W6</f>
        <v>91</v>
      </c>
      <c r="Y7" s="465">
        <f t="shared" ref="Y7:Y13" si="3">+SUM(U7:X7)</f>
        <v>365</v>
      </c>
      <c r="Z7" s="442"/>
      <c r="AA7" s="465">
        <f>+AA6-X6</f>
        <v>92</v>
      </c>
      <c r="AB7" s="465">
        <f>+AB6-AA6</f>
        <v>92</v>
      </c>
      <c r="AC7" s="465">
        <f>+AC6-AB6</f>
        <v>90</v>
      </c>
      <c r="AD7" s="465">
        <f>+AD6-AC6</f>
        <v>91</v>
      </c>
      <c r="AE7" s="465">
        <f>+SUM(AA7:AD7)</f>
        <v>365</v>
      </c>
      <c r="AF7" s="442"/>
      <c r="AG7" s="631">
        <f>+AG6-AD6</f>
        <v>92</v>
      </c>
      <c r="AH7" s="465">
        <f>+AH6-AG6</f>
        <v>92</v>
      </c>
      <c r="AI7" s="465">
        <f>+AI6-AH6</f>
        <v>91</v>
      </c>
      <c r="AJ7" s="465">
        <f>+AJ6-AI6</f>
        <v>91</v>
      </c>
      <c r="AK7" s="465">
        <f t="shared" ref="AK7:AK13" si="4">+SUM(AG7:AJ7)</f>
        <v>366</v>
      </c>
      <c r="AL7" s="442"/>
      <c r="AM7" s="465">
        <f>+AM6-AJ6</f>
        <v>92</v>
      </c>
      <c r="AN7" s="465">
        <f>+AN6-AM6</f>
        <v>92</v>
      </c>
      <c r="AO7" s="465">
        <f>+AO6-AN6</f>
        <v>90</v>
      </c>
      <c r="AP7" s="465">
        <f>+AP6-AO6</f>
        <v>91</v>
      </c>
      <c r="AQ7" s="465">
        <f t="shared" ref="AQ7:AQ16" si="5">+SUM(AM7:AP7)</f>
        <v>365</v>
      </c>
      <c r="AR7" s="442"/>
      <c r="AS7" s="631">
        <f>+AS6-AP6</f>
        <v>92.25</v>
      </c>
      <c r="AT7" s="465">
        <f>+AT6-AS6</f>
        <v>92</v>
      </c>
      <c r="AU7" s="465">
        <f>+AU6-AT6</f>
        <v>90</v>
      </c>
      <c r="AV7" s="465">
        <f>+AV6-AU6</f>
        <v>91</v>
      </c>
      <c r="AW7" s="631">
        <f t="shared" ref="AW7:AW13" si="6">+SUM(AS7:AV7)</f>
        <v>365.25</v>
      </c>
      <c r="AX7" s="442"/>
      <c r="AY7" s="631">
        <f>+AY6-AV6</f>
        <v>92.25</v>
      </c>
      <c r="AZ7" s="465">
        <f>+AZ6-AY6</f>
        <v>92</v>
      </c>
      <c r="BA7" s="465">
        <f>+BA6-AZ6</f>
        <v>90</v>
      </c>
      <c r="BB7" s="465">
        <f>+BB6-BA6</f>
        <v>91</v>
      </c>
      <c r="BC7" s="631">
        <f t="shared" ref="BC7:BC13" si="7">+SUM(AY7:BB7)</f>
        <v>365.25</v>
      </c>
      <c r="BD7" s="442"/>
      <c r="BE7" s="631">
        <f>+BE6-BB6</f>
        <v>92.25</v>
      </c>
      <c r="BF7" s="631">
        <f>+BF6-BE6</f>
        <v>92</v>
      </c>
      <c r="BG7" s="631">
        <f>+BG6-BF6</f>
        <v>90</v>
      </c>
      <c r="BH7" s="631">
        <f>+BH6-BG6</f>
        <v>91</v>
      </c>
      <c r="BI7" s="631">
        <f t="shared" ref="BI7:BI13" si="8">+SUM(BE7:BH7)</f>
        <v>365.25</v>
      </c>
      <c r="BJ7" s="493"/>
      <c r="BK7" s="631">
        <f>+BK6-BH6</f>
        <v>92.25</v>
      </c>
      <c r="BL7" s="631">
        <f>+BL6-BK6</f>
        <v>92</v>
      </c>
      <c r="BM7" s="631">
        <f>+BM6-BL6</f>
        <v>90</v>
      </c>
      <c r="BN7" s="631">
        <f>+BN6-BM6</f>
        <v>91</v>
      </c>
      <c r="BO7" s="631">
        <f t="shared" ref="BO7:BO13" si="9">+SUM(BK7:BN7)</f>
        <v>365.25</v>
      </c>
      <c r="BP7" s="493"/>
      <c r="BQ7" s="631">
        <f>+BQ6-BN6</f>
        <v>92.25</v>
      </c>
      <c r="BR7" s="631">
        <f>+BR6-BQ6</f>
        <v>92</v>
      </c>
      <c r="BS7" s="631">
        <f>+BS6-BR6</f>
        <v>90</v>
      </c>
      <c r="BT7" s="631">
        <f>+BT6-BS6</f>
        <v>91</v>
      </c>
      <c r="BU7" s="631">
        <f t="shared" ref="BU7:BU13" si="10">+SUM(BQ7:BT7)</f>
        <v>365.25</v>
      </c>
      <c r="BV7" s="493"/>
      <c r="BW7" s="631">
        <f>+BW6-BT6</f>
        <v>92.25</v>
      </c>
      <c r="BX7" s="631">
        <f>+BX6-BW6</f>
        <v>92</v>
      </c>
      <c r="BY7" s="631">
        <f>+BY6-BX6</f>
        <v>90</v>
      </c>
      <c r="BZ7" s="631">
        <f>+BZ6-BY6</f>
        <v>91</v>
      </c>
      <c r="CA7" s="631">
        <f t="shared" ref="CA7:CA13" si="11">+SUM(BW7:BZ7)</f>
        <v>365.25</v>
      </c>
      <c r="CB7" s="493"/>
      <c r="CC7" s="631">
        <f>+CC6-BZ6</f>
        <v>92.25</v>
      </c>
      <c r="CD7" s="631">
        <f>+CD6-CC6</f>
        <v>92</v>
      </c>
      <c r="CE7" s="631">
        <f>+CE6-CD6</f>
        <v>90</v>
      </c>
      <c r="CF7" s="631">
        <f>+CF6-CE6</f>
        <v>91</v>
      </c>
      <c r="CG7" s="631">
        <f t="shared" ref="CG7:CG13" si="12">+SUM(CC7:CF7)</f>
        <v>365.25</v>
      </c>
      <c r="CH7" s="493"/>
      <c r="CI7" s="631">
        <f>+CI6-CF6</f>
        <v>92.25</v>
      </c>
      <c r="CJ7" s="631">
        <f>+CJ6-CI6</f>
        <v>92</v>
      </c>
      <c r="CK7" s="631">
        <f>+CK6-CJ6</f>
        <v>90</v>
      </c>
      <c r="CL7" s="631">
        <f>+CL6-CK6</f>
        <v>91</v>
      </c>
      <c r="CM7" s="631">
        <f t="shared" ref="CM7:CM13" si="13">+SUM(CI7:CL7)</f>
        <v>365.25</v>
      </c>
      <c r="CN7" s="493"/>
      <c r="CO7" s="631">
        <f>+CO6-CL6</f>
        <v>92.25</v>
      </c>
      <c r="CP7" s="631">
        <f>+CP6-CO6</f>
        <v>92</v>
      </c>
      <c r="CQ7" s="631">
        <f>+CQ6-CP6</f>
        <v>90</v>
      </c>
      <c r="CR7" s="631">
        <f>+CR6-CQ6</f>
        <v>91</v>
      </c>
      <c r="CS7" s="631">
        <f t="shared" ref="CS7:CS13" si="14">+SUM(CO7:CR7)</f>
        <v>365.25</v>
      </c>
      <c r="CT7" s="465"/>
      <c r="DA7" s="597"/>
      <c r="DB7" s="43"/>
      <c r="DC7" s="43"/>
      <c r="DD7" s="43"/>
      <c r="DE7" s="770"/>
      <c r="DF7" s="167"/>
      <c r="DG7" s="73"/>
      <c r="DH7" s="73"/>
      <c r="DI7" s="765"/>
      <c r="DJ7" s="517"/>
      <c r="DK7" s="762"/>
      <c r="DL7" s="908"/>
      <c r="DM7" s="765"/>
      <c r="DN7" s="517"/>
      <c r="DO7" s="762"/>
      <c r="DP7" s="908"/>
      <c r="DQ7" s="765"/>
      <c r="DR7" s="517"/>
      <c r="DS7" s="762"/>
      <c r="DT7" s="908"/>
      <c r="DU7" s="765"/>
      <c r="DV7" s="517"/>
      <c r="DW7" s="762"/>
      <c r="DX7" s="908"/>
      <c r="DY7" s="765"/>
      <c r="DZ7" s="517"/>
      <c r="EA7" s="762"/>
      <c r="EB7" s="908"/>
      <c r="EC7" s="765"/>
      <c r="ED7" s="765"/>
      <c r="EE7" s="765"/>
      <c r="EF7" s="765"/>
      <c r="EG7" s="73"/>
      <c r="EH7" s="73"/>
      <c r="EI7" s="765"/>
      <c r="EJ7" s="765"/>
      <c r="EK7" s="765"/>
      <c r="EL7" s="765"/>
    </row>
    <row r="8" spans="1:142" ht="12.75" customHeight="1" collapsed="1" x14ac:dyDescent="0.2">
      <c r="A8" s="112"/>
      <c r="B8" s="41" t="s">
        <v>182</v>
      </c>
      <c r="C8" s="291">
        <v>33.542999999999999</v>
      </c>
      <c r="D8" s="291">
        <v>37.134999999999998</v>
      </c>
      <c r="E8" s="291">
        <v>40.97</v>
      </c>
      <c r="F8" s="291">
        <v>45.478000000000002</v>
      </c>
      <c r="G8" s="260">
        <f t="shared" si="0"/>
        <v>157.126</v>
      </c>
      <c r="H8" s="52"/>
      <c r="I8" s="291">
        <v>48.265999999999998</v>
      </c>
      <c r="J8" s="291">
        <v>56.741999999999997</v>
      </c>
      <c r="K8" s="291">
        <v>61.765000000000001</v>
      </c>
      <c r="L8" s="291">
        <v>64.677999999999997</v>
      </c>
      <c r="M8" s="260">
        <f t="shared" si="1"/>
        <v>231.45099999999999</v>
      </c>
      <c r="N8" s="52"/>
      <c r="O8" s="291">
        <v>69.965000000000003</v>
      </c>
      <c r="P8" s="291">
        <v>83.951999999999998</v>
      </c>
      <c r="Q8" s="291">
        <v>86.531000000000006</v>
      </c>
      <c r="R8" s="291">
        <v>86.078999999999994</v>
      </c>
      <c r="S8" s="260">
        <f t="shared" si="2"/>
        <v>326.52699999999999</v>
      </c>
      <c r="T8" s="52"/>
      <c r="U8" s="291">
        <v>85.122</v>
      </c>
      <c r="V8" s="291">
        <v>92.768000000000001</v>
      </c>
      <c r="W8" s="291">
        <v>90.83</v>
      </c>
      <c r="X8" s="291">
        <f>362.648-W8-V8-U8</f>
        <v>93.92800000000004</v>
      </c>
      <c r="Y8" s="260">
        <f t="shared" si="3"/>
        <v>362.64800000000002</v>
      </c>
      <c r="Z8" s="52"/>
      <c r="AA8" s="291">
        <v>91.858000000000004</v>
      </c>
      <c r="AB8" s="291">
        <v>100.44</v>
      </c>
      <c r="AC8" s="291">
        <v>102.374</v>
      </c>
      <c r="AD8" s="291">
        <v>107.41200000000001</v>
      </c>
      <c r="AE8" s="260">
        <f t="shared" ref="AE8:AE13" si="15">+SUM(AA8:AD8)</f>
        <v>402.08400000000006</v>
      </c>
      <c r="AF8" s="52"/>
      <c r="AG8" s="291">
        <v>110.452</v>
      </c>
      <c r="AH8" s="291">
        <v>122.81100000000001</v>
      </c>
      <c r="AI8" s="291">
        <v>129.77699999999999</v>
      </c>
      <c r="AJ8" s="291">
        <v>132.965</v>
      </c>
      <c r="AK8" s="260">
        <f t="shared" si="4"/>
        <v>496.005</v>
      </c>
      <c r="AL8" s="52"/>
      <c r="AM8" s="291">
        <v>133.43700000000001</v>
      </c>
      <c r="AN8" s="291">
        <v>149.13999999999999</v>
      </c>
      <c r="AO8" s="291">
        <v>156.47200000000001</v>
      </c>
      <c r="AP8" s="291">
        <v>174.11600000000001</v>
      </c>
      <c r="AQ8" s="260">
        <f t="shared" si="5"/>
        <v>613.16499999999996</v>
      </c>
      <c r="AR8" s="52"/>
      <c r="AS8" s="291">
        <v>202.46700000000001</v>
      </c>
      <c r="AT8" s="291">
        <v>204.06</v>
      </c>
      <c r="AU8" s="291">
        <v>182.92400000000001</v>
      </c>
      <c r="AV8" s="291">
        <v>188.76500000000001</v>
      </c>
      <c r="AW8" s="260">
        <f>+SUM(AS8:AV8)</f>
        <v>778.21600000000001</v>
      </c>
      <c r="AX8" s="52"/>
      <c r="AY8" s="291">
        <v>168.83699999999999</v>
      </c>
      <c r="AZ8" s="291">
        <v>184.393</v>
      </c>
      <c r="BA8" s="291">
        <v>179.98500000000001</v>
      </c>
      <c r="BB8" s="332">
        <f>+MYGN!BB75</f>
        <v>189.87392621898078</v>
      </c>
      <c r="BC8" s="260">
        <f t="shared" si="7"/>
        <v>723.08892621898076</v>
      </c>
      <c r="BD8" s="52"/>
      <c r="BE8" s="332">
        <f>+MYGN!BE75</f>
        <v>183.53138383668679</v>
      </c>
      <c r="BF8" s="332">
        <f>+MYGN!BF75</f>
        <v>193.28922202800135</v>
      </c>
      <c r="BG8" s="332">
        <f>+MYGN!BG75</f>
        <v>190.51802062257497</v>
      </c>
      <c r="BH8" s="332">
        <f>+MYGN!BH75</f>
        <v>186.50000000000003</v>
      </c>
      <c r="BI8" s="260">
        <f t="shared" si="8"/>
        <v>753.83862648726313</v>
      </c>
      <c r="BJ8" s="52"/>
      <c r="BK8" s="332">
        <f>+MYGN!BK75</f>
        <v>177.50619851575016</v>
      </c>
      <c r="BL8" s="332">
        <f>+MYGN!BL75</f>
        <v>196.54935285011936</v>
      </c>
      <c r="BM8" s="332">
        <f>+MYGN!BM75</f>
        <v>196.91112509441612</v>
      </c>
      <c r="BN8" s="332">
        <f>+MYGN!BN75</f>
        <v>200.45994435047371</v>
      </c>
      <c r="BO8" s="260">
        <f t="shared" si="9"/>
        <v>771.42662081075935</v>
      </c>
      <c r="BP8" s="52"/>
      <c r="BQ8" s="332">
        <f>+MYGN!BQ75</f>
        <v>190.173636020087</v>
      </c>
      <c r="BR8" s="332">
        <f>+MYGN!BR75</f>
        <v>193.97538465031678</v>
      </c>
      <c r="BS8" s="332">
        <f>+MYGN!BS75</f>
        <v>189.85889196979974</v>
      </c>
      <c r="BT8" s="332">
        <f>+MYGN!BT75</f>
        <v>197.19507616368108</v>
      </c>
      <c r="BU8" s="260">
        <f>+SUM(BQ8:BT8)</f>
        <v>771.20298880388464</v>
      </c>
      <c r="BV8" s="52"/>
      <c r="BW8" s="332">
        <f>+MYGN!BW75</f>
        <v>190.41465770273575</v>
      </c>
      <c r="BX8" s="332">
        <f>+MYGN!BX75</f>
        <v>199.81071397288588</v>
      </c>
      <c r="BY8" s="332">
        <f>+MYGN!BY75</f>
        <v>198.78737440761927</v>
      </c>
      <c r="BZ8" s="332">
        <f>+MYGN!BZ75</f>
        <v>208.62928831825337</v>
      </c>
      <c r="CA8" s="260">
        <f t="shared" si="11"/>
        <v>797.64203440149436</v>
      </c>
      <c r="CB8" s="52"/>
      <c r="CC8" s="332">
        <f>+MYGN!CC75</f>
        <v>199.51417065909573</v>
      </c>
      <c r="CD8" s="332">
        <f>+MYGN!CD75</f>
        <v>211.65539421935887</v>
      </c>
      <c r="CE8" s="332">
        <f>+MYGN!CE75</f>
        <v>210.70810960585868</v>
      </c>
      <c r="CF8" s="332">
        <f>+MYGN!CF75</f>
        <v>222.07057963374058</v>
      </c>
      <c r="CG8" s="260">
        <f t="shared" si="12"/>
        <v>843.94825411805391</v>
      </c>
      <c r="CH8" s="52"/>
      <c r="CI8" s="332">
        <f>+MYGN!CI75</f>
        <v>213.89925352054405</v>
      </c>
      <c r="CJ8" s="332">
        <f>+MYGN!CJ75</f>
        <v>227.67798658586975</v>
      </c>
      <c r="CK8" s="332">
        <f>+MYGN!CK75</f>
        <v>225.46297191259288</v>
      </c>
      <c r="CL8" s="332">
        <f>+MYGN!CL75</f>
        <v>237.59924857107131</v>
      </c>
      <c r="CM8" s="260">
        <f t="shared" si="13"/>
        <v>904.63946059007799</v>
      </c>
      <c r="CN8" s="52"/>
      <c r="CO8" s="332">
        <f>+MYGN!CO75</f>
        <v>229.27341600141693</v>
      </c>
      <c r="CP8" s="332">
        <f>+MYGN!CP75</f>
        <v>245.97773219765872</v>
      </c>
      <c r="CQ8" s="332">
        <f>+MYGN!CQ75</f>
        <v>241.06622992696046</v>
      </c>
      <c r="CR8" s="332">
        <f>+MYGN!CR75</f>
        <v>255.3603613644226</v>
      </c>
      <c r="CS8" s="260">
        <f t="shared" si="14"/>
        <v>971.67773949045875</v>
      </c>
      <c r="CT8" s="259"/>
      <c r="DA8" s="112"/>
      <c r="DB8" s="112"/>
      <c r="DC8" s="112"/>
      <c r="DD8" s="112"/>
      <c r="DE8" s="770"/>
      <c r="DF8" s="167"/>
      <c r="DG8" s="73"/>
      <c r="DH8" s="73"/>
      <c r="DI8" s="762"/>
      <c r="DJ8" s="517"/>
      <c r="DK8" s="762"/>
      <c r="DL8" s="906"/>
      <c r="DM8" s="762"/>
      <c r="DN8" s="517"/>
      <c r="DO8" s="762"/>
      <c r="DP8" s="906"/>
      <c r="DQ8" s="765"/>
      <c r="DR8" s="517"/>
      <c r="DS8" s="762"/>
      <c r="DT8" s="906"/>
      <c r="DU8" s="765"/>
      <c r="DV8" s="517"/>
      <c r="DW8" s="762"/>
      <c r="DX8" s="906"/>
      <c r="DY8" s="765"/>
      <c r="DZ8" s="517"/>
      <c r="EA8" s="762"/>
      <c r="EB8" s="906"/>
      <c r="EC8" s="765"/>
      <c r="ED8" s="765"/>
      <c r="EE8" s="765"/>
      <c r="EF8" s="765"/>
      <c r="EG8" s="73"/>
      <c r="EH8" s="73"/>
      <c r="EI8" s="765"/>
      <c r="EJ8" s="765"/>
      <c r="EK8" s="765"/>
      <c r="EL8" s="765"/>
    </row>
    <row r="9" spans="1:142" ht="12.75" hidden="1" customHeight="1" outlineLevel="1" x14ac:dyDescent="0.2">
      <c r="A9" s="35"/>
      <c r="B9" s="32" t="s">
        <v>269</v>
      </c>
      <c r="C9" s="37">
        <f>MYGN!C66</f>
        <v>33.542999999999999</v>
      </c>
      <c r="D9" s="37">
        <f>MYGN!D66</f>
        <v>37.134999999999998</v>
      </c>
      <c r="E9" s="37">
        <f>MYGN!E66</f>
        <v>40.97</v>
      </c>
      <c r="F9" s="37">
        <f>MYGN!F66</f>
        <v>45.478000000000002</v>
      </c>
      <c r="G9" s="91">
        <f t="shared" si="0"/>
        <v>157.126</v>
      </c>
      <c r="H9" s="52"/>
      <c r="I9" s="37">
        <f>MYGN!I66</f>
        <v>48.265999999999998</v>
      </c>
      <c r="J9" s="37">
        <f>MYGN!J66</f>
        <v>56.741999999999997</v>
      </c>
      <c r="K9" s="37">
        <f>MYGN!K66</f>
        <v>61.765000000000001</v>
      </c>
      <c r="L9" s="37">
        <f>MYGN!L66</f>
        <v>64.677999999999997</v>
      </c>
      <c r="M9" s="91">
        <f t="shared" si="1"/>
        <v>231.45099999999999</v>
      </c>
      <c r="N9" s="52"/>
      <c r="O9" s="37">
        <f>MYGN!O66</f>
        <v>69.965000000000003</v>
      </c>
      <c r="P9" s="37">
        <f>MYGN!P66</f>
        <v>83.951999999999998</v>
      </c>
      <c r="Q9" s="37">
        <f>MYGN!Q66</f>
        <v>86.531000000000006</v>
      </c>
      <c r="R9" s="37">
        <f>MYGN!R66</f>
        <v>86.078999999999994</v>
      </c>
      <c r="S9" s="91">
        <f t="shared" si="2"/>
        <v>326.52699999999999</v>
      </c>
      <c r="T9" s="52"/>
      <c r="U9" s="37">
        <f>MYGN!U66</f>
        <v>85.122</v>
      </c>
      <c r="V9" s="37">
        <f>MYGN!V66</f>
        <v>92.768000000000001</v>
      </c>
      <c r="W9" s="37">
        <f>MYGN!W66</f>
        <v>90.83</v>
      </c>
      <c r="X9" s="37">
        <f>MYGN!X66</f>
        <v>93.927999999999997</v>
      </c>
      <c r="Y9" s="91">
        <f t="shared" si="3"/>
        <v>362.64799999999997</v>
      </c>
      <c r="Z9" s="52"/>
      <c r="AA9" s="37">
        <f>MYGN!AA66</f>
        <v>91.858000000000004</v>
      </c>
      <c r="AB9" s="37">
        <f>MYGN!AB66</f>
        <v>100.44000000000001</v>
      </c>
      <c r="AC9" s="37">
        <f>MYGN!AC66</f>
        <v>102.374</v>
      </c>
      <c r="AD9" s="37">
        <f>MYGN!AD66</f>
        <v>105.374</v>
      </c>
      <c r="AE9" s="91">
        <f t="shared" si="15"/>
        <v>400.04600000000005</v>
      </c>
      <c r="AF9" s="52"/>
      <c r="AG9" s="37">
        <f>MYGN!AG66</f>
        <v>103.96899999999999</v>
      </c>
      <c r="AH9" s="37">
        <f>MYGN!AH66</f>
        <v>117.61</v>
      </c>
      <c r="AI9" s="37">
        <f>MYGN!AI66</f>
        <v>123.31200000000001</v>
      </c>
      <c r="AJ9" s="37">
        <f>MYGN!AJ66</f>
        <v>127.49900000000001</v>
      </c>
      <c r="AK9" s="91">
        <f t="shared" si="4"/>
        <v>472.39000000000004</v>
      </c>
      <c r="AL9" s="52"/>
      <c r="AM9" s="37">
        <f>MYGN!AM66</f>
        <v>127.268</v>
      </c>
      <c r="AN9" s="37">
        <f>MYGN!AN66</f>
        <v>140.65099999999998</v>
      </c>
      <c r="AO9" s="37">
        <f>MYGN!AO66</f>
        <v>148.38400000000001</v>
      </c>
      <c r="AP9" s="37">
        <f>MYGN!AP66</f>
        <v>166.089</v>
      </c>
      <c r="AQ9" s="91">
        <f t="shared" si="5"/>
        <v>582.39200000000005</v>
      </c>
      <c r="AR9" s="52"/>
      <c r="AS9" s="37">
        <f>MYGN!AS66</f>
        <v>192.98699999999999</v>
      </c>
      <c r="AT9" s="37">
        <f>MYGN!AT66</f>
        <v>196.15800000000004</v>
      </c>
      <c r="AU9" s="37">
        <f>MYGN!AU66</f>
        <v>176.19100000000003</v>
      </c>
      <c r="AV9" s="37">
        <f>MYGN!AV66</f>
        <v>182.86200000000002</v>
      </c>
      <c r="AW9" s="91">
        <f t="shared" si="6"/>
        <v>748.19800000000009</v>
      </c>
      <c r="AX9" s="52"/>
      <c r="AY9" s="37">
        <f>MYGN!AY66</f>
        <v>164.50700000000001</v>
      </c>
      <c r="AZ9" s="37">
        <f>MYGN!AZ66</f>
        <v>179.15</v>
      </c>
      <c r="BA9" s="37">
        <f>MYGN!BA66</f>
        <v>173.00799999999998</v>
      </c>
      <c r="BB9" s="37">
        <f>MYGN!BB66</f>
        <v>178.8049262189808</v>
      </c>
      <c r="BC9" s="91">
        <f t="shared" si="7"/>
        <v>695.46992621898073</v>
      </c>
      <c r="BD9" s="52"/>
      <c r="BE9" s="681">
        <f>MYGN!BE66</f>
        <v>171.9263838366868</v>
      </c>
      <c r="BF9" s="681">
        <f>MYGN!BF66</f>
        <v>182.58922202800136</v>
      </c>
      <c r="BG9" s="681">
        <f>MYGN!BG66</f>
        <v>177.41802062257497</v>
      </c>
      <c r="BH9" s="681">
        <f>MYGN!BH66</f>
        <v>173.80000000000004</v>
      </c>
      <c r="BI9" s="91">
        <f t="shared" si="8"/>
        <v>705.73362648726322</v>
      </c>
      <c r="BJ9" s="52"/>
      <c r="BK9" s="681">
        <f>MYGN!BK66</f>
        <v>165.10619851575015</v>
      </c>
      <c r="BL9" s="681">
        <f>MYGN!BL66</f>
        <v>183.94935285011937</v>
      </c>
      <c r="BM9" s="681">
        <f>MYGN!BM66</f>
        <v>185.21112509441613</v>
      </c>
      <c r="BN9" s="681">
        <f>MYGN!BN66</f>
        <v>187.85994435047371</v>
      </c>
      <c r="BO9" s="91">
        <f t="shared" si="9"/>
        <v>722.12662081075939</v>
      </c>
      <c r="BP9" s="52"/>
      <c r="BQ9" s="681">
        <f>MYGN!BQ66</f>
        <v>178.773636020087</v>
      </c>
      <c r="BR9" s="681">
        <f>MYGN!BR66</f>
        <v>179.17538465031677</v>
      </c>
      <c r="BS9" s="681">
        <f>MYGN!BS66</f>
        <v>178.74389196979973</v>
      </c>
      <c r="BT9" s="681">
        <f>MYGN!BT66</f>
        <v>185.22507616368108</v>
      </c>
      <c r="BU9" s="91">
        <f t="shared" si="10"/>
        <v>721.91798880388455</v>
      </c>
      <c r="BV9" s="52"/>
      <c r="BW9" s="681">
        <f>MYGN!BW66</f>
        <v>177.87465770273576</v>
      </c>
      <c r="BX9" s="681">
        <f>MYGN!BX66</f>
        <v>183.53071397288588</v>
      </c>
      <c r="BY9" s="681">
        <f>MYGN!BY66</f>
        <v>186.56087440761928</v>
      </c>
      <c r="BZ9" s="681">
        <f>MYGN!BZ66</f>
        <v>195.46228831825337</v>
      </c>
      <c r="CA9" s="91">
        <f t="shared" si="11"/>
        <v>743.42853440149429</v>
      </c>
      <c r="CB9" s="52"/>
      <c r="CC9" s="681">
        <f>MYGN!CC66</f>
        <v>185.72017065909571</v>
      </c>
      <c r="CD9" s="681">
        <f>MYGN!CD66</f>
        <v>193.74739421935885</v>
      </c>
      <c r="CE9" s="681">
        <f>MYGN!CE66</f>
        <v>197.25895960585868</v>
      </c>
      <c r="CF9" s="681">
        <f>MYGN!CF66</f>
        <v>207.58687963374058</v>
      </c>
      <c r="CG9" s="91">
        <f t="shared" si="12"/>
        <v>784.31340411805377</v>
      </c>
      <c r="CH9" s="52"/>
      <c r="CI9" s="681">
        <f>MYGN!CI66</f>
        <v>198.72585352054404</v>
      </c>
      <c r="CJ9" s="681">
        <f>MYGN!CJ66</f>
        <v>207.97918658586974</v>
      </c>
      <c r="CK9" s="681">
        <f>MYGN!CK66</f>
        <v>210.66890691259286</v>
      </c>
      <c r="CL9" s="681">
        <f>MYGN!CL66</f>
        <v>221.6671785710713</v>
      </c>
      <c r="CM9" s="91">
        <f t="shared" si="13"/>
        <v>839.04112559007797</v>
      </c>
      <c r="CN9" s="52"/>
      <c r="CO9" s="681">
        <f>MYGN!CO66</f>
        <v>212.58267600141693</v>
      </c>
      <c r="CP9" s="681">
        <f>MYGN!CP66</f>
        <v>224.30905219765873</v>
      </c>
      <c r="CQ9" s="681">
        <f>MYGN!CQ66</f>
        <v>224.79275842696046</v>
      </c>
      <c r="CR9" s="681">
        <f>MYGN!CR66</f>
        <v>237.83508436442258</v>
      </c>
      <c r="CS9" s="91">
        <f t="shared" si="14"/>
        <v>899.51957099045876</v>
      </c>
      <c r="CT9" s="601"/>
      <c r="DA9" s="112"/>
      <c r="DB9" s="112"/>
      <c r="DC9" s="112"/>
      <c r="DD9" s="112"/>
      <c r="DE9" s="782"/>
      <c r="DF9" s="167"/>
      <c r="DG9" s="73"/>
      <c r="DH9" s="73"/>
      <c r="DI9" s="782"/>
      <c r="DJ9" s="517"/>
      <c r="DK9" s="73"/>
      <c r="DL9" s="906"/>
      <c r="DM9" s="762"/>
      <c r="DN9" s="517"/>
      <c r="DO9" s="73"/>
      <c r="DP9" s="906"/>
      <c r="DQ9" s="762"/>
      <c r="DR9" s="517"/>
      <c r="DS9" s="73"/>
      <c r="DT9" s="906"/>
      <c r="DU9" s="762"/>
      <c r="DV9" s="517"/>
      <c r="DW9" s="73"/>
      <c r="DX9" s="906"/>
      <c r="DY9" s="762"/>
      <c r="DZ9" s="517"/>
      <c r="EA9" s="73"/>
      <c r="EB9" s="906"/>
      <c r="EC9" s="762"/>
      <c r="ED9" s="762"/>
      <c r="EE9" s="762"/>
      <c r="EF9" s="762"/>
      <c r="EG9" s="73"/>
      <c r="EH9" s="73"/>
      <c r="EI9" s="762"/>
      <c r="EJ9" s="762"/>
      <c r="EK9" s="762"/>
      <c r="EL9" s="762"/>
    </row>
    <row r="10" spans="1:142" ht="12.75" hidden="1" customHeight="1" outlineLevel="1" x14ac:dyDescent="0.2">
      <c r="A10" s="35"/>
      <c r="B10" s="32" t="s">
        <v>270</v>
      </c>
      <c r="C10" s="37">
        <f>MYGN!C71</f>
        <v>0</v>
      </c>
      <c r="D10" s="37">
        <f>MYGN!D71</f>
        <v>0</v>
      </c>
      <c r="E10" s="37">
        <f>MYGN!E71</f>
        <v>0</v>
      </c>
      <c r="F10" s="37">
        <f>MYGN!F71</f>
        <v>0</v>
      </c>
      <c r="G10" s="91">
        <f t="shared" si="0"/>
        <v>0</v>
      </c>
      <c r="H10" s="52"/>
      <c r="I10" s="37">
        <f>MYGN!I71</f>
        <v>0</v>
      </c>
      <c r="J10" s="37">
        <f>MYGN!J71</f>
        <v>0</v>
      </c>
      <c r="K10" s="37">
        <f>MYGN!K71</f>
        <v>0</v>
      </c>
      <c r="L10" s="37">
        <f>MYGN!L71</f>
        <v>0</v>
      </c>
      <c r="M10" s="91">
        <f t="shared" si="1"/>
        <v>0</v>
      </c>
      <c r="N10" s="52"/>
      <c r="O10" s="37">
        <f>MYGN!O71</f>
        <v>0</v>
      </c>
      <c r="P10" s="37">
        <f>MYGN!P71</f>
        <v>0</v>
      </c>
      <c r="Q10" s="37">
        <f>MYGN!Q71</f>
        <v>0</v>
      </c>
      <c r="R10" s="37">
        <f>MYGN!R71</f>
        <v>0</v>
      </c>
      <c r="S10" s="91">
        <f t="shared" si="2"/>
        <v>0</v>
      </c>
      <c r="T10" s="52"/>
      <c r="U10" s="37">
        <f>MYGN!U71</f>
        <v>0</v>
      </c>
      <c r="V10" s="37">
        <f>MYGN!V71</f>
        <v>0</v>
      </c>
      <c r="W10" s="37">
        <f>MYGN!W71</f>
        <v>0</v>
      </c>
      <c r="X10" s="37">
        <f>MYGN!X71</f>
        <v>0</v>
      </c>
      <c r="Y10" s="91">
        <f t="shared" si="3"/>
        <v>0</v>
      </c>
      <c r="Z10" s="52"/>
      <c r="AA10" s="37">
        <f>MYGN!AA71</f>
        <v>0</v>
      </c>
      <c r="AB10" s="37">
        <f>MYGN!AB71</f>
        <v>0</v>
      </c>
      <c r="AC10" s="37">
        <f>MYGN!AC71</f>
        <v>0</v>
      </c>
      <c r="AD10" s="37">
        <f>MYGN!AD71</f>
        <v>2.0379999999999998</v>
      </c>
      <c r="AE10" s="91">
        <f t="shared" si="15"/>
        <v>2.0379999999999998</v>
      </c>
      <c r="AF10" s="52"/>
      <c r="AG10" s="37">
        <f>MYGN!AG71</f>
        <v>6.4829999999999997</v>
      </c>
      <c r="AH10" s="37">
        <f>MYGN!AH71</f>
        <v>5.2009999999999996</v>
      </c>
      <c r="AI10" s="37">
        <f>MYGN!AI71</f>
        <v>6.4649999999999999</v>
      </c>
      <c r="AJ10" s="37">
        <f>MYGN!AJ71</f>
        <v>5.4659999999999984</v>
      </c>
      <c r="AK10" s="91">
        <f t="shared" si="4"/>
        <v>23.614999999999998</v>
      </c>
      <c r="AL10" s="52"/>
      <c r="AM10" s="37">
        <f>MYGN!AM71</f>
        <v>6.1689999999999996</v>
      </c>
      <c r="AN10" s="37">
        <f>MYGN!AN71</f>
        <v>8.4890000000000008</v>
      </c>
      <c r="AO10" s="37">
        <f>MYGN!AO71</f>
        <v>8.0879999999999992</v>
      </c>
      <c r="AP10" s="37">
        <f>MYGN!AP71</f>
        <v>8.027000000000001</v>
      </c>
      <c r="AQ10" s="91">
        <f t="shared" si="5"/>
        <v>30.773000000000003</v>
      </c>
      <c r="AR10" s="52"/>
      <c r="AS10" s="37">
        <f>MYGN!AS71</f>
        <v>9.48</v>
      </c>
      <c r="AT10" s="37">
        <f>MYGN!AT71</f>
        <v>7.9020000000000001</v>
      </c>
      <c r="AU10" s="37">
        <f>MYGN!AU71</f>
        <v>6.7329999999999997</v>
      </c>
      <c r="AV10" s="37">
        <f>MYGN!AV71</f>
        <v>5.9029999999999987</v>
      </c>
      <c r="AW10" s="91">
        <f t="shared" si="6"/>
        <v>30.018000000000001</v>
      </c>
      <c r="AX10" s="52"/>
      <c r="AY10" s="37">
        <f>MYGN!AY71</f>
        <v>4.3310000000000004</v>
      </c>
      <c r="AZ10" s="37">
        <f>MYGN!AZ71</f>
        <v>5.2430000000000003</v>
      </c>
      <c r="BA10" s="37">
        <f>MYGN!BA71</f>
        <v>7.008</v>
      </c>
      <c r="BB10" s="37">
        <f>MYGN!BB71</f>
        <v>11.069000000000001</v>
      </c>
      <c r="BC10" s="91">
        <f t="shared" si="7"/>
        <v>27.651000000000003</v>
      </c>
      <c r="BD10" s="52"/>
      <c r="BE10" s="681">
        <f>MYGN!BE71</f>
        <v>11.605</v>
      </c>
      <c r="BF10" s="681">
        <f>MYGN!BF71</f>
        <v>10.7</v>
      </c>
      <c r="BG10" s="681">
        <f>MYGN!BG71</f>
        <v>13.1</v>
      </c>
      <c r="BH10" s="681">
        <f>MYGN!BH71</f>
        <v>12.7</v>
      </c>
      <c r="BI10" s="91">
        <f t="shared" si="8"/>
        <v>48.105000000000004</v>
      </c>
      <c r="BJ10" s="52"/>
      <c r="BK10" s="681">
        <f>MYGN!BK71</f>
        <v>12.4</v>
      </c>
      <c r="BL10" s="681">
        <f>MYGN!BL71</f>
        <v>12.6</v>
      </c>
      <c r="BM10" s="681">
        <f>MYGN!BM71</f>
        <v>11.7</v>
      </c>
      <c r="BN10" s="681">
        <f>MYGN!BN71</f>
        <v>12.6</v>
      </c>
      <c r="BO10" s="91">
        <f t="shared" si="9"/>
        <v>49.300000000000004</v>
      </c>
      <c r="BP10" s="52"/>
      <c r="BQ10" s="681">
        <f>MYGN!BQ71</f>
        <v>11.4</v>
      </c>
      <c r="BR10" s="681">
        <f>MYGN!BR71</f>
        <v>14.8</v>
      </c>
      <c r="BS10" s="681">
        <f>MYGN!BS71</f>
        <v>11.114999999999998</v>
      </c>
      <c r="BT10" s="681">
        <f>MYGN!BT71</f>
        <v>11.969999999999999</v>
      </c>
      <c r="BU10" s="91">
        <f t="shared" si="10"/>
        <v>49.284999999999997</v>
      </c>
      <c r="BV10" s="52"/>
      <c r="BW10" s="681">
        <f>MYGN!BW71</f>
        <v>12.540000000000001</v>
      </c>
      <c r="BX10" s="681">
        <f>MYGN!BX71</f>
        <v>16.28</v>
      </c>
      <c r="BY10" s="681">
        <f>MYGN!BY71</f>
        <v>12.2265</v>
      </c>
      <c r="BZ10" s="681">
        <f>MYGN!BZ71</f>
        <v>13.167</v>
      </c>
      <c r="CA10" s="91">
        <f t="shared" si="11"/>
        <v>54.213500000000003</v>
      </c>
      <c r="CB10" s="52"/>
      <c r="CC10" s="681">
        <f>MYGN!CC71</f>
        <v>13.794000000000002</v>
      </c>
      <c r="CD10" s="681">
        <f>MYGN!CD71</f>
        <v>17.908000000000001</v>
      </c>
      <c r="CE10" s="681">
        <f>MYGN!CE71</f>
        <v>13.449150000000001</v>
      </c>
      <c r="CF10" s="681">
        <f>MYGN!CF71</f>
        <v>14.483700000000001</v>
      </c>
      <c r="CG10" s="91">
        <f t="shared" si="12"/>
        <v>59.634850000000007</v>
      </c>
      <c r="CH10" s="52"/>
      <c r="CI10" s="681">
        <f>MYGN!CI71</f>
        <v>15.173400000000004</v>
      </c>
      <c r="CJ10" s="681">
        <f>MYGN!CJ71</f>
        <v>19.698800000000002</v>
      </c>
      <c r="CK10" s="681">
        <f>MYGN!CK71</f>
        <v>14.794065000000003</v>
      </c>
      <c r="CL10" s="681">
        <f>MYGN!CL71</f>
        <v>15.932070000000001</v>
      </c>
      <c r="CM10" s="91">
        <f t="shared" si="13"/>
        <v>65.598335000000006</v>
      </c>
      <c r="CN10" s="52"/>
      <c r="CO10" s="681">
        <f>MYGN!CO71</f>
        <v>16.690740000000005</v>
      </c>
      <c r="CP10" s="681">
        <f>MYGN!CP71</f>
        <v>21.668680000000005</v>
      </c>
      <c r="CQ10" s="681">
        <f>MYGN!CQ71</f>
        <v>16.273471500000007</v>
      </c>
      <c r="CR10" s="681">
        <f>MYGN!CR71</f>
        <v>17.525277000000003</v>
      </c>
      <c r="CS10" s="91">
        <f t="shared" si="14"/>
        <v>72.158168500000016</v>
      </c>
      <c r="CT10" s="37"/>
      <c r="DA10" s="112"/>
      <c r="DB10" s="112"/>
      <c r="DC10" s="112"/>
      <c r="DD10" s="112"/>
      <c r="DE10" s="779"/>
      <c r="DF10" s="167"/>
      <c r="DG10" s="73"/>
      <c r="DH10" s="73"/>
      <c r="DI10" s="779"/>
      <c r="DJ10" s="517"/>
      <c r="DK10" s="762"/>
      <c r="DL10" s="908"/>
      <c r="DM10" s="762"/>
      <c r="DN10" s="517"/>
      <c r="DO10" s="762"/>
      <c r="DP10" s="908"/>
      <c r="DQ10" s="762"/>
      <c r="DR10" s="517"/>
      <c r="DS10" s="762"/>
      <c r="DT10" s="908"/>
      <c r="DU10" s="762"/>
      <c r="DV10" s="517"/>
      <c r="DW10" s="762"/>
      <c r="DX10" s="908"/>
      <c r="DY10" s="762"/>
      <c r="DZ10" s="517"/>
      <c r="EA10" s="762"/>
      <c r="EB10" s="908"/>
      <c r="EC10" s="762"/>
      <c r="ED10" s="762"/>
      <c r="EE10" s="762"/>
      <c r="EF10" s="762"/>
      <c r="EG10" s="73"/>
      <c r="EH10" s="73"/>
      <c r="EI10" s="762"/>
      <c r="EJ10" s="762"/>
      <c r="EK10" s="762"/>
      <c r="EL10" s="762"/>
    </row>
    <row r="11" spans="1:142" collapsed="1" x14ac:dyDescent="0.2">
      <c r="B11" s="41" t="s">
        <v>64</v>
      </c>
      <c r="C11" s="37">
        <f>C12+C13</f>
        <v>8.1050000000000004</v>
      </c>
      <c r="D11" s="37">
        <f>D12+D13</f>
        <v>7.5289999999999999</v>
      </c>
      <c r="E11" s="37">
        <f>E12+E13</f>
        <v>7.577</v>
      </c>
      <c r="F11" s="37">
        <f>F12+F13</f>
        <v>7.6020000000000003</v>
      </c>
      <c r="G11" s="260">
        <f t="shared" si="0"/>
        <v>30.812999999999999</v>
      </c>
      <c r="H11" s="319"/>
      <c r="I11" s="37">
        <f>I12+I13</f>
        <v>7.335</v>
      </c>
      <c r="J11" s="37">
        <f>J12+J13</f>
        <v>7.69</v>
      </c>
      <c r="K11" s="37">
        <f>K12+K13</f>
        <v>8.2629999999999999</v>
      </c>
      <c r="L11" s="37">
        <f>L12+L13</f>
        <v>9.0510000000000002</v>
      </c>
      <c r="M11" s="260">
        <f t="shared" si="1"/>
        <v>32.338999999999999</v>
      </c>
      <c r="N11" s="319"/>
      <c r="O11" s="37">
        <f>O12+O13</f>
        <v>9.7899999999999991</v>
      </c>
      <c r="P11" s="37">
        <f>P12+P13</f>
        <v>11.06</v>
      </c>
      <c r="Q11" s="37">
        <f>Q12+Q13</f>
        <v>11.231999999999999</v>
      </c>
      <c r="R11" s="37">
        <f>R12+R13</f>
        <v>11.185</v>
      </c>
      <c r="S11" s="260">
        <f t="shared" si="2"/>
        <v>43.267000000000003</v>
      </c>
      <c r="T11" s="319"/>
      <c r="U11" s="37">
        <f>U12+U13</f>
        <v>11.061999999999999</v>
      </c>
      <c r="V11" s="37">
        <f>V12+V13</f>
        <v>11.083</v>
      </c>
      <c r="W11" s="37">
        <f>W12+W13</f>
        <v>10.88</v>
      </c>
      <c r="X11" s="37">
        <f>X12+X13</f>
        <v>11.261000000000001</v>
      </c>
      <c r="Y11" s="260">
        <f t="shared" si="3"/>
        <v>44.286000000000001</v>
      </c>
      <c r="Z11" s="319"/>
      <c r="AA11" s="37">
        <f>AA12+AA13</f>
        <v>11.010999999999999</v>
      </c>
      <c r="AB11" s="37">
        <f>AB12+AB13</f>
        <v>12.045999999999999</v>
      </c>
      <c r="AC11" s="37">
        <f>AC12+AC13</f>
        <v>11.132999999999999</v>
      </c>
      <c r="AD11" s="37">
        <f>AD12+AD13</f>
        <v>12.523999999999999</v>
      </c>
      <c r="AE11" s="260">
        <f t="shared" si="15"/>
        <v>46.713999999999999</v>
      </c>
      <c r="AF11" s="319"/>
      <c r="AG11" s="37">
        <f>AG12+AG13</f>
        <v>14.361000000000001</v>
      </c>
      <c r="AH11" s="37">
        <f>AH12+AH13</f>
        <v>16.117000000000001</v>
      </c>
      <c r="AI11" s="37">
        <f>AI12+AI13</f>
        <v>17.228000000000002</v>
      </c>
      <c r="AJ11" s="37">
        <f>AJ12+AJ13</f>
        <v>16.952999999999999</v>
      </c>
      <c r="AK11" s="260">
        <f t="shared" si="4"/>
        <v>64.659000000000006</v>
      </c>
      <c r="AL11" s="319"/>
      <c r="AM11" s="37">
        <f>AM12+AM13</f>
        <v>17.327000000000002</v>
      </c>
      <c r="AN11" s="37">
        <f>AN12+AN13</f>
        <v>19.884</v>
      </c>
      <c r="AO11" s="37">
        <f>AO12+AO13</f>
        <v>20.334</v>
      </c>
      <c r="AP11" s="37">
        <f>AP12+AP13</f>
        <v>22.073</v>
      </c>
      <c r="AQ11" s="260">
        <f t="shared" si="5"/>
        <v>79.617999999999995</v>
      </c>
      <c r="AR11" s="319"/>
      <c r="AS11" s="37">
        <f>AS12+AS13</f>
        <v>25.481000000000002</v>
      </c>
      <c r="AT11" s="37">
        <f>AT12+AT13</f>
        <v>26.131</v>
      </c>
      <c r="AU11" s="37">
        <f>AU12+AU13</f>
        <v>26.186</v>
      </c>
      <c r="AV11" s="548">
        <f>AV12+AV13</f>
        <v>30.979999999999997</v>
      </c>
      <c r="AW11" s="260">
        <f t="shared" si="6"/>
        <v>108.77799999999999</v>
      </c>
      <c r="AX11" s="319"/>
      <c r="AY11" s="37">
        <f>AY12+AY13</f>
        <v>34.864999999999995</v>
      </c>
      <c r="AZ11" s="37">
        <f>AZ12+AZ13</f>
        <v>37.851999999999997</v>
      </c>
      <c r="BA11" s="37">
        <f>BA12+BA13</f>
        <v>36.293000000000006</v>
      </c>
      <c r="BB11" s="37">
        <f>BB12+BB13</f>
        <v>37.5</v>
      </c>
      <c r="BC11" s="260">
        <f t="shared" si="7"/>
        <v>146.51</v>
      </c>
      <c r="BD11" s="319"/>
      <c r="BE11" s="37">
        <f>+BE12+BE13</f>
        <v>36.5</v>
      </c>
      <c r="BF11" s="37">
        <f>+BF12+BF13</f>
        <v>40.6</v>
      </c>
      <c r="BG11" s="37">
        <f>+BG12+BG13</f>
        <v>40.200000000000003</v>
      </c>
      <c r="BH11" s="37">
        <f>+BH12+BH13</f>
        <v>40</v>
      </c>
      <c r="BI11" s="714">
        <f t="shared" si="8"/>
        <v>157.30000000000001</v>
      </c>
      <c r="BJ11" s="319"/>
      <c r="BK11" s="37">
        <f>+BK12+BK13</f>
        <v>40</v>
      </c>
      <c r="BL11" s="37">
        <f>+BL12+BL13</f>
        <v>44.4</v>
      </c>
      <c r="BM11" s="37">
        <f>+BM12+BM13</f>
        <v>44.3</v>
      </c>
      <c r="BN11" s="37">
        <f>+BN12+BN13</f>
        <v>42.5</v>
      </c>
      <c r="BO11" s="714">
        <f t="shared" si="9"/>
        <v>171.2</v>
      </c>
      <c r="BP11" s="319"/>
      <c r="BQ11" s="37">
        <f>+BQ12+BQ13</f>
        <v>43</v>
      </c>
      <c r="BR11" s="37">
        <f>+BR12+BR13</f>
        <v>44.400000000000006</v>
      </c>
      <c r="BS11" s="37">
        <f>+BS12+BS13</f>
        <v>43.154081193745398</v>
      </c>
      <c r="BT11" s="37">
        <f>+BT12+BT13</f>
        <v>43.867212480630229</v>
      </c>
      <c r="BU11" s="714">
        <f t="shared" si="10"/>
        <v>174.42129367437562</v>
      </c>
      <c r="BV11" s="319"/>
      <c r="BW11" s="37">
        <f>+BW12+BW13</f>
        <v>44.282629142111851</v>
      </c>
      <c r="BX11" s="37">
        <f>+BX12+BX13</f>
        <v>47.216973351004519</v>
      </c>
      <c r="BY11" s="37">
        <f>+BY12+BY13</f>
        <v>45.025342249526027</v>
      </c>
      <c r="BZ11" s="37">
        <f>+BZ12+BZ13</f>
        <v>45.656706487064227</v>
      </c>
      <c r="CA11" s="714">
        <f t="shared" si="11"/>
        <v>182.18165122970663</v>
      </c>
      <c r="CB11" s="319"/>
      <c r="CC11" s="37">
        <f>+CC12+CC13</f>
        <v>45.128547029299668</v>
      </c>
      <c r="CD11" s="37">
        <f>+CD12+CD13</f>
        <v>48.940393841356126</v>
      </c>
      <c r="CE11" s="37">
        <f>+CE12+CE13</f>
        <v>47.063111702339185</v>
      </c>
      <c r="CF11" s="37">
        <f>+CF12+CF13</f>
        <v>48.245063007774135</v>
      </c>
      <c r="CG11" s="714">
        <f t="shared" si="12"/>
        <v>189.3771155807691</v>
      </c>
      <c r="CH11" s="319"/>
      <c r="CI11" s="37">
        <f t="shared" ref="CI11:CL11" si="16">+CI12+CI13</f>
        <v>47.737656078180045</v>
      </c>
      <c r="CJ11" s="37">
        <f t="shared" si="16"/>
        <v>52.073941146507423</v>
      </c>
      <c r="CK11" s="37">
        <f t="shared" si="16"/>
        <v>49.9758169077733</v>
      </c>
      <c r="CL11" s="37">
        <f t="shared" si="16"/>
        <v>51.527186980001304</v>
      </c>
      <c r="CM11" s="714">
        <f t="shared" si="13"/>
        <v>201.31460111246207</v>
      </c>
      <c r="CN11" s="319"/>
      <c r="CO11" s="37">
        <f t="shared" ref="CO11:CR11" si="17">+CO12+CO13</f>
        <v>50.693089456254782</v>
      </c>
      <c r="CP11" s="37">
        <f t="shared" si="17"/>
        <v>55.70292337448015</v>
      </c>
      <c r="CQ11" s="37">
        <f t="shared" si="17"/>
        <v>52.737946877461567</v>
      </c>
      <c r="CR11" s="37">
        <f t="shared" si="17"/>
        <v>54.824495745451728</v>
      </c>
      <c r="CS11" s="714">
        <f t="shared" si="14"/>
        <v>213.95845545364824</v>
      </c>
      <c r="CT11" s="601"/>
      <c r="DA11" s="43"/>
      <c r="DB11" s="43"/>
      <c r="DC11" s="43"/>
      <c r="DD11" s="43"/>
      <c r="DE11" s="762"/>
      <c r="DF11" s="167"/>
      <c r="DG11" s="73"/>
      <c r="DH11" s="73"/>
      <c r="DI11" s="762"/>
      <c r="DJ11" s="167"/>
      <c r="DK11" s="73"/>
      <c r="DL11" s="780"/>
      <c r="DM11" s="769"/>
      <c r="DN11" s="167"/>
      <c r="DO11" s="763"/>
      <c r="DP11" s="906"/>
      <c r="DQ11" s="769"/>
      <c r="DR11" s="167"/>
      <c r="DS11" s="763"/>
      <c r="DT11" s="906"/>
      <c r="DU11" s="769"/>
      <c r="DV11" s="167"/>
      <c r="DW11" s="763"/>
      <c r="DX11" s="906"/>
      <c r="DY11" s="769"/>
      <c r="DZ11" s="167"/>
      <c r="EA11" s="763"/>
      <c r="EB11" s="906"/>
      <c r="EC11" s="769"/>
      <c r="ED11" s="769"/>
      <c r="EE11" s="769"/>
      <c r="EF11" s="769"/>
      <c r="EG11" s="73"/>
      <c r="EH11" s="73"/>
      <c r="EI11" s="769"/>
      <c r="EJ11" s="769"/>
      <c r="EK11" s="769"/>
      <c r="EL11" s="769"/>
    </row>
    <row r="12" spans="1:142" ht="12.75" hidden="1" customHeight="1" outlineLevel="1" x14ac:dyDescent="0.2">
      <c r="A12" s="35"/>
      <c r="B12" s="32" t="str">
        <f>+B9</f>
        <v>Molecular diagnostic testing</v>
      </c>
      <c r="C12" s="42">
        <v>8.1050000000000004</v>
      </c>
      <c r="D12" s="42">
        <v>7.5289999999999999</v>
      </c>
      <c r="E12" s="42">
        <v>7.577</v>
      </c>
      <c r="F12" s="418">
        <v>7.6020000000000003</v>
      </c>
      <c r="G12" s="91">
        <f t="shared" si="0"/>
        <v>30.812999999999999</v>
      </c>
      <c r="H12" s="52"/>
      <c r="I12" s="42">
        <v>7.335</v>
      </c>
      <c r="J12" s="42">
        <v>7.69</v>
      </c>
      <c r="K12" s="42">
        <v>8.2629999999999999</v>
      </c>
      <c r="L12" s="418">
        <v>9.0510000000000002</v>
      </c>
      <c r="M12" s="91">
        <f t="shared" si="1"/>
        <v>32.338999999999999</v>
      </c>
      <c r="N12" s="52"/>
      <c r="O12" s="42">
        <v>9.7899999999999991</v>
      </c>
      <c r="P12" s="42">
        <v>11.06</v>
      </c>
      <c r="Q12" s="42">
        <v>11.231999999999999</v>
      </c>
      <c r="R12" s="418">
        <v>11.185</v>
      </c>
      <c r="S12" s="91">
        <f t="shared" si="2"/>
        <v>43.267000000000003</v>
      </c>
      <c r="T12" s="52"/>
      <c r="U12" s="42">
        <v>11.061999999999999</v>
      </c>
      <c r="V12" s="42">
        <v>11.083</v>
      </c>
      <c r="W12" s="42">
        <v>10.88</v>
      </c>
      <c r="X12" s="418">
        <f>44.286-W12-V12-U12</f>
        <v>11.261000000000001</v>
      </c>
      <c r="Y12" s="91">
        <f t="shared" si="3"/>
        <v>44.286000000000001</v>
      </c>
      <c r="Z12" s="52"/>
      <c r="AA12" s="42">
        <v>11.010999999999999</v>
      </c>
      <c r="AB12" s="42">
        <v>12.045999999999999</v>
      </c>
      <c r="AC12" s="42">
        <v>11.132999999999999</v>
      </c>
      <c r="AD12" s="418">
        <v>11.446999999999999</v>
      </c>
      <c r="AE12" s="91">
        <f t="shared" si="15"/>
        <v>45.637</v>
      </c>
      <c r="AF12" s="52"/>
      <c r="AG12" s="42">
        <v>11.3</v>
      </c>
      <c r="AH12" s="42">
        <v>12.815</v>
      </c>
      <c r="AI12" s="42">
        <v>13.465</v>
      </c>
      <c r="AJ12" s="418">
        <v>13.872</v>
      </c>
      <c r="AK12" s="91">
        <f t="shared" si="4"/>
        <v>51.451999999999998</v>
      </c>
      <c r="AL12" s="52"/>
      <c r="AM12" s="42">
        <v>13.932</v>
      </c>
      <c r="AN12" s="42">
        <v>15.566000000000001</v>
      </c>
      <c r="AO12" s="42">
        <f>16.462</f>
        <v>16.462</v>
      </c>
      <c r="AP12" s="418">
        <v>18.416</v>
      </c>
      <c r="AQ12" s="91">
        <f t="shared" si="5"/>
        <v>64.376000000000005</v>
      </c>
      <c r="AR12" s="52"/>
      <c r="AS12" s="42">
        <v>21.439</v>
      </c>
      <c r="AT12" s="42">
        <v>22.754999999999999</v>
      </c>
      <c r="AU12" s="418">
        <f>23.648-0.238-0.185</f>
        <v>23.225000000000001</v>
      </c>
      <c r="AV12" s="418">
        <v>28.297999999999998</v>
      </c>
      <c r="AW12" s="91">
        <f t="shared" si="6"/>
        <v>95.717000000000013</v>
      </c>
      <c r="AX12" s="52"/>
      <c r="AY12" s="42">
        <v>32.796999999999997</v>
      </c>
      <c r="AZ12" s="42">
        <v>35.049999999999997</v>
      </c>
      <c r="BA12" s="42">
        <v>33.011000000000003</v>
      </c>
      <c r="BB12" s="418">
        <v>32</v>
      </c>
      <c r="BC12" s="91">
        <f t="shared" si="7"/>
        <v>132.858</v>
      </c>
      <c r="BD12" s="52"/>
      <c r="BE12" s="42">
        <v>30.9</v>
      </c>
      <c r="BF12" s="42">
        <v>34.1</v>
      </c>
      <c r="BG12" s="42">
        <v>33.6</v>
      </c>
      <c r="BH12" s="739">
        <v>34.200000000000003</v>
      </c>
      <c r="BI12" s="91">
        <f t="shared" si="8"/>
        <v>132.80000000000001</v>
      </c>
      <c r="BJ12" s="52"/>
      <c r="BK12" s="42">
        <v>34.299999999999997</v>
      </c>
      <c r="BL12" s="42">
        <v>37.4</v>
      </c>
      <c r="BM12" s="42">
        <v>37.9</v>
      </c>
      <c r="BN12" s="739">
        <v>35.6</v>
      </c>
      <c r="BO12" s="91">
        <f t="shared" si="9"/>
        <v>145.19999999999999</v>
      </c>
      <c r="BP12" s="316"/>
      <c r="BQ12" s="42">
        <v>36.200000000000003</v>
      </c>
      <c r="BR12" s="42">
        <v>37.700000000000003</v>
      </c>
      <c r="BS12" s="37">
        <f t="shared" ref="BS12:BT13" si="18">+BS9-BS15</f>
        <v>38.122290653204857</v>
      </c>
      <c r="BT12" s="37">
        <f t="shared" si="18"/>
        <v>38.448361129278879</v>
      </c>
      <c r="BU12" s="530">
        <f t="shared" si="10"/>
        <v>150.47065178248374</v>
      </c>
      <c r="BV12" s="316"/>
      <c r="BW12" s="37">
        <f t="shared" ref="BW12:BZ13" si="19">+BW9-BW15</f>
        <v>38.60573725021996</v>
      </c>
      <c r="BX12" s="37">
        <f t="shared" si="19"/>
        <v>39.846973351004522</v>
      </c>
      <c r="BY12" s="37">
        <f t="shared" si="19"/>
        <v>39.490372654931434</v>
      </c>
      <c r="BZ12" s="37">
        <f t="shared" si="19"/>
        <v>39.695970000577745</v>
      </c>
      <c r="CA12" s="530">
        <f t="shared" si="11"/>
        <v>157.63905325673366</v>
      </c>
      <c r="CB12" s="316"/>
      <c r="CC12" s="37">
        <f t="shared" ref="CC12:CF12" si="20">+CC9-CC15</f>
        <v>38.883965948218588</v>
      </c>
      <c r="CD12" s="37">
        <f t="shared" si="20"/>
        <v>40.833393841356127</v>
      </c>
      <c r="CE12" s="37">
        <f t="shared" si="20"/>
        <v>40.974645148285134</v>
      </c>
      <c r="CF12" s="37">
        <f t="shared" si="20"/>
        <v>41.688252872638998</v>
      </c>
      <c r="CG12" s="530">
        <f t="shared" si="12"/>
        <v>162.38025781049885</v>
      </c>
      <c r="CH12" s="316"/>
      <c r="CI12" s="37">
        <f t="shared" ref="CI12:CL12" si="21">+CI9-CI15</f>
        <v>40.868616888990857</v>
      </c>
      <c r="CJ12" s="37">
        <f t="shared" si="21"/>
        <v>43.156241146507426</v>
      </c>
      <c r="CK12" s="37">
        <f t="shared" si="21"/>
        <v>43.278503698313841</v>
      </c>
      <c r="CL12" s="37">
        <f t="shared" si="21"/>
        <v>44.314695831352651</v>
      </c>
      <c r="CM12" s="530">
        <f t="shared" si="13"/>
        <v>171.61805756516478</v>
      </c>
      <c r="CN12" s="316"/>
      <c r="CO12" s="37">
        <f t="shared" ref="CO12:CR12" si="22">+CO9-CO15</f>
        <v>43.137146348146672</v>
      </c>
      <c r="CP12" s="37">
        <f t="shared" si="22"/>
        <v>45.893453374480146</v>
      </c>
      <c r="CQ12" s="37">
        <f t="shared" si="22"/>
        <v>45.370902347056159</v>
      </c>
      <c r="CR12" s="37">
        <f t="shared" si="22"/>
        <v>46.890755481938214</v>
      </c>
      <c r="CS12" s="530">
        <f t="shared" si="14"/>
        <v>181.29225755162119</v>
      </c>
      <c r="CT12" s="529"/>
      <c r="DA12" s="112"/>
      <c r="DB12" s="112"/>
      <c r="DC12" s="112"/>
      <c r="DD12" s="112"/>
      <c r="DE12" s="762"/>
      <c r="DF12" s="167"/>
      <c r="DG12" s="73"/>
      <c r="DH12" s="73"/>
      <c r="DI12" s="762"/>
      <c r="DJ12" s="73"/>
      <c r="DK12" s="73"/>
      <c r="DL12" s="906"/>
      <c r="DM12" s="769"/>
      <c r="DN12" s="73"/>
      <c r="DO12" s="73"/>
      <c r="DP12" s="906"/>
      <c r="DQ12" s="765"/>
      <c r="DR12" s="781"/>
      <c r="DS12" s="781"/>
      <c r="DT12" s="909"/>
      <c r="DU12" s="765"/>
      <c r="DV12" s="73"/>
      <c r="DW12" s="73"/>
      <c r="DX12" s="906"/>
      <c r="DY12" s="765"/>
      <c r="DZ12" s="73"/>
      <c r="EA12" s="73"/>
      <c r="EB12" s="906"/>
      <c r="EC12" s="765"/>
      <c r="ED12" s="765"/>
      <c r="EE12" s="765"/>
      <c r="EF12" s="765"/>
      <c r="EG12" s="73"/>
      <c r="EH12" s="73"/>
      <c r="EI12" s="765"/>
      <c r="EJ12" s="765"/>
      <c r="EK12" s="765"/>
      <c r="EL12" s="765"/>
    </row>
    <row r="13" spans="1:142" ht="12.75" hidden="1" customHeight="1" outlineLevel="1" x14ac:dyDescent="0.2">
      <c r="A13" s="35"/>
      <c r="B13" s="32" t="str">
        <f>+B10</f>
        <v>Companion diagnostic services</v>
      </c>
      <c r="C13" s="42"/>
      <c r="D13" s="42"/>
      <c r="E13" s="42"/>
      <c r="F13" s="418"/>
      <c r="G13" s="91">
        <f t="shared" si="0"/>
        <v>0</v>
      </c>
      <c r="H13" s="52"/>
      <c r="I13" s="42"/>
      <c r="J13" s="42">
        <v>0</v>
      </c>
      <c r="K13" s="42">
        <v>0</v>
      </c>
      <c r="L13" s="418"/>
      <c r="M13" s="91">
        <f t="shared" si="1"/>
        <v>0</v>
      </c>
      <c r="N13" s="52"/>
      <c r="O13" s="42">
        <v>0</v>
      </c>
      <c r="P13" s="42">
        <v>0</v>
      </c>
      <c r="Q13" s="42">
        <v>0</v>
      </c>
      <c r="R13" s="418"/>
      <c r="S13" s="91">
        <f t="shared" si="2"/>
        <v>0</v>
      </c>
      <c r="T13" s="52"/>
      <c r="U13" s="42"/>
      <c r="V13" s="42">
        <v>0</v>
      </c>
      <c r="W13" s="42">
        <v>0</v>
      </c>
      <c r="X13" s="418">
        <f>0-W13-V13-U13</f>
        <v>0</v>
      </c>
      <c r="Y13" s="91">
        <f t="shared" si="3"/>
        <v>0</v>
      </c>
      <c r="Z13" s="52"/>
      <c r="AA13" s="42">
        <v>0</v>
      </c>
      <c r="AB13" s="42">
        <v>0</v>
      </c>
      <c r="AC13" s="42">
        <v>0</v>
      </c>
      <c r="AD13" s="418">
        <v>1.077</v>
      </c>
      <c r="AE13" s="91">
        <f t="shared" si="15"/>
        <v>1.077</v>
      </c>
      <c r="AF13" s="52"/>
      <c r="AG13" s="42">
        <v>3.0609999999999999</v>
      </c>
      <c r="AH13" s="42">
        <v>3.302</v>
      </c>
      <c r="AI13" s="42">
        <v>3.7629999999999999</v>
      </c>
      <c r="AJ13" s="418">
        <v>3.081</v>
      </c>
      <c r="AK13" s="91">
        <f t="shared" si="4"/>
        <v>13.206999999999999</v>
      </c>
      <c r="AL13" s="52"/>
      <c r="AM13" s="42">
        <v>3.395</v>
      </c>
      <c r="AN13" s="42">
        <v>4.3179999999999996</v>
      </c>
      <c r="AO13" s="42">
        <v>3.8719999999999999</v>
      </c>
      <c r="AP13" s="418">
        <v>3.657</v>
      </c>
      <c r="AQ13" s="91">
        <f t="shared" si="5"/>
        <v>15.241999999999999</v>
      </c>
      <c r="AR13" s="52"/>
      <c r="AS13" s="42">
        <v>4.0419999999999998</v>
      </c>
      <c r="AT13" s="42">
        <v>3.3759999999999999</v>
      </c>
      <c r="AU13" s="418">
        <f>2.961</f>
        <v>2.9609999999999999</v>
      </c>
      <c r="AV13" s="418">
        <v>2.6819999999999999</v>
      </c>
      <c r="AW13" s="91">
        <f t="shared" si="6"/>
        <v>13.061</v>
      </c>
      <c r="AX13" s="52"/>
      <c r="AY13" s="42">
        <v>2.0680000000000001</v>
      </c>
      <c r="AZ13" s="42">
        <v>2.802</v>
      </c>
      <c r="BA13" s="42">
        <v>3.282</v>
      </c>
      <c r="BB13" s="418">
        <v>5.5</v>
      </c>
      <c r="BC13" s="91">
        <f t="shared" si="7"/>
        <v>13.652000000000001</v>
      </c>
      <c r="BD13" s="52"/>
      <c r="BE13" s="42">
        <v>5.6</v>
      </c>
      <c r="BF13" s="42">
        <v>6.5</v>
      </c>
      <c r="BG13" s="42">
        <v>6.6</v>
      </c>
      <c r="BH13" s="739">
        <v>5.8</v>
      </c>
      <c r="BI13" s="91">
        <f t="shared" si="8"/>
        <v>24.5</v>
      </c>
      <c r="BJ13" s="52"/>
      <c r="BK13" s="42">
        <v>5.7</v>
      </c>
      <c r="BL13" s="42">
        <v>7</v>
      </c>
      <c r="BM13" s="42">
        <v>6.4</v>
      </c>
      <c r="BN13" s="739">
        <v>6.9</v>
      </c>
      <c r="BO13" s="530">
        <f t="shared" si="9"/>
        <v>26</v>
      </c>
      <c r="BP13" s="531"/>
      <c r="BQ13" s="42">
        <v>6.8</v>
      </c>
      <c r="BR13" s="42">
        <v>6.7</v>
      </c>
      <c r="BS13" s="37">
        <f t="shared" si="18"/>
        <v>5.0317905405405394</v>
      </c>
      <c r="BT13" s="37">
        <f t="shared" si="18"/>
        <v>5.4188513513513499</v>
      </c>
      <c r="BU13" s="533">
        <f t="shared" si="10"/>
        <v>23.950641891891891</v>
      </c>
      <c r="BV13" s="531"/>
      <c r="BW13" s="37">
        <f t="shared" si="19"/>
        <v>5.6768918918918914</v>
      </c>
      <c r="BX13" s="37">
        <f t="shared" si="19"/>
        <v>7.3699999999999992</v>
      </c>
      <c r="BY13" s="37">
        <f t="shared" si="19"/>
        <v>5.5349695945945934</v>
      </c>
      <c r="BZ13" s="37">
        <f t="shared" si="19"/>
        <v>5.9607364864864856</v>
      </c>
      <c r="CA13" s="533">
        <f t="shared" si="11"/>
        <v>24.54259797297297</v>
      </c>
      <c r="CB13" s="531"/>
      <c r="CC13" s="37">
        <f t="shared" ref="CC13:CF13" si="23">+CC10-CC16</f>
        <v>6.2445810810810807</v>
      </c>
      <c r="CD13" s="37">
        <f t="shared" si="23"/>
        <v>8.1069999999999993</v>
      </c>
      <c r="CE13" s="37">
        <f t="shared" si="23"/>
        <v>6.0884665540540537</v>
      </c>
      <c r="CF13" s="37">
        <f t="shared" si="23"/>
        <v>6.5568101351351347</v>
      </c>
      <c r="CG13" s="533">
        <f t="shared" si="12"/>
        <v>26.996857770270267</v>
      </c>
      <c r="CH13" s="531"/>
      <c r="CI13" s="37">
        <f t="shared" ref="CI13:CL13" si="24">+CI10-CI16</f>
        <v>6.8690391891891895</v>
      </c>
      <c r="CJ13" s="37">
        <f t="shared" si="24"/>
        <v>8.9177</v>
      </c>
      <c r="CK13" s="37">
        <f t="shared" si="24"/>
        <v>6.6973132094594607</v>
      </c>
      <c r="CL13" s="37">
        <f t="shared" si="24"/>
        <v>7.2124911486486489</v>
      </c>
      <c r="CM13" s="533">
        <f t="shared" si="13"/>
        <v>29.696543547297299</v>
      </c>
      <c r="CN13" s="531"/>
      <c r="CO13" s="37">
        <f t="shared" ref="CO13:CR13" si="25">+CO10-CO16</f>
        <v>7.5559431081081101</v>
      </c>
      <c r="CP13" s="37">
        <f t="shared" si="25"/>
        <v>9.809470000000001</v>
      </c>
      <c r="CQ13" s="37">
        <f t="shared" si="25"/>
        <v>7.3670445304054066</v>
      </c>
      <c r="CR13" s="37">
        <f t="shared" si="25"/>
        <v>7.9337402635135135</v>
      </c>
      <c r="CS13" s="533">
        <f t="shared" si="14"/>
        <v>32.666197902027029</v>
      </c>
      <c r="CT13" s="532"/>
      <c r="DA13" s="112"/>
      <c r="DB13" s="112"/>
      <c r="DC13" s="112"/>
      <c r="DD13" s="112"/>
      <c r="DE13" s="762"/>
      <c r="DF13" s="167"/>
      <c r="DG13" s="73"/>
      <c r="DH13" s="73"/>
      <c r="DI13" s="762"/>
      <c r="DJ13" s="73"/>
      <c r="DK13" s="73"/>
      <c r="DL13" s="906"/>
      <c r="DM13" s="762"/>
      <c r="DN13" s="73"/>
      <c r="DO13" s="73"/>
      <c r="DP13" s="906"/>
      <c r="DQ13" s="762"/>
      <c r="DR13" s="73"/>
      <c r="DS13" s="73"/>
      <c r="DT13" s="906"/>
      <c r="DU13" s="762"/>
      <c r="DV13" s="73"/>
      <c r="DW13" s="73"/>
      <c r="DX13" s="906"/>
      <c r="DY13" s="762"/>
      <c r="DZ13" s="73"/>
      <c r="EA13" s="73"/>
      <c r="EB13" s="906"/>
      <c r="EC13" s="762"/>
      <c r="ED13" s="762"/>
      <c r="EE13" s="762"/>
      <c r="EF13" s="762"/>
      <c r="EG13" s="73"/>
      <c r="EH13" s="73"/>
      <c r="EI13" s="762"/>
      <c r="EJ13" s="762"/>
      <c r="EK13" s="762"/>
      <c r="EL13" s="762"/>
    </row>
    <row r="14" spans="1:142" collapsed="1" x14ac:dyDescent="0.2">
      <c r="A14" s="129"/>
      <c r="B14" s="318" t="s">
        <v>219</v>
      </c>
      <c r="C14" s="258">
        <f>+C8-C11</f>
        <v>25.437999999999999</v>
      </c>
      <c r="D14" s="258">
        <f>+D8-D11</f>
        <v>29.605999999999998</v>
      </c>
      <c r="E14" s="258">
        <f>+E8-E11</f>
        <v>33.393000000000001</v>
      </c>
      <c r="F14" s="258">
        <f>+F8-F11</f>
        <v>37.876000000000005</v>
      </c>
      <c r="G14" s="260">
        <f>+G8-G11</f>
        <v>126.313</v>
      </c>
      <c r="H14" s="123"/>
      <c r="I14" s="258">
        <f>+I8-I11</f>
        <v>40.930999999999997</v>
      </c>
      <c r="J14" s="258">
        <f>+J8-J11</f>
        <v>49.052</v>
      </c>
      <c r="K14" s="258">
        <f>+K8-K11</f>
        <v>53.502000000000002</v>
      </c>
      <c r="L14" s="258">
        <f>+L8-L11</f>
        <v>55.626999999999995</v>
      </c>
      <c r="M14" s="260">
        <f>+M8-M11</f>
        <v>199.11199999999999</v>
      </c>
      <c r="N14" s="123"/>
      <c r="O14" s="258">
        <f>+O8-O11</f>
        <v>60.175000000000004</v>
      </c>
      <c r="P14" s="258">
        <f>+P8-P11</f>
        <v>72.891999999999996</v>
      </c>
      <c r="Q14" s="258">
        <f>+Q8-Q11</f>
        <v>75.299000000000007</v>
      </c>
      <c r="R14" s="258">
        <f>+R8-R11</f>
        <v>74.893999999999991</v>
      </c>
      <c r="S14" s="260">
        <f>+S8-S11</f>
        <v>283.26</v>
      </c>
      <c r="T14" s="123"/>
      <c r="U14" s="258">
        <f>+U8-U11</f>
        <v>74.06</v>
      </c>
      <c r="V14" s="258">
        <f>+V8-V11</f>
        <v>81.685000000000002</v>
      </c>
      <c r="W14" s="258">
        <f>+W8-W11</f>
        <v>79.95</v>
      </c>
      <c r="X14" s="258">
        <f>+X8-X11</f>
        <v>82.667000000000044</v>
      </c>
      <c r="Y14" s="260">
        <f>+Y8-Y11</f>
        <v>318.36200000000002</v>
      </c>
      <c r="Z14" s="123"/>
      <c r="AA14" s="258">
        <f>+AA8-AA11</f>
        <v>80.847000000000008</v>
      </c>
      <c r="AB14" s="258">
        <f>+AB8-AB11</f>
        <v>88.394000000000005</v>
      </c>
      <c r="AC14" s="258">
        <f>+AC8-AC11</f>
        <v>91.241</v>
      </c>
      <c r="AD14" s="258">
        <f>+AD8-AD11</f>
        <v>94.888000000000005</v>
      </c>
      <c r="AE14" s="260">
        <f>+AE8-AE11</f>
        <v>355.37000000000006</v>
      </c>
      <c r="AF14" s="123"/>
      <c r="AG14" s="258">
        <f>+AG8-AG11</f>
        <v>96.090999999999994</v>
      </c>
      <c r="AH14" s="258">
        <f>+AH8-AH11</f>
        <v>106.694</v>
      </c>
      <c r="AI14" s="258">
        <f>+AI8-AI11</f>
        <v>112.54899999999998</v>
      </c>
      <c r="AJ14" s="258">
        <f>+AJ8-AJ11</f>
        <v>116.012</v>
      </c>
      <c r="AK14" s="260">
        <f>+AK8-AK11</f>
        <v>431.346</v>
      </c>
      <c r="AL14" s="123"/>
      <c r="AM14" s="258">
        <f>+AM8-AM11</f>
        <v>116.11000000000001</v>
      </c>
      <c r="AN14" s="258">
        <f>+AN8-AN11</f>
        <v>129.25599999999997</v>
      </c>
      <c r="AO14" s="258">
        <f>+AO8-AO11</f>
        <v>136.13800000000001</v>
      </c>
      <c r="AP14" s="258">
        <f>+AP8-AP11</f>
        <v>152.04300000000001</v>
      </c>
      <c r="AQ14" s="260">
        <f>+AQ8-AQ11</f>
        <v>533.54700000000003</v>
      </c>
      <c r="AR14" s="123"/>
      <c r="AS14" s="258">
        <f>+AS8-AS11</f>
        <v>176.98600000000002</v>
      </c>
      <c r="AT14" s="258">
        <f>+AT8-AT11</f>
        <v>177.929</v>
      </c>
      <c r="AU14" s="258">
        <f>AU8-AU11</f>
        <v>156.738</v>
      </c>
      <c r="AV14" s="258">
        <f>+AV8-AV11</f>
        <v>157.78500000000003</v>
      </c>
      <c r="AW14" s="260">
        <f>+AW8-AW11</f>
        <v>669.43799999999999</v>
      </c>
      <c r="AX14" s="123"/>
      <c r="AY14" s="258">
        <f t="shared" ref="AY14:AZ16" si="26">+AY8-AY11</f>
        <v>133.97199999999998</v>
      </c>
      <c r="AZ14" s="258">
        <f t="shared" si="26"/>
        <v>146.541</v>
      </c>
      <c r="BA14" s="258">
        <f>BA8-BA11</f>
        <v>143.69200000000001</v>
      </c>
      <c r="BB14" s="258">
        <f>BB8-BB11</f>
        <v>152.37392621898078</v>
      </c>
      <c r="BC14" s="260">
        <f>+BC8-BC11</f>
        <v>576.57892621898077</v>
      </c>
      <c r="BD14" s="123"/>
      <c r="BE14" s="258">
        <f t="shared" ref="BE14:BF16" si="27">+BE8-BE11</f>
        <v>147.03138383668679</v>
      </c>
      <c r="BF14" s="258">
        <f t="shared" si="27"/>
        <v>152.68922202800135</v>
      </c>
      <c r="BG14" s="258">
        <f>BG8-BG11</f>
        <v>150.31802062257498</v>
      </c>
      <c r="BH14" s="258">
        <f>BH8-BH11</f>
        <v>146.50000000000003</v>
      </c>
      <c r="BI14" s="260">
        <f>+BI8-BI11</f>
        <v>596.53862648726317</v>
      </c>
      <c r="BJ14" s="123"/>
      <c r="BK14" s="258">
        <f>+BK8-BK11</f>
        <v>137.50619851575016</v>
      </c>
      <c r="BL14" s="258">
        <f>+BL8-BL11</f>
        <v>152.14935285011936</v>
      </c>
      <c r="BM14" s="258">
        <f>BM8-BM11</f>
        <v>152.61112509441614</v>
      </c>
      <c r="BN14" s="258">
        <f>BN8-BN11</f>
        <v>157.95994435047371</v>
      </c>
      <c r="BO14" s="534">
        <f>+BO8-BO11</f>
        <v>600.22662081075941</v>
      </c>
      <c r="BP14" s="535"/>
      <c r="BQ14" s="258">
        <f>+BQ8-BQ11</f>
        <v>147.173636020087</v>
      </c>
      <c r="BR14" s="258">
        <f>+BR8-BR11</f>
        <v>149.57538465031678</v>
      </c>
      <c r="BS14" s="258">
        <f>BS8-BS11</f>
        <v>146.70481077605433</v>
      </c>
      <c r="BT14" s="258">
        <f>BT8-BT11</f>
        <v>153.32786368305085</v>
      </c>
      <c r="BU14" s="534">
        <f>+BU8-BU11</f>
        <v>596.78169512950899</v>
      </c>
      <c r="BV14" s="535"/>
      <c r="BW14" s="258">
        <f>+BW8-BW11</f>
        <v>146.13202856062389</v>
      </c>
      <c r="BX14" s="258">
        <f>+BX8-BX11</f>
        <v>152.59374062188135</v>
      </c>
      <c r="BY14" s="258">
        <f>BY8-BY11</f>
        <v>153.76203215809323</v>
      </c>
      <c r="BZ14" s="258">
        <f>BZ8-BZ11</f>
        <v>162.97258183118913</v>
      </c>
      <c r="CA14" s="534">
        <f>+CA8-CA11</f>
        <v>615.46038317178773</v>
      </c>
      <c r="CB14" s="535"/>
      <c r="CC14" s="258">
        <f>+CC8-CC11</f>
        <v>154.38562362979604</v>
      </c>
      <c r="CD14" s="258">
        <f>+CD8-CD11</f>
        <v>162.71500037800274</v>
      </c>
      <c r="CE14" s="258">
        <f>CE8-CE11</f>
        <v>163.64499790351948</v>
      </c>
      <c r="CF14" s="258">
        <f>CF8-CF11</f>
        <v>173.82551662596643</v>
      </c>
      <c r="CG14" s="534">
        <f>+CG8-CG11</f>
        <v>654.57113853728481</v>
      </c>
      <c r="CH14" s="535"/>
      <c r="CI14" s="258">
        <f t="shared" ref="CI14:CJ14" si="28">+CI8-CI11</f>
        <v>166.16159744236401</v>
      </c>
      <c r="CJ14" s="258">
        <f t="shared" si="28"/>
        <v>175.60404543936232</v>
      </c>
      <c r="CK14" s="258">
        <f t="shared" ref="CK14:CL14" si="29">CK8-CK11</f>
        <v>175.48715500481958</v>
      </c>
      <c r="CL14" s="258">
        <f t="shared" si="29"/>
        <v>186.07206159107</v>
      </c>
      <c r="CM14" s="534">
        <f t="shared" ref="CM14" si="30">+CM8-CM11</f>
        <v>703.32485947761597</v>
      </c>
      <c r="CN14" s="535"/>
      <c r="CO14" s="258">
        <f t="shared" ref="CO14:CP14" si="31">+CO8-CO11</f>
        <v>178.58032654516217</v>
      </c>
      <c r="CP14" s="258">
        <f t="shared" si="31"/>
        <v>190.27480882317857</v>
      </c>
      <c r="CQ14" s="258">
        <f t="shared" ref="CQ14:CR14" si="32">CQ8-CQ11</f>
        <v>188.32828304949891</v>
      </c>
      <c r="CR14" s="258">
        <f t="shared" si="32"/>
        <v>200.53586561897089</v>
      </c>
      <c r="CS14" s="534">
        <f t="shared" ref="CS14:CS16" si="33">+CS8-CS11</f>
        <v>757.71928403681045</v>
      </c>
      <c r="CT14" s="553"/>
      <c r="DA14" s="129"/>
      <c r="DB14" s="129"/>
      <c r="DC14" s="129"/>
      <c r="DD14" s="129"/>
      <c r="DE14" s="762"/>
      <c r="DF14" s="167"/>
      <c r="DG14" s="73"/>
      <c r="DH14" s="73"/>
      <c r="DI14" s="762"/>
      <c r="DJ14" s="73"/>
      <c r="DK14" s="73"/>
      <c r="DL14" s="906"/>
      <c r="DM14" s="762"/>
      <c r="DN14" s="73"/>
      <c r="DO14" s="73"/>
      <c r="DP14" s="906"/>
      <c r="DQ14" s="762"/>
      <c r="DR14" s="73"/>
      <c r="DS14" s="73"/>
      <c r="DT14" s="906"/>
      <c r="DU14" s="762"/>
      <c r="DV14" s="73"/>
      <c r="DW14" s="73"/>
      <c r="DX14" s="906"/>
      <c r="DY14" s="762"/>
      <c r="DZ14" s="73"/>
      <c r="EA14" s="73"/>
      <c r="EB14" s="906"/>
      <c r="EC14" s="762"/>
      <c r="ED14" s="762"/>
      <c r="EE14" s="762"/>
      <c r="EF14" s="762"/>
      <c r="EG14" s="73"/>
      <c r="EH14" s="73"/>
      <c r="EI14" s="762"/>
      <c r="EJ14" s="762"/>
      <c r="EK14" s="762"/>
      <c r="EL14" s="762"/>
    </row>
    <row r="15" spans="1:142" ht="12.75" hidden="1" customHeight="1" outlineLevel="1" x14ac:dyDescent="0.2">
      <c r="A15" s="129"/>
      <c r="B15" s="32" t="str">
        <f>+B12</f>
        <v>Molecular diagnostic testing</v>
      </c>
      <c r="C15" s="37">
        <f t="shared" ref="C15:F16" si="34">C9-C12</f>
        <v>25.437999999999999</v>
      </c>
      <c r="D15" s="37">
        <f t="shared" si="34"/>
        <v>29.605999999999998</v>
      </c>
      <c r="E15" s="37">
        <f t="shared" si="34"/>
        <v>33.393000000000001</v>
      </c>
      <c r="F15" s="37">
        <f t="shared" si="34"/>
        <v>37.876000000000005</v>
      </c>
      <c r="G15" s="91">
        <f>+SUM(C15:F15)</f>
        <v>126.313</v>
      </c>
      <c r="H15" s="123"/>
      <c r="I15" s="37">
        <f t="shared" ref="I15:L16" si="35">I9-I12</f>
        <v>40.930999999999997</v>
      </c>
      <c r="J15" s="37">
        <f t="shared" si="35"/>
        <v>49.052</v>
      </c>
      <c r="K15" s="37">
        <f t="shared" si="35"/>
        <v>53.502000000000002</v>
      </c>
      <c r="L15" s="37">
        <f t="shared" si="35"/>
        <v>55.626999999999995</v>
      </c>
      <c r="M15" s="91">
        <f>+SUM(I15:L15)</f>
        <v>199.11200000000002</v>
      </c>
      <c r="N15" s="123"/>
      <c r="O15" s="37">
        <f t="shared" ref="O15:R16" si="36">O9-O12</f>
        <v>60.175000000000004</v>
      </c>
      <c r="P15" s="37">
        <f t="shared" si="36"/>
        <v>72.891999999999996</v>
      </c>
      <c r="Q15" s="37">
        <f t="shared" si="36"/>
        <v>75.299000000000007</v>
      </c>
      <c r="R15" s="37">
        <f t="shared" si="36"/>
        <v>74.893999999999991</v>
      </c>
      <c r="S15" s="91">
        <f>+SUM(O15:R15)</f>
        <v>283.26</v>
      </c>
      <c r="T15" s="123"/>
      <c r="U15" s="37">
        <f t="shared" ref="U15:X16" si="37">U9-U12</f>
        <v>74.06</v>
      </c>
      <c r="V15" s="37">
        <f t="shared" si="37"/>
        <v>81.685000000000002</v>
      </c>
      <c r="W15" s="37">
        <f t="shared" si="37"/>
        <v>79.95</v>
      </c>
      <c r="X15" s="37">
        <f t="shared" si="37"/>
        <v>82.667000000000002</v>
      </c>
      <c r="Y15" s="91">
        <f>+SUM(U15:X15)</f>
        <v>318.36199999999997</v>
      </c>
      <c r="Z15" s="123"/>
      <c r="AA15" s="37">
        <f t="shared" ref="AA15:AD16" si="38">AA9-AA12</f>
        <v>80.847000000000008</v>
      </c>
      <c r="AB15" s="37">
        <f t="shared" si="38"/>
        <v>88.394000000000005</v>
      </c>
      <c r="AC15" s="37">
        <f t="shared" si="38"/>
        <v>91.241</v>
      </c>
      <c r="AD15" s="37">
        <f t="shared" si="38"/>
        <v>93.926999999999992</v>
      </c>
      <c r="AE15" s="91">
        <f>+SUM(AA15:AD15)</f>
        <v>354.40899999999999</v>
      </c>
      <c r="AF15" s="123"/>
      <c r="AG15" s="37">
        <f t="shared" ref="AG15:AJ16" si="39">AG9-AG12</f>
        <v>92.668999999999997</v>
      </c>
      <c r="AH15" s="37">
        <f t="shared" si="39"/>
        <v>104.795</v>
      </c>
      <c r="AI15" s="37">
        <f t="shared" si="39"/>
        <v>109.84700000000001</v>
      </c>
      <c r="AJ15" s="37">
        <f t="shared" si="39"/>
        <v>113.62700000000001</v>
      </c>
      <c r="AK15" s="91">
        <f>+SUM(AG15:AJ15)</f>
        <v>420.93800000000005</v>
      </c>
      <c r="AL15" s="123"/>
      <c r="AM15" s="37">
        <f t="shared" ref="AM15:AP16" si="40">AM9-AM12</f>
        <v>113.336</v>
      </c>
      <c r="AN15" s="37">
        <f t="shared" si="40"/>
        <v>125.08499999999998</v>
      </c>
      <c r="AO15" s="37">
        <f t="shared" si="40"/>
        <v>131.92200000000003</v>
      </c>
      <c r="AP15" s="37">
        <f t="shared" si="40"/>
        <v>147.673</v>
      </c>
      <c r="AQ15" s="91">
        <f t="shared" si="5"/>
        <v>518.01600000000008</v>
      </c>
      <c r="AR15" s="123"/>
      <c r="AS15" s="37">
        <f t="shared" ref="AS15:AU16" si="41">AS9-AS12</f>
        <v>171.548</v>
      </c>
      <c r="AT15" s="37">
        <f t="shared" si="41"/>
        <v>173.40300000000005</v>
      </c>
      <c r="AU15" s="37">
        <f t="shared" si="41"/>
        <v>152.96600000000004</v>
      </c>
      <c r="AV15" s="37">
        <f>AV9-AV12</f>
        <v>154.56400000000002</v>
      </c>
      <c r="AW15" s="91">
        <f>+SUM(AS15:AV15)</f>
        <v>652.48099999999999</v>
      </c>
      <c r="AX15" s="123"/>
      <c r="AY15" s="37">
        <f t="shared" si="26"/>
        <v>131.71</v>
      </c>
      <c r="AZ15" s="37">
        <f>+AZ9-AZ12</f>
        <v>144.10000000000002</v>
      </c>
      <c r="BA15" s="37">
        <f>+BA9-BA12</f>
        <v>139.99699999999999</v>
      </c>
      <c r="BB15" s="37">
        <f>BB9-BB12</f>
        <v>146.8049262189808</v>
      </c>
      <c r="BC15" s="91">
        <f>+BC9-BC12</f>
        <v>562.61192621898067</v>
      </c>
      <c r="BD15" s="123"/>
      <c r="BE15" s="37">
        <f t="shared" si="27"/>
        <v>141.02638383668679</v>
      </c>
      <c r="BF15" s="37">
        <f t="shared" si="27"/>
        <v>148.48922202800136</v>
      </c>
      <c r="BG15" s="37">
        <f>+BG9-BG12</f>
        <v>143.81802062257498</v>
      </c>
      <c r="BH15" s="37">
        <f>+BH9-BH12</f>
        <v>139.60000000000002</v>
      </c>
      <c r="BI15" s="91">
        <f>+BI9-BI12</f>
        <v>572.93362648726315</v>
      </c>
      <c r="BJ15" s="123"/>
      <c r="BK15" s="37">
        <f>+BK9-BK12</f>
        <v>130.80619851575017</v>
      </c>
      <c r="BL15" s="37">
        <f t="shared" ref="BL15" si="42">+BL9-BL12</f>
        <v>146.54935285011936</v>
      </c>
      <c r="BM15" s="37">
        <f>+BM9-BM12</f>
        <v>147.31112509441613</v>
      </c>
      <c r="BN15" s="37">
        <f>+BN9-BN12</f>
        <v>152.25994435047372</v>
      </c>
      <c r="BO15" s="91">
        <f>+BO9-BO12</f>
        <v>576.92662081075946</v>
      </c>
      <c r="BP15" s="123"/>
      <c r="BQ15" s="37">
        <f>+BQ9-BQ12</f>
        <v>142.57363602008701</v>
      </c>
      <c r="BR15" s="37">
        <f t="shared" ref="BR15:BR16" si="43">+BR9-BR12</f>
        <v>141.47538465031676</v>
      </c>
      <c r="BS15" s="37">
        <f t="shared" ref="BS15:BT16" si="44">+BS9*BS51</f>
        <v>140.62160131659488</v>
      </c>
      <c r="BT15" s="37">
        <f t="shared" si="44"/>
        <v>146.7767150344022</v>
      </c>
      <c r="BU15" s="91">
        <f>+BU9-BU12</f>
        <v>571.44733702140081</v>
      </c>
      <c r="BV15" s="123"/>
      <c r="BW15" s="37">
        <f t="shared" ref="BW15:BZ16" si="45">+BW9*BW51</f>
        <v>139.2689204525158</v>
      </c>
      <c r="BX15" s="37">
        <f t="shared" si="45"/>
        <v>143.68374062188136</v>
      </c>
      <c r="BY15" s="37">
        <f t="shared" si="45"/>
        <v>147.07050175268785</v>
      </c>
      <c r="BZ15" s="37">
        <f t="shared" si="45"/>
        <v>155.76631831767563</v>
      </c>
      <c r="CA15" s="91">
        <f>+CA9-CA12</f>
        <v>585.78948114476066</v>
      </c>
      <c r="CB15" s="123"/>
      <c r="CC15" s="37">
        <f t="shared" ref="CC15:CF15" si="46">+CC9*CC51</f>
        <v>146.83620471087713</v>
      </c>
      <c r="CD15" s="37">
        <f t="shared" si="46"/>
        <v>152.91400037800273</v>
      </c>
      <c r="CE15" s="37">
        <f t="shared" si="46"/>
        <v>156.28431445757354</v>
      </c>
      <c r="CF15" s="37">
        <f t="shared" si="46"/>
        <v>165.89862676110158</v>
      </c>
      <c r="CG15" s="91">
        <f>+CG9-CG12</f>
        <v>621.93314630755492</v>
      </c>
      <c r="CH15" s="123"/>
      <c r="CI15" s="37">
        <f t="shared" ref="CI15:CL15" si="47">+CI9*CI51</f>
        <v>157.85723663155318</v>
      </c>
      <c r="CJ15" s="37">
        <f t="shared" si="47"/>
        <v>164.82294543936231</v>
      </c>
      <c r="CK15" s="37">
        <f t="shared" si="47"/>
        <v>167.39040321427902</v>
      </c>
      <c r="CL15" s="37">
        <f t="shared" si="47"/>
        <v>177.35248273971865</v>
      </c>
      <c r="CM15" s="91">
        <f t="shared" ref="CM15" si="48">+CM9-CM12</f>
        <v>667.42306802491316</v>
      </c>
      <c r="CN15" s="123"/>
      <c r="CO15" s="37">
        <f t="shared" ref="CO15:CR15" si="49">+CO9*CO51</f>
        <v>169.44552965327026</v>
      </c>
      <c r="CP15" s="37">
        <f t="shared" si="49"/>
        <v>178.41559882317858</v>
      </c>
      <c r="CQ15" s="37">
        <f t="shared" si="49"/>
        <v>179.4218560799043</v>
      </c>
      <c r="CR15" s="37">
        <f t="shared" si="49"/>
        <v>190.94432888248437</v>
      </c>
      <c r="CS15" s="91">
        <f t="shared" si="33"/>
        <v>718.22731343883754</v>
      </c>
      <c r="CT15" s="37"/>
      <c r="DA15" s="576"/>
      <c r="DB15" s="129"/>
      <c r="DC15" s="129"/>
      <c r="DD15" s="129"/>
      <c r="DE15" s="771"/>
      <c r="DF15" s="767"/>
      <c r="DG15" s="767"/>
      <c r="DH15" s="767"/>
      <c r="DI15" s="771"/>
      <c r="DJ15" s="768"/>
      <c r="DK15" s="762"/>
      <c r="DL15" s="908"/>
      <c r="DM15" s="771"/>
      <c r="DN15" s="73"/>
      <c r="DO15" s="762"/>
      <c r="DP15" s="908"/>
      <c r="DQ15" s="771"/>
      <c r="DR15" s="768"/>
      <c r="DS15" s="762"/>
      <c r="DT15" s="908"/>
      <c r="DU15" s="771"/>
      <c r="DV15" s="768"/>
      <c r="DW15" s="762"/>
      <c r="DX15" s="908"/>
      <c r="DY15" s="771"/>
      <c r="DZ15" s="768"/>
      <c r="EA15" s="762"/>
      <c r="EB15" s="908"/>
      <c r="EC15" s="771"/>
      <c r="ED15" s="771"/>
      <c r="EE15" s="771"/>
      <c r="EF15" s="771"/>
      <c r="EG15" s="73"/>
      <c r="EH15" s="73"/>
      <c r="EI15" s="771"/>
      <c r="EJ15" s="771"/>
      <c r="EK15" s="771"/>
      <c r="EL15" s="771"/>
    </row>
    <row r="16" spans="1:142" ht="12.75" hidden="1" customHeight="1" outlineLevel="1" x14ac:dyDescent="0.2">
      <c r="A16" s="129"/>
      <c r="B16" s="32" t="str">
        <f>+B13</f>
        <v>Companion diagnostic services</v>
      </c>
      <c r="C16" s="37">
        <f t="shared" si="34"/>
        <v>0</v>
      </c>
      <c r="D16" s="37">
        <f t="shared" si="34"/>
        <v>0</v>
      </c>
      <c r="E16" s="37">
        <f t="shared" si="34"/>
        <v>0</v>
      </c>
      <c r="F16" s="37">
        <f t="shared" si="34"/>
        <v>0</v>
      </c>
      <c r="G16" s="91">
        <f>+SUM(C16:F16)</f>
        <v>0</v>
      </c>
      <c r="H16" s="123"/>
      <c r="I16" s="37">
        <f t="shared" si="35"/>
        <v>0</v>
      </c>
      <c r="J16" s="37">
        <f t="shared" si="35"/>
        <v>0</v>
      </c>
      <c r="K16" s="37">
        <f t="shared" si="35"/>
        <v>0</v>
      </c>
      <c r="L16" s="37">
        <f t="shared" si="35"/>
        <v>0</v>
      </c>
      <c r="M16" s="91">
        <f>+SUM(I16:L16)</f>
        <v>0</v>
      </c>
      <c r="N16" s="123"/>
      <c r="O16" s="37">
        <f t="shared" si="36"/>
        <v>0</v>
      </c>
      <c r="P16" s="37">
        <f t="shared" si="36"/>
        <v>0</v>
      </c>
      <c r="Q16" s="37">
        <f t="shared" si="36"/>
        <v>0</v>
      </c>
      <c r="R16" s="37">
        <f t="shared" si="36"/>
        <v>0</v>
      </c>
      <c r="S16" s="91">
        <f>+SUM(O16:R16)</f>
        <v>0</v>
      </c>
      <c r="T16" s="123"/>
      <c r="U16" s="37">
        <f t="shared" si="37"/>
        <v>0</v>
      </c>
      <c r="V16" s="37">
        <f t="shared" si="37"/>
        <v>0</v>
      </c>
      <c r="W16" s="37">
        <f t="shared" si="37"/>
        <v>0</v>
      </c>
      <c r="X16" s="37">
        <f t="shared" si="37"/>
        <v>0</v>
      </c>
      <c r="Y16" s="91">
        <f>+SUM(U16:X16)</f>
        <v>0</v>
      </c>
      <c r="Z16" s="123"/>
      <c r="AA16" s="37">
        <f t="shared" si="38"/>
        <v>0</v>
      </c>
      <c r="AB16" s="37">
        <f t="shared" si="38"/>
        <v>0</v>
      </c>
      <c r="AC16" s="37">
        <f t="shared" si="38"/>
        <v>0</v>
      </c>
      <c r="AD16" s="37">
        <f t="shared" si="38"/>
        <v>0.96099999999999985</v>
      </c>
      <c r="AE16" s="91">
        <f>+SUM(AA16:AD16)</f>
        <v>0.96099999999999985</v>
      </c>
      <c r="AF16" s="123"/>
      <c r="AG16" s="37">
        <f t="shared" si="39"/>
        <v>3.4219999999999997</v>
      </c>
      <c r="AH16" s="37">
        <f t="shared" si="39"/>
        <v>1.8989999999999996</v>
      </c>
      <c r="AI16" s="37">
        <f t="shared" si="39"/>
        <v>2.702</v>
      </c>
      <c r="AJ16" s="37">
        <f t="shared" si="39"/>
        <v>2.3849999999999985</v>
      </c>
      <c r="AK16" s="91">
        <f>+SUM(AG16:AJ16)</f>
        <v>10.407999999999998</v>
      </c>
      <c r="AL16" s="123"/>
      <c r="AM16" s="37">
        <f t="shared" si="40"/>
        <v>2.7739999999999996</v>
      </c>
      <c r="AN16" s="37">
        <f t="shared" si="40"/>
        <v>4.1710000000000012</v>
      </c>
      <c r="AO16" s="37">
        <f t="shared" si="40"/>
        <v>4.2159999999999993</v>
      </c>
      <c r="AP16" s="37">
        <f t="shared" si="40"/>
        <v>4.370000000000001</v>
      </c>
      <c r="AQ16" s="91">
        <f t="shared" si="5"/>
        <v>15.531000000000001</v>
      </c>
      <c r="AR16" s="123"/>
      <c r="AS16" s="37">
        <f t="shared" si="41"/>
        <v>5.4380000000000006</v>
      </c>
      <c r="AT16" s="37">
        <f t="shared" si="41"/>
        <v>4.5259999999999998</v>
      </c>
      <c r="AU16" s="37">
        <f t="shared" si="41"/>
        <v>3.7719999999999998</v>
      </c>
      <c r="AV16" s="37">
        <f>AV10-AV13</f>
        <v>3.2209999999999988</v>
      </c>
      <c r="AW16" s="91">
        <f>+SUM(AS16:AV16)</f>
        <v>16.957000000000001</v>
      </c>
      <c r="AX16" s="123"/>
      <c r="AY16" s="37">
        <f t="shared" si="26"/>
        <v>2.2630000000000003</v>
      </c>
      <c r="AZ16" s="37">
        <f>+AZ10-AZ13</f>
        <v>2.4410000000000003</v>
      </c>
      <c r="BA16" s="37">
        <f>+BA10-BA13</f>
        <v>3.726</v>
      </c>
      <c r="BB16" s="37">
        <f>BB10-BB13</f>
        <v>5.5690000000000008</v>
      </c>
      <c r="BC16" s="91">
        <f>+BC10-BC13</f>
        <v>13.999000000000002</v>
      </c>
      <c r="BD16" s="123"/>
      <c r="BE16" s="37">
        <f t="shared" si="27"/>
        <v>6.0050000000000008</v>
      </c>
      <c r="BF16" s="37">
        <f t="shared" si="27"/>
        <v>4.1999999999999993</v>
      </c>
      <c r="BG16" s="37">
        <f>+BG10-BG13</f>
        <v>6.5</v>
      </c>
      <c r="BH16" s="37">
        <f>+BH10-BH13</f>
        <v>6.8999999999999995</v>
      </c>
      <c r="BI16" s="91">
        <f>+BI10-BI13</f>
        <v>23.605000000000004</v>
      </c>
      <c r="BJ16" s="123"/>
      <c r="BK16" s="37">
        <f>+BK10-BK13</f>
        <v>6.7</v>
      </c>
      <c r="BL16" s="37">
        <f t="shared" ref="BL16" si="50">+BL10-BL13</f>
        <v>5.6</v>
      </c>
      <c r="BM16" s="37">
        <f>+BM10-BM13</f>
        <v>5.2999999999999989</v>
      </c>
      <c r="BN16" s="37">
        <f>+BN10-BN13</f>
        <v>5.6999999999999993</v>
      </c>
      <c r="BO16" s="91">
        <f>+BO10-BO13</f>
        <v>23.300000000000004</v>
      </c>
      <c r="BP16" s="123"/>
      <c r="BQ16" s="37">
        <f>+BQ10-BQ13</f>
        <v>4.6000000000000005</v>
      </c>
      <c r="BR16" s="37">
        <f t="shared" si="43"/>
        <v>8.1000000000000014</v>
      </c>
      <c r="BS16" s="37">
        <f t="shared" si="44"/>
        <v>6.083209459459459</v>
      </c>
      <c r="BT16" s="37">
        <f t="shared" si="44"/>
        <v>6.551148648648649</v>
      </c>
      <c r="BU16" s="91">
        <f>+BU10-BU13</f>
        <v>25.334358108108106</v>
      </c>
      <c r="BV16" s="123"/>
      <c r="BW16" s="37">
        <f t="shared" si="45"/>
        <v>6.8631081081081096</v>
      </c>
      <c r="BX16" s="37">
        <f t="shared" si="45"/>
        <v>8.9100000000000019</v>
      </c>
      <c r="BY16" s="37">
        <f t="shared" si="45"/>
        <v>6.6915304054054063</v>
      </c>
      <c r="BZ16" s="37">
        <f t="shared" si="45"/>
        <v>7.2062635135135142</v>
      </c>
      <c r="CA16" s="91">
        <f>+CA10-CA13</f>
        <v>29.670902027027033</v>
      </c>
      <c r="CB16" s="123"/>
      <c r="CC16" s="37">
        <f t="shared" ref="CC16:CF16" si="51">+CC10*CC52</f>
        <v>7.5494189189189216</v>
      </c>
      <c r="CD16" s="37">
        <f t="shared" si="51"/>
        <v>9.8010000000000019</v>
      </c>
      <c r="CE16" s="37">
        <f t="shared" si="51"/>
        <v>7.3606834459459476</v>
      </c>
      <c r="CF16" s="37">
        <f t="shared" si="51"/>
        <v>7.926889864864866</v>
      </c>
      <c r="CG16" s="91">
        <f>+CG10-CG13</f>
        <v>32.63799222972974</v>
      </c>
      <c r="CH16" s="123"/>
      <c r="CI16" s="37">
        <f t="shared" ref="CI16:CL16" si="52">+CI10*CI52</f>
        <v>8.3043608108108149</v>
      </c>
      <c r="CJ16" s="37">
        <f t="shared" si="52"/>
        <v>10.781100000000002</v>
      </c>
      <c r="CK16" s="37">
        <f t="shared" si="52"/>
        <v>8.0967517905405426</v>
      </c>
      <c r="CL16" s="37">
        <f t="shared" si="52"/>
        <v>8.7195788513513524</v>
      </c>
      <c r="CM16" s="91">
        <f t="shared" ref="CM16" si="53">+CM10-CM13</f>
        <v>35.90179145270271</v>
      </c>
      <c r="CN16" s="123"/>
      <c r="CO16" s="37">
        <f t="shared" ref="CO16:CR16" si="54">+CO10*CO52</f>
        <v>9.1347968918918951</v>
      </c>
      <c r="CP16" s="37">
        <f t="shared" si="54"/>
        <v>11.859210000000004</v>
      </c>
      <c r="CQ16" s="37">
        <f t="shared" si="54"/>
        <v>8.9064269695945999</v>
      </c>
      <c r="CR16" s="37">
        <f t="shared" si="54"/>
        <v>9.5915367364864892</v>
      </c>
      <c r="CS16" s="91">
        <f t="shared" si="33"/>
        <v>39.491970597972987</v>
      </c>
      <c r="CT16" s="37"/>
      <c r="DA16" s="129"/>
      <c r="DB16" s="129"/>
      <c r="DC16" s="129"/>
      <c r="DD16" s="129"/>
      <c r="DE16" s="73"/>
      <c r="DF16" s="167"/>
      <c r="DG16" s="73"/>
      <c r="DH16" s="73"/>
      <c r="DI16" s="766"/>
      <c r="DJ16" s="73"/>
      <c r="DK16" s="73"/>
      <c r="DL16" s="73"/>
      <c r="DM16" s="766"/>
      <c r="DN16" s="73"/>
      <c r="DO16" s="73"/>
      <c r="DP16" s="73"/>
      <c r="DQ16" s="766"/>
      <c r="DR16" s="73"/>
      <c r="DS16" s="73"/>
      <c r="DT16" s="73"/>
      <c r="DU16" s="766"/>
      <c r="DV16" s="73"/>
      <c r="DW16" s="73"/>
      <c r="DX16" s="73"/>
      <c r="DY16" s="766"/>
      <c r="DZ16" s="73"/>
      <c r="EA16" s="73"/>
      <c r="EB16" s="73"/>
      <c r="EC16" s="73"/>
      <c r="ED16" s="73"/>
      <c r="EE16" s="73"/>
      <c r="EF16" s="73"/>
      <c r="EG16" s="73"/>
      <c r="EH16" s="73"/>
      <c r="EI16" s="73"/>
      <c r="EJ16" s="73"/>
      <c r="EK16" s="73"/>
      <c r="EL16" s="73"/>
    </row>
    <row r="17" spans="1:142" ht="3" customHeight="1" collapsed="1" x14ac:dyDescent="0.2">
      <c r="A17" s="129"/>
      <c r="B17" s="318"/>
      <c r="C17" s="258"/>
      <c r="D17" s="258"/>
      <c r="E17" s="258"/>
      <c r="F17" s="258"/>
      <c r="G17" s="260"/>
      <c r="H17" s="123"/>
      <c r="I17" s="258"/>
      <c r="J17" s="258"/>
      <c r="K17" s="258"/>
      <c r="L17" s="258"/>
      <c r="M17" s="260"/>
      <c r="N17" s="123"/>
      <c r="O17" s="258"/>
      <c r="P17" s="258"/>
      <c r="Q17" s="258"/>
      <c r="R17" s="258"/>
      <c r="S17" s="260"/>
      <c r="T17" s="123"/>
      <c r="U17" s="258"/>
      <c r="V17" s="258"/>
      <c r="W17" s="258"/>
      <c r="X17" s="258"/>
      <c r="Y17" s="260"/>
      <c r="Z17" s="123"/>
      <c r="AA17" s="258"/>
      <c r="AB17" s="258"/>
      <c r="AC17" s="258"/>
      <c r="AD17" s="258"/>
      <c r="AE17" s="260"/>
      <c r="AF17" s="123"/>
      <c r="AG17" s="258"/>
      <c r="AH17" s="258"/>
      <c r="AI17" s="258"/>
      <c r="AJ17" s="258"/>
      <c r="AK17" s="260"/>
      <c r="AL17" s="123"/>
      <c r="AM17" s="258"/>
      <c r="AN17" s="259"/>
      <c r="AO17" s="259"/>
      <c r="AP17" s="258"/>
      <c r="AQ17" s="260"/>
      <c r="AR17" s="123"/>
      <c r="AS17" s="258"/>
      <c r="AT17" s="259"/>
      <c r="AU17" s="259"/>
      <c r="AV17" s="258"/>
      <c r="AW17" s="260"/>
      <c r="AX17" s="123"/>
      <c r="AY17" s="258"/>
      <c r="AZ17" s="259"/>
      <c r="BA17" s="259"/>
      <c r="BB17" s="259"/>
      <c r="BC17" s="260"/>
      <c r="BD17" s="123"/>
      <c r="BE17" s="259"/>
      <c r="BF17" s="259"/>
      <c r="BG17" s="259"/>
      <c r="BH17" s="259"/>
      <c r="BI17" s="260"/>
      <c r="BJ17" s="123"/>
      <c r="BK17" s="259"/>
      <c r="BL17" s="259"/>
      <c r="BM17" s="259"/>
      <c r="BN17" s="259"/>
      <c r="BO17" s="260"/>
      <c r="BP17" s="123"/>
      <c r="BQ17" s="259"/>
      <c r="BR17" s="259"/>
      <c r="BS17" s="259"/>
      <c r="BT17" s="259"/>
      <c r="BU17" s="260"/>
      <c r="BV17" s="123"/>
      <c r="BW17" s="259"/>
      <c r="BX17" s="259"/>
      <c r="BY17" s="259"/>
      <c r="BZ17" s="259"/>
      <c r="CA17" s="260"/>
      <c r="CB17" s="123"/>
      <c r="CC17" s="259"/>
      <c r="CD17" s="259"/>
      <c r="CE17" s="259"/>
      <c r="CF17" s="259"/>
      <c r="CG17" s="260"/>
      <c r="CH17" s="123"/>
      <c r="CI17" s="259"/>
      <c r="CJ17" s="259"/>
      <c r="CK17" s="259"/>
      <c r="CL17" s="259"/>
      <c r="CM17" s="260"/>
      <c r="CN17" s="123"/>
      <c r="CO17" s="259"/>
      <c r="CP17" s="259"/>
      <c r="CQ17" s="259"/>
      <c r="CR17" s="259"/>
      <c r="CS17" s="260"/>
      <c r="CT17" s="259"/>
      <c r="DA17" s="129"/>
      <c r="DB17" s="129"/>
      <c r="DC17" s="129"/>
      <c r="DD17" s="129"/>
      <c r="DE17" s="73"/>
      <c r="DF17" s="73"/>
      <c r="DG17" s="73"/>
      <c r="DH17" s="73"/>
      <c r="DI17" s="73"/>
      <c r="DJ17" s="73"/>
      <c r="DK17" s="73"/>
      <c r="DL17" s="73"/>
      <c r="DM17" s="73"/>
      <c r="DN17" s="73"/>
      <c r="DO17" s="73"/>
      <c r="DP17" s="73"/>
      <c r="DQ17" s="73"/>
      <c r="DR17" s="73"/>
      <c r="DS17" s="73"/>
      <c r="DT17" s="73"/>
      <c r="DU17" s="73"/>
      <c r="DV17" s="73"/>
      <c r="DW17" s="73"/>
      <c r="DX17" s="73"/>
      <c r="DY17" s="73"/>
      <c r="DZ17" s="73"/>
      <c r="EA17" s="73"/>
      <c r="EB17" s="73"/>
      <c r="EC17" s="73"/>
      <c r="ED17" s="73"/>
      <c r="EE17" s="73"/>
      <c r="EF17" s="73"/>
      <c r="EG17" s="73"/>
      <c r="EH17" s="73"/>
      <c r="EI17" s="73"/>
      <c r="EJ17" s="73"/>
      <c r="EK17" s="73"/>
      <c r="EL17" s="73"/>
    </row>
    <row r="18" spans="1:142" x14ac:dyDescent="0.2">
      <c r="B18" s="32" t="s">
        <v>84</v>
      </c>
      <c r="C18" s="42">
        <v>26.245000000000001</v>
      </c>
      <c r="D18" s="42">
        <v>24.765000000000001</v>
      </c>
      <c r="E18" s="42">
        <v>22.89</v>
      </c>
      <c r="F18" s="42">
        <v>24.771000000000001</v>
      </c>
      <c r="G18" s="91">
        <f>+SUM(C18:F18)</f>
        <v>98.671000000000006</v>
      </c>
      <c r="H18" s="319"/>
      <c r="I18" s="42">
        <v>26.024999999999999</v>
      </c>
      <c r="J18" s="42">
        <v>27.306000000000001</v>
      </c>
      <c r="K18" s="42">
        <v>31.161000000000001</v>
      </c>
      <c r="L18" s="42">
        <v>4.8230000000000004</v>
      </c>
      <c r="M18" s="91">
        <f>+SUM(I18:L18)</f>
        <v>89.314999999999998</v>
      </c>
      <c r="N18" s="319"/>
      <c r="O18" s="42">
        <v>4.375</v>
      </c>
      <c r="P18" s="42">
        <v>4.6150000000000002</v>
      </c>
      <c r="Q18" s="42">
        <v>4.5430000000000001</v>
      </c>
      <c r="R18" s="42">
        <v>4.3810000000000002</v>
      </c>
      <c r="S18" s="91">
        <f>+SUM(O18:R18)</f>
        <v>17.914000000000001</v>
      </c>
      <c r="T18" s="319"/>
      <c r="U18" s="42">
        <v>5.6760000000000002</v>
      </c>
      <c r="V18" s="42">
        <v>5.0590000000000002</v>
      </c>
      <c r="W18" s="42">
        <v>5.8849999999999998</v>
      </c>
      <c r="X18" s="42">
        <f>21.873-W18-V18-U18</f>
        <v>5.2530000000000019</v>
      </c>
      <c r="Y18" s="91">
        <f>+SUM(U18:X18)</f>
        <v>21.872999999999998</v>
      </c>
      <c r="Z18" s="319"/>
      <c r="AA18" s="42">
        <v>5.7619999999999996</v>
      </c>
      <c r="AB18" s="42">
        <v>6.0919999999999996</v>
      </c>
      <c r="AC18" s="42">
        <v>6.6669999999999998</v>
      </c>
      <c r="AD18" s="42">
        <v>9.23</v>
      </c>
      <c r="AE18" s="91">
        <f>+SUM(AA18:AD18)</f>
        <v>27.751000000000001</v>
      </c>
      <c r="AF18" s="319"/>
      <c r="AG18" s="42">
        <v>8.5050000000000008</v>
      </c>
      <c r="AH18" s="42">
        <v>10.243</v>
      </c>
      <c r="AI18" s="42">
        <v>11.753</v>
      </c>
      <c r="AJ18" s="42">
        <v>12.144</v>
      </c>
      <c r="AK18" s="91">
        <f>+SUM(AG18:AJ18)</f>
        <v>42.645000000000003</v>
      </c>
      <c r="AL18" s="319"/>
      <c r="AM18" s="42">
        <v>11.4</v>
      </c>
      <c r="AN18" s="42">
        <v>14.106999999999999</v>
      </c>
      <c r="AO18" s="42">
        <f>13.618-0.078</f>
        <v>13.540000000000001</v>
      </c>
      <c r="AP18" s="42">
        <v>14.581</v>
      </c>
      <c r="AQ18" s="91">
        <f>+SUM(AM18:AP18)</f>
        <v>53.628</v>
      </c>
      <c r="AR18" s="319"/>
      <c r="AS18" s="42">
        <v>16.803000000000001</v>
      </c>
      <c r="AT18" s="418">
        <f>17.09-(0.313-0.078-0.078)</f>
        <v>16.933</v>
      </c>
      <c r="AU18" s="418">
        <f>13.397-1.71-2.075-0.078</f>
        <v>9.5340000000000025</v>
      </c>
      <c r="AV18" s="42">
        <f>20.187-0.078</f>
        <v>20.109000000000002</v>
      </c>
      <c r="AW18" s="91">
        <f>+SUM(AS18:AV18)</f>
        <v>63.379000000000012</v>
      </c>
      <c r="AX18" s="319"/>
      <c r="AY18" s="42">
        <v>22.533999999999999</v>
      </c>
      <c r="AZ18" s="42">
        <f>17.504-0.078</f>
        <v>17.426000000000002</v>
      </c>
      <c r="BA18" s="42">
        <f>16.673-0.078-0.398-0.178</f>
        <v>16.018999999999998</v>
      </c>
      <c r="BB18" s="42">
        <f>18.7-0.1-0.1</f>
        <v>18.499999999999996</v>
      </c>
      <c r="BC18" s="91">
        <f>+SUM(AY18:BB18)</f>
        <v>74.478999999999999</v>
      </c>
      <c r="BD18" s="319"/>
      <c r="BE18" s="42">
        <v>17.2</v>
      </c>
      <c r="BF18" s="418">
        <v>16.600000000000001</v>
      </c>
      <c r="BG18" s="418">
        <f>17.2-0.1</f>
        <v>17.099999999999998</v>
      </c>
      <c r="BH18" s="739">
        <f>19.5-0.1</f>
        <v>19.399999999999999</v>
      </c>
      <c r="BI18" s="91">
        <f>+SUM(BE18:BH18)</f>
        <v>70.299999999999983</v>
      </c>
      <c r="BJ18" s="319"/>
      <c r="BK18" s="758">
        <f>19.4-0.2</f>
        <v>19.2</v>
      </c>
      <c r="BL18" s="418">
        <v>18.5</v>
      </c>
      <c r="BM18" s="418">
        <f>17.6-0.1</f>
        <v>17.5</v>
      </c>
      <c r="BN18" s="739">
        <f>18.8-0.2</f>
        <v>18.600000000000001</v>
      </c>
      <c r="BO18" s="91">
        <f>+SUM(BK18:BN18)</f>
        <v>73.800000000000011</v>
      </c>
      <c r="BP18" s="319"/>
      <c r="BQ18" s="758">
        <v>17.600000000000001</v>
      </c>
      <c r="BR18" s="418">
        <v>16.600000000000001</v>
      </c>
      <c r="BS18" s="37">
        <f>+BS8*BS53</f>
        <v>17.087300277281976</v>
      </c>
      <c r="BT18" s="37">
        <f>+BT8*BT53</f>
        <v>17.747556854731297</v>
      </c>
      <c r="BU18" s="91">
        <f>+SUM(BQ18:BT18)</f>
        <v>69.034857132013272</v>
      </c>
      <c r="BV18" s="319"/>
      <c r="BW18" s="37">
        <f>+BW8*BW53</f>
        <v>17.431891176604235</v>
      </c>
      <c r="BX18" s="37">
        <f>+BX8*BX53</f>
        <v>16.899564332656201</v>
      </c>
      <c r="BY18" s="37">
        <f>+BY8*BY53</f>
        <v>17.692076322278115</v>
      </c>
      <c r="BZ18" s="37">
        <f>+BZ8*BZ53</f>
        <v>18.568006660324549</v>
      </c>
      <c r="CA18" s="91">
        <f>+SUM(BW18:BZ18)</f>
        <v>70.591538491863105</v>
      </c>
      <c r="CB18" s="319"/>
      <c r="CC18" s="37">
        <f>+CC8*CC53</f>
        <v>18.065410142832103</v>
      </c>
      <c r="CD18" s="37">
        <f>+CD8*CD53</f>
        <v>17.689706749199757</v>
      </c>
      <c r="CE18" s="37">
        <f>+CE8*CE53</f>
        <v>18.542313645315563</v>
      </c>
      <c r="CF18" s="37">
        <f>+CF8*CF53</f>
        <v>19.542211007769168</v>
      </c>
      <c r="CG18" s="91">
        <f>+SUM(CC18:CF18)</f>
        <v>73.839641545116592</v>
      </c>
      <c r="CH18" s="319"/>
      <c r="CI18" s="37">
        <f t="shared" ref="CI18:CL18" si="55">+CI8*CI53</f>
        <v>19.154037025536365</v>
      </c>
      <c r="CJ18" s="37">
        <f t="shared" si="55"/>
        <v>18.80116288376836</v>
      </c>
      <c r="CK18" s="37">
        <f t="shared" si="55"/>
        <v>19.61527855639558</v>
      </c>
      <c r="CL18" s="37">
        <f t="shared" si="55"/>
        <v>20.671134625683202</v>
      </c>
      <c r="CM18" s="91">
        <f t="shared" ref="CM18:CM19" si="56">+SUM(CI18:CL18)</f>
        <v>78.241613091383499</v>
      </c>
      <c r="CN18" s="319"/>
      <c r="CO18" s="37">
        <f t="shared" ref="CO18:CR18" si="57">+CO8*CO53</f>
        <v>20.301473778217083</v>
      </c>
      <c r="CP18" s="37">
        <f t="shared" si="57"/>
        <v>20.066339142073016</v>
      </c>
      <c r="CQ18" s="37">
        <f t="shared" si="57"/>
        <v>20.731695773718599</v>
      </c>
      <c r="CR18" s="37">
        <f t="shared" si="57"/>
        <v>21.960991077340342</v>
      </c>
      <c r="CS18" s="91">
        <f t="shared" ref="CS18:CS19" si="58">+SUM(CO18:CR18)</f>
        <v>83.060499771349043</v>
      </c>
      <c r="CT18" s="37"/>
      <c r="DA18" s="43"/>
      <c r="DB18" s="43"/>
      <c r="DC18" s="43"/>
      <c r="DD18" s="43"/>
      <c r="DE18" s="73"/>
      <c r="DF18" s="167"/>
      <c r="DG18" s="73"/>
      <c r="DH18" s="73"/>
      <c r="DI18" s="762"/>
      <c r="DJ18" s="73"/>
      <c r="DK18" s="73"/>
      <c r="DL18" s="73"/>
      <c r="DM18" s="762"/>
      <c r="DN18" s="73"/>
      <c r="DO18" s="73"/>
      <c r="DP18" s="73"/>
      <c r="DQ18" s="762"/>
      <c r="DR18" s="73"/>
      <c r="DS18" s="73"/>
      <c r="DT18" s="73"/>
      <c r="DU18" s="762"/>
      <c r="DV18" s="73"/>
      <c r="DW18" s="73"/>
      <c r="DX18" s="73"/>
      <c r="DY18" s="762"/>
      <c r="DZ18" s="73"/>
      <c r="EA18" s="73"/>
      <c r="EB18" s="73"/>
      <c r="EC18" s="73"/>
      <c r="ED18" s="73"/>
      <c r="EE18" s="73"/>
      <c r="EF18" s="73"/>
      <c r="EG18" s="73"/>
      <c r="EH18" s="73"/>
      <c r="EI18" s="73"/>
      <c r="EJ18" s="73"/>
      <c r="EK18" s="73"/>
      <c r="EL18" s="73"/>
    </row>
    <row r="19" spans="1:142" ht="12.75" customHeight="1" x14ac:dyDescent="0.2">
      <c r="A19" s="27"/>
      <c r="B19" s="267" t="s">
        <v>271</v>
      </c>
      <c r="C19" s="268">
        <v>14.193</v>
      </c>
      <c r="D19" s="268">
        <v>16.21</v>
      </c>
      <c r="E19" s="268">
        <v>19.594999999999999</v>
      </c>
      <c r="F19" s="268">
        <v>25.370999999999999</v>
      </c>
      <c r="G19" s="269">
        <f>+SUM(C19:F19)</f>
        <v>75.369</v>
      </c>
      <c r="H19" s="485"/>
      <c r="I19" s="268">
        <v>26.488</v>
      </c>
      <c r="J19" s="268">
        <v>30.481999999999999</v>
      </c>
      <c r="K19" s="268">
        <v>30.157</v>
      </c>
      <c r="L19" s="268">
        <v>31.637</v>
      </c>
      <c r="M19" s="269">
        <f>+SUM(I19:L19)</f>
        <v>118.764</v>
      </c>
      <c r="N19" s="485"/>
      <c r="O19" s="268">
        <v>32.411000000000001</v>
      </c>
      <c r="P19" s="268">
        <v>34.96</v>
      </c>
      <c r="Q19" s="268">
        <v>35.496000000000002</v>
      </c>
      <c r="R19" s="268">
        <v>36.017000000000003</v>
      </c>
      <c r="S19" s="269">
        <f>+SUM(O19:R19)</f>
        <v>138.88400000000001</v>
      </c>
      <c r="T19" s="485"/>
      <c r="U19" s="268">
        <v>38.671999999999997</v>
      </c>
      <c r="V19" s="268">
        <v>42.103999999999999</v>
      </c>
      <c r="W19" s="268">
        <v>40.840000000000003</v>
      </c>
      <c r="X19" s="268">
        <v>39.798000000000002</v>
      </c>
      <c r="Y19" s="269">
        <f>+SUM(U19:X19)</f>
        <v>161.41399999999999</v>
      </c>
      <c r="Z19" s="485"/>
      <c r="AA19" s="268">
        <v>39.494</v>
      </c>
      <c r="AB19" s="268">
        <v>43.716000000000001</v>
      </c>
      <c r="AC19" s="268">
        <v>42.75</v>
      </c>
      <c r="AD19" s="268">
        <v>43.881</v>
      </c>
      <c r="AE19" s="269">
        <f>+SUM(AA19:AD19)</f>
        <v>169.84100000000001</v>
      </c>
      <c r="AF19" s="485"/>
      <c r="AG19" s="268">
        <v>46.113999999999997</v>
      </c>
      <c r="AH19" s="268">
        <v>50.985999999999997</v>
      </c>
      <c r="AI19" s="268">
        <v>54.7</v>
      </c>
      <c r="AJ19" s="268">
        <v>56.582999999999998</v>
      </c>
      <c r="AK19" s="269">
        <f>+SUM(AG19:AJ19)</f>
        <v>208.38300000000001</v>
      </c>
      <c r="AL19" s="485"/>
      <c r="AM19" s="268">
        <v>56.128</v>
      </c>
      <c r="AN19" s="268">
        <v>59.563000000000002</v>
      </c>
      <c r="AO19" s="268">
        <f>64.602-0.116</f>
        <v>64.486000000000004</v>
      </c>
      <c r="AP19" s="268">
        <v>71.546000000000006</v>
      </c>
      <c r="AQ19" s="269">
        <f>+SUM(AM19:AP19)</f>
        <v>251.72300000000001</v>
      </c>
      <c r="AR19" s="485"/>
      <c r="AS19" s="268">
        <v>77.278999999999996</v>
      </c>
      <c r="AT19" s="479">
        <f>77.84-(4.306-2.906-1.067)</f>
        <v>77.507000000000005</v>
      </c>
      <c r="AU19" s="479">
        <f>87.631-3.747-4.669-1.067</f>
        <v>78.14800000000001</v>
      </c>
      <c r="AV19" s="268">
        <f>84.347-2.906</f>
        <v>81.440999999999988</v>
      </c>
      <c r="AW19" s="269">
        <f>+SUM(AS19:AV19)</f>
        <v>314.375</v>
      </c>
      <c r="AX19" s="485"/>
      <c r="AY19" s="268">
        <v>82.168000000000006</v>
      </c>
      <c r="AZ19" s="268">
        <f>92.695-3.057-4.312</f>
        <v>85.325999999999993</v>
      </c>
      <c r="BA19" s="268">
        <f>91.279-3.057-6.788</f>
        <v>81.433999999999997</v>
      </c>
      <c r="BB19" s="268">
        <f>97.5-3.1-8.3-0.4</f>
        <v>85.7</v>
      </c>
      <c r="BC19" s="269">
        <f>+SUM(AY19:BB19)</f>
        <v>334.62799999999999</v>
      </c>
      <c r="BD19" s="485"/>
      <c r="BE19" s="268">
        <v>83.4</v>
      </c>
      <c r="BF19" s="479">
        <v>87.7</v>
      </c>
      <c r="BG19" s="479">
        <f>90.5-3.1</f>
        <v>87.4</v>
      </c>
      <c r="BH19" s="740">
        <f>91.3-3.2</f>
        <v>88.1</v>
      </c>
      <c r="BI19" s="269">
        <f>+SUM(BE19:BH19)</f>
        <v>346.6</v>
      </c>
      <c r="BJ19" s="485"/>
      <c r="BK19" s="268">
        <f>111.9-9.9-5.3</f>
        <v>96.7</v>
      </c>
      <c r="BL19" s="479">
        <v>110</v>
      </c>
      <c r="BM19" s="479">
        <f>122.1-1.8-9.2</f>
        <v>111.1</v>
      </c>
      <c r="BN19" s="740">
        <f>111.4</f>
        <v>111.4</v>
      </c>
      <c r="BO19" s="269">
        <f>+SUM(BK19:BN19)</f>
        <v>429.19999999999993</v>
      </c>
      <c r="BP19" s="485"/>
      <c r="BQ19" s="268">
        <v>104.9</v>
      </c>
      <c r="BR19" s="479">
        <v>104.8</v>
      </c>
      <c r="BS19" s="270">
        <f>+BS$8*(BS54)</f>
        <v>104.42239058338987</v>
      </c>
      <c r="BT19" s="270">
        <f>+BT$8*(BT54)</f>
        <v>108.45729189002461</v>
      </c>
      <c r="BU19" s="269">
        <f>+SUM(BQ19:BT19)</f>
        <v>422.57968247341444</v>
      </c>
      <c r="BV19" s="485"/>
      <c r="BW19" s="270">
        <f>+BW$8*(BW54)</f>
        <v>102.55755729184177</v>
      </c>
      <c r="BX19" s="270">
        <f>+BX$8*(BX54)</f>
        <v>105.35514173562527</v>
      </c>
      <c r="BY19" s="270">
        <f>+BY$8*(BY54)</f>
        <v>106.74882005689156</v>
      </c>
      <c r="BZ19" s="270">
        <f>+BZ$8*(BZ54)</f>
        <v>112.03392782690207</v>
      </c>
      <c r="CA19" s="269">
        <f>+SUM(BW19:BZ19)</f>
        <v>426.69544691126066</v>
      </c>
      <c r="CB19" s="485"/>
      <c r="CC19" s="270">
        <f>+CC$8*(CC54)</f>
        <v>107.25905143960027</v>
      </c>
      <c r="CD19" s="270">
        <f>+CD$8*(CD54)</f>
        <v>111.38888700770683</v>
      </c>
      <c r="CE19" s="270">
        <f>+CE$8*(CE54)</f>
        <v>112.93954674874026</v>
      </c>
      <c r="CF19" s="270">
        <f>+CF$8*(CF54)</f>
        <v>119.02983068368496</v>
      </c>
      <c r="CG19" s="269">
        <f>+SUM(CC19:CF19)</f>
        <v>450.6173158797323</v>
      </c>
      <c r="CH19" s="485"/>
      <c r="CI19" s="270">
        <f t="shared" ref="CI19:CL19" si="59">+CI$8*(CI54)</f>
        <v>114.77858955296911</v>
      </c>
      <c r="CJ19" s="270">
        <f t="shared" si="59"/>
        <v>119.59349461094216</v>
      </c>
      <c r="CK19" s="270">
        <f t="shared" si="59"/>
        <v>120.6226899732372</v>
      </c>
      <c r="CL19" s="270">
        <f t="shared" si="59"/>
        <v>127.11559798552317</v>
      </c>
      <c r="CM19" s="269">
        <f t="shared" si="56"/>
        <v>482.11037212267161</v>
      </c>
      <c r="CN19" s="485"/>
      <c r="CO19" s="270">
        <f t="shared" ref="CO19:CR19" si="60">+CO$8*(CO54)</f>
        <v>122.79910970131635</v>
      </c>
      <c r="CP19" s="270">
        <f t="shared" si="60"/>
        <v>128.95991094908507</v>
      </c>
      <c r="CQ19" s="270">
        <f t="shared" si="60"/>
        <v>128.72936678099688</v>
      </c>
      <c r="CR19" s="270">
        <f t="shared" si="60"/>
        <v>136.36243296860167</v>
      </c>
      <c r="CS19" s="269">
        <f t="shared" si="58"/>
        <v>516.85082039999998</v>
      </c>
      <c r="CT19" s="751"/>
      <c r="DA19" s="31"/>
      <c r="DB19" s="31"/>
      <c r="DC19" s="31"/>
      <c r="DD19" s="31"/>
      <c r="DE19" s="73"/>
      <c r="DF19" s="167"/>
      <c r="DG19" s="73"/>
      <c r="DH19" s="73"/>
      <c r="DI19" s="769"/>
      <c r="DJ19" s="770"/>
      <c r="DK19" s="770"/>
      <c r="DL19" s="770"/>
      <c r="DM19" s="769"/>
      <c r="DN19" s="770"/>
      <c r="DO19" s="770"/>
      <c r="DP19" s="770"/>
      <c r="DQ19" s="769"/>
      <c r="DR19" s="73"/>
      <c r="DS19" s="73"/>
      <c r="DT19" s="73"/>
      <c r="DU19" s="769"/>
      <c r="DV19" s="73"/>
      <c r="DW19" s="73"/>
      <c r="DX19" s="73"/>
      <c r="DY19" s="769"/>
      <c r="DZ19" s="73"/>
      <c r="EA19" s="73"/>
      <c r="EB19" s="73"/>
      <c r="EC19" s="73"/>
      <c r="ED19" s="73"/>
      <c r="EE19" s="73"/>
      <c r="EF19" s="73"/>
      <c r="EG19" s="73"/>
      <c r="EH19" s="73"/>
      <c r="EI19" s="73"/>
      <c r="EJ19" s="73"/>
      <c r="EK19" s="73"/>
      <c r="EL19" s="73"/>
    </row>
    <row r="20" spans="1:142" ht="11.25" customHeight="1" x14ac:dyDescent="0.2">
      <c r="A20" s="242"/>
      <c r="B20" s="610" t="s">
        <v>44</v>
      </c>
      <c r="C20" s="259">
        <f>+SUM(C18:C19)</f>
        <v>40.438000000000002</v>
      </c>
      <c r="D20" s="259">
        <f>+SUM(D18:D19)</f>
        <v>40.975000000000001</v>
      </c>
      <c r="E20" s="259">
        <f>+SUM(E18:E19)</f>
        <v>42.484999999999999</v>
      </c>
      <c r="F20" s="259">
        <f>+SUM(F18:F19)</f>
        <v>50.141999999999996</v>
      </c>
      <c r="G20" s="261">
        <f>+SUM(G18:G19)</f>
        <v>174.04000000000002</v>
      </c>
      <c r="H20" s="252"/>
      <c r="I20" s="259">
        <f>+SUM(I18:I19)</f>
        <v>52.512999999999998</v>
      </c>
      <c r="J20" s="259">
        <f>+SUM(J18:J19)</f>
        <v>57.787999999999997</v>
      </c>
      <c r="K20" s="259">
        <f>+SUM(K18:K19)</f>
        <v>61.317999999999998</v>
      </c>
      <c r="L20" s="259">
        <f>+SUM(L18:L19)</f>
        <v>36.46</v>
      </c>
      <c r="M20" s="261">
        <f>+SUM(M18:M19)</f>
        <v>208.07900000000001</v>
      </c>
      <c r="N20" s="252"/>
      <c r="O20" s="259">
        <f>+SUM(O18:O19)</f>
        <v>36.786000000000001</v>
      </c>
      <c r="P20" s="259">
        <f>+SUM(P18:P19)</f>
        <v>39.575000000000003</v>
      </c>
      <c r="Q20" s="259">
        <f>+SUM(Q18:Q19)</f>
        <v>40.039000000000001</v>
      </c>
      <c r="R20" s="259">
        <f>+SUM(R18:R19)</f>
        <v>40.398000000000003</v>
      </c>
      <c r="S20" s="261">
        <f>+SUM(S18:S19)</f>
        <v>156.798</v>
      </c>
      <c r="T20" s="252"/>
      <c r="U20" s="259">
        <f>+SUM(U18:U19)</f>
        <v>44.347999999999999</v>
      </c>
      <c r="V20" s="259">
        <f>+SUM(V18:V19)</f>
        <v>47.162999999999997</v>
      </c>
      <c r="W20" s="259">
        <f>+SUM(W18:W19)</f>
        <v>46.725000000000001</v>
      </c>
      <c r="X20" s="259">
        <f>+SUM(X18:X19)</f>
        <v>45.051000000000002</v>
      </c>
      <c r="Y20" s="261">
        <f>+SUM(Y18:Y19)</f>
        <v>183.28699999999998</v>
      </c>
      <c r="Z20" s="252"/>
      <c r="AA20" s="259">
        <f>+SUM(AA18:AA19)</f>
        <v>45.256</v>
      </c>
      <c r="AB20" s="259">
        <f>+SUM(AB18:AB19)</f>
        <v>49.808</v>
      </c>
      <c r="AC20" s="259">
        <f>+SUM(AC18:AC19)</f>
        <v>49.417000000000002</v>
      </c>
      <c r="AD20" s="259">
        <f>+SUM(AD18:AD19)</f>
        <v>53.111000000000004</v>
      </c>
      <c r="AE20" s="261">
        <f>+SUM(AE18:AE19)</f>
        <v>197.59200000000001</v>
      </c>
      <c r="AF20" s="252"/>
      <c r="AG20" s="259">
        <f>+SUM(AG18:AG19)</f>
        <v>54.619</v>
      </c>
      <c r="AH20" s="259">
        <f>+SUM(AH18:AH19)</f>
        <v>61.228999999999999</v>
      </c>
      <c r="AI20" s="259">
        <f>+SUM(AI18:AI19)</f>
        <v>66.453000000000003</v>
      </c>
      <c r="AJ20" s="259">
        <f>+SUM(AJ18:AJ19)</f>
        <v>68.727000000000004</v>
      </c>
      <c r="AK20" s="261">
        <f>+SUM(AK18:AK19)</f>
        <v>251.02800000000002</v>
      </c>
      <c r="AL20" s="252"/>
      <c r="AM20" s="259">
        <f>+SUM(AM18:AM19)</f>
        <v>67.528000000000006</v>
      </c>
      <c r="AN20" s="259">
        <f>+SUM(AN18:AN19)</f>
        <v>73.67</v>
      </c>
      <c r="AO20" s="259">
        <f>+SUM(AO18:AO19)</f>
        <v>78.02600000000001</v>
      </c>
      <c r="AP20" s="259">
        <f>+SUM(AP18:AP19)</f>
        <v>86.12700000000001</v>
      </c>
      <c r="AQ20" s="261">
        <f>+SUM(AQ18:AQ19)</f>
        <v>305.351</v>
      </c>
      <c r="AR20" s="252"/>
      <c r="AS20" s="259">
        <f>+SUM(AS18:AS19)</f>
        <v>94.081999999999994</v>
      </c>
      <c r="AT20" s="259">
        <f>+SUM(AT18:AT19)</f>
        <v>94.44</v>
      </c>
      <c r="AU20" s="259">
        <f>+SUM(AU18:AU19)</f>
        <v>87.682000000000016</v>
      </c>
      <c r="AV20" s="259">
        <f>+SUM(AV18:AV19)</f>
        <v>101.54999999999998</v>
      </c>
      <c r="AW20" s="261">
        <f>+SUM(AW18:AW19)</f>
        <v>377.75400000000002</v>
      </c>
      <c r="AX20" s="252"/>
      <c r="AY20" s="259">
        <f>+SUM(AY18:AY19)</f>
        <v>104.702</v>
      </c>
      <c r="AZ20" s="259">
        <f>+SUM(AZ18:AZ19)</f>
        <v>102.752</v>
      </c>
      <c r="BA20" s="259">
        <f>+SUM(BA18:BA19)</f>
        <v>97.453000000000003</v>
      </c>
      <c r="BB20" s="259">
        <f>+SUM(BB18:BB19)</f>
        <v>104.2</v>
      </c>
      <c r="BC20" s="261">
        <f>+SUM(BC18:BC19)</f>
        <v>409.10699999999997</v>
      </c>
      <c r="BD20" s="252"/>
      <c r="BE20" s="259">
        <f>+SUM(BE18:BE19)</f>
        <v>100.60000000000001</v>
      </c>
      <c r="BF20" s="259">
        <f>+SUM(BF18:BF19)</f>
        <v>104.30000000000001</v>
      </c>
      <c r="BG20" s="259">
        <f>+SUM(BG18:BG19)</f>
        <v>104.5</v>
      </c>
      <c r="BH20" s="259">
        <f>+SUM(BH18:BH19)</f>
        <v>107.5</v>
      </c>
      <c r="BI20" s="261">
        <f>+SUM(BI18:BI19)</f>
        <v>416.9</v>
      </c>
      <c r="BJ20" s="252"/>
      <c r="BK20" s="259">
        <f>+SUM(BK18:BK19)</f>
        <v>115.9</v>
      </c>
      <c r="BL20" s="259">
        <f>+SUM(BL18:BL19)</f>
        <v>128.5</v>
      </c>
      <c r="BM20" s="259">
        <f>+SUM(BM18:BM19)</f>
        <v>128.6</v>
      </c>
      <c r="BN20" s="259">
        <f>+SUM(BN18:BN19)</f>
        <v>130</v>
      </c>
      <c r="BO20" s="261">
        <f>+SUM(BO18:BO19)</f>
        <v>502.99999999999994</v>
      </c>
      <c r="BP20" s="252"/>
      <c r="BQ20" s="259">
        <f>+SUM(BQ18:BQ19)</f>
        <v>122.5</v>
      </c>
      <c r="BR20" s="259">
        <f>+SUM(BR18:BR19)</f>
        <v>121.4</v>
      </c>
      <c r="BS20" s="259">
        <f>+SUM(BS18:BS19)</f>
        <v>121.50969086067184</v>
      </c>
      <c r="BT20" s="259">
        <f>+SUM(BT18:BT19)</f>
        <v>126.20484874475591</v>
      </c>
      <c r="BU20" s="261">
        <f>+SUM(BU18:BU19)</f>
        <v>491.61453960542769</v>
      </c>
      <c r="BV20" s="252"/>
      <c r="BW20" s="259">
        <f>+SUM(BW18:BW19)</f>
        <v>119.98944846844601</v>
      </c>
      <c r="BX20" s="259">
        <f>+SUM(BX18:BX19)</f>
        <v>122.25470606828146</v>
      </c>
      <c r="BY20" s="259">
        <f>+SUM(BY18:BY19)</f>
        <v>124.44089637916967</v>
      </c>
      <c r="BZ20" s="259">
        <f>+SUM(BZ18:BZ19)</f>
        <v>130.60193448722663</v>
      </c>
      <c r="CA20" s="261">
        <f>+SUM(CA18:CA19)</f>
        <v>497.28698540312377</v>
      </c>
      <c r="CB20" s="252"/>
      <c r="CC20" s="259">
        <f>+SUM(CC18:CC19)</f>
        <v>125.32446158243238</v>
      </c>
      <c r="CD20" s="259">
        <f>+SUM(CD18:CD19)</f>
        <v>129.07859375690657</v>
      </c>
      <c r="CE20" s="259">
        <f>+SUM(CE18:CE19)</f>
        <v>131.48186039405581</v>
      </c>
      <c r="CF20" s="259">
        <f>+SUM(CF18:CF19)</f>
        <v>138.57204169145413</v>
      </c>
      <c r="CG20" s="261">
        <f>+SUM(CG18:CG19)</f>
        <v>524.45695742484895</v>
      </c>
      <c r="CH20" s="252"/>
      <c r="CI20" s="259">
        <f t="shared" ref="CI20:CM20" si="61">+SUM(CI18:CI19)</f>
        <v>133.93262657850548</v>
      </c>
      <c r="CJ20" s="259">
        <f t="shared" si="61"/>
        <v>138.39465749471051</v>
      </c>
      <c r="CK20" s="259">
        <f t="shared" si="61"/>
        <v>140.23796852963278</v>
      </c>
      <c r="CL20" s="259">
        <f t="shared" si="61"/>
        <v>147.78673261120636</v>
      </c>
      <c r="CM20" s="261">
        <f t="shared" si="61"/>
        <v>560.35198521405505</v>
      </c>
      <c r="CN20" s="252"/>
      <c r="CO20" s="259">
        <f t="shared" ref="CO20:CS20" si="62">+SUM(CO18:CO19)</f>
        <v>143.10058347953344</v>
      </c>
      <c r="CP20" s="259">
        <f t="shared" si="62"/>
        <v>149.02625009115809</v>
      </c>
      <c r="CQ20" s="259">
        <f t="shared" si="62"/>
        <v>149.46106255471548</v>
      </c>
      <c r="CR20" s="259">
        <f t="shared" si="62"/>
        <v>158.32342404594201</v>
      </c>
      <c r="CS20" s="261">
        <f t="shared" si="62"/>
        <v>599.91132017134896</v>
      </c>
      <c r="CT20" s="259"/>
      <c r="DA20" s="757"/>
      <c r="DB20" s="726"/>
      <c r="DC20" s="726"/>
      <c r="DD20" s="726"/>
      <c r="DE20" s="73"/>
      <c r="DF20" s="167"/>
      <c r="DG20" s="73"/>
      <c r="DH20" s="73"/>
      <c r="DI20" s="762"/>
      <c r="DJ20" s="73"/>
      <c r="DK20" s="73"/>
      <c r="DL20" s="73"/>
      <c r="DM20" s="762"/>
      <c r="DN20" s="73"/>
      <c r="DO20" s="73"/>
      <c r="DP20" s="73"/>
      <c r="DQ20" s="762"/>
      <c r="DR20" s="73"/>
      <c r="DS20" s="73"/>
      <c r="DT20" s="73"/>
      <c r="DU20" s="762"/>
      <c r="DV20" s="73"/>
      <c r="DW20" s="73"/>
      <c r="DX20" s="73"/>
      <c r="DY20" s="762"/>
      <c r="DZ20" s="73"/>
      <c r="EA20" s="73"/>
      <c r="EB20" s="73"/>
      <c r="EC20" s="73"/>
      <c r="ED20" s="73"/>
      <c r="EE20" s="73"/>
      <c r="EF20" s="73"/>
      <c r="EG20" s="73"/>
      <c r="EH20" s="73"/>
      <c r="EI20" s="73"/>
      <c r="EJ20" s="73"/>
      <c r="EK20" s="73"/>
      <c r="EL20" s="73"/>
    </row>
    <row r="21" spans="1:142" ht="4.5" customHeight="1" x14ac:dyDescent="0.2">
      <c r="A21" s="40"/>
      <c r="B21" s="34"/>
      <c r="C21" s="362"/>
      <c r="D21" s="37"/>
      <c r="E21" s="37"/>
      <c r="F21" s="37"/>
      <c r="G21" s="91"/>
      <c r="H21" s="241"/>
      <c r="I21" s="362"/>
      <c r="J21" s="37"/>
      <c r="K21" s="37"/>
      <c r="L21" s="37"/>
      <c r="M21" s="91"/>
      <c r="N21" s="241"/>
      <c r="O21" s="362"/>
      <c r="P21" s="37"/>
      <c r="Q21" s="37"/>
      <c r="R21" s="37"/>
      <c r="S21" s="91"/>
      <c r="T21" s="241"/>
      <c r="U21" s="362"/>
      <c r="V21" s="37"/>
      <c r="W21" s="37"/>
      <c r="X21" s="37"/>
      <c r="Y21" s="91"/>
      <c r="Z21" s="241"/>
      <c r="AA21" s="362"/>
      <c r="AB21" s="37"/>
      <c r="AC21" s="37"/>
      <c r="AD21" s="37"/>
      <c r="AE21" s="91"/>
      <c r="AF21" s="241"/>
      <c r="AG21" s="362"/>
      <c r="AH21" s="37"/>
      <c r="AI21" s="37"/>
      <c r="AJ21" s="37"/>
      <c r="AK21" s="91"/>
      <c r="AL21" s="241"/>
      <c r="AM21" s="37"/>
      <c r="AN21" s="37"/>
      <c r="AO21" s="37"/>
      <c r="AP21" s="37"/>
      <c r="AQ21" s="91"/>
      <c r="AR21" s="241"/>
      <c r="AS21" s="37"/>
      <c r="AT21" s="37"/>
      <c r="AU21" s="37"/>
      <c r="AV21" s="37"/>
      <c r="AW21" s="91"/>
      <c r="AX21" s="241"/>
      <c r="AY21" s="37"/>
      <c r="AZ21" s="37"/>
      <c r="BA21" s="37"/>
      <c r="BB21" s="37"/>
      <c r="BC21" s="91"/>
      <c r="BD21" s="241"/>
      <c r="BE21" s="37"/>
      <c r="BF21" s="37"/>
      <c r="BG21" s="37"/>
      <c r="BH21" s="37"/>
      <c r="BI21" s="91"/>
      <c r="BJ21" s="241"/>
      <c r="BK21" s="37"/>
      <c r="BL21" s="37"/>
      <c r="BM21" s="37"/>
      <c r="BN21" s="37"/>
      <c r="BO21" s="91"/>
      <c r="BP21" s="241"/>
      <c r="BQ21" s="37"/>
      <c r="BR21" s="37"/>
      <c r="BS21" s="37"/>
      <c r="BT21" s="37"/>
      <c r="BU21" s="91"/>
      <c r="BV21" s="241"/>
      <c r="BW21" s="37"/>
      <c r="BX21" s="37"/>
      <c r="BY21" s="37"/>
      <c r="BZ21" s="37"/>
      <c r="CA21" s="91"/>
      <c r="CB21" s="241"/>
      <c r="CC21" s="37"/>
      <c r="CD21" s="37"/>
      <c r="CE21" s="37"/>
      <c r="CF21" s="37"/>
      <c r="CG21" s="91"/>
      <c r="CH21" s="241"/>
      <c r="CI21" s="37"/>
      <c r="CJ21" s="37"/>
      <c r="CK21" s="37"/>
      <c r="CL21" s="37"/>
      <c r="CM21" s="91"/>
      <c r="CN21" s="241"/>
      <c r="CO21" s="37"/>
      <c r="CP21" s="37"/>
      <c r="CQ21" s="37"/>
      <c r="CR21" s="37"/>
      <c r="CS21" s="91"/>
      <c r="CT21" s="37"/>
      <c r="DA21" s="464"/>
      <c r="DB21" s="464"/>
      <c r="DC21" s="464"/>
      <c r="DD21" s="464"/>
      <c r="DE21" s="73"/>
      <c r="DF21" s="73"/>
      <c r="DG21" s="73"/>
      <c r="DH21" s="73"/>
      <c r="DI21" s="73"/>
      <c r="DJ21" s="73"/>
      <c r="DK21" s="73"/>
      <c r="DL21" s="73"/>
      <c r="DM21" s="73"/>
      <c r="DN21" s="73"/>
      <c r="DO21" s="73"/>
      <c r="DP21" s="73"/>
      <c r="DQ21" s="73"/>
      <c r="DR21" s="73"/>
      <c r="DS21" s="73"/>
      <c r="DT21" s="73"/>
      <c r="DU21" s="73"/>
      <c r="DV21" s="73"/>
      <c r="DW21" s="73"/>
      <c r="DX21" s="73"/>
      <c r="DY21" s="73"/>
      <c r="DZ21" s="73"/>
      <c r="EA21" s="73"/>
      <c r="EB21" s="73"/>
      <c r="EC21" s="73"/>
      <c r="ED21" s="73"/>
      <c r="EE21" s="73"/>
      <c r="EF21" s="73"/>
      <c r="EG21" s="73"/>
      <c r="EH21" s="73"/>
      <c r="EI21" s="73"/>
      <c r="EJ21" s="73"/>
      <c r="EK21" s="73"/>
      <c r="EL21" s="73"/>
    </row>
    <row r="22" spans="1:142" ht="11.25" customHeight="1" x14ac:dyDescent="0.2">
      <c r="A22" s="43"/>
      <c r="B22" s="456" t="s">
        <v>184</v>
      </c>
      <c r="C22" s="264">
        <f>+C24+'Cash Flow'!C9</f>
        <v>-13.243000000000004</v>
      </c>
      <c r="D22" s="264">
        <f>+D24+'Cash Flow'!D9</f>
        <v>-9.5450000000000035</v>
      </c>
      <c r="E22" s="264">
        <f>+E24+'Cash Flow'!E9</f>
        <v>-7.1369999999999987</v>
      </c>
      <c r="F22" s="264">
        <f>+F24+'Cash Flow'!F9</f>
        <v>-10.257999999999992</v>
      </c>
      <c r="G22" s="457">
        <f>+G24+'Cash Flow'!G9</f>
        <v>-40.183000000000021</v>
      </c>
      <c r="H22" s="123"/>
      <c r="I22" s="264">
        <f>+I24+'Cash Flow'!I9</f>
        <v>-9.5140000000000011</v>
      </c>
      <c r="J22" s="264">
        <f>+J24+'Cash Flow'!J9</f>
        <v>-6.5689999999999973</v>
      </c>
      <c r="K22" s="264">
        <f>+K24+'Cash Flow'!K9</f>
        <v>-5.5289999999999946</v>
      </c>
      <c r="L22" s="264">
        <f>+L24+'Cash Flow'!L9</f>
        <v>21.425999999999995</v>
      </c>
      <c r="M22" s="457">
        <f>+M24+'Cash Flow'!M9</f>
        <v>-0.18600000000001238</v>
      </c>
      <c r="N22" s="123"/>
      <c r="O22" s="264">
        <f>+O24+'Cash Flow'!O9</f>
        <v>25.645000000000003</v>
      </c>
      <c r="P22" s="264">
        <f>+P24+'Cash Flow'!P9</f>
        <v>35.662999999999997</v>
      </c>
      <c r="Q22" s="264">
        <f>+Q24+'Cash Flow'!Q9</f>
        <v>37.668000000000006</v>
      </c>
      <c r="R22" s="264">
        <f>+R24+'Cash Flow'!R9</f>
        <v>36.934999999999988</v>
      </c>
      <c r="S22" s="457">
        <f>+S24+'Cash Flow'!S9</f>
        <v>135.911</v>
      </c>
      <c r="T22" s="123"/>
      <c r="U22" s="264">
        <f>+U24+'Cash Flow'!U9</f>
        <v>31.491000000000003</v>
      </c>
      <c r="V22" s="264">
        <f>+V24+'Cash Flow'!V9</f>
        <v>36.257000000000005</v>
      </c>
      <c r="W22" s="264">
        <f>+W24+'Cash Flow'!W9</f>
        <v>35.003</v>
      </c>
      <c r="X22" s="264">
        <f>+X24+'Cash Flow'!X9</f>
        <v>39.408000000000044</v>
      </c>
      <c r="Y22" s="457">
        <f>+Y24+'Cash Flow'!Y9</f>
        <v>142.15900000000005</v>
      </c>
      <c r="Z22" s="123"/>
      <c r="AA22" s="264">
        <f>+AA24+'Cash Flow'!AA9</f>
        <v>37.348000000000006</v>
      </c>
      <c r="AB22" s="264">
        <f>+AB24+'Cash Flow'!AB9</f>
        <v>40.370000000000005</v>
      </c>
      <c r="AC22" s="264">
        <f>+AC24+'Cash Flow'!AC9</f>
        <v>43.623999999999995</v>
      </c>
      <c r="AD22" s="264">
        <f>+AD24+'Cash Flow'!AD9</f>
        <v>43.655000000000001</v>
      </c>
      <c r="AE22" s="457">
        <f>+AE24+'Cash Flow'!AE9</f>
        <v>164.99700000000004</v>
      </c>
      <c r="AF22" s="123"/>
      <c r="AG22" s="264">
        <f>+AG24+'Cash Flow'!AG9</f>
        <v>43.618999999999993</v>
      </c>
      <c r="AH22" s="264">
        <f>+AH24+'Cash Flow'!AH9</f>
        <v>47.756</v>
      </c>
      <c r="AI22" s="264">
        <f>+AI24+'Cash Flow'!AI9</f>
        <v>48.398999999999972</v>
      </c>
      <c r="AJ22" s="264">
        <f>+AJ24+'Cash Flow'!AJ9</f>
        <v>49.613</v>
      </c>
      <c r="AK22" s="457">
        <f>+AK24+'Cash Flow'!AK9</f>
        <v>189.38699999999997</v>
      </c>
      <c r="AL22" s="123"/>
      <c r="AM22" s="264">
        <f>+AM24+'Cash Flow'!AM9</f>
        <v>50.793000000000006</v>
      </c>
      <c r="AN22" s="264">
        <f>+AN24+'Cash Flow'!AN9</f>
        <v>57.82999999999997</v>
      </c>
      <c r="AO22" s="264">
        <f>+AO24+'Cash Flow'!AO9</f>
        <v>60.291999999999994</v>
      </c>
      <c r="AP22" s="264">
        <f>+AP24+'Cash Flow'!AP9</f>
        <v>68.17</v>
      </c>
      <c r="AQ22" s="457">
        <f>+AQ24+'Cash Flow'!AQ9</f>
        <v>237.08500000000004</v>
      </c>
      <c r="AR22" s="123"/>
      <c r="AS22" s="264">
        <f>+AS24+'Cash Flow'!AS9</f>
        <v>85.276000000000025</v>
      </c>
      <c r="AT22" s="264">
        <f>+AT24+'Cash Flow'!AT9</f>
        <v>85.927999999999997</v>
      </c>
      <c r="AU22" s="264">
        <f>+AU24+'Cash Flow'!AU9</f>
        <v>72.535999999999987</v>
      </c>
      <c r="AV22" s="264">
        <f>+AV24+'Cash Flow'!AV9</f>
        <v>61.763000000000041</v>
      </c>
      <c r="AW22" s="457">
        <f>+AW24+'Cash Flow'!AW9</f>
        <v>305.50299999999999</v>
      </c>
      <c r="AX22" s="123"/>
      <c r="AY22" s="264">
        <f>+AY24+'Cash Flow'!AY9</f>
        <v>35.223999999999982</v>
      </c>
      <c r="AZ22" s="264">
        <f>+AZ24+'Cash Flow'!AZ9</f>
        <v>49.825000000000003</v>
      </c>
      <c r="BA22" s="264">
        <f>+BA24+'Cash Flow'!BA9</f>
        <v>52.638000000000005</v>
      </c>
      <c r="BB22" s="264">
        <f>+BB24+'Cash Flow'!BB9</f>
        <v>54.784926218980786</v>
      </c>
      <c r="BC22" s="457">
        <f>+BC24+'Cash Flow'!BC9</f>
        <v>192.4719262189808</v>
      </c>
      <c r="BD22" s="123"/>
      <c r="BE22" s="264">
        <f>+BE24+'Cash Flow'!BE9</f>
        <v>53.231383836686774</v>
      </c>
      <c r="BF22" s="264">
        <f>+BF24+'Cash Flow'!BF9</f>
        <v>55.089222028001345</v>
      </c>
      <c r="BG22" s="264">
        <f>+BG24+'Cash Flow'!BG9</f>
        <v>52.318020622574977</v>
      </c>
      <c r="BH22" s="264">
        <f>+BH24+'Cash Flow'!BH9</f>
        <v>45.700000000000031</v>
      </c>
      <c r="BI22" s="457">
        <f>+BI24+'Cash Flow'!BI9</f>
        <v>206.33862648726318</v>
      </c>
      <c r="BJ22" s="123"/>
      <c r="BK22" s="264">
        <f>+BK24+'Cash Flow'!BK9</f>
        <v>30.80619851575015</v>
      </c>
      <c r="BL22" s="264">
        <f>+BL24+'Cash Flow'!BL9</f>
        <v>36.549352850119362</v>
      </c>
      <c r="BM22" s="264">
        <f>+BM24+'Cash Flow'!BM9</f>
        <v>36.911125094416143</v>
      </c>
      <c r="BN22" s="264">
        <f>+BN24+'Cash Flow'!BN9</f>
        <v>41.259944350473702</v>
      </c>
      <c r="BO22" s="457">
        <f>+BO24+'Cash Flow'!BO9</f>
        <v>145.52662081075948</v>
      </c>
      <c r="BP22" s="123"/>
      <c r="BQ22" s="264">
        <f>+BQ24+'Cash Flow'!BQ9</f>
        <v>37.873636020087005</v>
      </c>
      <c r="BR22" s="264">
        <f>+BR24+'Cash Flow'!BR9</f>
        <v>41.275384650316774</v>
      </c>
      <c r="BS22" s="264">
        <f>+BS24+'Cash Flow'!BS9</f>
        <v>38.410168698657152</v>
      </c>
      <c r="BT22" s="264">
        <f>+BT24+'Cash Flow'!BT9</f>
        <v>40.457749154463642</v>
      </c>
      <c r="BU22" s="457">
        <f>+BU24+'Cash Flow'!BU9</f>
        <v>158.01693852352463</v>
      </c>
      <c r="BV22" s="123"/>
      <c r="BW22" s="264">
        <f>+BW24+'Cash Flow'!BW9</f>
        <v>39.776736325379709</v>
      </c>
      <c r="BX22" s="264">
        <f>+BX24+'Cash Flow'!BX9</f>
        <v>43.894107497180379</v>
      </c>
      <c r="BY22" s="264">
        <f>+BY24+'Cash Flow'!BY9</f>
        <v>42.976975904069675</v>
      </c>
      <c r="BZ22" s="264">
        <f>+BZ24+'Cash Flow'!BZ9</f>
        <v>46.126738567018229</v>
      </c>
      <c r="CA22" s="457">
        <f>+CA24+'Cash Flow'!CA9</f>
        <v>172.77455829364811</v>
      </c>
      <c r="CB22" s="123"/>
      <c r="CC22" s="264">
        <f>+CC24+'Cash Flow'!CC9</f>
        <v>43.109092858252865</v>
      </c>
      <c r="CD22" s="264">
        <f>+CD24+'Cash Flow'!CD9</f>
        <v>47.789082371581394</v>
      </c>
      <c r="CE22" s="264">
        <f>+CE24+'Cash Flow'!CE9</f>
        <v>46.426932341914053</v>
      </c>
      <c r="CF22" s="264">
        <f>+CF24+'Cash Flow'!CF9</f>
        <v>49.627891524505756</v>
      </c>
      <c r="CG22" s="457">
        <f>+CG24+'Cash Flow'!CG9</f>
        <v>186.95299909625413</v>
      </c>
      <c r="CH22" s="123"/>
      <c r="CI22" s="264">
        <f>+CI24+'Cash Flow'!CU9</f>
        <v>32.228970863858535</v>
      </c>
      <c r="CJ22" s="264">
        <f>+CJ24+'Cash Flow'!CV9</f>
        <v>37.209387944651809</v>
      </c>
      <c r="CK22" s="264">
        <f>+CK24+'Cash Flow'!CW9</f>
        <v>35.249186475186804</v>
      </c>
      <c r="CL22" s="264">
        <f>+CL24+'Cash Flow'!CX9</f>
        <v>38.285328979863635</v>
      </c>
      <c r="CM22" s="457">
        <f>+CM24+'Cash Flow'!CY9</f>
        <v>142.97287426356093</v>
      </c>
      <c r="CN22" s="123"/>
      <c r="CO22" s="264">
        <f>+CO24+'Cash Flow'!DA9</f>
        <v>35.479743065628725</v>
      </c>
      <c r="CP22" s="264">
        <f>+CP24+'Cash Flow'!DB9</f>
        <v>41.248558732020484</v>
      </c>
      <c r="CQ22" s="264">
        <f>+CQ24+'Cash Flow'!DC9</f>
        <v>38.867220494783425</v>
      </c>
      <c r="CR22" s="264">
        <f>+CR24+'Cash Flow'!DD9</f>
        <v>42.212441573028883</v>
      </c>
      <c r="CS22" s="457">
        <f>+CS24+'Cash Flow'!DE9</f>
        <v>157.80796386546149</v>
      </c>
      <c r="CT22" s="336"/>
      <c r="DA22" s="336"/>
      <c r="DB22" s="31"/>
      <c r="DC22" s="31"/>
      <c r="DD22" s="31"/>
      <c r="DE22" s="73"/>
      <c r="DF22" s="167"/>
      <c r="DG22" s="73"/>
      <c r="DH22" s="73"/>
      <c r="DI22" s="762"/>
      <c r="DJ22" s="73"/>
      <c r="DK22" s="73"/>
      <c r="DL22" s="73"/>
      <c r="DM22" s="762"/>
      <c r="DN22" s="73"/>
      <c r="DO22" s="73"/>
      <c r="DP22" s="73"/>
      <c r="DQ22" s="762"/>
      <c r="DR22" s="73"/>
      <c r="DS22" s="73"/>
      <c r="DT22" s="73"/>
      <c r="DU22" s="762"/>
      <c r="DV22" s="73"/>
      <c r="DW22" s="73"/>
      <c r="DX22" s="73"/>
      <c r="DY22" s="762"/>
      <c r="DZ22" s="73"/>
      <c r="EA22" s="73"/>
      <c r="EB22" s="73"/>
      <c r="EC22" s="73"/>
      <c r="ED22" s="73"/>
      <c r="EE22" s="73"/>
      <c r="EF22" s="73"/>
      <c r="EG22" s="73"/>
      <c r="EH22" s="73"/>
      <c r="EI22" s="73"/>
      <c r="EJ22" s="73"/>
      <c r="EK22" s="73"/>
      <c r="EL22" s="73"/>
    </row>
    <row r="23" spans="1:142" ht="4.5" customHeight="1" x14ac:dyDescent="0.2">
      <c r="B23" s="33"/>
      <c r="C23" s="38"/>
      <c r="D23" s="38"/>
      <c r="E23" s="38"/>
      <c r="F23" s="38"/>
      <c r="G23" s="92"/>
      <c r="H23" s="241"/>
      <c r="I23" s="38"/>
      <c r="J23" s="38"/>
      <c r="K23" s="38"/>
      <c r="L23" s="38"/>
      <c r="M23" s="92"/>
      <c r="N23" s="241"/>
      <c r="O23" s="38"/>
      <c r="P23" s="38"/>
      <c r="Q23" s="38"/>
      <c r="R23" s="38"/>
      <c r="S23" s="92"/>
      <c r="T23" s="241"/>
      <c r="U23" s="38"/>
      <c r="V23" s="38"/>
      <c r="W23" s="38"/>
      <c r="X23" s="38"/>
      <c r="Y23" s="92"/>
      <c r="Z23" s="241"/>
      <c r="AA23" s="38"/>
      <c r="AB23" s="38"/>
      <c r="AC23" s="38"/>
      <c r="AD23" s="38"/>
      <c r="AE23" s="92"/>
      <c r="AF23" s="241"/>
      <c r="AG23" s="38"/>
      <c r="AH23" s="38"/>
      <c r="AI23" s="38"/>
      <c r="AJ23" s="38"/>
      <c r="AK23" s="92"/>
      <c r="AL23" s="241"/>
      <c r="AM23" s="38"/>
      <c r="AN23" s="38"/>
      <c r="AO23" s="38"/>
      <c r="AP23" s="38"/>
      <c r="AQ23" s="92"/>
      <c r="AR23" s="241"/>
      <c r="AS23" s="38"/>
      <c r="AT23" s="38"/>
      <c r="AU23" s="38"/>
      <c r="AV23" s="38"/>
      <c r="AW23" s="92"/>
      <c r="AX23" s="241"/>
      <c r="AY23" s="38"/>
      <c r="AZ23" s="38"/>
      <c r="BA23" s="38"/>
      <c r="BB23" s="38"/>
      <c r="BC23" s="92"/>
      <c r="BD23" s="241"/>
      <c r="BE23" s="38"/>
      <c r="BF23" s="38"/>
      <c r="BG23" s="38"/>
      <c r="BH23" s="38"/>
      <c r="BI23" s="92"/>
      <c r="BJ23" s="241"/>
      <c r="BK23" s="38"/>
      <c r="BL23" s="38"/>
      <c r="BM23" s="38"/>
      <c r="BN23" s="38"/>
      <c r="BO23" s="92"/>
      <c r="BP23" s="241"/>
      <c r="BQ23" s="38"/>
      <c r="BR23" s="38"/>
      <c r="BS23" s="38"/>
      <c r="BT23" s="38"/>
      <c r="BU23" s="92"/>
      <c r="BV23" s="241"/>
      <c r="BW23" s="38"/>
      <c r="BX23" s="38"/>
      <c r="BY23" s="38"/>
      <c r="BZ23" s="38"/>
      <c r="CA23" s="92"/>
      <c r="CB23" s="241"/>
      <c r="CC23" s="38"/>
      <c r="CD23" s="38"/>
      <c r="CE23" s="38"/>
      <c r="CF23" s="38"/>
      <c r="CG23" s="92"/>
      <c r="CH23" s="241"/>
      <c r="CI23" s="38"/>
      <c r="CJ23" s="38"/>
      <c r="CK23" s="38"/>
      <c r="CL23" s="38"/>
      <c r="CM23" s="92"/>
      <c r="CN23" s="241"/>
      <c r="CO23" s="38"/>
      <c r="CP23" s="38"/>
      <c r="CQ23" s="38"/>
      <c r="CR23" s="38"/>
      <c r="CS23" s="92"/>
      <c r="CT23" s="38"/>
      <c r="DA23" s="31"/>
      <c r="DB23" s="31"/>
      <c r="DC23" s="31"/>
      <c r="DD23" s="31"/>
      <c r="DE23" s="73"/>
      <c r="DF23" s="73"/>
      <c r="DG23" s="73"/>
      <c r="DH23" s="73"/>
      <c r="DI23" s="73"/>
      <c r="DJ23" s="73"/>
      <c r="DK23" s="73"/>
      <c r="DL23" s="73"/>
      <c r="DM23" s="73"/>
      <c r="DN23" s="73"/>
      <c r="DO23" s="73"/>
      <c r="DP23" s="73"/>
      <c r="DQ23" s="73"/>
      <c r="DR23" s="73"/>
      <c r="DS23" s="73"/>
      <c r="DT23" s="73"/>
      <c r="DU23" s="73"/>
      <c r="DV23" s="73"/>
      <c r="DW23" s="73"/>
      <c r="DX23" s="73"/>
      <c r="DY23" s="73"/>
      <c r="DZ23" s="73"/>
      <c r="EA23" s="73"/>
      <c r="EB23" s="73"/>
      <c r="EC23" s="73"/>
      <c r="ED23" s="73"/>
      <c r="EE23" s="73"/>
      <c r="EF23" s="73"/>
      <c r="EG23" s="73"/>
      <c r="EH23" s="73"/>
      <c r="EI23" s="73"/>
      <c r="EJ23" s="73"/>
      <c r="EK23" s="73"/>
      <c r="EL23" s="73"/>
    </row>
    <row r="24" spans="1:142" x14ac:dyDescent="0.2">
      <c r="A24" s="129"/>
      <c r="B24" s="318" t="s">
        <v>65</v>
      </c>
      <c r="C24" s="258">
        <f>+C14-C20</f>
        <v>-15.000000000000004</v>
      </c>
      <c r="D24" s="258">
        <f>+D14-D20</f>
        <v>-11.369000000000003</v>
      </c>
      <c r="E24" s="258">
        <f>+E14-E20</f>
        <v>-9.0919999999999987</v>
      </c>
      <c r="F24" s="258">
        <f>+F14-F20</f>
        <v>-12.265999999999991</v>
      </c>
      <c r="G24" s="260">
        <f>+G14-G20</f>
        <v>-47.727000000000018</v>
      </c>
      <c r="H24" s="123"/>
      <c r="I24" s="258">
        <f>+I14-I20</f>
        <v>-11.582000000000001</v>
      </c>
      <c r="J24" s="258">
        <f>+J14-J20</f>
        <v>-8.7359999999999971</v>
      </c>
      <c r="K24" s="258">
        <f>+K14-K20</f>
        <v>-7.8159999999999954</v>
      </c>
      <c r="L24" s="258">
        <f>+L14-L20</f>
        <v>19.166999999999994</v>
      </c>
      <c r="M24" s="260">
        <f>+M14-M20</f>
        <v>-8.967000000000013</v>
      </c>
      <c r="N24" s="123"/>
      <c r="O24" s="258">
        <f>+O14-O20</f>
        <v>23.389000000000003</v>
      </c>
      <c r="P24" s="258">
        <f>+P14-P20</f>
        <v>33.316999999999993</v>
      </c>
      <c r="Q24" s="258">
        <f>+Q14-Q20</f>
        <v>35.260000000000005</v>
      </c>
      <c r="R24" s="258">
        <f>+R14-R20</f>
        <v>34.495999999999988</v>
      </c>
      <c r="S24" s="260">
        <f>+S14-S20</f>
        <v>126.46199999999999</v>
      </c>
      <c r="T24" s="123"/>
      <c r="U24" s="258">
        <f>+U14-U20</f>
        <v>29.712000000000003</v>
      </c>
      <c r="V24" s="258">
        <f>+V14-V20</f>
        <v>34.522000000000006</v>
      </c>
      <c r="W24" s="258">
        <f>+W14-W20</f>
        <v>33.225000000000001</v>
      </c>
      <c r="X24" s="258">
        <f>+X14-X20</f>
        <v>37.616000000000042</v>
      </c>
      <c r="Y24" s="260">
        <f>+Y14-Y20</f>
        <v>135.07500000000005</v>
      </c>
      <c r="Z24" s="123"/>
      <c r="AA24" s="258">
        <f>+AA14-AA20</f>
        <v>35.591000000000008</v>
      </c>
      <c r="AB24" s="258">
        <f>+AB14-AB20</f>
        <v>38.586000000000006</v>
      </c>
      <c r="AC24" s="258">
        <f>+AC14-AC20</f>
        <v>41.823999999999998</v>
      </c>
      <c r="AD24" s="258">
        <f>+AD14-AD20</f>
        <v>41.777000000000001</v>
      </c>
      <c r="AE24" s="260">
        <f>+AE14-AE20</f>
        <v>157.77800000000005</v>
      </c>
      <c r="AF24" s="123"/>
      <c r="AG24" s="258">
        <f>+AG14-AG20</f>
        <v>41.471999999999994</v>
      </c>
      <c r="AH24" s="258">
        <f>+AH14-AH20</f>
        <v>45.465000000000003</v>
      </c>
      <c r="AI24" s="258">
        <f>+AI14-AI20</f>
        <v>46.095999999999975</v>
      </c>
      <c r="AJ24" s="258">
        <f>+AJ14-AJ20</f>
        <v>47.284999999999997</v>
      </c>
      <c r="AK24" s="260">
        <f>+AK14-AK20</f>
        <v>180.31799999999998</v>
      </c>
      <c r="AL24" s="123"/>
      <c r="AM24" s="258">
        <f>+AM14-AM20</f>
        <v>48.582000000000008</v>
      </c>
      <c r="AN24" s="258">
        <f>+AN14-AN20</f>
        <v>55.58599999999997</v>
      </c>
      <c r="AO24" s="258">
        <f>+AO14-AO20</f>
        <v>58.111999999999995</v>
      </c>
      <c r="AP24" s="258">
        <f>+AP14-AP20</f>
        <v>65.915999999999997</v>
      </c>
      <c r="AQ24" s="260">
        <f>+AQ14-AQ20</f>
        <v>228.19600000000003</v>
      </c>
      <c r="AR24" s="123"/>
      <c r="AS24" s="258">
        <f>+AS14-AS20</f>
        <v>82.904000000000025</v>
      </c>
      <c r="AT24" s="258">
        <f>+AT14-AT20</f>
        <v>83.489000000000004</v>
      </c>
      <c r="AU24" s="258">
        <f>+AU14-AU20</f>
        <v>69.055999999999983</v>
      </c>
      <c r="AV24" s="258">
        <f>+AV14-AV20</f>
        <v>56.235000000000042</v>
      </c>
      <c r="AW24" s="260">
        <f>+AW14-AW20</f>
        <v>291.68399999999997</v>
      </c>
      <c r="AX24" s="123"/>
      <c r="AY24" s="258">
        <f>+AY14-AY20</f>
        <v>29.269999999999982</v>
      </c>
      <c r="AZ24" s="258">
        <f>+AZ14-AZ20</f>
        <v>43.789000000000001</v>
      </c>
      <c r="BA24" s="258">
        <f>+BA14-BA20</f>
        <v>46.239000000000004</v>
      </c>
      <c r="BB24" s="258">
        <f>+BB14-BB20</f>
        <v>48.173926218980782</v>
      </c>
      <c r="BC24" s="260">
        <f>+BC14-BC20</f>
        <v>167.4719262189808</v>
      </c>
      <c r="BD24" s="123"/>
      <c r="BE24" s="258">
        <f>+BE14-BE20</f>
        <v>46.431383836686777</v>
      </c>
      <c r="BF24" s="258">
        <f>+BF14-BF20</f>
        <v>48.389222028001342</v>
      </c>
      <c r="BG24" s="258">
        <f>+BG14-BG20</f>
        <v>45.818020622574977</v>
      </c>
      <c r="BH24" s="258">
        <f>+BH14-BH20</f>
        <v>39.000000000000028</v>
      </c>
      <c r="BI24" s="260">
        <f>+BI14-BI20</f>
        <v>179.6386264872632</v>
      </c>
      <c r="BJ24" s="123"/>
      <c r="BK24" s="258">
        <f>+BK14-BK20</f>
        <v>21.606198515750151</v>
      </c>
      <c r="BL24" s="258">
        <f>+BL14-BL20</f>
        <v>23.649352850119357</v>
      </c>
      <c r="BM24" s="258">
        <f>+BM14-BM20</f>
        <v>24.011125094416144</v>
      </c>
      <c r="BN24" s="258">
        <f>+BN14-BN20</f>
        <v>27.959944350473705</v>
      </c>
      <c r="BO24" s="260">
        <f>+BO14-BO20</f>
        <v>97.226620810759471</v>
      </c>
      <c r="BP24" s="123"/>
      <c r="BQ24" s="258">
        <f>+BQ14-BQ20</f>
        <v>24.673636020087002</v>
      </c>
      <c r="BR24" s="258">
        <f>+BR14-BR20</f>
        <v>28.175384650316772</v>
      </c>
      <c r="BS24" s="258">
        <f>+BS14-BS20</f>
        <v>25.195119915382492</v>
      </c>
      <c r="BT24" s="258">
        <f>+BT14-BT20</f>
        <v>27.123014938294943</v>
      </c>
      <c r="BU24" s="260">
        <f>+BU14-BU20</f>
        <v>105.16715552408129</v>
      </c>
      <c r="BV24" s="123"/>
      <c r="BW24" s="258">
        <f>+BW14-BW20</f>
        <v>26.14258009217788</v>
      </c>
      <c r="BX24" s="258">
        <f>+BX14-BX20</f>
        <v>30.339034553599888</v>
      </c>
      <c r="BY24" s="258">
        <f>+BY14-BY20</f>
        <v>29.321135778923562</v>
      </c>
      <c r="BZ24" s="258">
        <f>+BZ14-BZ20</f>
        <v>32.370647343962503</v>
      </c>
      <c r="CA24" s="260">
        <f>+CA14-CA20</f>
        <v>118.17339776866396</v>
      </c>
      <c r="CB24" s="123"/>
      <c r="CC24" s="258">
        <f>+CC14-CC20</f>
        <v>29.061162047363666</v>
      </c>
      <c r="CD24" s="258">
        <f>+CD14-CD20</f>
        <v>33.636406621096171</v>
      </c>
      <c r="CE24" s="258">
        <f>+CE14-CE20</f>
        <v>32.163137509463667</v>
      </c>
      <c r="CF24" s="258">
        <f>+CF14-CF20</f>
        <v>35.253474934512298</v>
      </c>
      <c r="CG24" s="260">
        <f>+CG14-CG20</f>
        <v>130.11418111243586</v>
      </c>
      <c r="CH24" s="123"/>
      <c r="CI24" s="258">
        <f t="shared" ref="CI24:CM24" si="63">+CI14-CI20</f>
        <v>32.228970863858535</v>
      </c>
      <c r="CJ24" s="258">
        <f t="shared" si="63"/>
        <v>37.209387944651809</v>
      </c>
      <c r="CK24" s="258">
        <f t="shared" si="63"/>
        <v>35.249186475186804</v>
      </c>
      <c r="CL24" s="258">
        <f t="shared" si="63"/>
        <v>38.285328979863635</v>
      </c>
      <c r="CM24" s="260">
        <f t="shared" si="63"/>
        <v>142.97287426356093</v>
      </c>
      <c r="CN24" s="123"/>
      <c r="CO24" s="258">
        <f t="shared" ref="CO24:CS24" si="64">+CO14-CO20</f>
        <v>35.479743065628725</v>
      </c>
      <c r="CP24" s="258">
        <f t="shared" si="64"/>
        <v>41.248558732020484</v>
      </c>
      <c r="CQ24" s="258">
        <f t="shared" si="64"/>
        <v>38.867220494783425</v>
      </c>
      <c r="CR24" s="258">
        <f t="shared" si="64"/>
        <v>42.212441573028883</v>
      </c>
      <c r="CS24" s="260">
        <f t="shared" si="64"/>
        <v>157.80796386546149</v>
      </c>
      <c r="CT24" s="259"/>
      <c r="DA24" s="24"/>
      <c r="DB24" s="24"/>
      <c r="DC24" s="24"/>
      <c r="DD24" s="24"/>
      <c r="DE24" s="73"/>
      <c r="DF24" s="167"/>
      <c r="DG24" s="73"/>
      <c r="DH24" s="73"/>
      <c r="DI24" s="769"/>
      <c r="DJ24" s="770"/>
      <c r="DK24" s="770"/>
      <c r="DL24" s="770"/>
      <c r="DM24" s="769"/>
      <c r="DN24" s="770"/>
      <c r="DO24" s="770"/>
      <c r="DP24" s="770"/>
      <c r="DQ24" s="769"/>
      <c r="DR24" s="73"/>
      <c r="DS24" s="73"/>
      <c r="DT24" s="73"/>
      <c r="DU24" s="769"/>
      <c r="DV24" s="73"/>
      <c r="DW24" s="73"/>
      <c r="DX24" s="73"/>
      <c r="DY24" s="769"/>
      <c r="DZ24" s="73"/>
      <c r="EA24" s="73"/>
      <c r="EB24" s="73"/>
      <c r="EC24" s="73"/>
      <c r="ED24" s="73"/>
      <c r="EE24" s="73"/>
      <c r="EF24" s="73"/>
      <c r="EG24" s="73"/>
      <c r="EH24" s="73"/>
      <c r="EI24" s="73"/>
      <c r="EJ24" s="73"/>
      <c r="EK24" s="73"/>
      <c r="EL24" s="73"/>
    </row>
    <row r="25" spans="1:142" x14ac:dyDescent="0.2">
      <c r="A25" s="129"/>
      <c r="B25" s="806" t="s">
        <v>373</v>
      </c>
      <c r="C25" s="807">
        <v>0</v>
      </c>
      <c r="D25" s="807">
        <v>0</v>
      </c>
      <c r="E25" s="807">
        <v>0</v>
      </c>
      <c r="F25" s="808">
        <v>0</v>
      </c>
      <c r="G25" s="809">
        <f>+SUM(C25:F25)</f>
        <v>0</v>
      </c>
      <c r="H25" s="810"/>
      <c r="I25" s="807">
        <v>0</v>
      </c>
      <c r="J25" s="807">
        <v>0</v>
      </c>
      <c r="K25" s="807">
        <v>0</v>
      </c>
      <c r="L25" s="808">
        <v>0</v>
      </c>
      <c r="M25" s="809">
        <f>+SUM(I25:L25)</f>
        <v>0</v>
      </c>
      <c r="N25" s="810"/>
      <c r="O25" s="807">
        <v>0</v>
      </c>
      <c r="P25" s="807">
        <v>0</v>
      </c>
      <c r="Q25" s="807">
        <v>0</v>
      </c>
      <c r="R25" s="808">
        <v>0</v>
      </c>
      <c r="S25" s="809">
        <f>+SUM(O25:R25)</f>
        <v>0</v>
      </c>
      <c r="T25" s="810"/>
      <c r="U25" s="807">
        <v>0</v>
      </c>
      <c r="V25" s="807">
        <v>0</v>
      </c>
      <c r="W25" s="807">
        <v>0</v>
      </c>
      <c r="X25" s="808">
        <v>0</v>
      </c>
      <c r="Y25" s="809">
        <f>+SUM(U25:X25)</f>
        <v>0</v>
      </c>
      <c r="Z25" s="810"/>
      <c r="AA25" s="807">
        <v>0</v>
      </c>
      <c r="AB25" s="807">
        <v>0</v>
      </c>
      <c r="AC25" s="807">
        <v>0</v>
      </c>
      <c r="AD25" s="808">
        <v>0</v>
      </c>
      <c r="AE25" s="809">
        <f>+SUM(AA25:AD25)</f>
        <v>0</v>
      </c>
      <c r="AF25" s="810"/>
      <c r="AG25" s="807">
        <v>0</v>
      </c>
      <c r="AH25" s="807">
        <v>0</v>
      </c>
      <c r="AI25" s="807">
        <v>0</v>
      </c>
      <c r="AJ25" s="808">
        <v>0</v>
      </c>
      <c r="AK25" s="809">
        <f>+SUM(AG25:AJ25)</f>
        <v>0</v>
      </c>
      <c r="AL25" s="810"/>
      <c r="AM25" s="807">
        <v>0</v>
      </c>
      <c r="AN25" s="807">
        <v>0</v>
      </c>
      <c r="AO25" s="807">
        <v>0</v>
      </c>
      <c r="AP25" s="808">
        <v>0</v>
      </c>
      <c r="AQ25" s="809">
        <f>+SUM(AM25:AP25)</f>
        <v>0</v>
      </c>
      <c r="AR25" s="810"/>
      <c r="AS25" s="807">
        <v>0</v>
      </c>
      <c r="AT25" s="807">
        <v>0</v>
      </c>
      <c r="AU25" s="807">
        <v>0</v>
      </c>
      <c r="AV25" s="808">
        <v>0</v>
      </c>
      <c r="AW25" s="809">
        <f>+SUM(AS25:AV25)</f>
        <v>0</v>
      </c>
      <c r="AX25" s="810"/>
      <c r="AY25" s="807">
        <v>0</v>
      </c>
      <c r="AZ25" s="807">
        <v>0</v>
      </c>
      <c r="BA25" s="807">
        <v>0</v>
      </c>
      <c r="BB25" s="807">
        <v>0</v>
      </c>
      <c r="BC25" s="809">
        <f>+SUM(AY25:BB25)</f>
        <v>0</v>
      </c>
      <c r="BD25" s="810"/>
      <c r="BE25" s="807">
        <v>0</v>
      </c>
      <c r="BF25" s="807">
        <v>0</v>
      </c>
      <c r="BG25" s="807">
        <v>0</v>
      </c>
      <c r="BH25" s="807">
        <v>0</v>
      </c>
      <c r="BI25" s="811">
        <v>60</v>
      </c>
      <c r="BJ25" s="810"/>
      <c r="BK25" s="815">
        <v>8</v>
      </c>
      <c r="BL25" s="812">
        <f>+Assurex!K11</f>
        <v>22.197331935483874</v>
      </c>
      <c r="BM25" s="812">
        <f>+Assurex!L11</f>
        <v>21.01677419354839</v>
      </c>
      <c r="BN25" s="812">
        <f>+Assurex!M11</f>
        <v>19.703225806451616</v>
      </c>
      <c r="BO25" s="813">
        <f>+SUM(BK25:BN25)</f>
        <v>70.917331935483872</v>
      </c>
      <c r="BP25" s="814"/>
      <c r="BQ25" s="812">
        <f>+Assurex!P11</f>
        <v>22.804658709677422</v>
      </c>
      <c r="BR25" s="812">
        <f>+Assurex!Q11</f>
        <v>23.307198532258067</v>
      </c>
      <c r="BS25" s="812">
        <f>+Assurex!R11</f>
        <v>22.067612903225811</v>
      </c>
      <c r="BT25" s="812">
        <f>+Assurex!S11</f>
        <v>20.688387096774196</v>
      </c>
      <c r="BU25" s="813">
        <f>+SUM(BQ25:BT25)</f>
        <v>88.867857241935496</v>
      </c>
      <c r="BV25" s="814"/>
      <c r="BW25" s="812">
        <f>+Assurex!V11</f>
        <v>27.263202188018436</v>
      </c>
      <c r="BX25" s="812">
        <f>+Assurex!W11</f>
        <v>25.865235506971331</v>
      </c>
      <c r="BY25" s="812">
        <f>+Assurex!X11</f>
        <v>24.734564657749807</v>
      </c>
      <c r="BZ25" s="812">
        <f>+Assurex!Y11</f>
        <v>22.87352147356366</v>
      </c>
      <c r="CA25" s="813">
        <f>+SUM(BW25:BZ25)</f>
        <v>100.73652382630324</v>
      </c>
      <c r="CB25" s="814"/>
      <c r="CC25" s="812">
        <f>+Assurex!AB11</f>
        <v>30.067864941843329</v>
      </c>
      <c r="CD25" s="812">
        <f>+Assurex!AC11</f>
        <v>28.472102501325637</v>
      </c>
      <c r="CE25" s="812">
        <f>+Assurex!AD11</f>
        <v>27.178122199213224</v>
      </c>
      <c r="CF25" s="812">
        <f>+Assurex!AE11</f>
        <v>25.100289699179239</v>
      </c>
      <c r="CG25" s="813">
        <f>+SUM(CC25:CF25)</f>
        <v>110.81837934156142</v>
      </c>
      <c r="CH25" s="814"/>
      <c r="CI25" s="812">
        <f>+Assurex!AH11</f>
        <v>32.925894630525917</v>
      </c>
      <c r="CJ25" s="812">
        <f>+Assurex!AI11</f>
        <v>31.128520312016324</v>
      </c>
      <c r="CK25" s="812">
        <f>+Assurex!AJ11</f>
        <v>29.668077435040136</v>
      </c>
      <c r="CL25" s="812">
        <f>+Assurex!AK11</f>
        <v>27.369305937159773</v>
      </c>
      <c r="CM25" s="813">
        <f t="shared" ref="CM25:CM26" si="65">+SUM(CI25:CL25)</f>
        <v>121.09179831474214</v>
      </c>
      <c r="CN25" s="814"/>
      <c r="CO25" s="812">
        <f>+Assurex!AN11</f>
        <v>35.838078126487964</v>
      </c>
      <c r="CP25" s="812">
        <f>+Assurex!AO11</f>
        <v>33.835219268670691</v>
      </c>
      <c r="CQ25" s="812">
        <f>+Assurex!AP11</f>
        <v>32.205113963363665</v>
      </c>
      <c r="CR25" s="812">
        <f>+Assurex!AQ11</f>
        <v>29.681192470929997</v>
      </c>
      <c r="CS25" s="813">
        <f t="shared" ref="CS25:CS26" si="66">+SUM(CO25:CR25)</f>
        <v>131.55960382945233</v>
      </c>
      <c r="CT25" s="760"/>
      <c r="DA25" s="760"/>
      <c r="DB25" s="24"/>
      <c r="DC25" s="24"/>
      <c r="DD25" s="24"/>
      <c r="DE25" s="73"/>
      <c r="DF25" s="73"/>
      <c r="DG25" s="73"/>
      <c r="DH25" s="73"/>
      <c r="DI25" s="73"/>
      <c r="DJ25" s="73"/>
      <c r="DK25" s="73"/>
      <c r="DL25" s="73"/>
      <c r="DM25" s="73"/>
      <c r="DN25" s="73"/>
      <c r="DO25" s="73"/>
      <c r="DP25" s="73"/>
      <c r="DQ25" s="73"/>
      <c r="DR25" s="73"/>
      <c r="DS25" s="73"/>
      <c r="DT25" s="73"/>
      <c r="DU25" s="73"/>
      <c r="DV25" s="73"/>
      <c r="DW25" s="73"/>
      <c r="DX25" s="73"/>
      <c r="DY25" s="73"/>
      <c r="DZ25" s="73"/>
      <c r="EA25" s="73"/>
      <c r="EB25" s="73"/>
      <c r="EC25" s="73"/>
      <c r="ED25" s="73"/>
      <c r="EE25" s="73"/>
      <c r="EF25" s="73"/>
      <c r="EG25" s="73"/>
      <c r="EH25" s="73"/>
      <c r="EI25" s="73"/>
      <c r="EJ25" s="73"/>
      <c r="EK25" s="73"/>
      <c r="EL25" s="73"/>
    </row>
    <row r="26" spans="1:142" x14ac:dyDescent="0.2">
      <c r="A26" s="129"/>
      <c r="B26" s="806" t="s">
        <v>375</v>
      </c>
      <c r="C26" s="807"/>
      <c r="D26" s="807"/>
      <c r="E26" s="807"/>
      <c r="F26" s="808"/>
      <c r="G26" s="809"/>
      <c r="H26" s="810"/>
      <c r="I26" s="807"/>
      <c r="J26" s="807"/>
      <c r="K26" s="807"/>
      <c r="L26" s="808"/>
      <c r="M26" s="809"/>
      <c r="N26" s="810"/>
      <c r="O26" s="807"/>
      <c r="P26" s="807"/>
      <c r="Q26" s="807"/>
      <c r="R26" s="808"/>
      <c r="S26" s="809"/>
      <c r="T26" s="810"/>
      <c r="U26" s="807"/>
      <c r="V26" s="807"/>
      <c r="W26" s="807"/>
      <c r="X26" s="808"/>
      <c r="Y26" s="809"/>
      <c r="Z26" s="810"/>
      <c r="AA26" s="807"/>
      <c r="AB26" s="807"/>
      <c r="AC26" s="807"/>
      <c r="AD26" s="808"/>
      <c r="AE26" s="809"/>
      <c r="AF26" s="810"/>
      <c r="AG26" s="807"/>
      <c r="AH26" s="807"/>
      <c r="AI26" s="807"/>
      <c r="AJ26" s="808"/>
      <c r="AK26" s="809"/>
      <c r="AL26" s="810"/>
      <c r="AM26" s="807"/>
      <c r="AN26" s="807"/>
      <c r="AO26" s="807"/>
      <c r="AP26" s="808"/>
      <c r="AQ26" s="809"/>
      <c r="AR26" s="810"/>
      <c r="AS26" s="807"/>
      <c r="AT26" s="807"/>
      <c r="AU26" s="807"/>
      <c r="AV26" s="808"/>
      <c r="AW26" s="809"/>
      <c r="AX26" s="810"/>
      <c r="AY26" s="807"/>
      <c r="AZ26" s="807"/>
      <c r="BA26" s="807"/>
      <c r="BB26" s="807"/>
      <c r="BC26" s="809"/>
      <c r="BD26" s="810"/>
      <c r="BE26" s="807"/>
      <c r="BF26" s="807"/>
      <c r="BG26" s="807"/>
      <c r="BH26" s="807"/>
      <c r="BI26" s="809"/>
      <c r="BJ26" s="810"/>
      <c r="BK26" s="815">
        <v>1</v>
      </c>
      <c r="BL26" s="815">
        <v>3</v>
      </c>
      <c r="BM26" s="815">
        <v>3</v>
      </c>
      <c r="BN26" s="815">
        <v>3</v>
      </c>
      <c r="BO26" s="813">
        <f t="shared" ref="BO26:BO31" si="67">+SUM(BK26:BN26)</f>
        <v>10</v>
      </c>
      <c r="BP26" s="814"/>
      <c r="BQ26" s="815">
        <v>2</v>
      </c>
      <c r="BR26" s="815">
        <v>3</v>
      </c>
      <c r="BS26" s="839">
        <f>+BR26</f>
        <v>3</v>
      </c>
      <c r="BT26" s="839">
        <f>+BS26</f>
        <v>3</v>
      </c>
      <c r="BU26" s="813">
        <f>+SUM(BQ26:BT26)</f>
        <v>11</v>
      </c>
      <c r="BV26" s="814"/>
      <c r="BW26" s="815">
        <v>1</v>
      </c>
      <c r="BX26" s="815">
        <f>+BW26</f>
        <v>1</v>
      </c>
      <c r="BY26" s="815">
        <f>+BX26</f>
        <v>1</v>
      </c>
      <c r="BZ26" s="815">
        <f>+BY26</f>
        <v>1</v>
      </c>
      <c r="CA26" s="813">
        <f>+SUM(BW26:BZ26)</f>
        <v>4</v>
      </c>
      <c r="CB26" s="814"/>
      <c r="CC26" s="815">
        <v>1</v>
      </c>
      <c r="CD26" s="815">
        <f>+CC26</f>
        <v>1</v>
      </c>
      <c r="CE26" s="815">
        <f>+CD26</f>
        <v>1</v>
      </c>
      <c r="CF26" s="815">
        <f>+CE26</f>
        <v>1</v>
      </c>
      <c r="CG26" s="813">
        <f>+SUM(CC26:CF26)</f>
        <v>4</v>
      </c>
      <c r="CH26" s="814"/>
      <c r="CI26" s="815">
        <v>1</v>
      </c>
      <c r="CJ26" s="815">
        <f t="shared" ref="CJ26:CL26" si="68">+CI26</f>
        <v>1</v>
      </c>
      <c r="CK26" s="815">
        <f t="shared" si="68"/>
        <v>1</v>
      </c>
      <c r="CL26" s="815">
        <f t="shared" si="68"/>
        <v>1</v>
      </c>
      <c r="CM26" s="813">
        <f t="shared" si="65"/>
        <v>4</v>
      </c>
      <c r="CN26" s="814"/>
      <c r="CO26" s="815">
        <v>1</v>
      </c>
      <c r="CP26" s="815">
        <f t="shared" ref="CP26:CR26" si="69">+CO26</f>
        <v>1</v>
      </c>
      <c r="CQ26" s="815">
        <f t="shared" si="69"/>
        <v>1</v>
      </c>
      <c r="CR26" s="815">
        <f t="shared" si="69"/>
        <v>1</v>
      </c>
      <c r="CS26" s="813">
        <f t="shared" si="66"/>
        <v>4</v>
      </c>
      <c r="CT26" s="760"/>
      <c r="DA26" s="760"/>
      <c r="DB26" s="24"/>
      <c r="DC26" s="24"/>
      <c r="DD26" s="24"/>
      <c r="DE26" s="73"/>
      <c r="DF26" s="73"/>
      <c r="DG26" s="73"/>
      <c r="DH26" s="73"/>
      <c r="DI26" s="73"/>
      <c r="DJ26" s="73"/>
      <c r="DK26" s="73"/>
      <c r="DL26" s="73"/>
      <c r="DM26" s="73"/>
      <c r="DN26" s="73"/>
      <c r="DO26" s="73"/>
      <c r="DP26" s="73"/>
      <c r="DQ26" s="73"/>
      <c r="DR26" s="73"/>
      <c r="DS26" s="73"/>
      <c r="DT26" s="73"/>
      <c r="DU26" s="73"/>
      <c r="DV26" s="73"/>
      <c r="DW26" s="73"/>
      <c r="DX26" s="73"/>
      <c r="DY26" s="73"/>
      <c r="DZ26" s="73"/>
      <c r="EA26" s="73"/>
      <c r="EB26" s="73"/>
      <c r="EC26" s="73"/>
      <c r="ED26" s="73"/>
      <c r="EE26" s="73"/>
      <c r="EF26" s="73"/>
      <c r="EG26" s="73"/>
      <c r="EH26" s="73"/>
      <c r="EI26" s="73"/>
      <c r="EJ26" s="73"/>
      <c r="EK26" s="73"/>
      <c r="EL26" s="73"/>
    </row>
    <row r="27" spans="1:142" x14ac:dyDescent="0.2">
      <c r="A27" s="43"/>
      <c r="B27" s="816" t="s">
        <v>374</v>
      </c>
      <c r="C27" s="817"/>
      <c r="D27" s="817"/>
      <c r="E27" s="817"/>
      <c r="F27" s="817"/>
      <c r="G27" s="809"/>
      <c r="H27" s="810"/>
      <c r="I27" s="817"/>
      <c r="J27" s="817"/>
      <c r="K27" s="817"/>
      <c r="L27" s="817"/>
      <c r="M27" s="809"/>
      <c r="N27" s="810"/>
      <c r="O27" s="817"/>
      <c r="P27" s="817"/>
      <c r="Q27" s="817"/>
      <c r="R27" s="817"/>
      <c r="S27" s="809"/>
      <c r="T27" s="810"/>
      <c r="U27" s="817"/>
      <c r="V27" s="817"/>
      <c r="W27" s="817"/>
      <c r="X27" s="817"/>
      <c r="Y27" s="809"/>
      <c r="Z27" s="810"/>
      <c r="AA27" s="817"/>
      <c r="AB27" s="817"/>
      <c r="AC27" s="817"/>
      <c r="AD27" s="817"/>
      <c r="AE27" s="809"/>
      <c r="AF27" s="810"/>
      <c r="AG27" s="817"/>
      <c r="AH27" s="817"/>
      <c r="AI27" s="817"/>
      <c r="AJ27" s="817"/>
      <c r="AK27" s="809"/>
      <c r="AL27" s="810"/>
      <c r="AM27" s="817"/>
      <c r="AN27" s="817"/>
      <c r="AO27" s="817"/>
      <c r="AP27" s="808"/>
      <c r="AQ27" s="809"/>
      <c r="AR27" s="810"/>
      <c r="AS27" s="817"/>
      <c r="AT27" s="817"/>
      <c r="AU27" s="817"/>
      <c r="AV27" s="808"/>
      <c r="AW27" s="809"/>
      <c r="AX27" s="810"/>
      <c r="AY27" s="817"/>
      <c r="AZ27" s="817"/>
      <c r="BA27" s="817"/>
      <c r="BB27" s="817"/>
      <c r="BC27" s="809"/>
      <c r="BD27" s="810"/>
      <c r="BE27" s="817"/>
      <c r="BF27" s="817"/>
      <c r="BG27" s="817"/>
      <c r="BH27" s="817"/>
      <c r="BI27" s="809"/>
      <c r="BJ27" s="810"/>
      <c r="BK27" s="817">
        <f>+BK20-BK25+BK26</f>
        <v>108.9</v>
      </c>
      <c r="BL27" s="817">
        <f t="shared" ref="BL27:BN27" si="70">+BL20-BL25+BL26</f>
        <v>109.30266806451613</v>
      </c>
      <c r="BM27" s="817">
        <f t="shared" si="70"/>
        <v>110.58322580645161</v>
      </c>
      <c r="BN27" s="817">
        <f t="shared" si="70"/>
        <v>113.29677419354839</v>
      </c>
      <c r="BO27" s="809">
        <f>+SUM(BK27:BN27)</f>
        <v>442.08266806451616</v>
      </c>
      <c r="BP27" s="810"/>
      <c r="BQ27" s="817">
        <f t="shared" ref="BQ27:BR27" si="71">+BQ20-BQ25+BQ26</f>
        <v>101.69534129032257</v>
      </c>
      <c r="BR27" s="817">
        <f t="shared" si="71"/>
        <v>101.09280146774194</v>
      </c>
      <c r="BS27" s="817">
        <f t="shared" ref="BS27" si="72">+BS20-BS25+BS26</f>
        <v>102.44207795744603</v>
      </c>
      <c r="BT27" s="817">
        <f t="shared" ref="BT27" si="73">+BT20-BT25+BT26</f>
        <v>108.51646164798171</v>
      </c>
      <c r="BU27" s="809">
        <f t="shared" ref="BU27" si="74">+SUM(BQ27:BT27)</f>
        <v>413.74668236349225</v>
      </c>
      <c r="BV27" s="810"/>
      <c r="BW27" s="817">
        <f t="shared" ref="BW27" si="75">+BW20-BW25+BW26</f>
        <v>93.726246280427574</v>
      </c>
      <c r="BX27" s="817">
        <f t="shared" ref="BX27" si="76">+BX20-BX25+BX26</f>
        <v>97.389470561310134</v>
      </c>
      <c r="BY27" s="817">
        <f t="shared" ref="BY27" si="77">+BY20-BY25+BY26</f>
        <v>100.70633172141987</v>
      </c>
      <c r="BZ27" s="817">
        <f t="shared" ref="BZ27" si="78">+BZ20-BZ25+BZ26</f>
        <v>108.72841301366297</v>
      </c>
      <c r="CA27" s="809">
        <f t="shared" ref="CA27" si="79">+SUM(BW27:BZ27)</f>
        <v>400.55046157682057</v>
      </c>
      <c r="CB27" s="810"/>
      <c r="CC27" s="817">
        <f t="shared" ref="CC27" si="80">+CC20-CC25+CC26</f>
        <v>96.256596640589052</v>
      </c>
      <c r="CD27" s="817">
        <f t="shared" ref="CD27" si="81">+CD20-CD25+CD26</f>
        <v>101.60649125558093</v>
      </c>
      <c r="CE27" s="817">
        <f t="shared" ref="CE27" si="82">+CE20-CE25+CE26</f>
        <v>105.30373819484259</v>
      </c>
      <c r="CF27" s="817">
        <f t="shared" ref="CF27" si="83">+CF20-CF25+CF26</f>
        <v>114.47175199227489</v>
      </c>
      <c r="CG27" s="809">
        <f t="shared" ref="CG27" si="84">+SUM(CC27:CF27)</f>
        <v>417.63857808328748</v>
      </c>
      <c r="CH27" s="810"/>
      <c r="CI27" s="817">
        <f t="shared" ref="CI27:CR27" si="85">+CI20-CI25+CI26</f>
        <v>102.00673194797956</v>
      </c>
      <c r="CJ27" s="817">
        <f t="shared" si="85"/>
        <v>108.26613718269419</v>
      </c>
      <c r="CK27" s="817">
        <f t="shared" si="85"/>
        <v>111.56989109459265</v>
      </c>
      <c r="CL27" s="817">
        <f t="shared" si="85"/>
        <v>121.4174266740466</v>
      </c>
      <c r="CM27" s="809">
        <f t="shared" ref="CM27" si="86">+SUM(CI27:CL27)</f>
        <v>443.260186899313</v>
      </c>
      <c r="CN27" s="810"/>
      <c r="CO27" s="817">
        <f t="shared" si="85"/>
        <v>108.26250535304547</v>
      </c>
      <c r="CP27" s="817">
        <f t="shared" si="85"/>
        <v>116.19103082248739</v>
      </c>
      <c r="CQ27" s="817">
        <f t="shared" si="85"/>
        <v>118.25594859135182</v>
      </c>
      <c r="CR27" s="817">
        <f t="shared" si="85"/>
        <v>129.642231575012</v>
      </c>
      <c r="CS27" s="809">
        <f t="shared" ref="CS27" si="87">+SUM(CO27:CR27)</f>
        <v>472.35171634189669</v>
      </c>
      <c r="CT27" s="761"/>
      <c r="DA27" s="24"/>
      <c r="DB27" s="24"/>
      <c r="DC27" s="24"/>
      <c r="DD27" s="24"/>
      <c r="DE27" s="73"/>
      <c r="DF27" s="167"/>
      <c r="DG27" s="73"/>
      <c r="DH27" s="73"/>
      <c r="DI27" s="762"/>
      <c r="DJ27" s="73"/>
      <c r="DK27" s="73"/>
      <c r="DL27" s="73"/>
      <c r="DM27" s="762"/>
      <c r="DN27" s="73"/>
      <c r="DO27" s="73"/>
      <c r="DP27" s="73"/>
      <c r="DQ27" s="762"/>
      <c r="DR27" s="73"/>
      <c r="DS27" s="73"/>
      <c r="DT27" s="73"/>
      <c r="DU27" s="762"/>
      <c r="DV27" s="73"/>
      <c r="DW27" s="73"/>
      <c r="DX27" s="73"/>
      <c r="DY27" s="762"/>
      <c r="DZ27" s="73"/>
      <c r="EA27" s="73"/>
      <c r="EB27" s="73"/>
      <c r="EC27" s="73"/>
      <c r="ED27" s="73"/>
      <c r="EE27" s="73"/>
      <c r="EF27" s="73"/>
      <c r="EG27" s="73"/>
      <c r="EH27" s="73"/>
      <c r="EI27" s="73"/>
      <c r="EJ27" s="73"/>
      <c r="EK27" s="73"/>
      <c r="EL27" s="73"/>
    </row>
    <row r="28" spans="1:142" x14ac:dyDescent="0.2">
      <c r="A28" s="43"/>
      <c r="B28" s="816" t="s">
        <v>380</v>
      </c>
      <c r="C28" s="817"/>
      <c r="D28" s="817"/>
      <c r="E28" s="817"/>
      <c r="F28" s="817"/>
      <c r="G28" s="809"/>
      <c r="H28" s="810"/>
      <c r="I28" s="817"/>
      <c r="J28" s="817"/>
      <c r="K28" s="817"/>
      <c r="L28" s="817"/>
      <c r="M28" s="809"/>
      <c r="N28" s="810"/>
      <c r="O28" s="817"/>
      <c r="P28" s="817"/>
      <c r="Q28" s="817"/>
      <c r="R28" s="817"/>
      <c r="S28" s="809"/>
      <c r="T28" s="810"/>
      <c r="U28" s="817"/>
      <c r="V28" s="817"/>
      <c r="W28" s="817"/>
      <c r="X28" s="817"/>
      <c r="Y28" s="809"/>
      <c r="Z28" s="810"/>
      <c r="AA28" s="817"/>
      <c r="AB28" s="817"/>
      <c r="AC28" s="817"/>
      <c r="AD28" s="817"/>
      <c r="AE28" s="809"/>
      <c r="AF28" s="810"/>
      <c r="AG28" s="817"/>
      <c r="AH28" s="817"/>
      <c r="AI28" s="817"/>
      <c r="AJ28" s="817"/>
      <c r="AK28" s="809"/>
      <c r="AL28" s="810"/>
      <c r="AM28" s="817"/>
      <c r="AN28" s="817"/>
      <c r="AO28" s="817"/>
      <c r="AP28" s="808"/>
      <c r="AQ28" s="809"/>
      <c r="AR28" s="810"/>
      <c r="AS28" s="817"/>
      <c r="AT28" s="817"/>
      <c r="AU28" s="817"/>
      <c r="AV28" s="808"/>
      <c r="AW28" s="809"/>
      <c r="AX28" s="810"/>
      <c r="AY28" s="817"/>
      <c r="AZ28" s="817"/>
      <c r="BA28" s="817"/>
      <c r="BB28" s="817"/>
      <c r="BC28" s="809"/>
      <c r="BD28" s="810"/>
      <c r="BE28" s="817"/>
      <c r="BF28" s="817"/>
      <c r="BG28" s="817"/>
      <c r="BH28" s="817"/>
      <c r="BI28" s="809"/>
      <c r="BJ28" s="810"/>
      <c r="BK28" s="850">
        <f>+BK24-Assurex!J12</f>
        <v>28.496521096395313</v>
      </c>
      <c r="BL28" s="850">
        <f>+BL24-Assurex!K12</f>
        <v>30.937094785603229</v>
      </c>
      <c r="BM28" s="850">
        <f>+BM24-Assurex!L12</f>
        <v>27.926402509185465</v>
      </c>
      <c r="BN28" s="850">
        <f>+BN24-Assurex!M12</f>
        <v>28.416949226692761</v>
      </c>
      <c r="BO28" s="851">
        <f>+BO24-Assurex!N12</f>
        <v>115.77696761787689</v>
      </c>
      <c r="BP28" s="852"/>
      <c r="BQ28" s="850">
        <f>+BQ24-Assurex!P12</f>
        <v>25.217017113485355</v>
      </c>
      <c r="BR28" s="850">
        <f>+BR24-Assurex!Q12</f>
        <v>26.880433051760885</v>
      </c>
      <c r="BS28" s="850">
        <f>+BS24-Assurex!R12</f>
        <v>21.607243114091723</v>
      </c>
      <c r="BT28" s="850">
        <f>+BT24-Assurex!S12</f>
        <v>20.589707620235458</v>
      </c>
      <c r="BU28" s="851">
        <f>+BU24-Assurex!T12</f>
        <v>94.294400899573503</v>
      </c>
      <c r="BV28" s="852"/>
      <c r="BW28" s="850">
        <f>+BW24-Assurex!V12</f>
        <v>23.846214031733574</v>
      </c>
      <c r="BX28" s="850">
        <f>+BX24-Assurex!W12</f>
        <v>24.524686694741494</v>
      </c>
      <c r="BY28" s="850">
        <f>+BY24-Assurex!X12</f>
        <v>20.145671677702573</v>
      </c>
      <c r="BZ28" s="850">
        <f>+BZ24-Assurex!Y12</f>
        <v>19.183450589482579</v>
      </c>
      <c r="CA28" s="851">
        <f>+CA24-Assurex!Z12</f>
        <v>87.700022993660369</v>
      </c>
      <c r="CB28" s="852"/>
      <c r="CC28" s="850">
        <f>+CC24-Assurex!AB12</f>
        <v>20.138556318480678</v>
      </c>
      <c r="CD28" s="850">
        <f>+CD24-Assurex!AC12</f>
        <v>20.542005658648236</v>
      </c>
      <c r="CE28" s="850">
        <f>+CE24-Assurex!AD12</f>
        <v>15.067339350056262</v>
      </c>
      <c r="CF28" s="850">
        <f>+CF24-Assurex!AE12</f>
        <v>13.468582216377616</v>
      </c>
      <c r="CG28" s="851">
        <f>+CG24-Assurex!AF12</f>
        <v>69.216483543562859</v>
      </c>
      <c r="CH28" s="852"/>
      <c r="CI28" s="850">
        <f>+CI24-Assurex!AH12</f>
        <v>15.484905668243378</v>
      </c>
      <c r="CJ28" s="850">
        <f>+CJ24-Assurex!AI12</f>
        <v>16.434934214981713</v>
      </c>
      <c r="CK28" s="850">
        <f>+CK24-Assurex!AJ12</f>
        <v>10.709703081511837</v>
      </c>
      <c r="CL28" s="850">
        <f>+CL24-Assurex!AK12</f>
        <v>9.3286775999976683</v>
      </c>
      <c r="CM28" s="851">
        <f>+CM24-Assurex!AL12</f>
        <v>51.958220564734717</v>
      </c>
      <c r="CN28" s="852"/>
      <c r="CO28" s="850">
        <f>+CO24-Assurex!AN12</f>
        <v>11.777077625887856</v>
      </c>
      <c r="CP28" s="850">
        <f>+CP24-Assurex!AO12</f>
        <v>12.988109186804657</v>
      </c>
      <c r="CQ28" s="850">
        <f>+CQ24-Assurex!AP12</f>
        <v>6.3418552214757185</v>
      </c>
      <c r="CR28" s="850">
        <f>+CR24-Assurex!AQ12</f>
        <v>4.7346785270189997</v>
      </c>
      <c r="CS28" s="851">
        <f>+CS24-Assurex!AR12</f>
        <v>35.84172056118723</v>
      </c>
      <c r="CT28" s="761"/>
      <c r="DA28" s="24"/>
      <c r="DB28" s="24"/>
      <c r="DC28" s="24"/>
      <c r="DD28" s="24"/>
      <c r="DE28" s="73"/>
      <c r="DF28" s="167"/>
      <c r="DG28" s="73"/>
      <c r="DH28" s="73"/>
      <c r="DI28" s="762"/>
      <c r="DJ28" s="73"/>
      <c r="DK28" s="73"/>
      <c r="DL28" s="73"/>
      <c r="DM28" s="762"/>
      <c r="DN28" s="73"/>
      <c r="DO28" s="73"/>
      <c r="DP28" s="73"/>
      <c r="DQ28" s="762"/>
      <c r="DR28" s="73"/>
      <c r="DS28" s="73"/>
      <c r="DT28" s="73"/>
      <c r="DU28" s="762"/>
      <c r="DV28" s="73"/>
      <c r="DW28" s="73"/>
      <c r="DX28" s="73"/>
      <c r="DY28" s="762"/>
      <c r="DZ28" s="73"/>
      <c r="EA28" s="73"/>
      <c r="EB28" s="73"/>
      <c r="EC28" s="73"/>
      <c r="ED28" s="73"/>
      <c r="EE28" s="73"/>
      <c r="EF28" s="73"/>
      <c r="EG28" s="73"/>
      <c r="EH28" s="73"/>
      <c r="EI28" s="73"/>
      <c r="EJ28" s="73"/>
      <c r="EK28" s="73"/>
      <c r="EL28" s="73"/>
    </row>
    <row r="29" spans="1:142" x14ac:dyDescent="0.2">
      <c r="A29" s="43"/>
      <c r="B29" s="32" t="s">
        <v>284</v>
      </c>
      <c r="C29" s="42">
        <f>2.602</f>
        <v>2.6019999999999999</v>
      </c>
      <c r="D29" s="42">
        <v>2.573</v>
      </c>
      <c r="E29" s="42">
        <f>3.123</f>
        <v>3.1230000000000002</v>
      </c>
      <c r="F29" s="42">
        <f>3.814</f>
        <v>3.8140000000000001</v>
      </c>
      <c r="G29" s="91">
        <f>+SUM(C29:F29)</f>
        <v>12.112</v>
      </c>
      <c r="H29" s="319"/>
      <c r="I29" s="42">
        <f>3.857</f>
        <v>3.8570000000000002</v>
      </c>
      <c r="J29" s="42">
        <f>3.667</f>
        <v>3.6669999999999998</v>
      </c>
      <c r="K29" s="42">
        <f>3.25</f>
        <v>3.25</v>
      </c>
      <c r="L29" s="42">
        <v>2.9350000000000001</v>
      </c>
      <c r="M29" s="91">
        <f>+SUM(I29:L29)</f>
        <v>13.709000000000001</v>
      </c>
      <c r="N29" s="319"/>
      <c r="O29" s="42">
        <f>3.434</f>
        <v>3.4340000000000002</v>
      </c>
      <c r="P29" s="42">
        <v>3.4369999999999998</v>
      </c>
      <c r="Q29" s="42">
        <f>2.946</f>
        <v>2.9460000000000002</v>
      </c>
      <c r="R29" s="42">
        <f>2.661</f>
        <v>2.661</v>
      </c>
      <c r="S29" s="91">
        <f>+SUM(O29:R29)</f>
        <v>12.478</v>
      </c>
      <c r="T29" s="319"/>
      <c r="U29" s="42">
        <f>1.913</f>
        <v>1.913</v>
      </c>
      <c r="V29" s="42">
        <f>1.531</f>
        <v>1.5309999999999999</v>
      </c>
      <c r="W29" s="42">
        <f>1.232</f>
        <v>1.232</v>
      </c>
      <c r="X29" s="42">
        <f>5.66-W29-V29-U29</f>
        <v>0.98400000000000021</v>
      </c>
      <c r="Y29" s="91">
        <f>+SUM(U29:X29)</f>
        <v>5.66</v>
      </c>
      <c r="Z29" s="319"/>
      <c r="AA29" s="42">
        <f>0.721</f>
        <v>0.72099999999999997</v>
      </c>
      <c r="AB29" s="42">
        <f>0.548</f>
        <v>0.54800000000000004</v>
      </c>
      <c r="AC29" s="42">
        <f>0.547</f>
        <v>0.54700000000000004</v>
      </c>
      <c r="AD29" s="42">
        <f>0.41</f>
        <v>0.41</v>
      </c>
      <c r="AE29" s="91">
        <f>+SUM(AA29:AD29)</f>
        <v>2.2260000000000004</v>
      </c>
      <c r="AF29" s="319"/>
      <c r="AG29" s="42">
        <f>0.473</f>
        <v>0.47299999999999998</v>
      </c>
      <c r="AH29" s="42">
        <f>1.382</f>
        <v>1.3819999999999999</v>
      </c>
      <c r="AI29" s="42">
        <f>1.379</f>
        <v>1.379</v>
      </c>
      <c r="AJ29" s="42">
        <f>1.395</f>
        <v>1.395</v>
      </c>
      <c r="AK29" s="91">
        <f>+SUM(AG29:AJ29)</f>
        <v>4.6289999999999996</v>
      </c>
      <c r="AL29" s="319"/>
      <c r="AM29" s="42">
        <v>1.3680000000000001</v>
      </c>
      <c r="AN29" s="42">
        <v>1.385</v>
      </c>
      <c r="AO29" s="42">
        <f>1.434</f>
        <v>1.4339999999999999</v>
      </c>
      <c r="AP29" s="42">
        <f>1.31</f>
        <v>1.31</v>
      </c>
      <c r="AQ29" s="91">
        <f>+SUM(AM29:AP29)</f>
        <v>5.4969999999999999</v>
      </c>
      <c r="AR29" s="319"/>
      <c r="AS29" s="42">
        <v>1.3620000000000001</v>
      </c>
      <c r="AT29" s="42">
        <v>1.33</v>
      </c>
      <c r="AU29" s="418">
        <v>2.4980000000000002</v>
      </c>
      <c r="AV29" s="42">
        <v>0.20699999999999985</v>
      </c>
      <c r="AW29" s="91">
        <f>+SUM(AS29:AV29)</f>
        <v>5.3970000000000002</v>
      </c>
      <c r="AX29" s="319"/>
      <c r="AY29" s="418">
        <v>5.5E-2</v>
      </c>
      <c r="AZ29" s="418">
        <v>8.5000000000000006E-2</v>
      </c>
      <c r="BA29" s="418">
        <v>0.124</v>
      </c>
      <c r="BB29" s="42">
        <v>0.1</v>
      </c>
      <c r="BC29" s="91">
        <f>+SUM(AY29:BB29)</f>
        <v>0.36399999999999999</v>
      </c>
      <c r="BD29" s="319"/>
      <c r="BE29" s="418">
        <v>0.1</v>
      </c>
      <c r="BF29" s="418">
        <v>0.1</v>
      </c>
      <c r="BG29" s="418">
        <v>0.3</v>
      </c>
      <c r="BH29" s="739">
        <v>0.4</v>
      </c>
      <c r="BI29" s="91">
        <f>+SUM(BE29:BH29)</f>
        <v>0.9</v>
      </c>
      <c r="BJ29" s="319"/>
      <c r="BK29" s="418">
        <v>0.3</v>
      </c>
      <c r="BL29" s="418">
        <v>0.3</v>
      </c>
      <c r="BM29" s="418">
        <v>0.3</v>
      </c>
      <c r="BN29" s="739">
        <v>0.3</v>
      </c>
      <c r="BO29" s="91">
        <f t="shared" si="67"/>
        <v>1.2</v>
      </c>
      <c r="BP29" s="319"/>
      <c r="BQ29" s="418">
        <v>0.4</v>
      </c>
      <c r="BR29" s="418">
        <v>0.4</v>
      </c>
      <c r="BS29" s="37">
        <f>'Bal Sht'!BS150</f>
        <v>0.75074999999999992</v>
      </c>
      <c r="BT29" s="37">
        <f>'Bal Sht'!BT150</f>
        <v>0.83821634233172226</v>
      </c>
      <c r="BU29" s="91">
        <f t="shared" ref="BU29:BU31" si="88">+SUM(BQ29:BT29)</f>
        <v>2.388966342331722</v>
      </c>
      <c r="BV29" s="319"/>
      <c r="BW29" s="37">
        <f>'Bal Sht'!BW150</f>
        <v>0.94061201222235824</v>
      </c>
      <c r="BX29" s="37">
        <f>'Bal Sht'!BX150</f>
        <v>1.2082317301372891</v>
      </c>
      <c r="BY29" s="37">
        <f>'Bal Sht'!BY150</f>
        <v>1.3662872408122402</v>
      </c>
      <c r="BZ29" s="37">
        <f>'Bal Sht'!BZ150</f>
        <v>1.5517225609148582</v>
      </c>
      <c r="CA29" s="91">
        <f t="shared" ref="CA29:CA31" si="89">+SUM(BW29:BZ29)</f>
        <v>5.0668535440867455</v>
      </c>
      <c r="CB29" s="319"/>
      <c r="CC29" s="37">
        <f>'Bal Sht'!CC150</f>
        <v>1.501025068774503</v>
      </c>
      <c r="CD29" s="37">
        <f>'Bal Sht'!CD150</f>
        <v>1.9495375453557631</v>
      </c>
      <c r="CE29" s="37">
        <f>'Bal Sht'!CE150</f>
        <v>2.1189292463514446</v>
      </c>
      <c r="CF29" s="37">
        <f>'Bal Sht'!CF150</f>
        <v>2.3141267266714998</v>
      </c>
      <c r="CG29" s="91">
        <f t="shared" ref="CG29:CG31" si="90">+SUM(CC29:CF29)</f>
        <v>7.8836185871532107</v>
      </c>
      <c r="CH29" s="319"/>
      <c r="CI29" s="37">
        <f>'Bal Sht'!CU150</f>
        <v>0</v>
      </c>
      <c r="CJ29" s="37">
        <f>'Bal Sht'!CV150</f>
        <v>0</v>
      </c>
      <c r="CK29" s="37">
        <f>'Bal Sht'!CW150</f>
        <v>0</v>
      </c>
      <c r="CL29" s="37">
        <f>'Bal Sht'!CX150</f>
        <v>0</v>
      </c>
      <c r="CM29" s="91">
        <f t="shared" ref="CM29:CM31" si="91">+SUM(CI29:CL29)</f>
        <v>0</v>
      </c>
      <c r="CN29" s="319"/>
      <c r="CO29" s="37">
        <f>'Bal Sht'!DA150</f>
        <v>0</v>
      </c>
      <c r="CP29" s="37">
        <f>'Bal Sht'!DB150</f>
        <v>0</v>
      </c>
      <c r="CQ29" s="37">
        <f>'Bal Sht'!DC150</f>
        <v>0</v>
      </c>
      <c r="CR29" s="37">
        <f>'Bal Sht'!DD150</f>
        <v>0</v>
      </c>
      <c r="CS29" s="91">
        <f t="shared" ref="CS29:CS31" si="92">+SUM(CO29:CR29)</f>
        <v>0</v>
      </c>
      <c r="CT29" s="37"/>
      <c r="DA29" s="31"/>
      <c r="DB29" s="31"/>
      <c r="DC29" s="31"/>
      <c r="DD29" s="31"/>
      <c r="DF29" s="652"/>
      <c r="DG29" s="54"/>
      <c r="DH29" s="752"/>
      <c r="DI29" s="753"/>
      <c r="DJ29" s="73"/>
      <c r="DK29" s="73"/>
    </row>
    <row r="30" spans="1:142" x14ac:dyDescent="0.2">
      <c r="A30" s="43"/>
      <c r="B30" s="32" t="s">
        <v>364</v>
      </c>
      <c r="C30" s="42">
        <v>0</v>
      </c>
      <c r="D30" s="42">
        <v>0</v>
      </c>
      <c r="E30" s="42">
        <v>0</v>
      </c>
      <c r="F30" s="42">
        <v>0</v>
      </c>
      <c r="G30" s="91">
        <f>+SUM(C30:F30)</f>
        <v>0</v>
      </c>
      <c r="H30" s="319"/>
      <c r="I30" s="42">
        <v>0</v>
      </c>
      <c r="J30" s="42">
        <v>0</v>
      </c>
      <c r="K30" s="42">
        <v>0</v>
      </c>
      <c r="L30" s="42">
        <v>0</v>
      </c>
      <c r="M30" s="91">
        <f>+SUM(I30:L30)</f>
        <v>0</v>
      </c>
      <c r="N30" s="319"/>
      <c r="O30" s="42">
        <v>0</v>
      </c>
      <c r="P30" s="42">
        <v>0</v>
      </c>
      <c r="Q30" s="42">
        <v>0</v>
      </c>
      <c r="R30" s="42">
        <v>0</v>
      </c>
      <c r="S30" s="91">
        <f>+SUM(O30:R30)</f>
        <v>0</v>
      </c>
      <c r="T30" s="319"/>
      <c r="U30" s="42">
        <v>0</v>
      </c>
      <c r="V30" s="42">
        <v>0</v>
      </c>
      <c r="W30" s="42">
        <v>0</v>
      </c>
      <c r="X30" s="42">
        <v>0</v>
      </c>
      <c r="Y30" s="91">
        <f>+SUM(U30:X30)</f>
        <v>0</v>
      </c>
      <c r="Z30" s="319"/>
      <c r="AA30" s="42">
        <v>0</v>
      </c>
      <c r="AB30" s="42">
        <v>0</v>
      </c>
      <c r="AC30" s="42">
        <v>0</v>
      </c>
      <c r="AD30" s="42">
        <v>0</v>
      </c>
      <c r="AE30" s="91">
        <f>+SUM(AA30:AD30)</f>
        <v>0</v>
      </c>
      <c r="AF30" s="319"/>
      <c r="AG30" s="42">
        <v>0</v>
      </c>
      <c r="AH30" s="42">
        <v>0</v>
      </c>
      <c r="AI30" s="42">
        <v>0</v>
      </c>
      <c r="AJ30" s="42">
        <v>0</v>
      </c>
      <c r="AK30" s="91">
        <f>+SUM(AG30:AJ30)</f>
        <v>0</v>
      </c>
      <c r="AL30" s="319"/>
      <c r="AM30" s="42">
        <v>0</v>
      </c>
      <c r="AN30" s="42">
        <v>0</v>
      </c>
      <c r="AO30" s="42">
        <v>0</v>
      </c>
      <c r="AP30" s="42">
        <v>0</v>
      </c>
      <c r="AQ30" s="91">
        <f>+SUM(AM30:AP30)</f>
        <v>0</v>
      </c>
      <c r="AR30" s="319"/>
      <c r="AS30" s="42">
        <v>0</v>
      </c>
      <c r="AT30" s="42">
        <v>0</v>
      </c>
      <c r="AU30" s="42">
        <v>0</v>
      </c>
      <c r="AV30" s="42">
        <v>0</v>
      </c>
      <c r="AW30" s="91">
        <f>+SUM(AS30:AV30)</f>
        <v>0</v>
      </c>
      <c r="AX30" s="319"/>
      <c r="AY30" s="42">
        <v>0</v>
      </c>
      <c r="AZ30" s="42">
        <v>0</v>
      </c>
      <c r="BA30" s="42">
        <v>0</v>
      </c>
      <c r="BB30" s="42">
        <v>0</v>
      </c>
      <c r="BC30" s="91">
        <f>+SUM(AY30:BB30)</f>
        <v>0</v>
      </c>
      <c r="BD30" s="319"/>
      <c r="BE30" s="42">
        <v>0</v>
      </c>
      <c r="BF30" s="42">
        <v>0</v>
      </c>
      <c r="BG30" s="42">
        <v>0</v>
      </c>
      <c r="BH30" s="42">
        <v>0</v>
      </c>
      <c r="BI30" s="91">
        <f>+SUM(BE30:BH30)</f>
        <v>0</v>
      </c>
      <c r="BJ30" s="319"/>
      <c r="BK30" s="42">
        <v>0</v>
      </c>
      <c r="BL30" s="42">
        <f>+-2.6+1.3</f>
        <v>-1.3</v>
      </c>
      <c r="BM30" s="42">
        <v>-1.5</v>
      </c>
      <c r="BN30" s="42">
        <v>-1.2</v>
      </c>
      <c r="BO30" s="91">
        <f t="shared" si="67"/>
        <v>-4</v>
      </c>
      <c r="BP30" s="319"/>
      <c r="BQ30" s="42">
        <v>-0.9</v>
      </c>
      <c r="BR30" s="42">
        <v>-0.7</v>
      </c>
      <c r="BS30" s="37">
        <f>-'Bal Sht'!BS158</f>
        <v>-0.56600000000000006</v>
      </c>
      <c r="BT30" s="37">
        <f>-'Bal Sht'!BT158</f>
        <v>-0.44212500000000005</v>
      </c>
      <c r="BU30" s="91">
        <f t="shared" si="88"/>
        <v>-2.6081250000000002</v>
      </c>
      <c r="BV30" s="319"/>
      <c r="BW30" s="37">
        <f>-'Bal Sht'!BW158</f>
        <v>-0.44212500000000005</v>
      </c>
      <c r="BX30" s="37">
        <f>-'Bal Sht'!BX158</f>
        <v>-0.44212500000000005</v>
      </c>
      <c r="BY30" s="37">
        <f>-'Bal Sht'!BY158</f>
        <v>-0.44212500000000005</v>
      </c>
      <c r="BZ30" s="37">
        <f>-'Bal Sht'!BZ158</f>
        <v>-0.44212500000000005</v>
      </c>
      <c r="CA30" s="91">
        <f t="shared" si="89"/>
        <v>-1.7685000000000002</v>
      </c>
      <c r="CB30" s="319"/>
      <c r="CC30" s="37">
        <f>-'Bal Sht'!CC158</f>
        <v>-0.44212500000000005</v>
      </c>
      <c r="CD30" s="37">
        <f>-'Bal Sht'!CD158</f>
        <v>-0.44212500000000005</v>
      </c>
      <c r="CE30" s="37">
        <f>-'Bal Sht'!CE158</f>
        <v>-0.44212500000000005</v>
      </c>
      <c r="CF30" s="37">
        <f>-'Bal Sht'!CF158</f>
        <v>-0.44212500000000005</v>
      </c>
      <c r="CG30" s="91">
        <f t="shared" si="90"/>
        <v>-1.7685000000000002</v>
      </c>
      <c r="CH30" s="319"/>
      <c r="CI30" s="37">
        <f>-'Bal Sht'!CU158</f>
        <v>0</v>
      </c>
      <c r="CJ30" s="37">
        <f>-'Bal Sht'!CV158</f>
        <v>0</v>
      </c>
      <c r="CK30" s="37">
        <f>-'Bal Sht'!CW158</f>
        <v>0</v>
      </c>
      <c r="CL30" s="37">
        <f>-'Bal Sht'!CX158</f>
        <v>0</v>
      </c>
      <c r="CM30" s="91">
        <f t="shared" si="91"/>
        <v>0</v>
      </c>
      <c r="CN30" s="319"/>
      <c r="CO30" s="37">
        <f>-'Bal Sht'!DA158</f>
        <v>0</v>
      </c>
      <c r="CP30" s="37">
        <f>-'Bal Sht'!DB158</f>
        <v>0</v>
      </c>
      <c r="CQ30" s="37">
        <f>-'Bal Sht'!DC158</f>
        <v>0</v>
      </c>
      <c r="CR30" s="37">
        <f>-'Bal Sht'!DD158</f>
        <v>0</v>
      </c>
      <c r="CS30" s="91">
        <f t="shared" si="92"/>
        <v>0</v>
      </c>
      <c r="CT30" s="37"/>
      <c r="DA30" s="31"/>
      <c r="DB30" s="31"/>
      <c r="DC30" s="31"/>
      <c r="DD30" s="31"/>
      <c r="DF30" s="652"/>
      <c r="DG30" s="54"/>
      <c r="DH30" s="752"/>
      <c r="DI30" s="753"/>
      <c r="DJ30" s="73"/>
      <c r="DK30" s="73"/>
    </row>
    <row r="31" spans="1:142" ht="12.75" hidden="1" customHeight="1" outlineLevel="1" x14ac:dyDescent="0.2">
      <c r="A31" s="43"/>
      <c r="B31" s="611" t="s">
        <v>109</v>
      </c>
      <c r="C31" s="42">
        <v>-2.7E-2</v>
      </c>
      <c r="D31" s="42">
        <v>0</v>
      </c>
      <c r="E31" s="42">
        <v>3.2000000000000001E-2</v>
      </c>
      <c r="F31" s="42">
        <v>0.64800000000000002</v>
      </c>
      <c r="G31" s="91">
        <f>+SUM(C31:F31)</f>
        <v>0.65300000000000002</v>
      </c>
      <c r="H31" s="123"/>
      <c r="I31" s="42">
        <v>-0.27400000000000002</v>
      </c>
      <c r="J31" s="42">
        <v>2E-3</v>
      </c>
      <c r="K31" s="42">
        <v>-6.5000000000000002E-2</v>
      </c>
      <c r="L31" s="42">
        <v>0</v>
      </c>
      <c r="M31" s="91">
        <f>+SUM(I31:L31)</f>
        <v>-0.33700000000000002</v>
      </c>
      <c r="N31" s="123"/>
      <c r="O31" s="42">
        <v>-2.0049999999999999</v>
      </c>
      <c r="P31" s="42">
        <v>0</v>
      </c>
      <c r="Q31" s="42">
        <v>-3.3000000000000002E-2</v>
      </c>
      <c r="R31" s="42">
        <v>-0.45500000000000002</v>
      </c>
      <c r="S31" s="91">
        <f>+SUM(O31:R31)</f>
        <v>-2.4929999999999999</v>
      </c>
      <c r="T31" s="123"/>
      <c r="U31" s="42">
        <v>-0.215</v>
      </c>
      <c r="V31" s="42">
        <v>0.28599999999999998</v>
      </c>
      <c r="W31" s="42">
        <v>2.3E-2</v>
      </c>
      <c r="X31" s="42">
        <f>0.099-W31-V31-U31</f>
        <v>5.0000000000000322E-3</v>
      </c>
      <c r="Y31" s="91">
        <f>+SUM(U31:X31)</f>
        <v>9.9000000000000005E-2</v>
      </c>
      <c r="Z31" s="123"/>
      <c r="AA31" s="42">
        <v>-0.13400000000000001</v>
      </c>
      <c r="AB31" s="42">
        <v>-0.08</v>
      </c>
      <c r="AC31" s="42">
        <v>-5.8999999999999997E-2</v>
      </c>
      <c r="AD31" s="42">
        <v>-0.08</v>
      </c>
      <c r="AE31" s="91">
        <f>+SUM(AA31:AD31)</f>
        <v>-0.35300000000000004</v>
      </c>
      <c r="AF31" s="123"/>
      <c r="AG31" s="42">
        <v>-0.14000000000000001</v>
      </c>
      <c r="AH31" s="42">
        <v>-6.4000000000000001E-2</v>
      </c>
      <c r="AI31" s="42">
        <v>6.0000000000000001E-3</v>
      </c>
      <c r="AJ31" s="42">
        <v>-0.20899999999999999</v>
      </c>
      <c r="AK31" s="91">
        <f>+SUM(AG31:AJ31)</f>
        <v>-0.40700000000000003</v>
      </c>
      <c r="AL31" s="123"/>
      <c r="AM31" s="42">
        <v>-0.128</v>
      </c>
      <c r="AN31" s="42">
        <v>1.4E-2</v>
      </c>
      <c r="AO31" s="42">
        <v>-0.111</v>
      </c>
      <c r="AP31" s="42">
        <v>2E-3</v>
      </c>
      <c r="AQ31" s="91">
        <f>+SUM(AM31:AP31)</f>
        <v>-0.223</v>
      </c>
      <c r="AR31" s="123"/>
      <c r="AS31" s="42">
        <f>-0.439</f>
        <v>-0.439</v>
      </c>
      <c r="AT31" s="42">
        <v>-0.185</v>
      </c>
      <c r="AU31" s="42">
        <v>-0.442</v>
      </c>
      <c r="AV31" s="42">
        <f>-0.908+0.804</f>
        <v>-0.10399999999999998</v>
      </c>
      <c r="AW31" s="91">
        <f>+SUM(AS31:AV31)</f>
        <v>-1.17</v>
      </c>
      <c r="AX31" s="123"/>
      <c r="AY31" s="418">
        <v>-9.8000000000000004E-2</v>
      </c>
      <c r="AZ31" s="418">
        <v>1.5129999999999999</v>
      </c>
      <c r="BA31" s="418">
        <v>-0.29799999999999999</v>
      </c>
      <c r="BB31" s="42">
        <f>-0.8+0.3</f>
        <v>-0.5</v>
      </c>
      <c r="BC31" s="91">
        <f>+SUM(AY31:BB31)</f>
        <v>0.61699999999999977</v>
      </c>
      <c r="BD31" s="123"/>
      <c r="BE31" s="418">
        <v>0.1</v>
      </c>
      <c r="BF31" s="418">
        <v>-0.3</v>
      </c>
      <c r="BG31" s="418">
        <v>0.2</v>
      </c>
      <c r="BH31" s="418">
        <v>1.2</v>
      </c>
      <c r="BI31" s="91">
        <f>+SUM(BE31:BH31)</f>
        <v>1.2</v>
      </c>
      <c r="BJ31" s="123"/>
      <c r="BK31" s="418">
        <v>-2.5</v>
      </c>
      <c r="BL31" s="418">
        <f>1.2+3.4-5.1</f>
        <v>-0.5</v>
      </c>
      <c r="BM31" s="418">
        <f>-5.2+1.5-0.1+5.2</f>
        <v>1.4</v>
      </c>
      <c r="BN31" s="418">
        <v>-0.1</v>
      </c>
      <c r="BO31" s="91">
        <f t="shared" si="67"/>
        <v>-1.7000000000000002</v>
      </c>
      <c r="BP31" s="123"/>
      <c r="BQ31" s="418">
        <v>-0.3</v>
      </c>
      <c r="BR31" s="418">
        <v>-0.4</v>
      </c>
      <c r="BS31" s="418">
        <f>+BR31</f>
        <v>-0.4</v>
      </c>
      <c r="BT31" s="418">
        <f>+BS31</f>
        <v>-0.4</v>
      </c>
      <c r="BU31" s="91">
        <f t="shared" si="88"/>
        <v>-1.5</v>
      </c>
      <c r="BV31" s="123"/>
      <c r="BW31" s="418">
        <f>+BT31</f>
        <v>-0.4</v>
      </c>
      <c r="BX31" s="418">
        <f>+BW31</f>
        <v>-0.4</v>
      </c>
      <c r="BY31" s="418">
        <f>+BX31</f>
        <v>-0.4</v>
      </c>
      <c r="BZ31" s="418">
        <f>+BY31</f>
        <v>-0.4</v>
      </c>
      <c r="CA31" s="91">
        <f t="shared" si="89"/>
        <v>-1.6</v>
      </c>
      <c r="CB31" s="123"/>
      <c r="CC31" s="418">
        <f>+BZ31</f>
        <v>-0.4</v>
      </c>
      <c r="CD31" s="418">
        <f>+CC31</f>
        <v>-0.4</v>
      </c>
      <c r="CE31" s="418">
        <f>+CD31</f>
        <v>-0.4</v>
      </c>
      <c r="CF31" s="418">
        <f>+CE31</f>
        <v>-0.4</v>
      </c>
      <c r="CG31" s="91">
        <f t="shared" si="90"/>
        <v>-1.6</v>
      </c>
      <c r="CH31" s="123"/>
      <c r="CI31" s="418">
        <f t="shared" ref="CI31" si="93">+CF31</f>
        <v>-0.4</v>
      </c>
      <c r="CJ31" s="418">
        <f t="shared" ref="CJ31:CL31" si="94">+CI31</f>
        <v>-0.4</v>
      </c>
      <c r="CK31" s="418">
        <f t="shared" si="94"/>
        <v>-0.4</v>
      </c>
      <c r="CL31" s="418">
        <f t="shared" si="94"/>
        <v>-0.4</v>
      </c>
      <c r="CM31" s="91">
        <f t="shared" si="91"/>
        <v>-1.6</v>
      </c>
      <c r="CN31" s="123"/>
      <c r="CO31" s="418">
        <f t="shared" ref="CO31" si="95">+CL31</f>
        <v>-0.4</v>
      </c>
      <c r="CP31" s="418">
        <f t="shared" ref="CP31:CR31" si="96">+CO31</f>
        <v>-0.4</v>
      </c>
      <c r="CQ31" s="418">
        <f t="shared" si="96"/>
        <v>-0.4</v>
      </c>
      <c r="CR31" s="418">
        <f t="shared" si="96"/>
        <v>-0.4</v>
      </c>
      <c r="CS31" s="91">
        <f t="shared" si="92"/>
        <v>-1.6</v>
      </c>
      <c r="CT31" s="37"/>
      <c r="DA31" s="24"/>
      <c r="DB31" s="24"/>
      <c r="DC31" s="24"/>
      <c r="DD31" s="24"/>
      <c r="DF31" s="652"/>
      <c r="DG31" s="54"/>
      <c r="DH31" s="167"/>
      <c r="DI31" s="167"/>
      <c r="DJ31" s="73"/>
      <c r="DK31" s="73"/>
    </row>
    <row r="32" spans="1:142" ht="2.25" hidden="1" customHeight="1" outlineLevel="1" x14ac:dyDescent="0.2">
      <c r="A32" s="271"/>
      <c r="B32" s="612"/>
      <c r="C32" s="268"/>
      <c r="D32" s="268"/>
      <c r="E32" s="268"/>
      <c r="F32" s="270"/>
      <c r="G32" s="269"/>
      <c r="H32" s="273"/>
      <c r="I32" s="268"/>
      <c r="J32" s="268"/>
      <c r="K32" s="268"/>
      <c r="L32" s="270"/>
      <c r="M32" s="269"/>
      <c r="N32" s="273"/>
      <c r="O32" s="268"/>
      <c r="P32" s="268"/>
      <c r="Q32" s="268"/>
      <c r="R32" s="270"/>
      <c r="S32" s="269"/>
      <c r="T32" s="273"/>
      <c r="U32" s="268"/>
      <c r="V32" s="268"/>
      <c r="W32" s="268"/>
      <c r="X32" s="270"/>
      <c r="Y32" s="269"/>
      <c r="Z32" s="273"/>
      <c r="AA32" s="268"/>
      <c r="AB32" s="268"/>
      <c r="AC32" s="268"/>
      <c r="AD32" s="270"/>
      <c r="AE32" s="269"/>
      <c r="AF32" s="272"/>
      <c r="AG32" s="268"/>
      <c r="AH32" s="268"/>
      <c r="AI32" s="268"/>
      <c r="AJ32" s="270"/>
      <c r="AK32" s="269"/>
      <c r="AL32" s="273"/>
      <c r="AM32" s="270"/>
      <c r="AN32" s="270"/>
      <c r="AO32" s="270"/>
      <c r="AP32" s="270"/>
      <c r="AQ32" s="269"/>
      <c r="AR32" s="273"/>
      <c r="AS32" s="270"/>
      <c r="AT32" s="270"/>
      <c r="AU32" s="270"/>
      <c r="AV32" s="270"/>
      <c r="AW32" s="269"/>
      <c r="AX32" s="273"/>
      <c r="AY32" s="270"/>
      <c r="AZ32" s="270"/>
      <c r="BA32" s="270"/>
      <c r="BB32" s="270"/>
      <c r="BC32" s="269"/>
      <c r="BD32" s="273"/>
      <c r="BE32" s="270"/>
      <c r="BF32" s="270"/>
      <c r="BG32" s="270"/>
      <c r="BH32" s="270"/>
      <c r="BI32" s="269"/>
      <c r="BJ32" s="273"/>
      <c r="BK32" s="270"/>
      <c r="BL32" s="270"/>
      <c r="BM32" s="270"/>
      <c r="BN32" s="270"/>
      <c r="BO32" s="269"/>
      <c r="BP32" s="273"/>
      <c r="BQ32" s="270"/>
      <c r="BR32" s="270"/>
      <c r="BS32" s="270"/>
      <c r="BT32" s="270"/>
      <c r="BU32" s="269"/>
      <c r="BV32" s="273"/>
      <c r="BW32" s="270"/>
      <c r="BX32" s="270"/>
      <c r="BY32" s="270"/>
      <c r="BZ32" s="270"/>
      <c r="CA32" s="269"/>
      <c r="CB32" s="273"/>
      <c r="CC32" s="270"/>
      <c r="CD32" s="270"/>
      <c r="CE32" s="270"/>
      <c r="CF32" s="270"/>
      <c r="CG32" s="269"/>
      <c r="CH32" s="273"/>
      <c r="CI32" s="270"/>
      <c r="CJ32" s="270"/>
      <c r="CK32" s="270"/>
      <c r="CL32" s="270"/>
      <c r="CM32" s="269"/>
      <c r="CN32" s="273"/>
      <c r="CO32" s="270"/>
      <c r="CP32" s="270"/>
      <c r="CQ32" s="270"/>
      <c r="CR32" s="270"/>
      <c r="CS32" s="269"/>
      <c r="CT32" s="751"/>
      <c r="DA32" s="24"/>
      <c r="DB32" s="24"/>
      <c r="DC32" s="24"/>
      <c r="DD32" s="24"/>
      <c r="DF32" s="652"/>
      <c r="DG32" s="54"/>
      <c r="DH32" s="167"/>
      <c r="DI32" s="167"/>
      <c r="DJ32" s="73"/>
      <c r="DK32" s="73"/>
    </row>
    <row r="33" spans="1:124" collapsed="1" x14ac:dyDescent="0.2">
      <c r="A33" s="44"/>
      <c r="B33" s="613" t="s">
        <v>46</v>
      </c>
      <c r="C33" s="37">
        <f>+SUM(C29:C32)</f>
        <v>2.5749999999999997</v>
      </c>
      <c r="D33" s="37">
        <f>+SUM(D29:D32)</f>
        <v>2.573</v>
      </c>
      <c r="E33" s="37">
        <f>+SUM(E29:E32)</f>
        <v>3.1550000000000002</v>
      </c>
      <c r="F33" s="37">
        <f>+SUM(F29:F32)</f>
        <v>4.4619999999999997</v>
      </c>
      <c r="G33" s="261">
        <f>+SUM(G29:G32)</f>
        <v>12.765000000000001</v>
      </c>
      <c r="H33" s="252"/>
      <c r="I33" s="37">
        <f>+SUM(I29:I32)</f>
        <v>3.5830000000000002</v>
      </c>
      <c r="J33" s="37">
        <f>+SUM(J29:J32)</f>
        <v>3.6689999999999996</v>
      </c>
      <c r="K33" s="37">
        <f>+SUM(K29:K32)</f>
        <v>3.1850000000000001</v>
      </c>
      <c r="L33" s="37">
        <f>+SUM(L29:L32)</f>
        <v>2.9350000000000001</v>
      </c>
      <c r="M33" s="261">
        <f>+SUM(M29:M32)</f>
        <v>13.372000000000002</v>
      </c>
      <c r="N33" s="252"/>
      <c r="O33" s="37">
        <f>+SUM(O29:O32)</f>
        <v>1.4290000000000003</v>
      </c>
      <c r="P33" s="37">
        <f>+SUM(P29:P32)</f>
        <v>3.4369999999999998</v>
      </c>
      <c r="Q33" s="37">
        <f>+SUM(Q29:Q32)</f>
        <v>2.9130000000000003</v>
      </c>
      <c r="R33" s="37">
        <f>+SUM(R29:R32)</f>
        <v>2.206</v>
      </c>
      <c r="S33" s="261">
        <f>+SUM(S29:S32)</f>
        <v>9.9849999999999994</v>
      </c>
      <c r="T33" s="252"/>
      <c r="U33" s="37">
        <f>+SUM(U29:U32)</f>
        <v>1.698</v>
      </c>
      <c r="V33" s="37">
        <f>+SUM(V29:V32)</f>
        <v>1.8169999999999999</v>
      </c>
      <c r="W33" s="37">
        <f>+SUM(W29:W32)</f>
        <v>1.2549999999999999</v>
      </c>
      <c r="X33" s="37">
        <f>+SUM(X29:X32)</f>
        <v>0.98900000000000021</v>
      </c>
      <c r="Y33" s="261">
        <f>+SUM(Y29:Y32)</f>
        <v>5.7590000000000003</v>
      </c>
      <c r="Z33" s="252"/>
      <c r="AA33" s="37">
        <f>+SUM(AA29:AA32)</f>
        <v>0.58699999999999997</v>
      </c>
      <c r="AB33" s="37">
        <f>+SUM(AB29:AB32)</f>
        <v>0.46800000000000003</v>
      </c>
      <c r="AC33" s="37">
        <f>+SUM(AC29:AC32)</f>
        <v>0.48800000000000004</v>
      </c>
      <c r="AD33" s="37">
        <f>+SUM(AD29:AD32)</f>
        <v>0.32999999999999996</v>
      </c>
      <c r="AE33" s="261">
        <f>+SUM(AE29:AE32)</f>
        <v>1.8730000000000004</v>
      </c>
      <c r="AF33" s="252"/>
      <c r="AG33" s="37">
        <f>+SUM(AG29:AG32)</f>
        <v>0.33299999999999996</v>
      </c>
      <c r="AH33" s="37">
        <f>+SUM(AH29:AH32)</f>
        <v>1.3179999999999998</v>
      </c>
      <c r="AI33" s="37">
        <f>+SUM(AI29:AI32)</f>
        <v>1.385</v>
      </c>
      <c r="AJ33" s="37">
        <f>+SUM(AJ29:AJ32)</f>
        <v>1.1859999999999999</v>
      </c>
      <c r="AK33" s="261">
        <f>+SUM(AK29:AK32)</f>
        <v>4.2219999999999995</v>
      </c>
      <c r="AL33" s="252"/>
      <c r="AM33" s="37">
        <f>+SUM(AM29:AM32)</f>
        <v>1.2400000000000002</v>
      </c>
      <c r="AN33" s="37">
        <f>+SUM(AN29:AN32)</f>
        <v>1.399</v>
      </c>
      <c r="AO33" s="37">
        <f>+SUM(AO29:AO32)</f>
        <v>1.323</v>
      </c>
      <c r="AP33" s="37">
        <f>+SUM(AP29:AP32)</f>
        <v>1.3120000000000001</v>
      </c>
      <c r="AQ33" s="261">
        <f>+SUM(AQ29:AQ32)</f>
        <v>5.274</v>
      </c>
      <c r="AR33" s="252"/>
      <c r="AS33" s="37">
        <f>+SUM(AS29:AS32)</f>
        <v>0.92300000000000004</v>
      </c>
      <c r="AT33" s="37">
        <f>+SUM(AT29:AT32)</f>
        <v>1.145</v>
      </c>
      <c r="AU33" s="37">
        <f>+SUM(AU29:AU32)</f>
        <v>2.056</v>
      </c>
      <c r="AV33" s="37">
        <f>+SUM(AV29:AV32)</f>
        <v>0.10299999999999987</v>
      </c>
      <c r="AW33" s="261">
        <f>+SUM(AW29:AW32)</f>
        <v>4.2270000000000003</v>
      </c>
      <c r="AX33" s="252"/>
      <c r="AY33" s="37">
        <f>+SUM(AY29:AY32)</f>
        <v>-4.3000000000000003E-2</v>
      </c>
      <c r="AZ33" s="37">
        <f>+SUM(AZ29:AZ32)</f>
        <v>1.5979999999999999</v>
      </c>
      <c r="BA33" s="37">
        <f>+SUM(BA29:BA32)</f>
        <v>-0.17399999999999999</v>
      </c>
      <c r="BB33" s="37">
        <f>+SUM(BB29:BB32)</f>
        <v>-0.4</v>
      </c>
      <c r="BC33" s="261">
        <f>+SUM(BC29:BC32)</f>
        <v>0.98099999999999976</v>
      </c>
      <c r="BD33" s="252"/>
      <c r="BE33" s="37">
        <f>+SUM(BE29:BE32)</f>
        <v>0.2</v>
      </c>
      <c r="BF33" s="37">
        <f>+SUM(BF29:BF32)</f>
        <v>-0.19999999999999998</v>
      </c>
      <c r="BG33" s="37">
        <f>+SUM(BG29:BG32)</f>
        <v>0.5</v>
      </c>
      <c r="BH33" s="37">
        <f>+SUM(BH29:BH32)</f>
        <v>1.6</v>
      </c>
      <c r="BI33" s="261">
        <f>+SUM(BI29:BI32)</f>
        <v>2.1</v>
      </c>
      <c r="BJ33" s="252"/>
      <c r="BK33" s="37">
        <f>+SUM(BK29:BK32)</f>
        <v>-2.2000000000000002</v>
      </c>
      <c r="BL33" s="37">
        <f>+SUM(BL29:BL32)</f>
        <v>-1.5</v>
      </c>
      <c r="BM33" s="37">
        <f>+SUM(BM29:BM32)</f>
        <v>0.19999999999999996</v>
      </c>
      <c r="BN33" s="37">
        <f>+SUM(BN29:BN32)</f>
        <v>-0.99999999999999989</v>
      </c>
      <c r="BO33" s="261">
        <f>+SUM(BO29:BO32)</f>
        <v>-4.5</v>
      </c>
      <c r="BP33" s="252"/>
      <c r="BQ33" s="37">
        <f>+SUM(BQ29:BQ32)</f>
        <v>-0.8</v>
      </c>
      <c r="BR33" s="37">
        <f>+SUM(BR29:BR32)</f>
        <v>-0.7</v>
      </c>
      <c r="BS33" s="37">
        <f>+SUM(BS29:BS32)</f>
        <v>-0.21525000000000016</v>
      </c>
      <c r="BT33" s="37">
        <f>+SUM(BT29:BT32)</f>
        <v>-3.908657668277804E-3</v>
      </c>
      <c r="BU33" s="261">
        <f>+SUM(BU29:BU32)</f>
        <v>-1.7191586576682782</v>
      </c>
      <c r="BV33" s="252"/>
      <c r="BW33" s="37">
        <f>+SUM(BW29:BW32)</f>
        <v>9.8487012222358172E-2</v>
      </c>
      <c r="BX33" s="37">
        <f>+SUM(BX29:BX32)</f>
        <v>0.366106730137289</v>
      </c>
      <c r="BY33" s="37">
        <f>+SUM(BY29:BY32)</f>
        <v>0.52416224081224005</v>
      </c>
      <c r="BZ33" s="37">
        <f>+SUM(BZ29:BZ32)</f>
        <v>0.70959756091485804</v>
      </c>
      <c r="CA33" s="261">
        <f>+SUM(CA29:CA32)</f>
        <v>1.698353544086745</v>
      </c>
      <c r="CB33" s="252"/>
      <c r="CC33" s="37">
        <f>+SUM(CC29:CC32)</f>
        <v>0.65890006877450291</v>
      </c>
      <c r="CD33" s="37">
        <f>+SUM(CD29:CD32)</f>
        <v>1.1074125453557628</v>
      </c>
      <c r="CE33" s="37">
        <f>+SUM(CE29:CE32)</f>
        <v>1.2768042463514444</v>
      </c>
      <c r="CF33" s="37">
        <f>+SUM(CF29:CF32)</f>
        <v>1.4720017266714995</v>
      </c>
      <c r="CG33" s="261">
        <f>+SUM(CG29:CG32)</f>
        <v>4.5151185871532107</v>
      </c>
      <c r="CH33" s="252"/>
      <c r="CI33" s="37">
        <f t="shared" ref="CI33:CM33" si="97">+SUM(CI29:CI32)</f>
        <v>-0.4</v>
      </c>
      <c r="CJ33" s="37">
        <f t="shared" si="97"/>
        <v>-0.4</v>
      </c>
      <c r="CK33" s="37">
        <f t="shared" si="97"/>
        <v>-0.4</v>
      </c>
      <c r="CL33" s="37">
        <f t="shared" si="97"/>
        <v>-0.4</v>
      </c>
      <c r="CM33" s="261">
        <f t="shared" si="97"/>
        <v>-1.6</v>
      </c>
      <c r="CN33" s="252"/>
      <c r="CO33" s="37">
        <f t="shared" ref="CO33:CS33" si="98">+SUM(CO29:CO32)</f>
        <v>-0.4</v>
      </c>
      <c r="CP33" s="37">
        <f t="shared" si="98"/>
        <v>-0.4</v>
      </c>
      <c r="CQ33" s="37">
        <f t="shared" si="98"/>
        <v>-0.4</v>
      </c>
      <c r="CR33" s="37">
        <f t="shared" si="98"/>
        <v>-0.4</v>
      </c>
      <c r="CS33" s="261">
        <f t="shared" si="98"/>
        <v>-1.6</v>
      </c>
      <c r="CT33" s="259"/>
      <c r="DA33" s="726"/>
      <c r="DB33" s="726"/>
      <c r="DC33" s="726"/>
      <c r="DD33" s="726"/>
      <c r="DF33" s="652"/>
      <c r="DG33" s="54"/>
      <c r="DH33" s="752"/>
      <c r="DI33" s="774"/>
      <c r="DJ33" s="73"/>
      <c r="DK33" s="766"/>
    </row>
    <row r="34" spans="1:124" ht="3.75" customHeight="1" x14ac:dyDescent="0.2">
      <c r="A34" s="43"/>
      <c r="B34" s="614"/>
      <c r="C34" s="264"/>
      <c r="D34" s="264"/>
      <c r="E34" s="264"/>
      <c r="F34" s="336"/>
      <c r="G34" s="457"/>
      <c r="H34" s="286"/>
      <c r="I34" s="264"/>
      <c r="J34" s="264"/>
      <c r="K34" s="264"/>
      <c r="L34" s="336"/>
      <c r="M34" s="457"/>
      <c r="N34" s="286"/>
      <c r="O34" s="264"/>
      <c r="P34" s="264"/>
      <c r="Q34" s="264"/>
      <c r="R34" s="336"/>
      <c r="S34" s="457"/>
      <c r="T34" s="286"/>
      <c r="U34" s="264"/>
      <c r="V34" s="264"/>
      <c r="W34" s="264"/>
      <c r="X34" s="336"/>
      <c r="Y34" s="457"/>
      <c r="Z34" s="170"/>
      <c r="AA34" s="264"/>
      <c r="AB34" s="264"/>
      <c r="AC34" s="264"/>
      <c r="AD34" s="336"/>
      <c r="AE34" s="457"/>
      <c r="AF34" s="170"/>
      <c r="AG34" s="264"/>
      <c r="AH34" s="264"/>
      <c r="AI34" s="264"/>
      <c r="AJ34" s="336"/>
      <c r="AK34" s="457"/>
      <c r="AL34" s="170"/>
      <c r="AM34" s="336"/>
      <c r="AN34" s="336"/>
      <c r="AO34" s="336"/>
      <c r="AP34" s="336"/>
      <c r="AQ34" s="457"/>
      <c r="AR34" s="170"/>
      <c r="AS34" s="336"/>
      <c r="AT34" s="336"/>
      <c r="AU34" s="336"/>
      <c r="AV34" s="336"/>
      <c r="AW34" s="560"/>
      <c r="AX34" s="170"/>
      <c r="AY34" s="336"/>
      <c r="AZ34" s="336"/>
      <c r="BA34" s="336"/>
      <c r="BB34" s="336"/>
      <c r="BC34" s="457"/>
      <c r="BD34" s="170"/>
      <c r="BE34" s="336"/>
      <c r="BF34" s="336"/>
      <c r="BG34" s="336"/>
      <c r="BH34" s="336"/>
      <c r="BI34" s="457"/>
      <c r="BJ34" s="170"/>
      <c r="BK34" s="336"/>
      <c r="BL34" s="336"/>
      <c r="BM34" s="336"/>
      <c r="BN34" s="336"/>
      <c r="BO34" s="457"/>
      <c r="BP34" s="170"/>
      <c r="BQ34" s="336"/>
      <c r="BR34" s="336"/>
      <c r="BS34" s="336"/>
      <c r="BT34" s="336"/>
      <c r="BU34" s="457"/>
      <c r="BV34" s="170"/>
      <c r="BW34" s="336"/>
      <c r="BX34" s="336"/>
      <c r="BY34" s="336"/>
      <c r="BZ34" s="336"/>
      <c r="CA34" s="457"/>
      <c r="CB34" s="170"/>
      <c r="CC34" s="336"/>
      <c r="CD34" s="336"/>
      <c r="CE34" s="336"/>
      <c r="CF34" s="336"/>
      <c r="CG34" s="457"/>
      <c r="CH34" s="170"/>
      <c r="CI34" s="336"/>
      <c r="CJ34" s="336"/>
      <c r="CK34" s="336"/>
      <c r="CL34" s="336"/>
      <c r="CM34" s="457"/>
      <c r="CN34" s="170"/>
      <c r="CO34" s="336"/>
      <c r="CP34" s="336"/>
      <c r="CQ34" s="336"/>
      <c r="CR34" s="336"/>
      <c r="CS34" s="457"/>
      <c r="CT34" s="336"/>
      <c r="DA34" s="129"/>
      <c r="DB34" s="129"/>
      <c r="DC34" s="129"/>
      <c r="DD34" s="129"/>
      <c r="DF34" s="54"/>
      <c r="DG34" s="54"/>
      <c r="DH34" s="167"/>
      <c r="DI34" s="167"/>
      <c r="DJ34" s="73"/>
      <c r="DK34" s="73"/>
    </row>
    <row r="35" spans="1:124" x14ac:dyDescent="0.2">
      <c r="A35" s="43"/>
      <c r="B35" s="318" t="s">
        <v>68</v>
      </c>
      <c r="C35" s="258">
        <f>+C24+C33</f>
        <v>-12.425000000000004</v>
      </c>
      <c r="D35" s="258">
        <f>+D24+D33</f>
        <v>-8.7960000000000029</v>
      </c>
      <c r="E35" s="258">
        <f>+E24+E33</f>
        <v>-5.9369999999999985</v>
      </c>
      <c r="F35" s="258">
        <f>+F24+F33</f>
        <v>-7.8039999999999914</v>
      </c>
      <c r="G35" s="260">
        <f>+G24+G33</f>
        <v>-34.962000000000018</v>
      </c>
      <c r="H35" s="123"/>
      <c r="I35" s="258">
        <f>+I24+I33</f>
        <v>-7.9990000000000006</v>
      </c>
      <c r="J35" s="258">
        <f>+J24+J33</f>
        <v>-5.0669999999999975</v>
      </c>
      <c r="K35" s="258">
        <f>+K24+K33</f>
        <v>-4.6309999999999949</v>
      </c>
      <c r="L35" s="258">
        <f>+L24+L33</f>
        <v>22.101999999999993</v>
      </c>
      <c r="M35" s="260">
        <f>+M24+M33</f>
        <v>4.4049999999999887</v>
      </c>
      <c r="N35" s="123"/>
      <c r="O35" s="258">
        <f>+O24+O33</f>
        <v>24.818000000000005</v>
      </c>
      <c r="P35" s="258">
        <f>+P24+P33</f>
        <v>36.753999999999991</v>
      </c>
      <c r="Q35" s="258">
        <f>+Q24+Q33</f>
        <v>38.173000000000002</v>
      </c>
      <c r="R35" s="258">
        <f>+R24+R33</f>
        <v>36.701999999999991</v>
      </c>
      <c r="S35" s="260">
        <f>+S24+S33</f>
        <v>136.447</v>
      </c>
      <c r="T35" s="123"/>
      <c r="U35" s="258">
        <f>+U24+U33</f>
        <v>31.410000000000004</v>
      </c>
      <c r="V35" s="258">
        <f>+V24+V33</f>
        <v>36.339000000000006</v>
      </c>
      <c r="W35" s="258">
        <f>+W24+W33</f>
        <v>34.480000000000004</v>
      </c>
      <c r="X35" s="258">
        <f>+X24+X33</f>
        <v>38.60500000000004</v>
      </c>
      <c r="Y35" s="260">
        <f>+Y24+Y33</f>
        <v>140.83400000000006</v>
      </c>
      <c r="Z35" s="123"/>
      <c r="AA35" s="258">
        <f>+AA24+AA33</f>
        <v>36.178000000000011</v>
      </c>
      <c r="AB35" s="258">
        <f>+AB24+AB33</f>
        <v>39.054000000000009</v>
      </c>
      <c r="AC35" s="258">
        <f>+AC24+AC33</f>
        <v>42.311999999999998</v>
      </c>
      <c r="AD35" s="258">
        <f>+AD24+AD33</f>
        <v>42.106999999999999</v>
      </c>
      <c r="AE35" s="260">
        <f>+AE24+AE33</f>
        <v>159.65100000000004</v>
      </c>
      <c r="AF35" s="123"/>
      <c r="AG35" s="258">
        <f>+AG24+AG33</f>
        <v>41.804999999999993</v>
      </c>
      <c r="AH35" s="258">
        <f>+AH24+AH33</f>
        <v>46.783000000000001</v>
      </c>
      <c r="AI35" s="258">
        <f>+AI24+AI33</f>
        <v>47.480999999999973</v>
      </c>
      <c r="AJ35" s="258">
        <f>+AJ24+AJ33</f>
        <v>48.470999999999997</v>
      </c>
      <c r="AK35" s="260">
        <f>+AK24+AK33</f>
        <v>184.54</v>
      </c>
      <c r="AL35" s="123"/>
      <c r="AM35" s="259">
        <f>+AM24+AM33</f>
        <v>49.82200000000001</v>
      </c>
      <c r="AN35" s="259">
        <f>+AN24+AN33</f>
        <v>56.984999999999971</v>
      </c>
      <c r="AO35" s="259">
        <f>+AO24+AO33</f>
        <v>59.434999999999995</v>
      </c>
      <c r="AP35" s="259">
        <f>+AP24+AP33</f>
        <v>67.227999999999994</v>
      </c>
      <c r="AQ35" s="260">
        <f>+AQ24+AQ33</f>
        <v>233.47000000000003</v>
      </c>
      <c r="AR35" s="123"/>
      <c r="AS35" s="259">
        <f>+AS24+AS33</f>
        <v>83.827000000000027</v>
      </c>
      <c r="AT35" s="259">
        <f>+AT24+AT33</f>
        <v>84.634</v>
      </c>
      <c r="AU35" s="259">
        <f>+AU24+AU33</f>
        <v>71.111999999999981</v>
      </c>
      <c r="AV35" s="259">
        <f>+AV24+AV33</f>
        <v>56.338000000000044</v>
      </c>
      <c r="AW35" s="260">
        <f>+AW24+AW33</f>
        <v>295.91099999999994</v>
      </c>
      <c r="AX35" s="123"/>
      <c r="AY35" s="259">
        <f>+AY24+AY33</f>
        <v>29.226999999999983</v>
      </c>
      <c r="AZ35" s="259">
        <f>+AZ24+AZ33</f>
        <v>45.387</v>
      </c>
      <c r="BA35" s="259">
        <f>+BA24+BA33</f>
        <v>46.065000000000005</v>
      </c>
      <c r="BB35" s="259">
        <f>+BB24+BB33</f>
        <v>47.773926218980783</v>
      </c>
      <c r="BC35" s="260">
        <f>+BC24+BC33</f>
        <v>168.45292621898079</v>
      </c>
      <c r="BD35" s="123"/>
      <c r="BE35" s="259">
        <f>+BE24+BE33</f>
        <v>46.63138383668678</v>
      </c>
      <c r="BF35" s="259">
        <f>+BF24+BF33</f>
        <v>48.189222028001339</v>
      </c>
      <c r="BG35" s="259">
        <f>+BG24+BG33</f>
        <v>46.318020622574977</v>
      </c>
      <c r="BH35" s="259">
        <f>+BH24+BH33</f>
        <v>40.60000000000003</v>
      </c>
      <c r="BI35" s="260">
        <f>+BI24+BI33</f>
        <v>181.73862648726319</v>
      </c>
      <c r="BJ35" s="123"/>
      <c r="BK35" s="259">
        <f>+BK24+BK33</f>
        <v>19.406198515750152</v>
      </c>
      <c r="BL35" s="259">
        <f>+BL24+BL33</f>
        <v>22.149352850119357</v>
      </c>
      <c r="BM35" s="259">
        <f>+BM24+BM33</f>
        <v>24.211125094416143</v>
      </c>
      <c r="BN35" s="259">
        <f>+BN24+BN33</f>
        <v>26.959944350473705</v>
      </c>
      <c r="BO35" s="260">
        <f>+BO24+BO33</f>
        <v>92.726620810759471</v>
      </c>
      <c r="BP35" s="123"/>
      <c r="BQ35" s="259">
        <f>+BQ24+BQ33</f>
        <v>23.873636020087002</v>
      </c>
      <c r="BR35" s="259">
        <f>+BR24+BR33</f>
        <v>27.475384650316773</v>
      </c>
      <c r="BS35" s="259">
        <f>+BS24+BS33</f>
        <v>24.979869915382491</v>
      </c>
      <c r="BT35" s="259">
        <f>+BT24+BT33</f>
        <v>27.119106280626667</v>
      </c>
      <c r="BU35" s="260">
        <f>+BU24+BU33</f>
        <v>103.44799686641302</v>
      </c>
      <c r="BV35" s="123"/>
      <c r="BW35" s="259">
        <f>+BW24+BW33</f>
        <v>26.241067104400237</v>
      </c>
      <c r="BX35" s="259">
        <f>+BX24+BX33</f>
        <v>30.705141283737177</v>
      </c>
      <c r="BY35" s="259">
        <f>+BY24+BY33</f>
        <v>29.845298019735804</v>
      </c>
      <c r="BZ35" s="259">
        <f>+BZ24+BZ33</f>
        <v>33.080244904877361</v>
      </c>
      <c r="CA35" s="260">
        <f>+CA24+CA33</f>
        <v>119.8717513127507</v>
      </c>
      <c r="CB35" s="123"/>
      <c r="CC35" s="259">
        <f>+CC24+CC33</f>
        <v>29.72006211613817</v>
      </c>
      <c r="CD35" s="259">
        <f>+CD24+CD33</f>
        <v>34.743819166451935</v>
      </c>
      <c r="CE35" s="259">
        <f>+CE24+CE33</f>
        <v>33.439941755815113</v>
      </c>
      <c r="CF35" s="259">
        <f>+CF24+CF33</f>
        <v>36.725476661183798</v>
      </c>
      <c r="CG35" s="260">
        <f>+CG24+CG33</f>
        <v>134.62929969958907</v>
      </c>
      <c r="CH35" s="123"/>
      <c r="CI35" s="259">
        <f t="shared" ref="CI35:CM35" si="99">+CI24+CI33</f>
        <v>31.828970863858537</v>
      </c>
      <c r="CJ35" s="259">
        <f t="shared" si="99"/>
        <v>36.80938794465181</v>
      </c>
      <c r="CK35" s="259">
        <f t="shared" si="99"/>
        <v>34.849186475186805</v>
      </c>
      <c r="CL35" s="259">
        <f t="shared" si="99"/>
        <v>37.885328979863637</v>
      </c>
      <c r="CM35" s="260">
        <f t="shared" si="99"/>
        <v>141.37287426356093</v>
      </c>
      <c r="CN35" s="123"/>
      <c r="CO35" s="259">
        <f t="shared" ref="CO35:CS35" si="100">+CO24+CO33</f>
        <v>35.079743065628726</v>
      </c>
      <c r="CP35" s="259">
        <f t="shared" si="100"/>
        <v>40.848558732020486</v>
      </c>
      <c r="CQ35" s="259">
        <f t="shared" si="100"/>
        <v>38.467220494783426</v>
      </c>
      <c r="CR35" s="259">
        <f t="shared" si="100"/>
        <v>41.812441573028885</v>
      </c>
      <c r="CS35" s="260">
        <f t="shared" si="100"/>
        <v>156.20796386546149</v>
      </c>
      <c r="CT35" s="553"/>
      <c r="DA35" s="895"/>
      <c r="DB35" s="129"/>
      <c r="DC35" s="129"/>
      <c r="DD35" s="129"/>
      <c r="DF35" s="54"/>
      <c r="DG35" s="54"/>
      <c r="DH35" s="167"/>
      <c r="DI35" s="167"/>
      <c r="DJ35" s="73"/>
      <c r="DK35" s="73"/>
    </row>
    <row r="36" spans="1:124" x14ac:dyDescent="0.2">
      <c r="A36" s="43"/>
      <c r="B36" s="615" t="s">
        <v>10</v>
      </c>
      <c r="C36" s="379">
        <f>+C37/C35</f>
        <v>0</v>
      </c>
      <c r="D36" s="379">
        <f>+D37/D35</f>
        <v>0</v>
      </c>
      <c r="E36" s="379">
        <f>+E37/E35</f>
        <v>0</v>
      </c>
      <c r="F36" s="379">
        <f>+F37/F35</f>
        <v>0</v>
      </c>
      <c r="G36" s="616">
        <f>+G37/G35</f>
        <v>0</v>
      </c>
      <c r="H36" s="486"/>
      <c r="I36" s="379">
        <f>+I37/I35</f>
        <v>0</v>
      </c>
      <c r="J36" s="379">
        <f>+J37/J35</f>
        <v>0</v>
      </c>
      <c r="K36" s="379">
        <f>+K37/K35</f>
        <v>0</v>
      </c>
      <c r="L36" s="379">
        <f>+L37/L35</f>
        <v>2.7508822730974582E-2</v>
      </c>
      <c r="M36" s="616">
        <f>+M37/M35</f>
        <v>0.13802497162315586</v>
      </c>
      <c r="N36" s="486"/>
      <c r="O36" s="379">
        <f>+O37/O35</f>
        <v>1.1564187283423318E-2</v>
      </c>
      <c r="P36" s="379">
        <f>+P37/P35</f>
        <v>0</v>
      </c>
      <c r="Q36" s="379">
        <f>+Q37/Q35</f>
        <v>-2.4624734760170801E-3</v>
      </c>
      <c r="R36" s="379">
        <f>+R37/R35</f>
        <v>0</v>
      </c>
      <c r="S36" s="616">
        <f>+S37/S35</f>
        <v>1.4144686215160464E-3</v>
      </c>
      <c r="T36" s="486"/>
      <c r="U36" s="379">
        <f>+U37/U35</f>
        <v>3.0818210760904165E-2</v>
      </c>
      <c r="V36" s="379">
        <f>+V37/V35</f>
        <v>2.6968271003604938E-2</v>
      </c>
      <c r="W36" s="379">
        <f>+W37/W35</f>
        <v>3.5643851508120647E-2</v>
      </c>
      <c r="X36" s="379">
        <f>+X37/X35</f>
        <v>-0.37938090920865136</v>
      </c>
      <c r="Y36" s="616">
        <f>+Y37/Y35</f>
        <v>-8.1436300893250185E-2</v>
      </c>
      <c r="Z36" s="265"/>
      <c r="AA36" s="379">
        <f>+AA37/AA35</f>
        <v>0.3770247111504228</v>
      </c>
      <c r="AB36" s="379">
        <f>+AB37/AB35</f>
        <v>0.38057561325344386</v>
      </c>
      <c r="AC36" s="379">
        <f>+AC37/AC35</f>
        <v>0.33966723388164116</v>
      </c>
      <c r="AD36" s="379">
        <f>+AD37/AD35</f>
        <v>0.38155176098985916</v>
      </c>
      <c r="AE36" s="616">
        <f>+AE37/AE35</f>
        <v>0.36918653813630975</v>
      </c>
      <c r="AF36" s="265"/>
      <c r="AG36" s="379">
        <f>+AG37/AG35</f>
        <v>0.39961727066140418</v>
      </c>
      <c r="AH36" s="379">
        <f>+AH37/AH35</f>
        <v>0.39516491033067563</v>
      </c>
      <c r="AI36" s="379">
        <f>+AI37/AI35</f>
        <v>0.37627682652008193</v>
      </c>
      <c r="AJ36" s="379">
        <f>+AJ37/AJ35</f>
        <v>0.39879515586639436</v>
      </c>
      <c r="AK36" s="616">
        <f>+AK37/AK35</f>
        <v>0.39226725913081173</v>
      </c>
      <c r="AL36" s="265"/>
      <c r="AM36" s="379">
        <f>+AM37/AM35</f>
        <v>0.39512665087712245</v>
      </c>
      <c r="AN36" s="379">
        <f>+AN37/AN35</f>
        <v>0.38517153636922019</v>
      </c>
      <c r="AO36" s="379">
        <f>+AO37/AO35</f>
        <v>0.35919912509464125</v>
      </c>
      <c r="AP36" s="379">
        <f>+AP37/AP35</f>
        <v>0.3443951924793241</v>
      </c>
      <c r="AQ36" s="616">
        <f>+AQ37/AQ35</f>
        <v>0.36894247654944956</v>
      </c>
      <c r="AR36" s="265"/>
      <c r="AS36" s="379">
        <f>+AS37/AS35</f>
        <v>0.33833967576079294</v>
      </c>
      <c r="AT36" s="379">
        <f>+AT37/AT35</f>
        <v>0.3991776354656521</v>
      </c>
      <c r="AU36" s="379">
        <f>+AU37/AU35</f>
        <v>0.35029249634379578</v>
      </c>
      <c r="AV36" s="379">
        <f>+AV37/AV35</f>
        <v>0.34097767048883498</v>
      </c>
      <c r="AW36" s="616">
        <f>+AW37/AW35</f>
        <v>0.35911473382199383</v>
      </c>
      <c r="AX36" s="265"/>
      <c r="AY36" s="379">
        <f>+AY37/AY35</f>
        <v>0.33855681390495107</v>
      </c>
      <c r="AZ36" s="379">
        <f>+AZ37/AZ35</f>
        <v>0.34128715270892546</v>
      </c>
      <c r="BA36" s="379">
        <f>+BA37/BA35</f>
        <v>0.36478888527081293</v>
      </c>
      <c r="BB36" s="379">
        <f>+BB37/BB35</f>
        <v>0.38514732734463009</v>
      </c>
      <c r="BC36" s="616">
        <f>+BC37/BC35</f>
        <v>0.35967911843358052</v>
      </c>
      <c r="BD36" s="265"/>
      <c r="BE36" s="379">
        <f>+BE37/BE35</f>
        <v>0.36241686627159647</v>
      </c>
      <c r="BF36" s="379">
        <f>+BF37/BF35</f>
        <v>0.30504746458571713</v>
      </c>
      <c r="BG36" s="379">
        <f>+BG37/BG35</f>
        <v>0.35623283936183686</v>
      </c>
      <c r="BH36" s="379">
        <f>+BH37/BH35</f>
        <v>0.34975369458128058</v>
      </c>
      <c r="BI36" s="616">
        <f>+BI37/BI35</f>
        <v>0.34279999361812152</v>
      </c>
      <c r="BJ36" s="265"/>
      <c r="BK36" s="379">
        <f>+BK37/BK35</f>
        <v>0.17520175305021979</v>
      </c>
      <c r="BL36" s="379">
        <f>+BL37/BL35</f>
        <v>0.20768101132016656</v>
      </c>
      <c r="BM36" s="379">
        <f>+BM37/BM35</f>
        <v>0.25195029046406664</v>
      </c>
      <c r="BN36" s="379">
        <f>+BN37/BN35</f>
        <v>0.2373892140429269</v>
      </c>
      <c r="BO36" s="616">
        <f>+BO37/BO35</f>
        <v>0.22107998566924264</v>
      </c>
      <c r="BP36" s="265"/>
      <c r="BQ36" s="379">
        <f>+BQ37/BQ35</f>
        <v>0.23875709570188994</v>
      </c>
      <c r="BR36" s="379">
        <f>+BR37/BR35</f>
        <v>0.18926031668641444</v>
      </c>
      <c r="BS36" s="617">
        <v>0.19</v>
      </c>
      <c r="BT36" s="617">
        <f>+BS36</f>
        <v>0.19</v>
      </c>
      <c r="BU36" s="616">
        <f>+BU37/BU35</f>
        <v>0.20105566185201401</v>
      </c>
      <c r="BV36" s="265"/>
      <c r="BW36" s="617">
        <v>0.17</v>
      </c>
      <c r="BX36" s="617">
        <f>+BW36</f>
        <v>0.17</v>
      </c>
      <c r="BY36" s="617">
        <f>+BX36</f>
        <v>0.17</v>
      </c>
      <c r="BZ36" s="617">
        <f>+BY36</f>
        <v>0.17</v>
      </c>
      <c r="CA36" s="616">
        <f>+CA37/CA35</f>
        <v>0.16999999999999985</v>
      </c>
      <c r="CB36" s="265"/>
      <c r="CC36" s="617">
        <v>0.19</v>
      </c>
      <c r="CD36" s="617">
        <f>+CC36</f>
        <v>0.19</v>
      </c>
      <c r="CE36" s="617">
        <f>+CD36</f>
        <v>0.19</v>
      </c>
      <c r="CF36" s="617">
        <f>+CE36</f>
        <v>0.19</v>
      </c>
      <c r="CG36" s="616">
        <f>+CG37/CG35</f>
        <v>0.18999999999999995</v>
      </c>
      <c r="CH36" s="265"/>
      <c r="CI36" s="617">
        <v>0.21</v>
      </c>
      <c r="CJ36" s="617">
        <f t="shared" ref="CJ36:CL36" si="101">+CI36</f>
        <v>0.21</v>
      </c>
      <c r="CK36" s="617">
        <f t="shared" si="101"/>
        <v>0.21</v>
      </c>
      <c r="CL36" s="617">
        <f t="shared" si="101"/>
        <v>0.21</v>
      </c>
      <c r="CM36" s="616">
        <f t="shared" ref="CM36" si="102">+CM37/CM35</f>
        <v>0.2099999999999998</v>
      </c>
      <c r="CN36" s="265"/>
      <c r="CO36" s="617">
        <v>0.23</v>
      </c>
      <c r="CP36" s="617">
        <f t="shared" ref="CP36:CR36" si="103">+CO36</f>
        <v>0.23</v>
      </c>
      <c r="CQ36" s="617">
        <f t="shared" si="103"/>
        <v>0.23</v>
      </c>
      <c r="CR36" s="617">
        <f t="shared" si="103"/>
        <v>0.23</v>
      </c>
      <c r="CS36" s="616">
        <f t="shared" ref="CS36" si="104">+CS37/CS35</f>
        <v>0.23000000000000004</v>
      </c>
      <c r="CT36" s="855"/>
      <c r="DA36" s="129"/>
      <c r="DB36" s="129"/>
      <c r="DC36" s="129"/>
      <c r="DD36" s="129"/>
      <c r="DF36" s="301"/>
      <c r="DG36" s="301"/>
      <c r="DH36" s="752"/>
      <c r="DI36" s="167"/>
      <c r="DJ36" s="73"/>
      <c r="DK36" s="73"/>
    </row>
    <row r="37" spans="1:124" x14ac:dyDescent="0.2">
      <c r="A37" s="43"/>
      <c r="B37" s="32" t="s">
        <v>45</v>
      </c>
      <c r="C37" s="42">
        <v>0</v>
      </c>
      <c r="D37" s="42"/>
      <c r="E37" s="42"/>
      <c r="F37" s="42"/>
      <c r="G37" s="91">
        <f>+SUM(C37:F37)</f>
        <v>0</v>
      </c>
      <c r="H37" s="241"/>
      <c r="I37" s="42"/>
      <c r="J37" s="42">
        <v>0</v>
      </c>
      <c r="K37" s="42">
        <v>0</v>
      </c>
      <c r="L37" s="42">
        <v>0.60799999999999998</v>
      </c>
      <c r="M37" s="91">
        <f>+SUM(I37:L37)</f>
        <v>0.60799999999999998</v>
      </c>
      <c r="N37" s="241"/>
      <c r="O37" s="42">
        <v>0.28699999999999998</v>
      </c>
      <c r="P37" s="42">
        <v>0</v>
      </c>
      <c r="Q37" s="42">
        <v>-9.4E-2</v>
      </c>
      <c r="R37" s="42">
        <v>0</v>
      </c>
      <c r="S37" s="91">
        <f>+SUM(O37:R37)</f>
        <v>0.19299999999999998</v>
      </c>
      <c r="T37" s="241"/>
      <c r="U37" s="42">
        <v>0.96799999999999997</v>
      </c>
      <c r="V37" s="42">
        <v>0.98</v>
      </c>
      <c r="W37" s="42">
        <v>1.2290000000000001</v>
      </c>
      <c r="X37" s="42">
        <f>-11.469-W37-V37-U37</f>
        <v>-14.646000000000001</v>
      </c>
      <c r="Y37" s="91">
        <f>+SUM(U37:X37)</f>
        <v>-11.469000000000001</v>
      </c>
      <c r="Z37" s="241"/>
      <c r="AA37" s="42">
        <v>13.64</v>
      </c>
      <c r="AB37" s="42">
        <v>14.863</v>
      </c>
      <c r="AC37" s="42">
        <v>14.372</v>
      </c>
      <c r="AD37" s="42">
        <v>16.065999999999999</v>
      </c>
      <c r="AE37" s="91">
        <f>+SUM(AA37:AD37)</f>
        <v>58.941000000000003</v>
      </c>
      <c r="AF37" s="241"/>
      <c r="AG37" s="42">
        <v>16.706</v>
      </c>
      <c r="AH37" s="42">
        <v>18.486999999999998</v>
      </c>
      <c r="AI37" s="42">
        <v>17.866</v>
      </c>
      <c r="AJ37" s="42">
        <v>19.329999999999998</v>
      </c>
      <c r="AK37" s="91">
        <f>+SUM(AG37:AJ37)</f>
        <v>72.388999999999996</v>
      </c>
      <c r="AL37" s="241"/>
      <c r="AM37" s="42">
        <v>19.686</v>
      </c>
      <c r="AN37" s="42">
        <v>21.949000000000002</v>
      </c>
      <c r="AO37" s="42">
        <v>21.349</v>
      </c>
      <c r="AP37" s="42">
        <v>23.152999999999999</v>
      </c>
      <c r="AQ37" s="91">
        <f>+SUM(AM37:AP37)</f>
        <v>86.137</v>
      </c>
      <c r="AR37" s="241"/>
      <c r="AS37" s="42">
        <v>28.361999999999998</v>
      </c>
      <c r="AT37" s="42">
        <v>33.783999999999999</v>
      </c>
      <c r="AU37" s="418">
        <f>20.573+4.337</f>
        <v>24.91</v>
      </c>
      <c r="AV37" s="42">
        <f>18.921+0.289</f>
        <v>19.21</v>
      </c>
      <c r="AW37" s="91">
        <f>+SUM(AS37:AV37)</f>
        <v>106.26599999999999</v>
      </c>
      <c r="AX37" s="241"/>
      <c r="AY37" s="42">
        <v>9.8949999999999996</v>
      </c>
      <c r="AZ37" s="42">
        <f>13.909+1.581</f>
        <v>15.49</v>
      </c>
      <c r="BA37" s="42">
        <f>14.091+2.713</f>
        <v>16.803999999999998</v>
      </c>
      <c r="BB37" s="42">
        <f>16.8+3.7-2.1</f>
        <v>18.399999999999999</v>
      </c>
      <c r="BC37" s="91">
        <f>+SUM(AY37:BB37)</f>
        <v>60.588999999999992</v>
      </c>
      <c r="BD37" s="241"/>
      <c r="BE37" s="42">
        <v>16.899999999999999</v>
      </c>
      <c r="BF37" s="418">
        <v>14.7</v>
      </c>
      <c r="BG37" s="418">
        <f>10.5+6</f>
        <v>16.5</v>
      </c>
      <c r="BH37" s="418">
        <f>13.9+0.3</f>
        <v>14.200000000000001</v>
      </c>
      <c r="BI37" s="91">
        <f>+SUM(BE37:BH37)</f>
        <v>62.3</v>
      </c>
      <c r="BJ37" s="241"/>
      <c r="BK37" s="42">
        <v>3.4</v>
      </c>
      <c r="BL37" s="418">
        <f>6.2-1.4-0.6+0.4</f>
        <v>4.6000000000000014</v>
      </c>
      <c r="BM37" s="418">
        <v>6.1</v>
      </c>
      <c r="BN37" s="418">
        <v>6.4</v>
      </c>
      <c r="BO37" s="91">
        <f>+SUM(BK37:BN37)</f>
        <v>20.5</v>
      </c>
      <c r="BP37" s="241"/>
      <c r="BQ37" s="42">
        <f>5.6+0.1</f>
        <v>5.6999999999999993</v>
      </c>
      <c r="BR37" s="418">
        <f>-28.4+32.6+1</f>
        <v>5.2000000000000028</v>
      </c>
      <c r="BS37" s="37">
        <f>+BS35*BS36</f>
        <v>4.746175283922673</v>
      </c>
      <c r="BT37" s="37">
        <f>+BT35*BT36</f>
        <v>5.1526301933190668</v>
      </c>
      <c r="BU37" s="91">
        <f>+SUM(BQ37:BT37)</f>
        <v>20.798805477241743</v>
      </c>
      <c r="BV37" s="241"/>
      <c r="BW37" s="37">
        <f>+BW35*BW36</f>
        <v>4.460981407748041</v>
      </c>
      <c r="BX37" s="37">
        <f>+BX35*BX36</f>
        <v>5.2198740182353207</v>
      </c>
      <c r="BY37" s="37">
        <f>+BY35*BY36</f>
        <v>5.073700663355087</v>
      </c>
      <c r="BZ37" s="37">
        <f>+BZ35*BZ36</f>
        <v>5.6236416338291519</v>
      </c>
      <c r="CA37" s="91">
        <f>+SUM(BW37:BZ37)</f>
        <v>20.378197723167602</v>
      </c>
      <c r="CB37" s="241"/>
      <c r="CC37" s="37">
        <f>+CC35*CC36</f>
        <v>5.6468118020662521</v>
      </c>
      <c r="CD37" s="37">
        <f>+CD35*CD36</f>
        <v>6.6013256416258681</v>
      </c>
      <c r="CE37" s="37">
        <f>+CE35*CE36</f>
        <v>6.3535889336048719</v>
      </c>
      <c r="CF37" s="37">
        <f>+CF35*CF36</f>
        <v>6.9778405656249216</v>
      </c>
      <c r="CG37" s="91">
        <f>+SUM(CC37:CF37)</f>
        <v>25.579566942921915</v>
      </c>
      <c r="CH37" s="241"/>
      <c r="CI37" s="37">
        <f t="shared" ref="CI37:CL37" si="105">+CI35*CI36</f>
        <v>6.6840838814102925</v>
      </c>
      <c r="CJ37" s="37">
        <f t="shared" si="105"/>
        <v>7.7299714683768794</v>
      </c>
      <c r="CK37" s="37">
        <f t="shared" si="105"/>
        <v>7.3183291597892284</v>
      </c>
      <c r="CL37" s="37">
        <f t="shared" si="105"/>
        <v>7.9559190857713631</v>
      </c>
      <c r="CM37" s="91">
        <f t="shared" ref="CM37" si="106">+SUM(CI37:CL37)</f>
        <v>29.688303595347765</v>
      </c>
      <c r="CN37" s="241"/>
      <c r="CO37" s="37">
        <f t="shared" ref="CO37:CR37" si="107">+CO35*CO36</f>
        <v>8.0683409050946082</v>
      </c>
      <c r="CP37" s="37">
        <f t="shared" si="107"/>
        <v>9.3951685083647121</v>
      </c>
      <c r="CQ37" s="37">
        <f t="shared" si="107"/>
        <v>8.8474607138001886</v>
      </c>
      <c r="CR37" s="37">
        <f t="shared" si="107"/>
        <v>9.6168615617966431</v>
      </c>
      <c r="CS37" s="91">
        <f t="shared" ref="CS37" si="108">+SUM(CO37:CR37)</f>
        <v>35.927831689056148</v>
      </c>
      <c r="CT37" s="37"/>
      <c r="DA37" s="43"/>
      <c r="DB37" s="43"/>
      <c r="DC37" s="43"/>
      <c r="DD37" s="43"/>
      <c r="DF37" s="597"/>
      <c r="DG37" s="597"/>
      <c r="DH37" s="167"/>
      <c r="DI37" s="167"/>
      <c r="DJ37" s="73"/>
      <c r="DK37" s="73"/>
    </row>
    <row r="38" spans="1:124" x14ac:dyDescent="0.2">
      <c r="A38" s="43"/>
      <c r="B38" s="318" t="s">
        <v>97</v>
      </c>
      <c r="C38" s="258">
        <f>+C35-C37</f>
        <v>-12.425000000000004</v>
      </c>
      <c r="D38" s="258">
        <f>+D35-D37</f>
        <v>-8.7960000000000029</v>
      </c>
      <c r="E38" s="258">
        <f>+E35-E37</f>
        <v>-5.9369999999999985</v>
      </c>
      <c r="F38" s="258">
        <f>+F35-F37</f>
        <v>-7.8039999999999914</v>
      </c>
      <c r="G38" s="260">
        <f>+G35-G37</f>
        <v>-34.962000000000018</v>
      </c>
      <c r="H38" s="123"/>
      <c r="I38" s="258">
        <f>+I35-I37</f>
        <v>-7.9990000000000006</v>
      </c>
      <c r="J38" s="258">
        <f>+J35-J37</f>
        <v>-5.0669999999999975</v>
      </c>
      <c r="K38" s="258">
        <f>+K35-K37</f>
        <v>-4.6309999999999949</v>
      </c>
      <c r="L38" s="258">
        <f>+L35-L37</f>
        <v>21.493999999999993</v>
      </c>
      <c r="M38" s="260">
        <f>+M35-M37</f>
        <v>3.7969999999999886</v>
      </c>
      <c r="N38" s="123"/>
      <c r="O38" s="258">
        <f>+O35-O37</f>
        <v>24.531000000000006</v>
      </c>
      <c r="P38" s="258">
        <f>+P35-P37</f>
        <v>36.753999999999991</v>
      </c>
      <c r="Q38" s="258">
        <f>+Q35-Q37</f>
        <v>38.267000000000003</v>
      </c>
      <c r="R38" s="258">
        <f>+R35-R37</f>
        <v>36.701999999999991</v>
      </c>
      <c r="S38" s="260">
        <f>+S35-S37</f>
        <v>136.25399999999999</v>
      </c>
      <c r="T38" s="123"/>
      <c r="U38" s="258">
        <f>+U35-U37</f>
        <v>30.442000000000004</v>
      </c>
      <c r="V38" s="258">
        <f>+V35-V37</f>
        <v>35.359000000000009</v>
      </c>
      <c r="W38" s="258">
        <f>+W35-W37</f>
        <v>33.251000000000005</v>
      </c>
      <c r="X38" s="258">
        <f>+X35-X37</f>
        <v>53.25100000000004</v>
      </c>
      <c r="Y38" s="260">
        <f>+Y35-Y37</f>
        <v>152.30300000000005</v>
      </c>
      <c r="Z38" s="123"/>
      <c r="AA38" s="258">
        <f>+AA35-AA37</f>
        <v>22.538000000000011</v>
      </c>
      <c r="AB38" s="258">
        <f>+AB35-AB37</f>
        <v>24.19100000000001</v>
      </c>
      <c r="AC38" s="258">
        <f>+AC35-AC37</f>
        <v>27.939999999999998</v>
      </c>
      <c r="AD38" s="258">
        <f>+AD35-AD37</f>
        <v>26.041</v>
      </c>
      <c r="AE38" s="260">
        <f>+AE35-AE37</f>
        <v>100.71000000000004</v>
      </c>
      <c r="AF38" s="123"/>
      <c r="AG38" s="258">
        <f>+AG35-AG37</f>
        <v>25.098999999999993</v>
      </c>
      <c r="AH38" s="258">
        <f>+AH35-AH37</f>
        <v>28.296000000000003</v>
      </c>
      <c r="AI38" s="258">
        <f>+AI35-AI37</f>
        <v>29.614999999999974</v>
      </c>
      <c r="AJ38" s="258">
        <f>+AJ35-AJ37</f>
        <v>29.140999999999998</v>
      </c>
      <c r="AK38" s="260">
        <f>+AK35-AK37</f>
        <v>112.151</v>
      </c>
      <c r="AL38" s="123"/>
      <c r="AM38" s="259">
        <f>+AM35-AM37</f>
        <v>30.13600000000001</v>
      </c>
      <c r="AN38" s="259">
        <f>+AN35-AN37</f>
        <v>35.035999999999973</v>
      </c>
      <c r="AO38" s="259">
        <f>+AO35-AO37</f>
        <v>38.085999999999999</v>
      </c>
      <c r="AP38" s="259">
        <f>+AP35-AP37</f>
        <v>44.074999999999996</v>
      </c>
      <c r="AQ38" s="260">
        <f>+AQ35-AQ37</f>
        <v>147.33300000000003</v>
      </c>
      <c r="AR38" s="123"/>
      <c r="AS38" s="259">
        <f>+AS35-AS37</f>
        <v>55.465000000000032</v>
      </c>
      <c r="AT38" s="259">
        <f>+AT35-AT37</f>
        <v>50.85</v>
      </c>
      <c r="AU38" s="259">
        <f>+AU35-AU37</f>
        <v>46.201999999999984</v>
      </c>
      <c r="AV38" s="259">
        <f>+AV35-AV37</f>
        <v>37.128000000000043</v>
      </c>
      <c r="AW38" s="260">
        <f>+AW35-AW37</f>
        <v>189.64499999999995</v>
      </c>
      <c r="AX38" s="123"/>
      <c r="AY38" s="259">
        <f>+AY35-AY37</f>
        <v>19.331999999999983</v>
      </c>
      <c r="AZ38" s="259">
        <f>+AZ35-AZ37</f>
        <v>29.896999999999998</v>
      </c>
      <c r="BA38" s="259">
        <f>+BA35-BA37</f>
        <v>29.261000000000006</v>
      </c>
      <c r="BB38" s="259">
        <f>+BB35-BB37</f>
        <v>29.373926218980785</v>
      </c>
      <c r="BC38" s="260">
        <f>+BC35-BC37</f>
        <v>107.86392621898079</v>
      </c>
      <c r="BD38" s="123"/>
      <c r="BE38" s="259">
        <f>+BE35-BE37</f>
        <v>29.731383836686781</v>
      </c>
      <c r="BF38" s="259">
        <f>+BF35-BF37</f>
        <v>33.489222028001336</v>
      </c>
      <c r="BG38" s="259">
        <f>+BG35-BG37</f>
        <v>29.818020622574977</v>
      </c>
      <c r="BH38" s="259">
        <f>+BH35-BH37</f>
        <v>26.400000000000027</v>
      </c>
      <c r="BI38" s="260">
        <f>+BI35-BI37</f>
        <v>119.43862648726319</v>
      </c>
      <c r="BJ38" s="123"/>
      <c r="BK38" s="259">
        <f>+BK35-BK37</f>
        <v>16.006198515750153</v>
      </c>
      <c r="BL38" s="259">
        <f>+BL35-BL37</f>
        <v>17.549352850119355</v>
      </c>
      <c r="BM38" s="259">
        <f>+BM35-BM37</f>
        <v>18.111125094416145</v>
      </c>
      <c r="BN38" s="259">
        <f>+BN35-BN37</f>
        <v>20.559944350473707</v>
      </c>
      <c r="BO38" s="260">
        <f>+BO35-BO37</f>
        <v>72.226620810759471</v>
      </c>
      <c r="BP38" s="123"/>
      <c r="BQ38" s="259">
        <f>+BQ35-BQ37</f>
        <v>18.173636020087002</v>
      </c>
      <c r="BR38" s="259">
        <f>+BR35-BR37</f>
        <v>22.27538465031677</v>
      </c>
      <c r="BS38" s="259">
        <f>+BS35-BS37</f>
        <v>20.233694631459819</v>
      </c>
      <c r="BT38" s="259">
        <f>+BT35-BT37</f>
        <v>21.966476087307601</v>
      </c>
      <c r="BU38" s="260">
        <f>+BU35-BU37</f>
        <v>82.649191389171278</v>
      </c>
      <c r="BV38" s="123"/>
      <c r="BW38" s="259">
        <f>+BW35-BW37</f>
        <v>21.780085696652197</v>
      </c>
      <c r="BX38" s="259">
        <f>+BX35-BX37</f>
        <v>25.485267265501857</v>
      </c>
      <c r="BY38" s="259">
        <f>+BY35-BY37</f>
        <v>24.771597356380717</v>
      </c>
      <c r="BZ38" s="259">
        <f>+BZ35-BZ37</f>
        <v>27.456603271048209</v>
      </c>
      <c r="CA38" s="260">
        <f>+CA35-CA37</f>
        <v>99.493553589583101</v>
      </c>
      <c r="CB38" s="123"/>
      <c r="CC38" s="259">
        <f>+CC35-CC37</f>
        <v>24.073250314071917</v>
      </c>
      <c r="CD38" s="259">
        <f>+CD35-CD37</f>
        <v>28.142493524826065</v>
      </c>
      <c r="CE38" s="259">
        <f>+CE35-CE37</f>
        <v>27.086352822210241</v>
      </c>
      <c r="CF38" s="259">
        <f>+CF35-CF37</f>
        <v>29.747636095558875</v>
      </c>
      <c r="CG38" s="260">
        <f>+CG35-CG37</f>
        <v>109.04973275666715</v>
      </c>
      <c r="CH38" s="123"/>
      <c r="CI38" s="259">
        <f t="shared" ref="CI38:CM38" si="109">+CI35-CI37</f>
        <v>25.144886982448245</v>
      </c>
      <c r="CJ38" s="259">
        <f t="shared" si="109"/>
        <v>29.079416476274929</v>
      </c>
      <c r="CK38" s="259">
        <f t="shared" si="109"/>
        <v>27.530857315397576</v>
      </c>
      <c r="CL38" s="259">
        <f t="shared" si="109"/>
        <v>29.929409894092274</v>
      </c>
      <c r="CM38" s="260">
        <f t="shared" si="109"/>
        <v>111.68457066821317</v>
      </c>
      <c r="CN38" s="123"/>
      <c r="CO38" s="259">
        <f t="shared" ref="CO38:CS38" si="110">+CO35-CO37</f>
        <v>27.011402160534118</v>
      </c>
      <c r="CP38" s="259">
        <f t="shared" si="110"/>
        <v>31.453390223655774</v>
      </c>
      <c r="CQ38" s="259">
        <f t="shared" si="110"/>
        <v>29.619759780983237</v>
      </c>
      <c r="CR38" s="259">
        <f t="shared" si="110"/>
        <v>32.195580011232238</v>
      </c>
      <c r="CS38" s="260">
        <f t="shared" si="110"/>
        <v>120.28013217640535</v>
      </c>
      <c r="CT38" s="259"/>
      <c r="DA38" s="129"/>
      <c r="DB38" s="129"/>
      <c r="DC38" s="129"/>
      <c r="DD38" s="129"/>
      <c r="DF38" s="597"/>
      <c r="DG38" s="597"/>
      <c r="DH38" s="167"/>
      <c r="DI38" s="167"/>
      <c r="DJ38" s="73"/>
      <c r="DK38" s="73"/>
      <c r="DS38" s="323"/>
      <c r="DT38" s="323"/>
    </row>
    <row r="39" spans="1:124" x14ac:dyDescent="0.2">
      <c r="A39" s="43"/>
      <c r="B39" s="318"/>
      <c r="C39" s="258"/>
      <c r="D39" s="258"/>
      <c r="E39" s="258"/>
      <c r="F39" s="258"/>
      <c r="G39" s="260"/>
      <c r="H39" s="123"/>
      <c r="I39" s="258"/>
      <c r="J39" s="258"/>
      <c r="K39" s="258"/>
      <c r="L39" s="258"/>
      <c r="M39" s="260"/>
      <c r="N39" s="123"/>
      <c r="O39" s="258"/>
      <c r="P39" s="258"/>
      <c r="Q39" s="258"/>
      <c r="R39" s="258"/>
      <c r="S39" s="260"/>
      <c r="T39" s="123"/>
      <c r="U39" s="258"/>
      <c r="V39" s="258"/>
      <c r="W39" s="258"/>
      <c r="X39" s="258"/>
      <c r="Y39" s="260"/>
      <c r="Z39" s="123"/>
      <c r="AA39" s="258"/>
      <c r="AB39" s="258"/>
      <c r="AC39" s="258"/>
      <c r="AD39" s="258"/>
      <c r="AE39" s="260"/>
      <c r="AF39" s="123"/>
      <c r="AG39" s="258"/>
      <c r="AH39" s="258"/>
      <c r="AI39" s="258"/>
      <c r="AJ39" s="258"/>
      <c r="AK39" s="260"/>
      <c r="AL39" s="123"/>
      <c r="AM39" s="259"/>
      <c r="AN39" s="259"/>
      <c r="AO39" s="259"/>
      <c r="AP39" s="259"/>
      <c r="AQ39" s="260"/>
      <c r="AR39" s="123"/>
      <c r="AS39" s="259"/>
      <c r="AT39" s="259"/>
      <c r="AU39" s="259"/>
      <c r="AV39" s="547"/>
      <c r="AW39" s="260"/>
      <c r="AX39" s="123"/>
      <c r="AY39" s="259"/>
      <c r="AZ39" s="259"/>
      <c r="BA39" s="259"/>
      <c r="BB39" s="547"/>
      <c r="BC39" s="260"/>
      <c r="BD39" s="123"/>
      <c r="BE39" s="259"/>
      <c r="BF39" s="259"/>
      <c r="BG39" s="259"/>
      <c r="BH39" s="259"/>
      <c r="BI39" s="260"/>
      <c r="BJ39" s="123"/>
      <c r="BK39" s="259"/>
      <c r="BL39" s="259"/>
      <c r="BM39" s="259"/>
      <c r="BN39" s="259"/>
      <c r="BO39" s="260"/>
      <c r="BP39" s="123"/>
      <c r="BQ39" s="259"/>
      <c r="BR39" s="259"/>
      <c r="BS39" s="259"/>
      <c r="BT39" s="259"/>
      <c r="BU39" s="260"/>
      <c r="BV39" s="123"/>
      <c r="BW39" s="259"/>
      <c r="BX39" s="259"/>
      <c r="BY39" s="259"/>
      <c r="BZ39" s="259"/>
      <c r="CA39" s="260"/>
      <c r="CB39" s="123"/>
      <c r="CC39" s="259"/>
      <c r="CD39" s="259"/>
      <c r="CE39" s="259"/>
      <c r="CF39" s="259"/>
      <c r="CG39" s="260"/>
      <c r="CH39" s="123"/>
      <c r="CI39" s="259"/>
      <c r="CJ39" s="259"/>
      <c r="CK39" s="259"/>
      <c r="CL39" s="259"/>
      <c r="CM39" s="260"/>
      <c r="CN39" s="123"/>
      <c r="CO39" s="259"/>
      <c r="CP39" s="259"/>
      <c r="CQ39" s="259"/>
      <c r="CR39" s="259"/>
      <c r="CS39" s="260"/>
      <c r="CT39" s="259"/>
      <c r="DA39" s="129"/>
      <c r="DB39" s="129"/>
      <c r="DC39" s="129"/>
      <c r="DD39" s="129"/>
      <c r="DF39" s="54"/>
      <c r="DG39" s="54"/>
      <c r="DH39" s="167"/>
      <c r="DI39" s="167"/>
      <c r="DJ39" s="73"/>
      <c r="DK39" s="73"/>
    </row>
    <row r="40" spans="1:124" x14ac:dyDescent="0.2">
      <c r="A40" s="44"/>
      <c r="B40" s="115" t="s">
        <v>56</v>
      </c>
      <c r="C40" s="37">
        <f>('Cash Flow'!C54/'P&amp;L'!C91)</f>
        <v>1.3505835010060356</v>
      </c>
      <c r="D40" s="37">
        <f>('Cash Flow'!D54/'P&amp;L'!D91)</f>
        <v>1.3265120509322414</v>
      </c>
      <c r="E40" s="37">
        <f>('Cash Flow'!E54/'P&amp;L'!E91)</f>
        <v>1.063500084217619</v>
      </c>
      <c r="F40" s="37">
        <f>('Cash Flow'!F54/'P&amp;L'!F91)</f>
        <v>0.31881086622245053</v>
      </c>
      <c r="G40" s="260">
        <f>('Cash Flow'!G54/'P&amp;L'!G91)</f>
        <v>1.0654710828899945</v>
      </c>
      <c r="H40" s="259"/>
      <c r="I40" s="37">
        <f>('Cash Flow'!I54/'P&amp;L'!I91)</f>
        <v>1.9977497187148388</v>
      </c>
      <c r="J40" s="37">
        <f>('Cash Flow'!J54/'P&amp;L'!J91)</f>
        <v>0.93230708506019389</v>
      </c>
      <c r="K40" s="37">
        <f>('Cash Flow'!K54/'P&amp;L'!K91)</f>
        <v>-0.63290865903692461</v>
      </c>
      <c r="L40" s="37">
        <f>('Cash Flow'!L54/'P&amp;L'!L91)</f>
        <v>5.0169349585930973</v>
      </c>
      <c r="M40" s="260">
        <f>('Cash Flow'!M54/'P&amp;L'!M91)</f>
        <v>23.718988675270026</v>
      </c>
      <c r="N40" s="259"/>
      <c r="O40" s="37">
        <f>('Cash Flow'!O54/'P&amp;L'!O91)</f>
        <v>-0.36896360868963596</v>
      </c>
      <c r="P40" s="37">
        <f>('Cash Flow'!P54/'P&amp;L'!P91)</f>
        <v>1.8425694477196632</v>
      </c>
      <c r="Q40" s="37">
        <f>('Cash Flow'!Q54/'P&amp;L'!Q91)</f>
        <v>0.23809147641993836</v>
      </c>
      <c r="R40" s="37">
        <f>('Cash Flow'!R54/'P&amp;L'!R91)</f>
        <v>1.5547377326565148</v>
      </c>
      <c r="S40" s="260">
        <f>('Cash Flow'!S54/'P&amp;L'!S91)</f>
        <v>0.90429592861785735</v>
      </c>
      <c r="T40" s="259"/>
      <c r="U40" s="37">
        <f>('Cash Flow'!U54/'P&amp;L'!U91)</f>
        <v>0.70967741935483863</v>
      </c>
      <c r="V40" s="37">
        <f>('Cash Flow'!V54/'P&amp;L'!V91)</f>
        <v>1.0855510619644222</v>
      </c>
      <c r="W40" s="37">
        <f>('Cash Flow'!W54/'P&amp;L'!W91)</f>
        <v>1.2483233586959788</v>
      </c>
      <c r="X40" s="37">
        <f>('Cash Flow'!X54/'P&amp;L'!X91)</f>
        <v>0.8581059510619512</v>
      </c>
      <c r="Y40" s="260">
        <f>('Cash Flow'!Y54/'P&amp;L'!Y91)</f>
        <v>0.96643532957328437</v>
      </c>
      <c r="Z40" s="259"/>
      <c r="AA40" s="37">
        <f>('Cash Flow'!AA54/'P&amp;L'!AA91)</f>
        <v>1.2129292750022178</v>
      </c>
      <c r="AB40" s="37">
        <f>('Cash Flow'!AB54/'P&amp;L'!AB91)</f>
        <v>1.4906370137654492</v>
      </c>
      <c r="AC40" s="37">
        <f>('Cash Flow'!AC54/'P&amp;L'!AC91)</f>
        <v>0.99778095919828214</v>
      </c>
      <c r="AD40" s="37">
        <f>('Cash Flow'!AD54/'P&amp;L'!AD91)</f>
        <v>1.3706078875619212</v>
      </c>
      <c r="AE40" s="260">
        <f>('Cash Flow'!AE54/'P&amp;L'!AE91)</f>
        <v>1.2607188958395386</v>
      </c>
      <c r="AF40" s="259"/>
      <c r="AG40" s="37">
        <f>('Cash Flow'!AG54/'P&amp;L'!AG91)</f>
        <v>1.1839117096298661</v>
      </c>
      <c r="AH40" s="37">
        <f>('Cash Flow'!AH54/'P&amp;L'!AH91)</f>
        <v>0.86312553011026294</v>
      </c>
      <c r="AI40" s="37">
        <f>('Cash Flow'!AI54/'P&amp;L'!AI91)</f>
        <v>1.3083572513928767</v>
      </c>
      <c r="AJ40" s="37">
        <f>('Cash Flow'!AJ54/'P&amp;L'!AJ91)</f>
        <v>1.3558560104320374</v>
      </c>
      <c r="AK40" s="260">
        <f>('Cash Flow'!AK54/'P&amp;L'!AK91)</f>
        <v>1.1805155549214899</v>
      </c>
      <c r="AL40" s="259"/>
      <c r="AM40" s="37">
        <f>('Cash Flow'!AM54/'P&amp;L'!AM91)</f>
        <v>1.6224780992832486</v>
      </c>
      <c r="AN40" s="37">
        <f>('Cash Flow'!AN54/'P&amp;L'!AN91)</f>
        <v>0.50139856147962147</v>
      </c>
      <c r="AO40" s="37">
        <f>('Cash Flow'!AO54/'P&amp;L'!AO91)</f>
        <v>0.94537105457616422</v>
      </c>
      <c r="AP40" s="37">
        <f>('Cash Flow'!AP54/'P&amp;L'!AP91)</f>
        <v>1.3660578559273968</v>
      </c>
      <c r="AQ40" s="260">
        <f>('Cash Flow'!AQ54/'P&amp;L'!AQ91)</f>
        <v>1.1043503082119623</v>
      </c>
      <c r="AR40" s="259"/>
      <c r="AS40" s="37">
        <f>('Cash Flow'!AS54/'P&amp;L'!AS91)</f>
        <v>1.5364103488686556</v>
      </c>
      <c r="AT40" s="37">
        <f>('Cash Flow'!AT54/'P&amp;L'!AT91)</f>
        <v>0.88792692613185076</v>
      </c>
      <c r="AU40" s="37">
        <f>('Cash Flow'!AU54/'P&amp;L'!AU91)</f>
        <v>0.26363883600761484</v>
      </c>
      <c r="AV40" s="37">
        <f>('Cash Flow'!AV54/'P&amp;L'!AV91)</f>
        <v>1.0798715394451199</v>
      </c>
      <c r="AW40" s="260">
        <f>('Cash Flow'!AW54/'P&amp;L'!AW91)</f>
        <v>0.99839976393680763</v>
      </c>
      <c r="AX40" s="259"/>
      <c r="AY40" s="37">
        <f>('Cash Flow'!AY54/'P&amp;L'!AY91)</f>
        <v>-0.28288074083343817</v>
      </c>
      <c r="AZ40" s="37">
        <f>('Cash Flow'!AZ54/'P&amp;L'!AZ91)</f>
        <v>1.9412841746077985</v>
      </c>
      <c r="BA40" s="37">
        <f>('Cash Flow'!BA54/'P&amp;L'!BA91)</f>
        <v>1.1837485448195573</v>
      </c>
      <c r="BB40" s="37">
        <f>('Cash Flow'!BB54/'P&amp;L'!BB91)</f>
        <v>2.6266035018466023</v>
      </c>
      <c r="BC40" s="260">
        <f>('Cash Flow'!BC54/'P&amp;L'!BC91)</f>
        <v>1.4545558658543229</v>
      </c>
      <c r="BD40" s="259"/>
      <c r="BE40" s="37">
        <f>('Cash Flow'!BE54/'P&amp;L'!BE91)</f>
        <v>0.8974374049265853</v>
      </c>
      <c r="BF40" s="37">
        <f>('Cash Flow'!BF54/'P&amp;L'!BF91)</f>
        <v>1.3139987538539706</v>
      </c>
      <c r="BG40" s="37">
        <f>('Cash Flow'!BG54/'P&amp;L'!BG91)</f>
        <v>1.3305528407803748</v>
      </c>
      <c r="BH40" s="37">
        <f>('Cash Flow'!BH54/'P&amp;L'!BH91)</f>
        <v>2.4304932735425986</v>
      </c>
      <c r="BI40" s="260">
        <f>('Cash Flow'!BI54/'P&amp;L'!BI91)</f>
        <v>1.4422566251595526</v>
      </c>
      <c r="BJ40" s="259"/>
      <c r="BK40" s="37">
        <f>('Cash Flow'!BK54/'P&amp;L'!BK91)</f>
        <v>3.6857049166468769</v>
      </c>
      <c r="BL40" s="37">
        <f>('Cash Flow'!BL54/'P&amp;L'!BL91)</f>
        <v>4.8744797510906093</v>
      </c>
      <c r="BM40" s="37">
        <f>('Cash Flow'!BM54/'P&amp;L'!BM91)</f>
        <v>9.4036627058428373</v>
      </c>
      <c r="BN40" s="37">
        <f>('Cash Flow'!BN54/'P&amp;L'!BN91)</f>
        <v>2.8582929190005526</v>
      </c>
      <c r="BO40" s="260">
        <f>('Cash Flow'!BO54/'P&amp;L'!BO91)</f>
        <v>4.6500563595177855</v>
      </c>
      <c r="BP40" s="259"/>
      <c r="BQ40" s="37">
        <f>('Cash Flow'!BQ54/'P&amp;L'!BQ91)</f>
        <v>0.27012480351287071</v>
      </c>
      <c r="BR40" s="37">
        <f>('Cash Flow'!BR54/'P&amp;L'!BR91)</f>
        <v>0.96335555557226493</v>
      </c>
      <c r="BS40" s="37">
        <f>('Cash Flow'!BS54/'P&amp;L'!BS91)</f>
        <v>2.1728060703938841</v>
      </c>
      <c r="BT40" s="37">
        <f>('Cash Flow'!BT54/'P&amp;L'!BT91)</f>
        <v>1.719600281789923</v>
      </c>
      <c r="BU40" s="260">
        <f>('Cash Flow'!BU54/'P&amp;L'!BU91)</f>
        <v>0.98704677553306797</v>
      </c>
      <c r="BV40" s="259"/>
      <c r="BW40" s="37">
        <f>('Cash Flow'!BW54/'P&amp;L'!BW91)</f>
        <v>1.2330763767882285</v>
      </c>
      <c r="BX40" s="37">
        <f>('Cash Flow'!BX54/'P&amp;L'!BX91)</f>
        <v>1.2492735202870611</v>
      </c>
      <c r="BY40" s="37">
        <f>('Cash Flow'!BY54/'P&amp;L'!BY91)</f>
        <v>1.4982478971281885</v>
      </c>
      <c r="BZ40" s="37">
        <f>('Cash Flow'!BZ54/'P&amp;L'!BZ91)</f>
        <v>1.4776209325371965</v>
      </c>
      <c r="CA40" s="260">
        <f>('Cash Flow'!CA54/'P&amp;L'!CA91)</f>
        <v>1.3677593240045045</v>
      </c>
      <c r="CB40" s="259"/>
      <c r="CC40" s="37">
        <f>('Cash Flow'!CC54/'P&amp;L'!CC91)</f>
        <v>1.2664033671167301</v>
      </c>
      <c r="CD40" s="37">
        <f>('Cash Flow'!CD54/'P&amp;L'!CD91)</f>
        <v>1.2279521466868737</v>
      </c>
      <c r="CE40" s="37">
        <f>('Cash Flow'!CE54/'P&amp;L'!CE91)</f>
        <v>1.4976029172037517</v>
      </c>
      <c r="CF40" s="37">
        <f>('Cash Flow'!CF54/'P&amp;L'!CF91)</f>
        <v>1.4733225931888907</v>
      </c>
      <c r="CG40" s="260">
        <f>('Cash Flow'!CG54/'P&amp;L'!CG91)</f>
        <v>1.3685039548323956</v>
      </c>
      <c r="CH40" s="259"/>
      <c r="CI40" s="37">
        <f>('Cash Flow'!CU54/'P&amp;L'!CI91)</f>
        <v>0</v>
      </c>
      <c r="CJ40" s="37">
        <f>('Cash Flow'!CV54/'P&amp;L'!CJ91)</f>
        <v>0</v>
      </c>
      <c r="CK40" s="37">
        <f>('Cash Flow'!CW54/'P&amp;L'!CK91)</f>
        <v>0</v>
      </c>
      <c r="CL40" s="37">
        <f>('Cash Flow'!CX54/'P&amp;L'!CL91)</f>
        <v>0</v>
      </c>
      <c r="CM40" s="260">
        <f>('Cash Flow'!CY54/'P&amp;L'!CM91)</f>
        <v>0</v>
      </c>
      <c r="CN40" s="259"/>
      <c r="CO40" s="37">
        <f>('Cash Flow'!DA54/'P&amp;L'!CO91)</f>
        <v>0</v>
      </c>
      <c r="CP40" s="37">
        <f>('Cash Flow'!DB54/'P&amp;L'!CP91)</f>
        <v>0</v>
      </c>
      <c r="CQ40" s="37">
        <f>('Cash Flow'!DC54/'P&amp;L'!CQ91)</f>
        <v>0</v>
      </c>
      <c r="CR40" s="37">
        <f>('Cash Flow'!DD54/'P&amp;L'!CR91)</f>
        <v>0</v>
      </c>
      <c r="CS40" s="260">
        <f>('Cash Flow'!DE54/'P&amp;L'!CS91)</f>
        <v>0</v>
      </c>
      <c r="CT40" s="259"/>
      <c r="DA40" s="44"/>
      <c r="DB40" s="44"/>
      <c r="DC40" s="44"/>
      <c r="DD40" s="44"/>
      <c r="DF40" s="54"/>
      <c r="DG40" s="54"/>
      <c r="DH40" s="775"/>
      <c r="DI40" s="775"/>
      <c r="DJ40" s="763"/>
      <c r="DK40" s="73"/>
      <c r="DT40" s="363"/>
    </row>
    <row r="41" spans="1:124" ht="3.75" customHeight="1" x14ac:dyDescent="0.2">
      <c r="A41" s="43"/>
      <c r="B41" s="33"/>
      <c r="C41" s="38"/>
      <c r="D41" s="38"/>
      <c r="E41" s="38"/>
      <c r="F41" s="38"/>
      <c r="G41" s="92"/>
      <c r="H41" s="241"/>
      <c r="I41" s="38"/>
      <c r="J41" s="38"/>
      <c r="K41" s="38"/>
      <c r="L41" s="38"/>
      <c r="M41" s="92"/>
      <c r="N41" s="241"/>
      <c r="O41" s="38"/>
      <c r="P41" s="38"/>
      <c r="Q41" s="38"/>
      <c r="R41" s="38"/>
      <c r="S41" s="92"/>
      <c r="T41" s="241"/>
      <c r="U41" s="38"/>
      <c r="V41" s="38"/>
      <c r="W41" s="38"/>
      <c r="X41" s="38"/>
      <c r="Y41" s="92"/>
      <c r="Z41" s="241"/>
      <c r="AA41" s="38"/>
      <c r="AB41" s="38"/>
      <c r="AC41" s="38"/>
      <c r="AD41" s="38"/>
      <c r="AE41" s="92"/>
      <c r="AF41" s="241"/>
      <c r="AG41" s="38"/>
      <c r="AH41" s="38"/>
      <c r="AI41" s="38"/>
      <c r="AJ41" s="38"/>
      <c r="AK41" s="92"/>
      <c r="AL41" s="241"/>
      <c r="AM41" s="38"/>
      <c r="AN41" s="38"/>
      <c r="AO41" s="38"/>
      <c r="AP41" s="38"/>
      <c r="AQ41" s="92"/>
      <c r="AR41" s="241"/>
      <c r="AS41" s="38"/>
      <c r="AT41" s="38"/>
      <c r="AU41" s="38"/>
      <c r="AV41" s="38"/>
      <c r="AW41" s="92"/>
      <c r="AX41" s="241"/>
      <c r="AY41" s="38"/>
      <c r="AZ41" s="38"/>
      <c r="BA41" s="38"/>
      <c r="BB41" s="38"/>
      <c r="BC41" s="92"/>
      <c r="BD41" s="241"/>
      <c r="BE41" s="38"/>
      <c r="BF41" s="38"/>
      <c r="BG41" s="38"/>
      <c r="BH41" s="38"/>
      <c r="BI41" s="92"/>
      <c r="BJ41" s="241"/>
      <c r="BK41" s="38"/>
      <c r="BL41" s="38"/>
      <c r="BM41" s="38"/>
      <c r="BN41" s="38"/>
      <c r="BO41" s="92"/>
      <c r="BP41" s="241"/>
      <c r="BQ41" s="38"/>
      <c r="BR41" s="38"/>
      <c r="BS41" s="38"/>
      <c r="BT41" s="38"/>
      <c r="BU41" s="92"/>
      <c r="BV41" s="241"/>
      <c r="BW41" s="38"/>
      <c r="BX41" s="38"/>
      <c r="BY41" s="38"/>
      <c r="BZ41" s="38"/>
      <c r="CA41" s="92"/>
      <c r="CB41" s="241"/>
      <c r="CC41" s="38"/>
      <c r="CD41" s="38"/>
      <c r="CE41" s="38"/>
      <c r="CF41" s="38"/>
      <c r="CG41" s="92"/>
      <c r="CH41" s="241"/>
      <c r="CI41" s="38"/>
      <c r="CJ41" s="38"/>
      <c r="CK41" s="38"/>
      <c r="CL41" s="38"/>
      <c r="CM41" s="92"/>
      <c r="CN41" s="241"/>
      <c r="CO41" s="38"/>
      <c r="CP41" s="38"/>
      <c r="CQ41" s="38"/>
      <c r="CR41" s="38"/>
      <c r="CS41" s="92"/>
      <c r="CT41" s="38"/>
      <c r="DA41" s="43"/>
      <c r="DB41" s="43"/>
      <c r="DC41" s="43"/>
      <c r="DD41" s="43"/>
      <c r="DF41" s="54"/>
      <c r="DG41" s="54"/>
      <c r="DH41" s="167"/>
      <c r="DI41" s="167"/>
      <c r="DJ41" s="73"/>
      <c r="DK41" s="73"/>
    </row>
    <row r="42" spans="1:124" x14ac:dyDescent="0.2">
      <c r="A42" s="43"/>
      <c r="B42" s="618" t="s">
        <v>58</v>
      </c>
      <c r="C42" s="393">
        <f>39.7*2</f>
        <v>79.400000000000006</v>
      </c>
      <c r="D42" s="372">
        <f>39.808*2</f>
        <v>79.616</v>
      </c>
      <c r="E42" s="372">
        <f>41.503*2</f>
        <v>83.006</v>
      </c>
      <c r="F42" s="372">
        <f>43.242*2</f>
        <v>86.483999999999995</v>
      </c>
      <c r="G42" s="428">
        <f>41.055*2</f>
        <v>82.11</v>
      </c>
      <c r="H42" s="171"/>
      <c r="I42" s="393">
        <f>43.568*2</f>
        <v>87.135999999999996</v>
      </c>
      <c r="J42" s="372">
        <f>44.094*2</f>
        <v>88.188000000000002</v>
      </c>
      <c r="K42" s="372">
        <v>88.896000000000001</v>
      </c>
      <c r="L42" s="372">
        <v>93.938000000000002</v>
      </c>
      <c r="M42" s="428">
        <v>93.408000000000001</v>
      </c>
      <c r="N42" s="171"/>
      <c r="O42" s="393">
        <v>96.617999999999995</v>
      </c>
      <c r="P42" s="372">
        <v>97.715999999999994</v>
      </c>
      <c r="Q42" s="372">
        <v>99.593999999999994</v>
      </c>
      <c r="R42" s="372">
        <v>100.19199999999999</v>
      </c>
      <c r="S42" s="428">
        <v>98.572999999999993</v>
      </c>
      <c r="T42" s="171"/>
      <c r="U42" s="393">
        <v>99.492000000000004</v>
      </c>
      <c r="V42" s="372">
        <v>99.426000000000002</v>
      </c>
      <c r="W42" s="372">
        <v>99.674000000000007</v>
      </c>
      <c r="X42" s="372">
        <v>98.259</v>
      </c>
      <c r="Y42" s="428">
        <v>99.152000000000001</v>
      </c>
      <c r="Z42" s="171"/>
      <c r="AA42" s="393">
        <v>94.733999999999995</v>
      </c>
      <c r="AB42" s="372">
        <v>93.647000000000006</v>
      </c>
      <c r="AC42" s="372">
        <v>90.126999999999995</v>
      </c>
      <c r="AD42" s="372">
        <v>88.061999999999998</v>
      </c>
      <c r="AE42" s="428">
        <v>91.703999999999994</v>
      </c>
      <c r="AF42" s="171"/>
      <c r="AG42" s="393">
        <v>87.037000000000006</v>
      </c>
      <c r="AH42" s="372">
        <v>86.230999999999995</v>
      </c>
      <c r="AI42" s="372">
        <v>86.462000000000003</v>
      </c>
      <c r="AJ42" s="372">
        <v>86.322999999999993</v>
      </c>
      <c r="AK42" s="428">
        <v>86.465000000000003</v>
      </c>
      <c r="AL42" s="171"/>
      <c r="AM42" s="372">
        <v>83.914000000000001</v>
      </c>
      <c r="AN42" s="372">
        <v>84.24</v>
      </c>
      <c r="AO42" s="372">
        <v>82.433999999999997</v>
      </c>
      <c r="AP42" s="372">
        <v>82.638999999999996</v>
      </c>
      <c r="AQ42" s="428">
        <v>83.326999999999998</v>
      </c>
      <c r="AR42" s="171"/>
      <c r="AS42" s="372">
        <v>81.798000000000002</v>
      </c>
      <c r="AT42" s="372">
        <v>76.825000000000003</v>
      </c>
      <c r="AU42" s="480">
        <v>76.373999999999995</v>
      </c>
      <c r="AV42" s="372">
        <v>77.677999999999997</v>
      </c>
      <c r="AW42" s="561">
        <v>78.182000000000002</v>
      </c>
      <c r="AX42" s="171"/>
      <c r="AY42" s="480">
        <v>76.085999999999999</v>
      </c>
      <c r="AZ42" s="480">
        <v>75.400999999999996</v>
      </c>
      <c r="BA42" s="480">
        <v>73.87</v>
      </c>
      <c r="BB42" s="372">
        <v>72.400000000000006</v>
      </c>
      <c r="BC42" s="428">
        <v>74.5</v>
      </c>
      <c r="BD42" s="171"/>
      <c r="BE42" s="480">
        <v>72.099999999999994</v>
      </c>
      <c r="BF42" s="124">
        <v>73.8</v>
      </c>
      <c r="BG42" s="124">
        <v>73.5</v>
      </c>
      <c r="BH42" s="124">
        <v>72.400000000000006</v>
      </c>
      <c r="BI42" s="428">
        <v>73.400000000000006</v>
      </c>
      <c r="BJ42" s="171"/>
      <c r="BK42" s="480">
        <v>69.5</v>
      </c>
      <c r="BL42" s="124">
        <v>68.3</v>
      </c>
      <c r="BM42" s="124">
        <v>68.3</v>
      </c>
      <c r="BN42" s="124">
        <v>68.900000000000006</v>
      </c>
      <c r="BO42" s="172">
        <f>+AVERAGE(BK42:BN42)</f>
        <v>68.75</v>
      </c>
      <c r="BP42" s="171"/>
      <c r="BQ42" s="480">
        <v>70.400000000000006</v>
      </c>
      <c r="BR42" s="124">
        <v>71.900000000000006</v>
      </c>
      <c r="BS42" s="171">
        <f>BR42-BR44+BS44</f>
        <v>72.092977287500005</v>
      </c>
      <c r="BT42" s="171">
        <f>BS42-BS44+BT44</f>
        <v>72.27637498709376</v>
      </c>
      <c r="BU42" s="172">
        <f>+AVERAGE(BQ42:BT42)</f>
        <v>71.667338068648434</v>
      </c>
      <c r="BV42" s="171"/>
      <c r="BW42" s="171">
        <f>BT42-BT44+BW44</f>
        <v>72.06672630112628</v>
      </c>
      <c r="BX42" s="171">
        <f>BW42-BW44+BX44</f>
        <v>71.370747854876839</v>
      </c>
      <c r="BY42" s="171">
        <f>BX42-BX44+BY44</f>
        <v>70.57657747757915</v>
      </c>
      <c r="BZ42" s="171">
        <f>BY42-BY44+BZ44</f>
        <v>69.777768409664205</v>
      </c>
      <c r="CA42" s="172">
        <f>+AVERAGE(BW42:BZ42)</f>
        <v>70.947955010811626</v>
      </c>
      <c r="CB42" s="171"/>
      <c r="CC42" s="171">
        <f>BZ42-BZ44+CC44</f>
        <v>69.103143279702508</v>
      </c>
      <c r="CD42" s="171">
        <f>CC42-CC44+CD44</f>
        <v>68.467896989829867</v>
      </c>
      <c r="CE42" s="171">
        <f>CD42-CD44+CE44</f>
        <v>67.743455119910422</v>
      </c>
      <c r="CF42" s="171">
        <f>CE42-CE44+CF44</f>
        <v>67.014864150511087</v>
      </c>
      <c r="CG42" s="172">
        <f>+AVERAGE(CC42:CF42)</f>
        <v>68.082339884988471</v>
      </c>
      <c r="CH42" s="171"/>
      <c r="CI42" s="171">
        <f t="shared" ref="CI42" si="111">CF42-CF44+CI44</f>
        <v>66.649545852314787</v>
      </c>
      <c r="CJ42" s="171">
        <f t="shared" ref="CJ42:CL42" si="112">CI42-CI44+CJ44</f>
        <v>66.649545852314787</v>
      </c>
      <c r="CK42" s="171">
        <f t="shared" si="112"/>
        <v>66.649545852314787</v>
      </c>
      <c r="CL42" s="171">
        <f t="shared" si="112"/>
        <v>66.649545852314787</v>
      </c>
      <c r="CM42" s="172">
        <f t="shared" ref="CM42" si="113">+AVERAGE(CI42:CL42)</f>
        <v>66.649545852314787</v>
      </c>
      <c r="CN42" s="171"/>
      <c r="CO42" s="171">
        <f t="shared" ref="CO42" si="114">CL42-CL44+CO44</f>
        <v>66.649545852314787</v>
      </c>
      <c r="CP42" s="171">
        <f t="shared" ref="CP42:CR42" si="115">CO42-CO44+CP44</f>
        <v>66.649545852314787</v>
      </c>
      <c r="CQ42" s="171">
        <f t="shared" si="115"/>
        <v>66.649545852314787</v>
      </c>
      <c r="CR42" s="171">
        <f t="shared" si="115"/>
        <v>66.649545852314787</v>
      </c>
      <c r="CS42" s="172">
        <f t="shared" ref="CS42" si="116">+AVERAGE(CO42:CR42)</f>
        <v>66.649545852314787</v>
      </c>
      <c r="CT42" s="337"/>
      <c r="DA42" s="173"/>
      <c r="DB42" s="173"/>
      <c r="DC42" s="173"/>
      <c r="DD42" s="173"/>
      <c r="DF42" s="54"/>
      <c r="DG42" s="54"/>
      <c r="DH42" s="776"/>
      <c r="DI42" s="167"/>
      <c r="DJ42" s="73"/>
      <c r="DK42" s="73"/>
    </row>
    <row r="43" spans="1:124" ht="12.75" hidden="1" customHeight="1" outlineLevel="1" x14ac:dyDescent="0.2">
      <c r="A43" s="113"/>
      <c r="B43" s="618" t="s">
        <v>89</v>
      </c>
      <c r="C43" s="380">
        <f>+C42</f>
        <v>79.400000000000006</v>
      </c>
      <c r="D43" s="380">
        <f>+D42</f>
        <v>79.616</v>
      </c>
      <c r="E43" s="380">
        <f>+E42</f>
        <v>83.006</v>
      </c>
      <c r="F43" s="171">
        <f>+F42</f>
        <v>86.483999999999995</v>
      </c>
      <c r="G43" s="172">
        <f>+G42</f>
        <v>82.11</v>
      </c>
      <c r="H43" s="171"/>
      <c r="I43" s="380">
        <f>+I42</f>
        <v>87.135999999999996</v>
      </c>
      <c r="J43" s="380">
        <f>+J42</f>
        <v>88.188000000000002</v>
      </c>
      <c r="K43" s="380">
        <f>+K42</f>
        <v>88.896000000000001</v>
      </c>
      <c r="L43" s="171">
        <f>+L42</f>
        <v>93.938000000000002</v>
      </c>
      <c r="M43" s="172">
        <f>+M42</f>
        <v>93.408000000000001</v>
      </c>
      <c r="N43" s="171"/>
      <c r="O43" s="380">
        <f>+O42</f>
        <v>96.617999999999995</v>
      </c>
      <c r="P43" s="380">
        <f>+P42</f>
        <v>97.715999999999994</v>
      </c>
      <c r="Q43" s="380">
        <f>+Q42</f>
        <v>99.593999999999994</v>
      </c>
      <c r="R43" s="171">
        <f>+R42</f>
        <v>100.19199999999999</v>
      </c>
      <c r="S43" s="172">
        <f>+S42</f>
        <v>98.572999999999993</v>
      </c>
      <c r="T43" s="171"/>
      <c r="U43" s="380">
        <f>+U42</f>
        <v>99.492000000000004</v>
      </c>
      <c r="V43" s="380">
        <f>+V42</f>
        <v>99.426000000000002</v>
      </c>
      <c r="W43" s="380">
        <f>+W42</f>
        <v>99.674000000000007</v>
      </c>
      <c r="X43" s="171">
        <f>+X42</f>
        <v>98.259</v>
      </c>
      <c r="Y43" s="172">
        <f>+Y42</f>
        <v>99.152000000000001</v>
      </c>
      <c r="Z43" s="171"/>
      <c r="AA43" s="380">
        <f>+AA42</f>
        <v>94.733999999999995</v>
      </c>
      <c r="AB43" s="380">
        <f>+AB42</f>
        <v>93.647000000000006</v>
      </c>
      <c r="AC43" s="380">
        <f>+AC42</f>
        <v>90.126999999999995</v>
      </c>
      <c r="AD43" s="171">
        <f>+AD42</f>
        <v>88.061999999999998</v>
      </c>
      <c r="AE43" s="172">
        <f>+AE42</f>
        <v>91.703999999999994</v>
      </c>
      <c r="AF43" s="171"/>
      <c r="AG43" s="380">
        <f>+AG42</f>
        <v>87.037000000000006</v>
      </c>
      <c r="AH43" s="380">
        <f>+AH42</f>
        <v>86.230999999999995</v>
      </c>
      <c r="AI43" s="380">
        <f>+AI42</f>
        <v>86.462000000000003</v>
      </c>
      <c r="AJ43" s="171">
        <f>+AJ42</f>
        <v>86.322999999999993</v>
      </c>
      <c r="AK43" s="172">
        <f>+AK42</f>
        <v>86.465000000000003</v>
      </c>
      <c r="AL43" s="171"/>
      <c r="AM43" s="171">
        <f>+AM42</f>
        <v>83.914000000000001</v>
      </c>
      <c r="AN43" s="171">
        <f>+AN42</f>
        <v>84.24</v>
      </c>
      <c r="AO43" s="171">
        <f>+AO42</f>
        <v>82.433999999999997</v>
      </c>
      <c r="AP43" s="171">
        <f>+AP42</f>
        <v>82.638999999999996</v>
      </c>
      <c r="AQ43" s="172">
        <f>+AQ42</f>
        <v>83.326999999999998</v>
      </c>
      <c r="AR43" s="171"/>
      <c r="AS43" s="171">
        <f>+AS42</f>
        <v>81.798000000000002</v>
      </c>
      <c r="AT43" s="171">
        <f>+AT42</f>
        <v>76.825000000000003</v>
      </c>
      <c r="AU43" s="171">
        <f>+AU42</f>
        <v>76.373999999999995</v>
      </c>
      <c r="AV43" s="171">
        <f>+AV42</f>
        <v>77.677999999999997</v>
      </c>
      <c r="AW43" s="562">
        <f>+AW42</f>
        <v>78.182000000000002</v>
      </c>
      <c r="AX43" s="171"/>
      <c r="AY43" s="171">
        <f>+AY42</f>
        <v>76.085999999999999</v>
      </c>
      <c r="AZ43" s="171">
        <f>+AZ42</f>
        <v>75.400999999999996</v>
      </c>
      <c r="BA43" s="171">
        <f>+BA42</f>
        <v>73.87</v>
      </c>
      <c r="BB43" s="171">
        <f>+BB42</f>
        <v>72.400000000000006</v>
      </c>
      <c r="BC43" s="172">
        <f>+BC42</f>
        <v>74.5</v>
      </c>
      <c r="BD43" s="171"/>
      <c r="BE43" s="171">
        <f>+BE42</f>
        <v>72.099999999999994</v>
      </c>
      <c r="BF43" s="171">
        <f>+BF42</f>
        <v>73.8</v>
      </c>
      <c r="BG43" s="171">
        <f>+BG42</f>
        <v>73.5</v>
      </c>
      <c r="BH43" s="171">
        <f>+BH42</f>
        <v>72.400000000000006</v>
      </c>
      <c r="BI43" s="172">
        <f>+BI42</f>
        <v>73.400000000000006</v>
      </c>
      <c r="BJ43" s="171"/>
      <c r="BK43" s="171">
        <f>+BK42</f>
        <v>69.5</v>
      </c>
      <c r="BL43" s="171">
        <f>+BL42</f>
        <v>68.3</v>
      </c>
      <c r="BM43" s="171">
        <f>+BM42</f>
        <v>68.3</v>
      </c>
      <c r="BN43" s="171">
        <f>+BN42</f>
        <v>68.900000000000006</v>
      </c>
      <c r="BO43" s="172">
        <f>+BO42</f>
        <v>68.75</v>
      </c>
      <c r="BP43" s="171"/>
      <c r="BQ43" s="171">
        <f>+BQ42</f>
        <v>70.400000000000006</v>
      </c>
      <c r="BR43" s="171">
        <f>+BR42</f>
        <v>71.900000000000006</v>
      </c>
      <c r="BS43" s="171">
        <f>+BS42</f>
        <v>72.092977287500005</v>
      </c>
      <c r="BT43" s="171">
        <f>+BT42</f>
        <v>72.27637498709376</v>
      </c>
      <c r="BU43" s="172">
        <f>+BU42</f>
        <v>71.667338068648434</v>
      </c>
      <c r="BV43" s="171"/>
      <c r="BW43" s="171">
        <f>+BW42</f>
        <v>72.06672630112628</v>
      </c>
      <c r="BX43" s="171">
        <f>+BX42</f>
        <v>71.370747854876839</v>
      </c>
      <c r="BY43" s="171">
        <f>+BY42</f>
        <v>70.57657747757915</v>
      </c>
      <c r="BZ43" s="171">
        <f>+BZ42</f>
        <v>69.777768409664205</v>
      </c>
      <c r="CA43" s="172">
        <f>+CA42</f>
        <v>70.947955010811626</v>
      </c>
      <c r="CB43" s="171"/>
      <c r="CC43" s="171">
        <f>+CC42</f>
        <v>69.103143279702508</v>
      </c>
      <c r="CD43" s="171">
        <f>+CD42</f>
        <v>68.467896989829867</v>
      </c>
      <c r="CE43" s="171">
        <f>+CE42</f>
        <v>67.743455119910422</v>
      </c>
      <c r="CF43" s="171">
        <f>+CF42</f>
        <v>67.014864150511087</v>
      </c>
      <c r="CG43" s="172">
        <f>+CG42</f>
        <v>68.082339884988471</v>
      </c>
      <c r="CH43" s="171"/>
      <c r="CI43" s="171">
        <f t="shared" ref="CI43:CM43" si="117">+CI42</f>
        <v>66.649545852314787</v>
      </c>
      <c r="CJ43" s="171">
        <f t="shared" si="117"/>
        <v>66.649545852314787</v>
      </c>
      <c r="CK43" s="171">
        <f t="shared" si="117"/>
        <v>66.649545852314787</v>
      </c>
      <c r="CL43" s="171">
        <f t="shared" si="117"/>
        <v>66.649545852314787</v>
      </c>
      <c r="CM43" s="172">
        <f t="shared" si="117"/>
        <v>66.649545852314787</v>
      </c>
      <c r="CN43" s="171"/>
      <c r="CO43" s="171">
        <f t="shared" ref="CO43:CS43" si="118">+CO42</f>
        <v>66.649545852314787</v>
      </c>
      <c r="CP43" s="171">
        <f t="shared" si="118"/>
        <v>66.649545852314787</v>
      </c>
      <c r="CQ43" s="171">
        <f t="shared" si="118"/>
        <v>66.649545852314787</v>
      </c>
      <c r="CR43" s="171">
        <f t="shared" si="118"/>
        <v>66.649545852314787</v>
      </c>
      <c r="CS43" s="172">
        <f t="shared" si="118"/>
        <v>66.649545852314787</v>
      </c>
      <c r="CT43" s="337"/>
      <c r="DA43" s="112"/>
      <c r="DB43" s="112"/>
      <c r="DC43" s="112"/>
      <c r="DD43" s="112"/>
      <c r="DF43" s="54"/>
      <c r="DG43" s="54"/>
      <c r="DH43" s="777"/>
      <c r="DI43" s="777"/>
      <c r="DJ43" s="778"/>
      <c r="DK43" s="602"/>
    </row>
    <row r="44" spans="1:124" ht="12.75" hidden="1" customHeight="1" outlineLevel="1" x14ac:dyDescent="0.2">
      <c r="A44" s="43"/>
      <c r="B44" s="618" t="s">
        <v>60</v>
      </c>
      <c r="C44" s="393">
        <f>39.7*2</f>
        <v>79.400000000000006</v>
      </c>
      <c r="D44" s="372">
        <f>39.808*2</f>
        <v>79.616</v>
      </c>
      <c r="E44" s="372">
        <f>41.503*2</f>
        <v>83.006</v>
      </c>
      <c r="F44" s="372">
        <f>43.242*2</f>
        <v>86.483999999999995</v>
      </c>
      <c r="G44" s="428">
        <f>41.055*2</f>
        <v>82.11</v>
      </c>
      <c r="H44" s="36"/>
      <c r="I44" s="393">
        <f>43.568*2</f>
        <v>87.135999999999996</v>
      </c>
      <c r="J44" s="372">
        <f>44.094*2</f>
        <v>88.188000000000002</v>
      </c>
      <c r="K44" s="372">
        <v>88.896000000000001</v>
      </c>
      <c r="L44" s="372">
        <v>89.31</v>
      </c>
      <c r="M44" s="428">
        <v>88.378</v>
      </c>
      <c r="N44" s="36"/>
      <c r="O44" s="393">
        <v>90.796000000000006</v>
      </c>
      <c r="P44" s="372">
        <v>93.183999999999997</v>
      </c>
      <c r="Q44" s="372">
        <v>94.27</v>
      </c>
      <c r="R44" s="372">
        <v>95.656000000000006</v>
      </c>
      <c r="S44" s="428">
        <v>93.492000000000004</v>
      </c>
      <c r="T44" s="36"/>
      <c r="U44" s="393">
        <v>95.97</v>
      </c>
      <c r="V44" s="372">
        <v>96.27</v>
      </c>
      <c r="W44" s="372">
        <v>96.852999999999994</v>
      </c>
      <c r="X44" s="372">
        <v>96.269000000000005</v>
      </c>
      <c r="Y44" s="428">
        <v>96.337999999999994</v>
      </c>
      <c r="Z44" s="36"/>
      <c r="AA44" s="393">
        <v>93.263000000000005</v>
      </c>
      <c r="AB44" s="372">
        <v>91.528000000000006</v>
      </c>
      <c r="AC44" s="372">
        <v>88.206000000000003</v>
      </c>
      <c r="AD44" s="372">
        <v>86.144000000000005</v>
      </c>
      <c r="AE44" s="428">
        <v>89.793999999999997</v>
      </c>
      <c r="AF44" s="36"/>
      <c r="AG44" s="393">
        <v>85.241</v>
      </c>
      <c r="AH44" s="372">
        <v>84.498000000000005</v>
      </c>
      <c r="AI44" s="372">
        <v>84.403000000000006</v>
      </c>
      <c r="AJ44" s="372">
        <v>84.284999999999997</v>
      </c>
      <c r="AK44" s="428">
        <v>84.608000000000004</v>
      </c>
      <c r="AL44" s="36"/>
      <c r="AM44" s="372">
        <v>81.572000000000003</v>
      </c>
      <c r="AN44" s="372">
        <v>81.691999999999993</v>
      </c>
      <c r="AO44" s="372">
        <v>80.375</v>
      </c>
      <c r="AP44" s="372">
        <v>80.165999999999997</v>
      </c>
      <c r="AQ44" s="428">
        <v>80.947999999999993</v>
      </c>
      <c r="AR44" s="36"/>
      <c r="AS44" s="372">
        <v>79.575000000000003</v>
      </c>
      <c r="AT44" s="372">
        <v>75.069999999999993</v>
      </c>
      <c r="AU44" s="124">
        <v>73.820999999999998</v>
      </c>
      <c r="AV44" s="372">
        <v>74.391000000000005</v>
      </c>
      <c r="AW44" s="561">
        <v>75.727999999999994</v>
      </c>
      <c r="AX44" s="36"/>
      <c r="AY44" s="124">
        <v>72.763000000000005</v>
      </c>
      <c r="AZ44" s="124">
        <v>72.466999999999999</v>
      </c>
      <c r="BA44" s="124">
        <v>70.695999999999998</v>
      </c>
      <c r="BB44" s="372">
        <v>69.400000000000006</v>
      </c>
      <c r="BC44" s="428">
        <v>71.3</v>
      </c>
      <c r="BD44" s="36"/>
      <c r="BE44" s="124">
        <v>68.7</v>
      </c>
      <c r="BF44" s="124">
        <v>70.5</v>
      </c>
      <c r="BG44" s="124">
        <v>70.900000000000006</v>
      </c>
      <c r="BH44" s="124">
        <v>70</v>
      </c>
      <c r="BI44" s="742">
        <v>70</v>
      </c>
      <c r="BJ44" s="36"/>
      <c r="BK44" s="124">
        <v>68.8</v>
      </c>
      <c r="BL44" s="124">
        <v>68.2</v>
      </c>
      <c r="BM44" s="124">
        <v>68.099999999999994</v>
      </c>
      <c r="BN44" s="124">
        <v>68.2</v>
      </c>
      <c r="BO44" s="172">
        <f>AVERAGE(BO136:BO137)</f>
        <v>68.650000000000006</v>
      </c>
      <c r="BP44" s="36"/>
      <c r="BQ44" s="124">
        <v>68.599999999999994</v>
      </c>
      <c r="BR44" s="124">
        <v>69.3</v>
      </c>
      <c r="BS44" s="36">
        <f>AVERAGE(BS136:BS137)</f>
        <v>69.492977287499997</v>
      </c>
      <c r="BT44" s="36">
        <f>AVERAGE(BT136:BT137)</f>
        <v>69.676374987093752</v>
      </c>
      <c r="BU44" s="172">
        <f>AVERAGE(BU136:BU137)</f>
        <v>68.983397699593752</v>
      </c>
      <c r="BV44" s="36"/>
      <c r="BW44" s="36">
        <f>AVERAGE(BW136:BW137)</f>
        <v>69.466726301126272</v>
      </c>
      <c r="BX44" s="36">
        <f>AVERAGE(BX136:BX137)</f>
        <v>68.770747854876831</v>
      </c>
      <c r="BY44" s="36">
        <f>AVERAGE(BY136:BY137)</f>
        <v>67.976577477579141</v>
      </c>
      <c r="BZ44" s="36">
        <f>AVERAGE(BZ136:BZ137)</f>
        <v>67.177768409664196</v>
      </c>
      <c r="CA44" s="172">
        <f>AVERAGE(CA136:CA137)</f>
        <v>68.272007885023129</v>
      </c>
      <c r="CB44" s="36"/>
      <c r="CC44" s="36">
        <f>AVERAGE(CC136:CC137)</f>
        <v>66.503143279702499</v>
      </c>
      <c r="CD44" s="36">
        <f>AVERAGE(CD136:CD137)</f>
        <v>65.867896989829859</v>
      </c>
      <c r="CE44" s="36">
        <f>AVERAGE(CE136:CE137)</f>
        <v>65.143455119910413</v>
      </c>
      <c r="CF44" s="36">
        <f>AVERAGE(CF136:CF137)</f>
        <v>64.414864150511079</v>
      </c>
      <c r="CG44" s="172">
        <f>AVERAGE(CG136:CG137)</f>
        <v>65.413383111586768</v>
      </c>
      <c r="CH44" s="36"/>
      <c r="CI44" s="36">
        <f t="shared" ref="CI44:CM44" si="119">AVERAGE(CI136:CI137)</f>
        <v>64.049545852314779</v>
      </c>
      <c r="CJ44" s="36">
        <f t="shared" si="119"/>
        <v>64.049545852314779</v>
      </c>
      <c r="CK44" s="36">
        <f t="shared" si="119"/>
        <v>64.049545852314779</v>
      </c>
      <c r="CL44" s="36">
        <f t="shared" si="119"/>
        <v>64.049545852314779</v>
      </c>
      <c r="CM44" s="172">
        <f t="shared" si="119"/>
        <v>64.049545852314779</v>
      </c>
      <c r="CN44" s="36"/>
      <c r="CO44" s="36">
        <f t="shared" ref="CO44:CS44" si="120">AVERAGE(CO136:CO137)</f>
        <v>64.049545852314779</v>
      </c>
      <c r="CP44" s="36">
        <f t="shared" si="120"/>
        <v>64.049545852314779</v>
      </c>
      <c r="CQ44" s="36">
        <f t="shared" si="120"/>
        <v>64.049545852314779</v>
      </c>
      <c r="CR44" s="36">
        <f t="shared" si="120"/>
        <v>64.049545852314779</v>
      </c>
      <c r="CS44" s="172">
        <f t="shared" si="120"/>
        <v>64.049545852314779</v>
      </c>
      <c r="CT44" s="337"/>
      <c r="DA44" s="129"/>
      <c r="DB44" s="129"/>
      <c r="DC44" s="129"/>
      <c r="DD44" s="129"/>
      <c r="DF44" s="54"/>
      <c r="DG44" s="54"/>
      <c r="DH44" s="777"/>
      <c r="DI44" s="777"/>
      <c r="DJ44" s="778"/>
      <c r="DK44" s="602"/>
    </row>
    <row r="45" spans="1:124" ht="12.75" hidden="1" customHeight="1" outlineLevel="1" x14ac:dyDescent="0.2">
      <c r="A45" s="43"/>
      <c r="B45" s="618" t="s">
        <v>61</v>
      </c>
      <c r="C45" s="393">
        <f>39.735*2</f>
        <v>79.47</v>
      </c>
      <c r="D45" s="393">
        <f>39.897*2</f>
        <v>79.793999999999997</v>
      </c>
      <c r="E45" s="393">
        <f>43.034*2</f>
        <v>86.067999999999998</v>
      </c>
      <c r="F45" s="393">
        <f>43.44*2</f>
        <v>86.88</v>
      </c>
      <c r="G45" s="172">
        <f>+F45</f>
        <v>86.88</v>
      </c>
      <c r="H45" s="36"/>
      <c r="I45" s="393">
        <f>43.895*2</f>
        <v>87.79</v>
      </c>
      <c r="J45" s="393">
        <f>44.361*2</f>
        <v>88.721999999999994</v>
      </c>
      <c r="K45" s="393">
        <f>44.624*2</f>
        <v>89.248000000000005</v>
      </c>
      <c r="L45" s="393">
        <v>89.488</v>
      </c>
      <c r="M45" s="172">
        <f>+L45</f>
        <v>89.488</v>
      </c>
      <c r="N45" s="36"/>
      <c r="O45" s="393">
        <f>46.443*2</f>
        <v>92.885999999999996</v>
      </c>
      <c r="P45" s="393">
        <f>46.743*2</f>
        <v>93.486000000000004</v>
      </c>
      <c r="Q45" s="393">
        <v>95.451999999999998</v>
      </c>
      <c r="R45" s="393">
        <v>95.896000000000001</v>
      </c>
      <c r="S45" s="172">
        <f>+R45</f>
        <v>95.896000000000001</v>
      </c>
      <c r="T45" s="36"/>
      <c r="U45" s="393">
        <v>96.174000000000007</v>
      </c>
      <c r="V45" s="393">
        <v>96.37</v>
      </c>
      <c r="W45" s="393">
        <v>97.65</v>
      </c>
      <c r="X45" s="393">
        <v>94.046000000000006</v>
      </c>
      <c r="Y45" s="172">
        <f>+X45</f>
        <v>94.046000000000006</v>
      </c>
      <c r="Z45" s="36"/>
      <c r="AA45" s="393">
        <v>92.355000000000004</v>
      </c>
      <c r="AB45" s="393">
        <v>90.138000000000005</v>
      </c>
      <c r="AC45" s="393">
        <v>85.715999999999994</v>
      </c>
      <c r="AD45" s="393">
        <v>86.244</v>
      </c>
      <c r="AE45" s="172">
        <f>+AD45</f>
        <v>86.244</v>
      </c>
      <c r="AF45" s="36"/>
      <c r="AG45" s="393">
        <v>84.63</v>
      </c>
      <c r="AH45" s="393">
        <v>84.231999999999999</v>
      </c>
      <c r="AI45" s="393">
        <v>84.543999999999997</v>
      </c>
      <c r="AJ45" s="393">
        <v>82.569000000000003</v>
      </c>
      <c r="AK45" s="172">
        <f>+AJ45</f>
        <v>82.569000000000003</v>
      </c>
      <c r="AL45" s="36"/>
      <c r="AM45" s="393">
        <v>81.397000000000006</v>
      </c>
      <c r="AN45" s="393">
        <v>81.305000000000007</v>
      </c>
      <c r="AO45" s="393">
        <v>79.816000000000003</v>
      </c>
      <c r="AP45" s="372">
        <v>80.576999999999998</v>
      </c>
      <c r="AQ45" s="172">
        <f>+AP45</f>
        <v>80.576999999999998</v>
      </c>
      <c r="AR45" s="36"/>
      <c r="AS45" s="393">
        <v>76.814999999999998</v>
      </c>
      <c r="AT45" s="393">
        <v>73.974000000000004</v>
      </c>
      <c r="AU45" s="393">
        <v>74.513000000000005</v>
      </c>
      <c r="AV45" s="372">
        <v>73.497</v>
      </c>
      <c r="AW45" s="562">
        <f>+AV45</f>
        <v>73.497</v>
      </c>
      <c r="AX45" s="36"/>
      <c r="AY45" s="372">
        <v>72.984999999999999</v>
      </c>
      <c r="AZ45" s="372">
        <v>71.518000000000001</v>
      </c>
      <c r="BA45" s="393">
        <v>70.022000000000006</v>
      </c>
      <c r="BB45" s="372">
        <v>68.900000000000006</v>
      </c>
      <c r="BC45" s="172">
        <f>+BB45</f>
        <v>68.900000000000006</v>
      </c>
      <c r="BD45" s="36"/>
      <c r="BE45" s="372">
        <v>69.400000000000006</v>
      </c>
      <c r="BF45" s="372">
        <v>69.400000000000006</v>
      </c>
      <c r="BG45" s="372">
        <v>70.400000000000006</v>
      </c>
      <c r="BH45" s="741">
        <v>69.099999999999994</v>
      </c>
      <c r="BI45" s="172">
        <f>+BH45</f>
        <v>69.099999999999994</v>
      </c>
      <c r="BJ45" s="36"/>
      <c r="BK45" s="372">
        <v>68.8</v>
      </c>
      <c r="BL45" s="372">
        <v>68.3</v>
      </c>
      <c r="BM45" s="372">
        <v>68.099999999999994</v>
      </c>
      <c r="BN45" s="741">
        <v>68.2</v>
      </c>
      <c r="BO45" s="172">
        <f>+BN45</f>
        <v>68.2</v>
      </c>
      <c r="BP45" s="36"/>
      <c r="BQ45" s="372">
        <v>68.599999999999994</v>
      </c>
      <c r="BR45" s="372">
        <v>69.400000000000006</v>
      </c>
      <c r="BS45" s="36">
        <f>+BS137</f>
        <v>69.585954575000002</v>
      </c>
      <c r="BT45" s="36">
        <f>+BT137</f>
        <v>69.766795399187501</v>
      </c>
      <c r="BU45" s="172">
        <f>+BT45</f>
        <v>69.766795399187501</v>
      </c>
      <c r="BV45" s="36"/>
      <c r="BW45" s="36">
        <f>+BW137</f>
        <v>69.166657203065029</v>
      </c>
      <c r="BX45" s="36">
        <f>+BX137</f>
        <v>68.374838506688633</v>
      </c>
      <c r="BY45" s="36">
        <f>+BY137</f>
        <v>67.57831644846965</v>
      </c>
      <c r="BZ45" s="36">
        <f>+BZ137</f>
        <v>66.777220370858757</v>
      </c>
      <c r="CA45" s="172">
        <f>+BZ45</f>
        <v>66.777220370858757</v>
      </c>
      <c r="CB45" s="36"/>
      <c r="CC45" s="36">
        <f>+CC137</f>
        <v>66.229066188546255</v>
      </c>
      <c r="CD45" s="36">
        <f>+CD137</f>
        <v>65.506727791113448</v>
      </c>
      <c r="CE45" s="36">
        <f>+CE137</f>
        <v>64.780182448707365</v>
      </c>
      <c r="CF45" s="36">
        <f>+CF137</f>
        <v>64.049545852314779</v>
      </c>
      <c r="CG45" s="172">
        <f>+CF45</f>
        <v>64.049545852314779</v>
      </c>
      <c r="CH45" s="36"/>
      <c r="CI45" s="36">
        <f t="shared" ref="CI45:CL45" si="121">+CI137</f>
        <v>64.049545852314779</v>
      </c>
      <c r="CJ45" s="36">
        <f t="shared" si="121"/>
        <v>64.049545852314779</v>
      </c>
      <c r="CK45" s="36">
        <f t="shared" si="121"/>
        <v>64.049545852314779</v>
      </c>
      <c r="CL45" s="36">
        <f t="shared" si="121"/>
        <v>64.049545852314779</v>
      </c>
      <c r="CM45" s="172">
        <f t="shared" ref="CM45" si="122">+CL45</f>
        <v>64.049545852314779</v>
      </c>
      <c r="CN45" s="36"/>
      <c r="CO45" s="36">
        <f t="shared" ref="CO45:CR45" si="123">+CO137</f>
        <v>64.049545852314779</v>
      </c>
      <c r="CP45" s="36">
        <f t="shared" si="123"/>
        <v>64.049545852314779</v>
      </c>
      <c r="CQ45" s="36">
        <f t="shared" si="123"/>
        <v>64.049545852314779</v>
      </c>
      <c r="CR45" s="36">
        <f t="shared" si="123"/>
        <v>64.049545852314779</v>
      </c>
      <c r="CS45" s="172">
        <f t="shared" ref="CS45" si="124">+CR45</f>
        <v>64.049545852314779</v>
      </c>
      <c r="CT45" s="337"/>
      <c r="DA45" s="129"/>
      <c r="DB45" s="129"/>
      <c r="DC45" s="129"/>
      <c r="DD45" s="129"/>
      <c r="DF45" s="54"/>
      <c r="DG45" s="54"/>
      <c r="DH45" s="167"/>
      <c r="DI45" s="167"/>
      <c r="DJ45" s="73"/>
      <c r="DK45" s="73"/>
    </row>
    <row r="46" spans="1:124" collapsed="1" x14ac:dyDescent="0.2">
      <c r="A46" s="43"/>
      <c r="B46" s="619" t="s">
        <v>51</v>
      </c>
      <c r="C46" s="620">
        <f>+C38/C43</f>
        <v>-0.15648614609571793</v>
      </c>
      <c r="D46" s="620">
        <f>+D38/D43</f>
        <v>-0.11048030546623798</v>
      </c>
      <c r="E46" s="620">
        <f>+E38/E43</f>
        <v>-7.1524950003614182E-2</v>
      </c>
      <c r="F46" s="620">
        <f>+F38/F43</f>
        <v>-9.023634429489838E-2</v>
      </c>
      <c r="G46" s="621">
        <f>+G38/G43</f>
        <v>-0.42579466569236413</v>
      </c>
      <c r="H46" s="487"/>
      <c r="I46" s="620">
        <f>+I38/I43</f>
        <v>-9.1799026808666917E-2</v>
      </c>
      <c r="J46" s="620">
        <f>+J38/J43</f>
        <v>-5.7456796843107873E-2</v>
      </c>
      <c r="K46" s="620">
        <f>+K38/K43</f>
        <v>-5.209458243340527E-2</v>
      </c>
      <c r="L46" s="620">
        <f>+L38/L43</f>
        <v>0.22881049202665579</v>
      </c>
      <c r="M46" s="621">
        <f>+M38/M43</f>
        <v>4.0649623158615839E-2</v>
      </c>
      <c r="N46" s="487"/>
      <c r="O46" s="620">
        <f>+O38/O43</f>
        <v>0.25389678941812094</v>
      </c>
      <c r="P46" s="620">
        <f>+P38/P43</f>
        <v>0.37613082811412657</v>
      </c>
      <c r="Q46" s="620">
        <f>+Q38/Q43</f>
        <v>0.38422997369319445</v>
      </c>
      <c r="R46" s="620">
        <f>+R38/R43</f>
        <v>0.36631667198977957</v>
      </c>
      <c r="S46" s="621">
        <f>+S38/S43</f>
        <v>1.3822649204143123</v>
      </c>
      <c r="T46" s="487"/>
      <c r="U46" s="620">
        <f>+U38/U43</f>
        <v>0.30597434969645804</v>
      </c>
      <c r="V46" s="620">
        <f>+V38/V43</f>
        <v>0.35563132379860407</v>
      </c>
      <c r="W46" s="620">
        <f>+W38/W43</f>
        <v>0.33359752794108799</v>
      </c>
      <c r="X46" s="620">
        <f>+X38/X43</f>
        <v>0.54194526710021518</v>
      </c>
      <c r="Y46" s="621">
        <f>+Y38/Y43</f>
        <v>1.5360557527836054</v>
      </c>
      <c r="Z46" s="490"/>
      <c r="AA46" s="620">
        <f>+AA38/AA43</f>
        <v>0.237908248358562</v>
      </c>
      <c r="AB46" s="620">
        <f>+AB38/AB43</f>
        <v>0.25832114216152152</v>
      </c>
      <c r="AC46" s="620">
        <f>+AC38/AC43</f>
        <v>0.31000699013614119</v>
      </c>
      <c r="AD46" s="620">
        <f>+AD38/AD43</f>
        <v>0.29571211192114649</v>
      </c>
      <c r="AE46" s="621">
        <f>+AE38/AE43</f>
        <v>1.0982072755823087</v>
      </c>
      <c r="AF46" s="490"/>
      <c r="AG46" s="620">
        <f>+AG38/AG43</f>
        <v>0.28837161207302631</v>
      </c>
      <c r="AH46" s="620">
        <f>+AH38/AH43</f>
        <v>0.32814185153830994</v>
      </c>
      <c r="AI46" s="620">
        <f>+AI38/AI43</f>
        <v>0.34252041359209795</v>
      </c>
      <c r="AJ46" s="620">
        <f>+AJ38/AJ43</f>
        <v>0.33758094598195154</v>
      </c>
      <c r="AK46" s="621">
        <f>+AK38/AK43</f>
        <v>1.2970681778754409</v>
      </c>
      <c r="AL46" s="490"/>
      <c r="AM46" s="622">
        <f>+AM38/AM43</f>
        <v>0.35912958505136222</v>
      </c>
      <c r="AN46" s="622">
        <f>+AN38/AN43</f>
        <v>0.41590693257359895</v>
      </c>
      <c r="AO46" s="622">
        <f>+AO38/AO43</f>
        <v>0.46201809932794718</v>
      </c>
      <c r="AP46" s="622">
        <f>+AP38/AP43</f>
        <v>0.53334382071419062</v>
      </c>
      <c r="AQ46" s="621">
        <f>+AQ38/AQ43</f>
        <v>1.7681303779087214</v>
      </c>
      <c r="AR46" s="490"/>
      <c r="AS46" s="622">
        <f>+AS38/AS43</f>
        <v>0.67807281351622328</v>
      </c>
      <c r="AT46" s="622">
        <f>+AT38/AT43</f>
        <v>0.66189391474129511</v>
      </c>
      <c r="AU46" s="622">
        <f>+AU38/AU43</f>
        <v>0.60494409092099388</v>
      </c>
      <c r="AV46" s="622">
        <f>+AV38/AV43</f>
        <v>0.47797317129689287</v>
      </c>
      <c r="AW46" s="621">
        <f>+AW38/AW43</f>
        <v>2.4256862193343731</v>
      </c>
      <c r="AX46" s="490"/>
      <c r="AY46" s="622">
        <f>+AY38/AY43</f>
        <v>0.25408090844570597</v>
      </c>
      <c r="AZ46" s="622">
        <f>+AZ38/AZ43</f>
        <v>0.39650667763027014</v>
      </c>
      <c r="BA46" s="622">
        <f>+BA38/BA43</f>
        <v>0.39611479626370655</v>
      </c>
      <c r="BB46" s="622">
        <f>+BB38/BB43</f>
        <v>0.40571721296934782</v>
      </c>
      <c r="BC46" s="621">
        <f>+BC38/BC43</f>
        <v>1.4478379358252456</v>
      </c>
      <c r="BD46" s="490"/>
      <c r="BE46" s="622">
        <f>+BE38/BE43</f>
        <v>0.41236316000952544</v>
      </c>
      <c r="BF46" s="622">
        <f>+BF38/BF43</f>
        <v>0.45378349631438125</v>
      </c>
      <c r="BG46" s="622">
        <f>+BG38/BG43</f>
        <v>0.40568735540918338</v>
      </c>
      <c r="BH46" s="622">
        <f>+BH38/BH43</f>
        <v>0.3646408839779009</v>
      </c>
      <c r="BI46" s="621">
        <f>+BI38/BI43</f>
        <v>1.6272292436956837</v>
      </c>
      <c r="BJ46" s="490"/>
      <c r="BK46" s="622">
        <f>+BK38/BK43</f>
        <v>0.2303050146151101</v>
      </c>
      <c r="BL46" s="622">
        <f>+BL38/BL43</f>
        <v>0.25694513689779436</v>
      </c>
      <c r="BM46" s="622">
        <f>+BM38/BM43</f>
        <v>0.26517020636041211</v>
      </c>
      <c r="BN46" s="622">
        <f>+BN38/BN43</f>
        <v>0.29840267562371126</v>
      </c>
      <c r="BO46" s="621">
        <f>+BO38/BO43</f>
        <v>1.0505690299746833</v>
      </c>
      <c r="BP46" s="490"/>
      <c r="BQ46" s="622">
        <f>+BQ38/BQ43</f>
        <v>0.25814823892169037</v>
      </c>
      <c r="BR46" s="622">
        <f>+BR38/BR43</f>
        <v>0.30981063491400235</v>
      </c>
      <c r="BS46" s="622">
        <f>+BS38/BS43</f>
        <v>0.28066110448968906</v>
      </c>
      <c r="BT46" s="622">
        <f>+BT38/BT43</f>
        <v>0.30392332337129674</v>
      </c>
      <c r="BU46" s="621">
        <f>+BU38/BU43</f>
        <v>1.1532337270571371</v>
      </c>
      <c r="BV46" s="490"/>
      <c r="BW46" s="622">
        <f>+BW38/BW43</f>
        <v>0.30222110555772269</v>
      </c>
      <c r="BX46" s="622">
        <f>+BX38/BX43</f>
        <v>0.35708281097632383</v>
      </c>
      <c r="BY46" s="622">
        <f>+BY38/BY43</f>
        <v>0.35098892921309743</v>
      </c>
      <c r="BZ46" s="622">
        <f>+BZ38/BZ43</f>
        <v>0.39348640543863361</v>
      </c>
      <c r="CA46" s="621">
        <f>+CA38/CA43</f>
        <v>1.4023456148161206</v>
      </c>
      <c r="CB46" s="490"/>
      <c r="CC46" s="622">
        <f>+CC38/CC43</f>
        <v>0.34836693631478977</v>
      </c>
      <c r="CD46" s="622">
        <f>+CD38/CD43</f>
        <v>0.41103195456706249</v>
      </c>
      <c r="CE46" s="622">
        <f>+CE38/CE43</f>
        <v>0.39983719127206596</v>
      </c>
      <c r="CF46" s="622">
        <f>+CF38/CF43</f>
        <v>0.44389608891465621</v>
      </c>
      <c r="CG46" s="621">
        <f>+CG38/CG43</f>
        <v>1.6017330329845436</v>
      </c>
      <c r="CH46" s="490"/>
      <c r="CI46" s="622">
        <f t="shared" ref="CI46:CM46" si="125">+CI38/CI43</f>
        <v>0.37727019233057452</v>
      </c>
      <c r="CJ46" s="622">
        <f t="shared" si="125"/>
        <v>0.43630329515988714</v>
      </c>
      <c r="CK46" s="622">
        <f t="shared" si="125"/>
        <v>0.41306894088073381</v>
      </c>
      <c r="CL46" s="622">
        <f t="shared" si="125"/>
        <v>0.44905647159864037</v>
      </c>
      <c r="CM46" s="621">
        <f t="shared" si="125"/>
        <v>1.6756988999698381</v>
      </c>
      <c r="CN46" s="490"/>
      <c r="CO46" s="622">
        <f t="shared" ref="CO46:CS46" si="126">+CO38/CO43</f>
        <v>0.40527511200732347</v>
      </c>
      <c r="CP46" s="622">
        <f t="shared" si="126"/>
        <v>0.47192204870160226</v>
      </c>
      <c r="CQ46" s="622">
        <f t="shared" si="126"/>
        <v>0.44441052676662046</v>
      </c>
      <c r="CR46" s="622">
        <f t="shared" si="126"/>
        <v>0.48305775530072964</v>
      </c>
      <c r="CS46" s="621">
        <f t="shared" si="126"/>
        <v>1.8046654427762756</v>
      </c>
      <c r="CT46" s="896"/>
      <c r="DA46" s="609"/>
      <c r="DB46" s="129"/>
      <c r="DC46" s="129"/>
      <c r="DD46" s="129"/>
      <c r="DE46" s="600"/>
      <c r="DF46" s="652"/>
      <c r="DG46" s="54"/>
      <c r="DH46" s="777"/>
      <c r="DI46" s="777"/>
      <c r="DJ46" s="778"/>
      <c r="DK46" s="73"/>
    </row>
    <row r="47" spans="1:124" ht="2.25" customHeight="1" x14ac:dyDescent="0.2">
      <c r="A47" s="43"/>
      <c r="B47" s="236"/>
      <c r="C47" s="250"/>
      <c r="D47" s="236"/>
      <c r="E47" s="236"/>
      <c r="F47" s="250"/>
      <c r="G47" s="121"/>
      <c r="H47" s="241"/>
      <c r="I47" s="250"/>
      <c r="J47" s="236"/>
      <c r="K47" s="236"/>
      <c r="L47" s="250"/>
      <c r="M47" s="121"/>
      <c r="N47" s="241"/>
      <c r="O47" s="250"/>
      <c r="P47" s="236"/>
      <c r="Q47" s="236"/>
      <c r="R47" s="250"/>
      <c r="S47" s="121"/>
      <c r="T47" s="241"/>
      <c r="U47" s="250"/>
      <c r="V47" s="236"/>
      <c r="W47" s="236"/>
      <c r="X47" s="250"/>
      <c r="Y47" s="121"/>
      <c r="Z47" s="241"/>
      <c r="AA47" s="250"/>
      <c r="AB47" s="236"/>
      <c r="AC47" s="236"/>
      <c r="AD47" s="250"/>
      <c r="AE47" s="121"/>
      <c r="AF47" s="241"/>
      <c r="AG47" s="250"/>
      <c r="AH47" s="236"/>
      <c r="AI47" s="236"/>
      <c r="AJ47" s="250"/>
      <c r="AK47" s="121"/>
      <c r="AL47" s="241"/>
      <c r="AM47" s="250"/>
      <c r="AN47" s="250"/>
      <c r="AO47" s="250"/>
      <c r="AP47" s="250"/>
      <c r="AQ47" s="121"/>
      <c r="AR47" s="241"/>
      <c r="AS47" s="250"/>
      <c r="AT47" s="250"/>
      <c r="AU47" s="250"/>
      <c r="AV47" s="250"/>
      <c r="AW47" s="121"/>
      <c r="AX47" s="241"/>
      <c r="AY47" s="250"/>
      <c r="AZ47" s="250"/>
      <c r="BA47" s="250"/>
      <c r="BB47" s="250"/>
      <c r="BC47" s="121"/>
      <c r="BD47" s="241"/>
      <c r="BE47" s="250"/>
      <c r="BF47" s="250"/>
      <c r="BG47" s="250"/>
      <c r="BH47" s="250"/>
      <c r="BI47" s="121"/>
      <c r="BJ47" s="241"/>
      <c r="BK47" s="250"/>
      <c r="BL47" s="250"/>
      <c r="BM47" s="250"/>
      <c r="BN47" s="250"/>
      <c r="BO47" s="121"/>
      <c r="BP47" s="241"/>
      <c r="BQ47" s="250"/>
      <c r="BR47" s="250"/>
      <c r="BS47" s="250"/>
      <c r="BT47" s="250"/>
      <c r="BU47" s="121"/>
      <c r="BV47" s="241"/>
      <c r="BW47" s="250"/>
      <c r="BX47" s="250"/>
      <c r="BY47" s="250"/>
      <c r="BZ47" s="250"/>
      <c r="CA47" s="121"/>
      <c r="CB47" s="241"/>
      <c r="CC47" s="250"/>
      <c r="CD47" s="250"/>
      <c r="CE47" s="250"/>
      <c r="CF47" s="250"/>
      <c r="CG47" s="121"/>
      <c r="CH47" s="241"/>
      <c r="CI47" s="250"/>
      <c r="CJ47" s="250"/>
      <c r="CK47" s="250"/>
      <c r="CL47" s="250"/>
      <c r="CM47" s="121"/>
      <c r="CN47" s="241"/>
      <c r="CO47" s="250"/>
      <c r="CP47" s="250"/>
      <c r="CQ47" s="250"/>
      <c r="CR47" s="250"/>
      <c r="CS47" s="121"/>
      <c r="CT47" s="51"/>
      <c r="DA47" s="43"/>
      <c r="DB47" s="43"/>
      <c r="DC47" s="43"/>
      <c r="DD47" s="43"/>
      <c r="DF47" s="54"/>
      <c r="DG47" s="54"/>
      <c r="DH47" s="167"/>
      <c r="DI47" s="167"/>
      <c r="DJ47" s="73"/>
      <c r="DK47" s="73"/>
    </row>
    <row r="48" spans="1:124" x14ac:dyDescent="0.2">
      <c r="A48" s="43"/>
      <c r="B48" s="623" t="s">
        <v>218</v>
      </c>
      <c r="C48" s="43"/>
      <c r="D48" s="31"/>
      <c r="E48" s="31"/>
      <c r="F48" s="31"/>
      <c r="G48" s="326"/>
      <c r="H48" s="241"/>
      <c r="I48" s="31"/>
      <c r="J48" s="31"/>
      <c r="K48" s="31"/>
      <c r="L48" s="31"/>
      <c r="M48" s="326"/>
      <c r="N48" s="241"/>
      <c r="O48" s="43"/>
      <c r="P48" s="43"/>
      <c r="Q48" s="43"/>
      <c r="R48" s="43"/>
      <c r="S48" s="326"/>
      <c r="T48" s="241"/>
      <c r="U48" s="236"/>
      <c r="V48" s="236"/>
      <c r="W48" s="236"/>
      <c r="X48" s="236"/>
      <c r="Y48" s="326"/>
      <c r="Z48" s="241"/>
      <c r="AA48" s="250"/>
      <c r="AB48" s="236"/>
      <c r="AC48" s="250"/>
      <c r="AD48" s="250"/>
      <c r="AE48" s="360"/>
      <c r="AF48" s="492"/>
      <c r="AG48" s="250"/>
      <c r="AH48" s="624"/>
      <c r="AI48" s="625"/>
      <c r="AJ48" s="626"/>
      <c r="AK48" s="360"/>
      <c r="AL48" s="492"/>
      <c r="AM48" s="626"/>
      <c r="AN48" s="626"/>
      <c r="AO48" s="626"/>
      <c r="AP48" s="626"/>
      <c r="AQ48" s="360"/>
      <c r="AR48" s="492"/>
      <c r="AS48" s="708"/>
      <c r="AT48" s="708"/>
      <c r="AU48" s="708"/>
      <c r="AV48" s="708"/>
      <c r="AW48" s="709"/>
      <c r="AX48" s="710"/>
      <c r="AY48" s="708"/>
      <c r="AZ48" s="708"/>
      <c r="BA48" s="708"/>
      <c r="BB48" s="708"/>
      <c r="BC48" s="711"/>
      <c r="BD48" s="710"/>
      <c r="BE48" s="708"/>
      <c r="BF48" s="708"/>
      <c r="BG48" s="708"/>
      <c r="BH48" s="708"/>
      <c r="BI48" s="673"/>
      <c r="BJ48" s="492"/>
      <c r="BK48" s="708"/>
      <c r="BL48" s="708"/>
      <c r="BM48" s="708"/>
      <c r="BN48" s="708"/>
      <c r="BO48" s="360"/>
      <c r="BP48" s="492"/>
      <c r="BQ48" s="708"/>
      <c r="BR48" s="626"/>
      <c r="BS48" s="626"/>
      <c r="BT48" s="626"/>
      <c r="BU48" s="898"/>
      <c r="BV48" s="492"/>
      <c r="BW48" s="626"/>
      <c r="BX48" s="626"/>
      <c r="BY48" s="626"/>
      <c r="BZ48" s="626"/>
      <c r="CA48" s="360"/>
      <c r="CB48" s="492"/>
      <c r="CC48" s="626"/>
      <c r="CD48" s="626"/>
      <c r="CE48" s="626"/>
      <c r="CF48" s="626"/>
      <c r="CG48" s="360"/>
      <c r="CH48" s="492"/>
      <c r="CI48" s="626"/>
      <c r="CJ48" s="626"/>
      <c r="CK48" s="626"/>
      <c r="CL48" s="626"/>
      <c r="CM48" s="360"/>
      <c r="CN48" s="492"/>
      <c r="CO48" s="626"/>
      <c r="CP48" s="626"/>
      <c r="CQ48" s="626"/>
      <c r="CR48" s="626"/>
      <c r="CS48" s="360"/>
      <c r="CT48" s="51"/>
      <c r="DA48" s="43"/>
      <c r="DB48" s="43"/>
      <c r="DC48" s="43"/>
      <c r="DD48" s="43"/>
      <c r="DF48" s="54"/>
      <c r="DG48" s="54"/>
      <c r="DH48" s="73"/>
      <c r="DI48" s="167"/>
      <c r="DJ48" s="73"/>
      <c r="DK48" s="73"/>
    </row>
    <row r="49" spans="1:116" x14ac:dyDescent="0.2">
      <c r="A49" s="43"/>
      <c r="B49" s="445" t="s">
        <v>64</v>
      </c>
      <c r="C49" s="317">
        <f>+C11/C8</f>
        <v>0.24163014637927438</v>
      </c>
      <c r="D49" s="317">
        <f>+D11/D8</f>
        <v>0.20274673488622594</v>
      </c>
      <c r="E49" s="317">
        <f>+E11/E8</f>
        <v>0.18494020014644863</v>
      </c>
      <c r="F49" s="317">
        <f>+F11/F8</f>
        <v>0.16715774660275298</v>
      </c>
      <c r="G49" s="377">
        <f>+G11/G8</f>
        <v>0.19610376385830477</v>
      </c>
      <c r="H49" s="241"/>
      <c r="I49" s="317">
        <f>+I11/I8</f>
        <v>0.15197033108192104</v>
      </c>
      <c r="J49" s="317">
        <f>+J11/J8</f>
        <v>0.13552571287582391</v>
      </c>
      <c r="K49" s="317">
        <f>+K11/K8</f>
        <v>0.133781267708249</v>
      </c>
      <c r="L49" s="317">
        <f>+L11/L8</f>
        <v>0.13993939206530814</v>
      </c>
      <c r="M49" s="377">
        <f>+M11/M8</f>
        <v>0.13972287870866837</v>
      </c>
      <c r="N49" s="241"/>
      <c r="O49" s="317">
        <f>+O11/O8</f>
        <v>0.139927106410348</v>
      </c>
      <c r="P49" s="317">
        <f>+P11/P8</f>
        <v>0.13174194777968365</v>
      </c>
      <c r="Q49" s="317">
        <f>+Q11/Q8</f>
        <v>0.12980319191965883</v>
      </c>
      <c r="R49" s="317">
        <f>+R11/R8</f>
        <v>0.12993877716980914</v>
      </c>
      <c r="S49" s="377">
        <f>+S11/S8</f>
        <v>0.13250665335485276</v>
      </c>
      <c r="T49" s="241"/>
      <c r="U49" s="317">
        <f>+U11/U8</f>
        <v>0.12995465332111558</v>
      </c>
      <c r="V49" s="317">
        <f>+V11/V8</f>
        <v>0.11947007588823733</v>
      </c>
      <c r="W49" s="317">
        <f>+W11/W8</f>
        <v>0.11978421226467027</v>
      </c>
      <c r="X49" s="317">
        <f>+X11/X8</f>
        <v>0.11988970275104331</v>
      </c>
      <c r="Y49" s="377">
        <f>+Y11/Y8</f>
        <v>0.12211841785974277</v>
      </c>
      <c r="Z49" s="241"/>
      <c r="AA49" s="317">
        <f>+AA11/AA8</f>
        <v>0.11986979903764505</v>
      </c>
      <c r="AB49" s="317">
        <f>+AB11/AB8</f>
        <v>0.11993229788928714</v>
      </c>
      <c r="AC49" s="317">
        <f>+AC11/AC8</f>
        <v>0.10874831500185593</v>
      </c>
      <c r="AD49" s="317">
        <f>+AD11/AD8</f>
        <v>0.11659777306073808</v>
      </c>
      <c r="AE49" s="377">
        <f>+AE11/AE8</f>
        <v>0.11617970374349636</v>
      </c>
      <c r="AF49" s="241"/>
      <c r="AG49" s="317">
        <f>+AG11/AG8</f>
        <v>0.13002028030275595</v>
      </c>
      <c r="AH49" s="317">
        <f>+AH11/AH8</f>
        <v>0.13123417283468095</v>
      </c>
      <c r="AI49" s="317">
        <f>+AI11/AI8</f>
        <v>0.13275079559552158</v>
      </c>
      <c r="AJ49" s="317">
        <f>+AJ11/AJ8</f>
        <v>0.1274997179708946</v>
      </c>
      <c r="AK49" s="377">
        <f>+AK11/AK8</f>
        <v>0.13035957298817555</v>
      </c>
      <c r="AL49" s="241"/>
      <c r="AM49" s="317">
        <f>+AM11/AM8</f>
        <v>0.12985154042731775</v>
      </c>
      <c r="AN49" s="317">
        <f>+AN11/AN8</f>
        <v>0.13332439318760897</v>
      </c>
      <c r="AO49" s="317">
        <f>+AO11/AO8</f>
        <v>0.12995296283041055</v>
      </c>
      <c r="AP49" s="317">
        <f>+AP11/AP8</f>
        <v>0.12677180730087986</v>
      </c>
      <c r="AQ49" s="377">
        <f>+AQ11/AQ8</f>
        <v>0.12984759404075574</v>
      </c>
      <c r="AR49" s="241"/>
      <c r="AS49" s="317">
        <f>+AS11/AS8</f>
        <v>0.12585260807934132</v>
      </c>
      <c r="AT49" s="317">
        <f>+AT11/AT8</f>
        <v>0.12805547388023131</v>
      </c>
      <c r="AU49" s="317">
        <f>+AU11/AU8</f>
        <v>0.14315234742297347</v>
      </c>
      <c r="AV49" s="317">
        <f>+AV11/AV8</f>
        <v>0.16411940772918707</v>
      </c>
      <c r="AW49" s="377">
        <f>+AW11/AW8</f>
        <v>0.13977867327323004</v>
      </c>
      <c r="AX49" s="241"/>
      <c r="AY49" s="317">
        <f>+AY11/AY8</f>
        <v>0.20650094469814079</v>
      </c>
      <c r="AZ49" s="317">
        <f>+AZ11/AZ8</f>
        <v>0.20527894225919638</v>
      </c>
      <c r="BA49" s="317">
        <f>+BA11/BA8</f>
        <v>0.20164458149290221</v>
      </c>
      <c r="BB49" s="317">
        <f>+BB11/BB8</f>
        <v>0.19749947107930665</v>
      </c>
      <c r="BC49" s="377">
        <f>+BC11/BC8</f>
        <v>0.20261684930800725</v>
      </c>
      <c r="BD49" s="241"/>
      <c r="BE49" s="317">
        <f>+BE11/BE8</f>
        <v>0.19887606815234984</v>
      </c>
      <c r="BF49" s="317">
        <f>+BF11/BF8</f>
        <v>0.21004792493871374</v>
      </c>
      <c r="BG49" s="317">
        <f>+BG11/BG8</f>
        <v>0.21100366185116981</v>
      </c>
      <c r="BH49" s="317">
        <f>+BH11/BH8</f>
        <v>0.21447721179624663</v>
      </c>
      <c r="BI49" s="377">
        <f>+BI11/BI8</f>
        <v>0.20866534888638763</v>
      </c>
      <c r="BJ49" s="241"/>
      <c r="BK49" s="317">
        <f>+BK11/BK8</f>
        <v>0.22534424338117293</v>
      </c>
      <c r="BL49" s="317">
        <f>+BL11/BL8</f>
        <v>0.22589746217001108</v>
      </c>
      <c r="BM49" s="317">
        <f>+BM11/BM8</f>
        <v>0.22497459185588814</v>
      </c>
      <c r="BN49" s="317">
        <f>+BN11/BN8</f>
        <v>0.21201243040203194</v>
      </c>
      <c r="BO49" s="377">
        <f>+BO11/BO8</f>
        <v>0.22192648708450197</v>
      </c>
      <c r="BP49" s="241"/>
      <c r="BQ49" s="317">
        <f>+BQ11/BQ8</f>
        <v>0.22610915424395706</v>
      </c>
      <c r="BR49" s="317">
        <f>+BR11/BR8</f>
        <v>0.22889502232482103</v>
      </c>
      <c r="BS49" s="317">
        <f>+BS11/BS8</f>
        <v>0.22729554958431855</v>
      </c>
      <c r="BT49" s="317">
        <f>+BT11/BT8</f>
        <v>0.22245592199380476</v>
      </c>
      <c r="BU49" s="377">
        <f>+BU11/BU8</f>
        <v>0.22616781341174313</v>
      </c>
      <c r="BV49" s="241"/>
      <c r="BW49" s="317">
        <f>+BW11/BW8</f>
        <v>0.23255893047500212</v>
      </c>
      <c r="BX49" s="317">
        <f>+BX11/BX8</f>
        <v>0.23630851625609933</v>
      </c>
      <c r="BY49" s="317">
        <f>+BY11/BY8</f>
        <v>0.22650000979036153</v>
      </c>
      <c r="BZ49" s="317">
        <f>+BZ11/BZ8</f>
        <v>0.21884130869208182</v>
      </c>
      <c r="CA49" s="377">
        <f>+CA11/CA8</f>
        <v>0.22840026399361649</v>
      </c>
      <c r="CB49" s="241"/>
      <c r="CC49" s="317">
        <f>+CC11/CC8</f>
        <v>0.22619218915737846</v>
      </c>
      <c r="CD49" s="317">
        <f>+CD11/CD8</f>
        <v>0.23122677322664634</v>
      </c>
      <c r="CE49" s="317">
        <f>+CE11/CE8</f>
        <v>0.2233569072892988</v>
      </c>
      <c r="CF49" s="317">
        <f>+CF11/CF8</f>
        <v>0.21725103382602221</v>
      </c>
      <c r="CG49" s="377">
        <f>+CG11/CG8</f>
        <v>0.22439422637193879</v>
      </c>
      <c r="CH49" s="241"/>
      <c r="CI49" s="317">
        <f t="shared" ref="CI49:CM49" si="127">+CI11/CI8</f>
        <v>0.22317822662992631</v>
      </c>
      <c r="CJ49" s="317">
        <f t="shared" si="127"/>
        <v>0.22871750548825021</v>
      </c>
      <c r="CK49" s="317">
        <f t="shared" si="127"/>
        <v>0.2216586452481778</v>
      </c>
      <c r="CL49" s="317">
        <f t="shared" si="127"/>
        <v>0.21686595092319222</v>
      </c>
      <c r="CM49" s="377">
        <f t="shared" si="127"/>
        <v>0.22253572819070774</v>
      </c>
      <c r="CN49" s="241"/>
      <c r="CO49" s="317">
        <f t="shared" ref="CO49:CS49" si="128">+CO11/CO8</f>
        <v>0.22110321528049068</v>
      </c>
      <c r="CP49" s="317">
        <f t="shared" si="128"/>
        <v>0.22645514647528872</v>
      </c>
      <c r="CQ49" s="317">
        <f t="shared" si="128"/>
        <v>0.21876953438663058</v>
      </c>
      <c r="CR49" s="317">
        <f t="shared" si="128"/>
        <v>0.21469461999707995</v>
      </c>
      <c r="CS49" s="377">
        <f t="shared" si="128"/>
        <v>0.22019487198075219</v>
      </c>
      <c r="CT49" s="233"/>
      <c r="DA49" s="43"/>
      <c r="DB49" s="43"/>
      <c r="DC49" s="43"/>
      <c r="DD49" s="43"/>
      <c r="DH49" s="361"/>
      <c r="DI49" s="361"/>
      <c r="DJ49" s="361"/>
      <c r="DK49" s="361"/>
    </row>
    <row r="50" spans="1:116" x14ac:dyDescent="0.2">
      <c r="A50" s="43"/>
      <c r="B50" s="90" t="s">
        <v>219</v>
      </c>
      <c r="C50" s="317">
        <f>+C14/C8</f>
        <v>0.75836985362072562</v>
      </c>
      <c r="D50" s="317">
        <f>+D14/D8</f>
        <v>0.79725326511377403</v>
      </c>
      <c r="E50" s="317">
        <f>+E14/E8</f>
        <v>0.81505979985355137</v>
      </c>
      <c r="F50" s="317">
        <f>+F14/F8</f>
        <v>0.83284225339724705</v>
      </c>
      <c r="G50" s="377">
        <f>+G14/G8</f>
        <v>0.80389623614169514</v>
      </c>
      <c r="H50" s="241"/>
      <c r="I50" s="317">
        <f>+I14/I8</f>
        <v>0.84802966891807896</v>
      </c>
      <c r="J50" s="317">
        <f>+J14/J8</f>
        <v>0.86447428712417618</v>
      </c>
      <c r="K50" s="317">
        <f>+K14/K8</f>
        <v>0.86621873229175106</v>
      </c>
      <c r="L50" s="317">
        <f>+L14/L8</f>
        <v>0.86006060793469186</v>
      </c>
      <c r="M50" s="377">
        <f>+M14/M8</f>
        <v>0.8602771212913316</v>
      </c>
      <c r="N50" s="241"/>
      <c r="O50" s="317">
        <f>+O14/O8</f>
        <v>0.860072893589652</v>
      </c>
      <c r="P50" s="317">
        <f>+P14/P8</f>
        <v>0.86825805222031638</v>
      </c>
      <c r="Q50" s="317">
        <f>+Q14/Q8</f>
        <v>0.87019680808034117</v>
      </c>
      <c r="R50" s="317">
        <f>+R14/R8</f>
        <v>0.87006122283019083</v>
      </c>
      <c r="S50" s="377">
        <f>+S14/S8</f>
        <v>0.86749334664514732</v>
      </c>
      <c r="T50" s="241"/>
      <c r="U50" s="317">
        <f>+U14/U8</f>
        <v>0.87004534667888445</v>
      </c>
      <c r="V50" s="317">
        <f>+V14/V8</f>
        <v>0.88052992411176267</v>
      </c>
      <c r="W50" s="317">
        <f>+W14/W8</f>
        <v>0.88021578773532982</v>
      </c>
      <c r="X50" s="317">
        <f>+X14/X8</f>
        <v>0.88011029724895673</v>
      </c>
      <c r="Y50" s="377">
        <f>+Y14/Y8</f>
        <v>0.87788158214025724</v>
      </c>
      <c r="Z50" s="241"/>
      <c r="AA50" s="317">
        <f>+AA14/AA8</f>
        <v>0.88013020096235495</v>
      </c>
      <c r="AB50" s="317">
        <f>+AB14/AB8</f>
        <v>0.88006770211071295</v>
      </c>
      <c r="AC50" s="317">
        <f>+AC14/AC8</f>
        <v>0.89125168499814411</v>
      </c>
      <c r="AD50" s="317">
        <f>+AD14/AD8</f>
        <v>0.88340222693926196</v>
      </c>
      <c r="AE50" s="377">
        <f>+AE14/AE8</f>
        <v>0.8838202962565036</v>
      </c>
      <c r="AF50" s="241"/>
      <c r="AG50" s="317">
        <f>+AG14/AG8</f>
        <v>0.86997971969724397</v>
      </c>
      <c r="AH50" s="317">
        <f>+AH14/AH8</f>
        <v>0.86876582716531903</v>
      </c>
      <c r="AI50" s="317">
        <f>+AI14/AI8</f>
        <v>0.86724920440447839</v>
      </c>
      <c r="AJ50" s="317">
        <f>+AJ14/AJ8</f>
        <v>0.87250028202910535</v>
      </c>
      <c r="AK50" s="377">
        <f>+AK14/AK8</f>
        <v>0.86964042701182453</v>
      </c>
      <c r="AL50" s="241"/>
      <c r="AM50" s="317">
        <f>+AM14/AM8</f>
        <v>0.87014845957268228</v>
      </c>
      <c r="AN50" s="317">
        <f>+AN14/AN8</f>
        <v>0.86667560681239098</v>
      </c>
      <c r="AO50" s="317">
        <f>+AO14/AO8</f>
        <v>0.87004703716958942</v>
      </c>
      <c r="AP50" s="317">
        <f>+AP14/AP8</f>
        <v>0.87322819269912011</v>
      </c>
      <c r="AQ50" s="377">
        <f>+AQ14/AQ8</f>
        <v>0.87015240595924437</v>
      </c>
      <c r="AR50" s="241"/>
      <c r="AS50" s="317">
        <f>+AS14/AS8</f>
        <v>0.87414739192065871</v>
      </c>
      <c r="AT50" s="317">
        <f>+AT14/AT8</f>
        <v>0.87194452611976869</v>
      </c>
      <c r="AU50" s="317">
        <f>+AU14/AU8</f>
        <v>0.85684765257702644</v>
      </c>
      <c r="AV50" s="317">
        <f>+AV14/AV8</f>
        <v>0.83588059227081302</v>
      </c>
      <c r="AW50" s="377">
        <f>+AW14/AW8</f>
        <v>0.86022132672676987</v>
      </c>
      <c r="AX50" s="241"/>
      <c r="AY50" s="317">
        <f>+AY14/AY8</f>
        <v>0.79349905530185916</v>
      </c>
      <c r="AZ50" s="446">
        <f>+AZ14/AZ8</f>
        <v>0.79472105774080359</v>
      </c>
      <c r="BA50" s="446">
        <f>+BA14/BA8</f>
        <v>0.79835541850709779</v>
      </c>
      <c r="BB50" s="446">
        <f>+BB14/BB8</f>
        <v>0.80250052892069335</v>
      </c>
      <c r="BC50" s="377">
        <f>+BC14/BC8</f>
        <v>0.79738315069199273</v>
      </c>
      <c r="BD50" s="241"/>
      <c r="BE50" s="446">
        <f>+BE14/BE8</f>
        <v>0.80112393184765018</v>
      </c>
      <c r="BF50" s="446">
        <f>+BF14/BF8</f>
        <v>0.78995207506128629</v>
      </c>
      <c r="BG50" s="446">
        <f>+BG14/BG8</f>
        <v>0.7889963381488303</v>
      </c>
      <c r="BH50" s="446">
        <f>+BH14/BH8</f>
        <v>0.78552278820375343</v>
      </c>
      <c r="BI50" s="377">
        <f>+BI14/BI8</f>
        <v>0.79133465111361245</v>
      </c>
      <c r="BJ50" s="241"/>
      <c r="BK50" s="446">
        <f>+BK14/BK8</f>
        <v>0.77465575661882702</v>
      </c>
      <c r="BL50" s="446">
        <f>+BL14/BL8</f>
        <v>0.77410253782998883</v>
      </c>
      <c r="BM50" s="446">
        <f>+BM14/BM8</f>
        <v>0.77502540814411192</v>
      </c>
      <c r="BN50" s="446">
        <f>+BN14/BN8</f>
        <v>0.78798756959796812</v>
      </c>
      <c r="BO50" s="377">
        <f>+BO14/BO8</f>
        <v>0.77807351291549809</v>
      </c>
      <c r="BP50" s="241"/>
      <c r="BQ50" s="446">
        <f>+BQ14/BQ8</f>
        <v>0.77389084575604294</v>
      </c>
      <c r="BR50" s="446">
        <f>+BR14/BR8</f>
        <v>0.77110497767517894</v>
      </c>
      <c r="BS50" s="446">
        <f>+BS14/BS8</f>
        <v>0.77270445041568137</v>
      </c>
      <c r="BT50" s="446">
        <f>+BT14/BT8</f>
        <v>0.77754407800619518</v>
      </c>
      <c r="BU50" s="377">
        <f>+BU14/BU8</f>
        <v>0.77383218658825681</v>
      </c>
      <c r="BV50" s="241"/>
      <c r="BW50" s="446">
        <f>+BW14/BW8</f>
        <v>0.7674410695249978</v>
      </c>
      <c r="BX50" s="446">
        <f>+BX14/BX8</f>
        <v>0.76369148374390061</v>
      </c>
      <c r="BY50" s="446">
        <f>+BY14/BY8</f>
        <v>0.77349999020963844</v>
      </c>
      <c r="BZ50" s="446">
        <f>+BZ14/BZ8</f>
        <v>0.78115869130791815</v>
      </c>
      <c r="CA50" s="377">
        <f>+CA14/CA8</f>
        <v>0.77159973600638354</v>
      </c>
      <c r="CB50" s="241"/>
      <c r="CC50" s="446">
        <f>+CC14/CC8</f>
        <v>0.77380781084262151</v>
      </c>
      <c r="CD50" s="446">
        <f>+CD14/CD8</f>
        <v>0.76877322677335369</v>
      </c>
      <c r="CE50" s="446">
        <f>+CE14/CE8</f>
        <v>0.77664309271070109</v>
      </c>
      <c r="CF50" s="446">
        <f>+CF14/CF8</f>
        <v>0.78274896617397771</v>
      </c>
      <c r="CG50" s="377">
        <f>+CG14/CG8</f>
        <v>0.77560577362806127</v>
      </c>
      <c r="CH50" s="241"/>
      <c r="CI50" s="446">
        <f t="shared" ref="CI50:CM50" si="129">+CI14/CI8</f>
        <v>0.77682177337007374</v>
      </c>
      <c r="CJ50" s="446">
        <f t="shared" si="129"/>
        <v>0.77128249451174979</v>
      </c>
      <c r="CK50" s="446">
        <f t="shared" si="129"/>
        <v>0.7783413547518222</v>
      </c>
      <c r="CL50" s="446">
        <f t="shared" si="129"/>
        <v>0.78313404907680773</v>
      </c>
      <c r="CM50" s="377">
        <f t="shared" si="129"/>
        <v>0.77746427180929234</v>
      </c>
      <c r="CN50" s="241"/>
      <c r="CO50" s="446">
        <f t="shared" ref="CO50:CS50" si="130">+CO14/CO8</f>
        <v>0.77889678471950941</v>
      </c>
      <c r="CP50" s="446">
        <f t="shared" si="130"/>
        <v>0.77354485352471125</v>
      </c>
      <c r="CQ50" s="446">
        <f t="shared" si="130"/>
        <v>0.78123046561336951</v>
      </c>
      <c r="CR50" s="446">
        <f t="shared" si="130"/>
        <v>0.78530538000292005</v>
      </c>
      <c r="CS50" s="377">
        <f t="shared" si="130"/>
        <v>0.77980512801924773</v>
      </c>
      <c r="CT50" s="466"/>
      <c r="DA50" s="43"/>
      <c r="DB50" s="43"/>
      <c r="DC50" s="43"/>
      <c r="DD50" s="43"/>
      <c r="DH50" s="753"/>
      <c r="DI50" s="753"/>
      <c r="DJ50" s="753"/>
      <c r="DK50" s="753"/>
      <c r="DL50" s="753"/>
    </row>
    <row r="51" spans="1:116" ht="12.75" hidden="1" customHeight="1" outlineLevel="1" x14ac:dyDescent="0.2">
      <c r="A51" s="43"/>
      <c r="B51" s="627" t="str">
        <f>B9</f>
        <v>Molecular diagnostic testing</v>
      </c>
      <c r="C51" s="317">
        <f>C15/C9</f>
        <v>0.75836985362072562</v>
      </c>
      <c r="D51" s="317">
        <f>D15/D9</f>
        <v>0.79725326511377403</v>
      </c>
      <c r="E51" s="317">
        <f>E15/E9</f>
        <v>0.81505979985355137</v>
      </c>
      <c r="F51" s="317">
        <f>F15/F9</f>
        <v>0.83284225339724705</v>
      </c>
      <c r="G51" s="377">
        <f>G15/G9</f>
        <v>0.80389623614169514</v>
      </c>
      <c r="H51" s="241"/>
      <c r="I51" s="317">
        <f>I15/I9</f>
        <v>0.84802966891807896</v>
      </c>
      <c r="J51" s="317">
        <f>J15/J9</f>
        <v>0.86447428712417618</v>
      </c>
      <c r="K51" s="317">
        <f>K15/K9</f>
        <v>0.86621873229175106</v>
      </c>
      <c r="L51" s="317">
        <f>L15/L9</f>
        <v>0.86006060793469186</v>
      </c>
      <c r="M51" s="377">
        <f>M15/M9</f>
        <v>0.86027712129133171</v>
      </c>
      <c r="N51" s="241"/>
      <c r="O51" s="317">
        <f>O15/O9</f>
        <v>0.860072893589652</v>
      </c>
      <c r="P51" s="317">
        <f>P15/P9</f>
        <v>0.86825805222031638</v>
      </c>
      <c r="Q51" s="317">
        <f>Q15/Q9</f>
        <v>0.87019680808034117</v>
      </c>
      <c r="R51" s="317">
        <f>R15/R9</f>
        <v>0.87006122283019083</v>
      </c>
      <c r="S51" s="377">
        <f>S15/S9</f>
        <v>0.86749334664514732</v>
      </c>
      <c r="T51" s="241"/>
      <c r="U51" s="317">
        <f>U15/U9</f>
        <v>0.87004534667888445</v>
      </c>
      <c r="V51" s="317">
        <f>V15/V9</f>
        <v>0.88052992411176267</v>
      </c>
      <c r="W51" s="317">
        <f>W15/W9</f>
        <v>0.88021578773532982</v>
      </c>
      <c r="X51" s="317">
        <f>X15/X9</f>
        <v>0.88011029724895673</v>
      </c>
      <c r="Y51" s="377">
        <f>Y15/Y9</f>
        <v>0.87788158214025724</v>
      </c>
      <c r="Z51" s="241"/>
      <c r="AA51" s="317">
        <f>AA15/AA9</f>
        <v>0.88013020096235495</v>
      </c>
      <c r="AB51" s="317">
        <f>AB15/AB9</f>
        <v>0.88006770211071284</v>
      </c>
      <c r="AC51" s="317">
        <f>AC15/AC9</f>
        <v>0.89125168499814411</v>
      </c>
      <c r="AD51" s="317">
        <f>AD15/AD9</f>
        <v>0.89136788961223823</v>
      </c>
      <c r="AE51" s="377">
        <f>AE15/AE9</f>
        <v>0.88592061912880005</v>
      </c>
      <c r="AF51" s="241"/>
      <c r="AG51" s="317">
        <f t="shared" ref="AG51:AK52" si="131">AG15/AG9</f>
        <v>0.89131375698525528</v>
      </c>
      <c r="AH51" s="317">
        <f t="shared" si="131"/>
        <v>0.89103817702576316</v>
      </c>
      <c r="AI51" s="317">
        <f t="shared" si="131"/>
        <v>0.89080543661606326</v>
      </c>
      <c r="AJ51" s="317">
        <f t="shared" si="131"/>
        <v>0.8911991466599738</v>
      </c>
      <c r="AK51" s="377">
        <f t="shared" si="131"/>
        <v>0.89108152162408183</v>
      </c>
      <c r="AL51" s="241"/>
      <c r="AM51" s="317">
        <f t="shared" ref="AM51:AQ52" si="132">AM15/AM9</f>
        <v>0.89053021969387436</v>
      </c>
      <c r="AN51" s="317">
        <f t="shared" si="132"/>
        <v>0.88932890629999073</v>
      </c>
      <c r="AO51" s="317">
        <f t="shared" si="132"/>
        <v>0.88905811947379776</v>
      </c>
      <c r="AP51" s="317">
        <f t="shared" si="132"/>
        <v>0.8891196888415247</v>
      </c>
      <c r="AQ51" s="377">
        <f t="shared" si="132"/>
        <v>0.8894627673457054</v>
      </c>
      <c r="AR51" s="241"/>
      <c r="AS51" s="317">
        <f t="shared" ref="AS51:AW52" si="133">AS15/AS9</f>
        <v>0.88890961567359461</v>
      </c>
      <c r="AT51" s="317">
        <f t="shared" si="133"/>
        <v>0.88399657419019362</v>
      </c>
      <c r="AU51" s="317">
        <f t="shared" si="133"/>
        <v>0.8681828243213332</v>
      </c>
      <c r="AV51" s="317">
        <f t="shared" si="133"/>
        <v>0.84524942306219997</v>
      </c>
      <c r="AW51" s="377">
        <f t="shared" si="133"/>
        <v>0.87206996009077797</v>
      </c>
      <c r="AX51" s="74"/>
      <c r="AY51" s="317">
        <f t="shared" ref="AY51:BB52" si="134">AY15/AY9</f>
        <v>0.80063462345067382</v>
      </c>
      <c r="AZ51" s="317">
        <f t="shared" si="134"/>
        <v>0.80435389338543128</v>
      </c>
      <c r="BA51" s="317">
        <f t="shared" si="134"/>
        <v>0.80919379450661244</v>
      </c>
      <c r="BB51" s="317">
        <f t="shared" si="134"/>
        <v>0.8210340135662153</v>
      </c>
      <c r="BC51" s="377">
        <f>+BC15/BC9</f>
        <v>0.80896657786153159</v>
      </c>
      <c r="BD51" s="241"/>
      <c r="BE51" s="317">
        <f t="shared" ref="BE51:BH52" si="135">BE15/BE9</f>
        <v>0.82027191341759409</v>
      </c>
      <c r="BF51" s="317">
        <f t="shared" si="135"/>
        <v>0.81324198864941477</v>
      </c>
      <c r="BG51" s="317">
        <f t="shared" si="135"/>
        <v>0.81061675763208985</v>
      </c>
      <c r="BH51" s="317">
        <f t="shared" si="135"/>
        <v>0.80322209436133485</v>
      </c>
      <c r="BI51" s="377">
        <f>+BI15/BI9</f>
        <v>0.81182701940815516</v>
      </c>
      <c r="BJ51" s="241"/>
      <c r="BK51" s="317">
        <f>BK15/BK9</f>
        <v>0.79225492253867158</v>
      </c>
      <c r="BL51" s="317">
        <f>BL15/BL9</f>
        <v>0.79668316620568236</v>
      </c>
      <c r="BM51" s="317">
        <f t="shared" ref="BM51:BN51" si="136">BM15/BM9</f>
        <v>0.79536866383874349</v>
      </c>
      <c r="BN51" s="317">
        <f t="shared" si="136"/>
        <v>0.81049712261393936</v>
      </c>
      <c r="BO51" s="377">
        <f>+BO15/BO9</f>
        <v>0.79892722991297804</v>
      </c>
      <c r="BP51" s="241"/>
      <c r="BQ51" s="317">
        <f>BQ15/BQ9</f>
        <v>0.7975092927240538</v>
      </c>
      <c r="BR51" s="317">
        <f>BR15/BR9</f>
        <v>0.78959163350715678</v>
      </c>
      <c r="BS51" s="680">
        <v>0.78672115598978942</v>
      </c>
      <c r="BT51" s="680">
        <v>0.79242356420843074</v>
      </c>
      <c r="BU51" s="377">
        <f>+BU15/BU9</f>
        <v>0.79156821949846101</v>
      </c>
      <c r="BV51" s="241"/>
      <c r="BW51" s="680">
        <v>0.78296100327716223</v>
      </c>
      <c r="BX51" s="680">
        <v>0.78288662159898015</v>
      </c>
      <c r="BY51" s="680">
        <v>0.78832446631522313</v>
      </c>
      <c r="BZ51" s="680">
        <v>0.79691238477703474</v>
      </c>
      <c r="CA51" s="377">
        <f>+CA15/CA9</f>
        <v>0.78795668183002587</v>
      </c>
      <c r="CB51" s="241"/>
      <c r="CC51" s="680">
        <v>0.79063143324591689</v>
      </c>
      <c r="CD51" s="680">
        <v>0.78924416503313088</v>
      </c>
      <c r="CE51" s="680">
        <v>0.7922799287284279</v>
      </c>
      <c r="CF51" s="680">
        <v>0.79917684130041178</v>
      </c>
      <c r="CG51" s="377">
        <f>+CG15/CG9</f>
        <v>0.79296508645916552</v>
      </c>
      <c r="CH51" s="241"/>
      <c r="CI51" s="680">
        <v>0.79434675375659713</v>
      </c>
      <c r="CJ51" s="680">
        <v>0.79249730775973959</v>
      </c>
      <c r="CK51" s="680">
        <v>0.79456624932187925</v>
      </c>
      <c r="CL51" s="680">
        <v>0.80008454062970624</v>
      </c>
      <c r="CM51" s="377">
        <f t="shared" ref="CM51" si="137">+CM15/CM9</f>
        <v>0.79545930189718672</v>
      </c>
      <c r="CN51" s="241"/>
      <c r="CO51" s="680">
        <v>0.79708061277834719</v>
      </c>
      <c r="CP51" s="680">
        <v>0.79540079669170316</v>
      </c>
      <c r="CQ51" s="680">
        <v>0.79816564081267749</v>
      </c>
      <c r="CR51" s="680">
        <v>0.80284340467577986</v>
      </c>
      <c r="CS51" s="377">
        <f t="shared" ref="CS51:CS52" si="138">+CS15/CS9</f>
        <v>0.79845657237674017</v>
      </c>
      <c r="CT51" s="233"/>
      <c r="DA51" s="43"/>
      <c r="DB51" s="43"/>
      <c r="DC51" s="43"/>
      <c r="DD51" s="43"/>
      <c r="DH51" s="73"/>
      <c r="DI51" s="73"/>
      <c r="DJ51" s="73"/>
      <c r="DK51" s="73"/>
    </row>
    <row r="52" spans="1:116" ht="12.75" hidden="1" customHeight="1" outlineLevel="1" x14ac:dyDescent="0.2">
      <c r="A52" s="43"/>
      <c r="B52" s="627" t="str">
        <f>B10</f>
        <v>Companion diagnostic services</v>
      </c>
      <c r="C52" s="317"/>
      <c r="D52" s="317"/>
      <c r="E52" s="317"/>
      <c r="F52" s="317"/>
      <c r="G52" s="377"/>
      <c r="H52" s="241"/>
      <c r="I52" s="317"/>
      <c r="J52" s="317"/>
      <c r="K52" s="317"/>
      <c r="L52" s="317"/>
      <c r="M52" s="377"/>
      <c r="N52" s="241"/>
      <c r="O52" s="317"/>
      <c r="P52" s="317"/>
      <c r="Q52" s="317"/>
      <c r="R52" s="317"/>
      <c r="S52" s="377"/>
      <c r="T52" s="241"/>
      <c r="U52" s="317"/>
      <c r="V52" s="317"/>
      <c r="W52" s="317"/>
      <c r="X52" s="317"/>
      <c r="Y52" s="377"/>
      <c r="Z52" s="241"/>
      <c r="AA52" s="628"/>
      <c r="AB52" s="628"/>
      <c r="AC52" s="628"/>
      <c r="AD52" s="317">
        <f>AD16/AD10</f>
        <v>0.47154072620215898</v>
      </c>
      <c r="AE52" s="377">
        <f>AE16/AE10</f>
        <v>0.47154072620215898</v>
      </c>
      <c r="AF52" s="241"/>
      <c r="AG52" s="317">
        <f t="shared" si="131"/>
        <v>0.52784204843436677</v>
      </c>
      <c r="AH52" s="317">
        <f t="shared" si="131"/>
        <v>0.36512209190540273</v>
      </c>
      <c r="AI52" s="317">
        <f t="shared" si="131"/>
        <v>0.41794276875483372</v>
      </c>
      <c r="AJ52" s="317">
        <f t="shared" si="131"/>
        <v>0.43633369923161347</v>
      </c>
      <c r="AK52" s="377">
        <f t="shared" si="131"/>
        <v>0.4407368198179123</v>
      </c>
      <c r="AL52" s="241"/>
      <c r="AM52" s="317">
        <f t="shared" si="132"/>
        <v>0.44966769330523582</v>
      </c>
      <c r="AN52" s="317">
        <f t="shared" si="132"/>
        <v>0.49134173636470735</v>
      </c>
      <c r="AO52" s="317">
        <f t="shared" si="132"/>
        <v>0.52126607319485652</v>
      </c>
      <c r="AP52" s="317">
        <f t="shared" si="132"/>
        <v>0.54441260744985676</v>
      </c>
      <c r="AQ52" s="377">
        <f t="shared" si="132"/>
        <v>0.50469567477983945</v>
      </c>
      <c r="AR52" s="241"/>
      <c r="AS52" s="317">
        <f t="shared" si="133"/>
        <v>0.57362869198312239</v>
      </c>
      <c r="AT52" s="317">
        <f t="shared" si="133"/>
        <v>0.57276638825613768</v>
      </c>
      <c r="AU52" s="317">
        <f t="shared" si="133"/>
        <v>0.56022575375018568</v>
      </c>
      <c r="AV52" s="317">
        <f t="shared" si="133"/>
        <v>0.54565475182110779</v>
      </c>
      <c r="AW52" s="377">
        <f t="shared" si="133"/>
        <v>0.56489439669531616</v>
      </c>
      <c r="AX52" s="241"/>
      <c r="AY52" s="317">
        <f t="shared" si="134"/>
        <v>0.52251212191179874</v>
      </c>
      <c r="AZ52" s="317">
        <f t="shared" si="134"/>
        <v>0.46557314514590886</v>
      </c>
      <c r="BA52" s="317">
        <f t="shared" si="134"/>
        <v>0.53167808219178081</v>
      </c>
      <c r="BB52" s="317">
        <f t="shared" si="134"/>
        <v>0.50311681272020958</v>
      </c>
      <c r="BC52" s="377">
        <f>+BC16/BC10</f>
        <v>0.50627463744530032</v>
      </c>
      <c r="BD52" s="241"/>
      <c r="BE52" s="317">
        <f t="shared" si="135"/>
        <v>0.51744937526928048</v>
      </c>
      <c r="BF52" s="317">
        <f t="shared" si="135"/>
        <v>0.39252336448598124</v>
      </c>
      <c r="BG52" s="317">
        <f t="shared" si="135"/>
        <v>0.49618320610687022</v>
      </c>
      <c r="BH52" s="317">
        <f t="shared" si="135"/>
        <v>0.54330708661417326</v>
      </c>
      <c r="BI52" s="377">
        <f>+BI16/BI10</f>
        <v>0.49069743269930366</v>
      </c>
      <c r="BJ52" s="241"/>
      <c r="BK52" s="317">
        <f>BK16/BK10</f>
        <v>0.54032258064516125</v>
      </c>
      <c r="BL52" s="317">
        <f>BL16/BL10</f>
        <v>0.44444444444444442</v>
      </c>
      <c r="BM52" s="317">
        <f t="shared" ref="BM52:BN52" si="139">BM16/BM10</f>
        <v>0.45299145299145294</v>
      </c>
      <c r="BN52" s="317">
        <f t="shared" si="139"/>
        <v>0.45238095238095233</v>
      </c>
      <c r="BO52" s="377">
        <f>+BO16/BO10</f>
        <v>0.47261663286004063</v>
      </c>
      <c r="BP52" s="241"/>
      <c r="BQ52" s="317">
        <f>BQ16/BQ10</f>
        <v>0.40350877192982459</v>
      </c>
      <c r="BR52" s="317">
        <f>BR16/BR10</f>
        <v>0.54729729729729737</v>
      </c>
      <c r="BS52" s="554">
        <f>+BR52</f>
        <v>0.54729729729729737</v>
      </c>
      <c r="BT52" s="554">
        <f>+BS52</f>
        <v>0.54729729729729737</v>
      </c>
      <c r="BU52" s="377">
        <f>+BU16/BU10</f>
        <v>0.51403790419210926</v>
      </c>
      <c r="BV52" s="241"/>
      <c r="BW52" s="554">
        <f>+BT52</f>
        <v>0.54729729729729737</v>
      </c>
      <c r="BX52" s="554">
        <f>+BW52</f>
        <v>0.54729729729729737</v>
      </c>
      <c r="BY52" s="554">
        <f>+BX52</f>
        <v>0.54729729729729737</v>
      </c>
      <c r="BZ52" s="554">
        <f>+BY52</f>
        <v>0.54729729729729737</v>
      </c>
      <c r="CA52" s="377">
        <f>+CA16/CA10</f>
        <v>0.54729729729729737</v>
      </c>
      <c r="CB52" s="241"/>
      <c r="CC52" s="554">
        <f>+BZ52</f>
        <v>0.54729729729729737</v>
      </c>
      <c r="CD52" s="554">
        <f>+CC52</f>
        <v>0.54729729729729737</v>
      </c>
      <c r="CE52" s="554">
        <f>+CD52</f>
        <v>0.54729729729729737</v>
      </c>
      <c r="CF52" s="554">
        <f>+CE52</f>
        <v>0.54729729729729737</v>
      </c>
      <c r="CG52" s="377">
        <f>+CG16/CG10</f>
        <v>0.54729729729729737</v>
      </c>
      <c r="CH52" s="241"/>
      <c r="CI52" s="554">
        <f t="shared" ref="CI52" si="140">+CF52</f>
        <v>0.54729729729729737</v>
      </c>
      <c r="CJ52" s="554">
        <f t="shared" ref="CJ52:CL52" si="141">+CI52</f>
        <v>0.54729729729729737</v>
      </c>
      <c r="CK52" s="554">
        <f t="shared" si="141"/>
        <v>0.54729729729729737</v>
      </c>
      <c r="CL52" s="554">
        <f t="shared" si="141"/>
        <v>0.54729729729729737</v>
      </c>
      <c r="CM52" s="377">
        <f t="shared" ref="CM52" si="142">+CM16/CM10</f>
        <v>0.54729729729729737</v>
      </c>
      <c r="CN52" s="241"/>
      <c r="CO52" s="554">
        <f t="shared" ref="CO52" si="143">+CL52</f>
        <v>0.54729729729729737</v>
      </c>
      <c r="CP52" s="554">
        <f t="shared" ref="CP52:CR52" si="144">+CO52</f>
        <v>0.54729729729729737</v>
      </c>
      <c r="CQ52" s="554">
        <f t="shared" si="144"/>
        <v>0.54729729729729737</v>
      </c>
      <c r="CR52" s="554">
        <f t="shared" si="144"/>
        <v>0.54729729729729737</v>
      </c>
      <c r="CS52" s="377">
        <f t="shared" si="138"/>
        <v>0.54729729729729737</v>
      </c>
      <c r="CT52" s="233"/>
      <c r="DA52" s="43"/>
      <c r="DB52" s="43"/>
      <c r="DC52" s="43"/>
      <c r="DD52" s="43"/>
      <c r="DH52" s="73"/>
      <c r="DI52" s="73"/>
      <c r="DJ52" s="73"/>
      <c r="DK52" s="73"/>
    </row>
    <row r="53" spans="1:116" collapsed="1" x14ac:dyDescent="0.2">
      <c r="A53" s="43"/>
      <c r="B53" s="456" t="s">
        <v>84</v>
      </c>
      <c r="C53" s="317">
        <f>+C18/C8</f>
        <v>0.78242852458038936</v>
      </c>
      <c r="D53" s="317">
        <f>+D18/D8</f>
        <v>0.66689107311161977</v>
      </c>
      <c r="E53" s="317">
        <f>+E18/E8</f>
        <v>0.55870148889431293</v>
      </c>
      <c r="F53" s="317">
        <f>+F18/F8</f>
        <v>0.54468094463256955</v>
      </c>
      <c r="G53" s="377">
        <f>+G18/G8</f>
        <v>0.62797372809083163</v>
      </c>
      <c r="H53" s="254"/>
      <c r="I53" s="317">
        <f>+I18/I8</f>
        <v>0.53919943645630464</v>
      </c>
      <c r="J53" s="317">
        <f>+J18/J8</f>
        <v>0.48123083430263303</v>
      </c>
      <c r="K53" s="317">
        <f>+K18/K8</f>
        <v>0.5045090261474946</v>
      </c>
      <c r="L53" s="317">
        <f>+L18/L8</f>
        <v>7.4569405361946881E-2</v>
      </c>
      <c r="M53" s="377">
        <f>+M18/M8</f>
        <v>0.38589161420775886</v>
      </c>
      <c r="N53" s="254"/>
      <c r="O53" s="317">
        <f>+O18/O8</f>
        <v>6.2531265632816399E-2</v>
      </c>
      <c r="P53" s="317">
        <f>+P18/P8</f>
        <v>5.4971888698303793E-2</v>
      </c>
      <c r="Q53" s="317">
        <f>+Q18/Q8</f>
        <v>5.2501415677618422E-2</v>
      </c>
      <c r="R53" s="317">
        <f>+R18/R8</f>
        <v>5.0895107982202405E-2</v>
      </c>
      <c r="S53" s="377">
        <f>+S18/S8</f>
        <v>5.486223191344055E-2</v>
      </c>
      <c r="T53" s="254"/>
      <c r="U53" s="317">
        <f>+U18/U8</f>
        <v>6.6680764079791358E-2</v>
      </c>
      <c r="V53" s="317">
        <f>+V18/V8</f>
        <v>5.4533890996895484E-2</v>
      </c>
      <c r="W53" s="317">
        <f>+W18/W8</f>
        <v>6.4791368490586809E-2</v>
      </c>
      <c r="X53" s="317">
        <f>+X18/X8</f>
        <v>5.5925815518269306E-2</v>
      </c>
      <c r="Y53" s="377">
        <f>+Y18/Y8</f>
        <v>6.0314685314685305E-2</v>
      </c>
      <c r="Z53" s="254"/>
      <c r="AA53" s="317">
        <f>+AA18/AA8</f>
        <v>6.2727252933876196E-2</v>
      </c>
      <c r="AB53" s="317">
        <f>+AB18/AB8</f>
        <v>6.065312624452409E-2</v>
      </c>
      <c r="AC53" s="317">
        <f>+AC18/AC8</f>
        <v>6.5123957254771714E-2</v>
      </c>
      <c r="AD53" s="317">
        <f>+AD18/AD8</f>
        <v>8.5930808475775514E-2</v>
      </c>
      <c r="AE53" s="377">
        <f>+AE18/AE8</f>
        <v>6.9017916654231445E-2</v>
      </c>
      <c r="AF53" s="254"/>
      <c r="AG53" s="317">
        <f>+AG18/AG8</f>
        <v>7.7001774526491151E-2</v>
      </c>
      <c r="AH53" s="317">
        <f>+AH18/AH8</f>
        <v>8.3404581022872543E-2</v>
      </c>
      <c r="AI53" s="317">
        <f>+AI18/AI8</f>
        <v>9.0563042757961745E-2</v>
      </c>
      <c r="AJ53" s="317">
        <f>+AJ18/AJ8</f>
        <v>9.1332305493926971E-2</v>
      </c>
      <c r="AK53" s="377">
        <f>+AK18/AK8</f>
        <v>8.5976955877460917E-2</v>
      </c>
      <c r="AL53" s="254"/>
      <c r="AM53" s="317">
        <f>+AM18/AM8</f>
        <v>8.5433575395130287E-2</v>
      </c>
      <c r="AN53" s="317">
        <f>+AN18/AN8</f>
        <v>9.4588976800321856E-2</v>
      </c>
      <c r="AO53" s="317">
        <f>+AO18/AO8</f>
        <v>8.6533053837108243E-2</v>
      </c>
      <c r="AP53" s="317">
        <f>+AP18/AP8</f>
        <v>8.3743021893450328E-2</v>
      </c>
      <c r="AQ53" s="377">
        <f>+AQ18/AQ8</f>
        <v>8.7460960752815314E-2</v>
      </c>
      <c r="AR53" s="254"/>
      <c r="AS53" s="317">
        <f>+AS18/AS8</f>
        <v>8.2991302286298502E-2</v>
      </c>
      <c r="AT53" s="317">
        <f>+AT18/AT8</f>
        <v>8.2980495932568857E-2</v>
      </c>
      <c r="AU53" s="317">
        <f>+AU18/AU8</f>
        <v>5.2120006122761374E-2</v>
      </c>
      <c r="AV53" s="317">
        <f>+AV18/AV8</f>
        <v>0.10652928244113051</v>
      </c>
      <c r="AW53" s="377">
        <f>+AW18/AW8</f>
        <v>8.1441399303021286E-2</v>
      </c>
      <c r="AX53" s="254"/>
      <c r="AY53" s="317">
        <f>+AY18/AY8</f>
        <v>0.13346600567411171</v>
      </c>
      <c r="AZ53" s="317">
        <f>+AZ18/AZ8</f>
        <v>9.4504672086250574E-2</v>
      </c>
      <c r="BA53" s="317">
        <f>+BA18/BA8</f>
        <v>8.900186126621662E-2</v>
      </c>
      <c r="BB53" s="317">
        <f>+BB18/BB8</f>
        <v>9.743307239912459E-2</v>
      </c>
      <c r="BC53" s="377">
        <f>+BC18/BC8</f>
        <v>0.10300116251184951</v>
      </c>
      <c r="BD53" s="254"/>
      <c r="BE53" s="446">
        <f>+BE18/BE8</f>
        <v>9.371694170466896E-2</v>
      </c>
      <c r="BF53" s="446">
        <f>+BF18/BF8</f>
        <v>8.5881663891198237E-2</v>
      </c>
      <c r="BG53" s="446">
        <f>+BG18/BG8</f>
        <v>8.9755288996393109E-2</v>
      </c>
      <c r="BH53" s="446">
        <f>+BH18/BH8</f>
        <v>0.10402144772117961</v>
      </c>
      <c r="BI53" s="377">
        <f>+BI18/BI8</f>
        <v>9.3256033227673521E-2</v>
      </c>
      <c r="BJ53" s="254"/>
      <c r="BK53" s="446">
        <f>+BK18/BK8</f>
        <v>0.108165236822963</v>
      </c>
      <c r="BL53" s="446">
        <f>+BL18/BL8</f>
        <v>9.4123942570837948E-2</v>
      </c>
      <c r="BM53" s="446">
        <f>+BM18/BM8</f>
        <v>8.887258143291292E-2</v>
      </c>
      <c r="BN53" s="446">
        <f>+BN18/BN8</f>
        <v>9.2786616599477512E-2</v>
      </c>
      <c r="BO53" s="377">
        <f>+BO18/BO8</f>
        <v>9.566690856796875E-2</v>
      </c>
      <c r="BP53" s="254"/>
      <c r="BQ53" s="446">
        <f>+BQ18/BQ8</f>
        <v>9.2547002667294057E-2</v>
      </c>
      <c r="BR53" s="446">
        <f>+BR18/BR8</f>
        <v>8.5577868707027674E-2</v>
      </c>
      <c r="BS53" s="446">
        <f t="shared" ref="BS53:BT54" si="145">BS102</f>
        <v>0.09</v>
      </c>
      <c r="BT53" s="446">
        <f>BT102</f>
        <v>0.09</v>
      </c>
      <c r="BU53" s="377">
        <f>+BU18/BU8</f>
        <v>8.9515805999513184E-2</v>
      </c>
      <c r="BV53" s="254"/>
      <c r="BW53" s="446">
        <f>BW102</f>
        <v>9.1547002667294056E-2</v>
      </c>
      <c r="BX53" s="446">
        <f t="shared" ref="BW53:BZ54" si="146">BX102</f>
        <v>8.4577868707027673E-2</v>
      </c>
      <c r="BY53" s="446">
        <f t="shared" si="146"/>
        <v>8.8999999999999996E-2</v>
      </c>
      <c r="BZ53" s="446">
        <f t="shared" si="146"/>
        <v>8.8999999999999996E-2</v>
      </c>
      <c r="CA53" s="377">
        <f>+CA18/CA8</f>
        <v>8.8500273866372922E-2</v>
      </c>
      <c r="CB53" s="254"/>
      <c r="CC53" s="446">
        <f>CC102</f>
        <v>9.0547002667294055E-2</v>
      </c>
      <c r="CD53" s="446">
        <f t="shared" ref="CD53:CF53" si="147">CD102</f>
        <v>8.3577868707027672E-2</v>
      </c>
      <c r="CE53" s="446">
        <f t="shared" si="147"/>
        <v>8.7999999999999995E-2</v>
      </c>
      <c r="CF53" s="446">
        <f t="shared" si="147"/>
        <v>8.7999999999999995E-2</v>
      </c>
      <c r="CG53" s="377">
        <f>+CG18/CG8</f>
        <v>8.7493091175691554E-2</v>
      </c>
      <c r="CH53" s="254"/>
      <c r="CI53" s="446">
        <f t="shared" ref="CI53:CL53" si="148">CI102</f>
        <v>8.9547002667294054E-2</v>
      </c>
      <c r="CJ53" s="446">
        <f t="shared" si="148"/>
        <v>8.2577868707027671E-2</v>
      </c>
      <c r="CK53" s="446">
        <f t="shared" si="148"/>
        <v>8.6999999999999994E-2</v>
      </c>
      <c r="CL53" s="446">
        <f t="shared" si="148"/>
        <v>8.6999999999999994E-2</v>
      </c>
      <c r="CM53" s="377">
        <f t="shared" ref="CM53" si="149">+CM18/CM8</f>
        <v>8.6489277220284072E-2</v>
      </c>
      <c r="CN53" s="254"/>
      <c r="CO53" s="446">
        <f t="shared" ref="CO53:CR53" si="150">CO102</f>
        <v>8.8547002667294053E-2</v>
      </c>
      <c r="CP53" s="446">
        <f t="shared" si="150"/>
        <v>8.157786870702767E-2</v>
      </c>
      <c r="CQ53" s="446">
        <f t="shared" si="150"/>
        <v>8.5999999999999993E-2</v>
      </c>
      <c r="CR53" s="446">
        <f t="shared" si="150"/>
        <v>8.5999999999999993E-2</v>
      </c>
      <c r="CS53" s="377">
        <f t="shared" ref="CS53" si="151">+CS18/CS8</f>
        <v>8.5481529930803407E-2</v>
      </c>
      <c r="CT53" s="899"/>
      <c r="DA53" s="43"/>
      <c r="DB53" s="43"/>
      <c r="DC53" s="43"/>
      <c r="DD53" s="43"/>
      <c r="DH53" s="73"/>
      <c r="DI53" s="73"/>
      <c r="DJ53" s="753"/>
      <c r="DK53" s="753"/>
    </row>
    <row r="54" spans="1:116" x14ac:dyDescent="0.2">
      <c r="A54" s="43"/>
      <c r="B54" s="668" t="s">
        <v>214</v>
      </c>
      <c r="C54" s="317">
        <f>+C19/C8</f>
        <v>0.42312852159914138</v>
      </c>
      <c r="D54" s="317">
        <f>+D19/D8</f>
        <v>0.43651541672276833</v>
      </c>
      <c r="E54" s="317">
        <f>+E19/E8</f>
        <v>0.47827678789358063</v>
      </c>
      <c r="F54" s="317">
        <f>+F19/F8</f>
        <v>0.55787413694533616</v>
      </c>
      <c r="G54" s="377">
        <f>+G19/G8</f>
        <v>0.47967236485368431</v>
      </c>
      <c r="H54" s="241"/>
      <c r="I54" s="629">
        <f>+I19/I8</f>
        <v>0.54879211038826503</v>
      </c>
      <c r="J54" s="317">
        <f>+J19/J8</f>
        <v>0.5372034824292411</v>
      </c>
      <c r="K54" s="317">
        <f>+K19/K8</f>
        <v>0.48825386545778354</v>
      </c>
      <c r="L54" s="317">
        <f>+L19/L8</f>
        <v>0.48914623210365199</v>
      </c>
      <c r="M54" s="377">
        <f>+M19/M8</f>
        <v>0.51312804870145301</v>
      </c>
      <c r="N54" s="241"/>
      <c r="O54" s="317">
        <f>+O19/O8</f>
        <v>0.46324590866862003</v>
      </c>
      <c r="P54" s="317">
        <f>+P19/P8</f>
        <v>0.41642843529635987</v>
      </c>
      <c r="Q54" s="317">
        <f>+Q19/Q8</f>
        <v>0.41021136933584496</v>
      </c>
      <c r="R54" s="317">
        <f>+R19/R8</f>
        <v>0.41841796489271488</v>
      </c>
      <c r="S54" s="377">
        <f>+S19/S8</f>
        <v>0.42533695529006793</v>
      </c>
      <c r="T54" s="241"/>
      <c r="U54" s="317">
        <f>+U19/U8</f>
        <v>0.45431263363172852</v>
      </c>
      <c r="V54" s="317">
        <f>+V19/V8</f>
        <v>0.4538634011728182</v>
      </c>
      <c r="W54" s="317">
        <f>+W19/W8</f>
        <v>0.44963117912583955</v>
      </c>
      <c r="X54" s="317">
        <f>+X19/X8</f>
        <v>0.42370752065411788</v>
      </c>
      <c r="Y54" s="377">
        <f>+Y19/Y8</f>
        <v>0.44509827711720451</v>
      </c>
      <c r="Z54" s="241"/>
      <c r="AA54" s="317">
        <f>+AA19/AA8</f>
        <v>0.42994622134163596</v>
      </c>
      <c r="AB54" s="317">
        <f>+AB19/AB8</f>
        <v>0.43524492234169654</v>
      </c>
      <c r="AC54" s="317">
        <f>+AC19/AC8</f>
        <v>0.41758649657139513</v>
      </c>
      <c r="AD54" s="317">
        <f>+AD19/AD8</f>
        <v>0.40852977320969724</v>
      </c>
      <c r="AE54" s="377">
        <f>+AE19/AE8</f>
        <v>0.4224017866913381</v>
      </c>
      <c r="AF54" s="241"/>
      <c r="AG54" s="317">
        <f>+AG19/AG8</f>
        <v>0.41750262557491036</v>
      </c>
      <c r="AH54" s="317">
        <f>+AH19/AH8</f>
        <v>0.41515825129670791</v>
      </c>
      <c r="AI54" s="317">
        <f>+AI19/AI8</f>
        <v>0.42149225209397667</v>
      </c>
      <c r="AJ54" s="317">
        <f>+AJ19/AJ8</f>
        <v>0.42554807656150112</v>
      </c>
      <c r="AK54" s="377">
        <f>+AK19/AK8</f>
        <v>0.42012278102035266</v>
      </c>
      <c r="AL54" s="241"/>
      <c r="AM54" s="317">
        <f>+AM19/AM8</f>
        <v>0.42063295787525196</v>
      </c>
      <c r="AN54" s="317">
        <f>+AN19/AN8</f>
        <v>0.39937642483572489</v>
      </c>
      <c r="AO54" s="317">
        <f>+AO19/AO8</f>
        <v>0.41212485300884505</v>
      </c>
      <c r="AP54" s="317">
        <f>+AP19/AP8</f>
        <v>0.41090996806726549</v>
      </c>
      <c r="AQ54" s="377">
        <f>+AQ19/AQ8</f>
        <v>0.41053060758523402</v>
      </c>
      <c r="AR54" s="241"/>
      <c r="AS54" s="317">
        <f>+AS19/AS8</f>
        <v>0.38168689218489921</v>
      </c>
      <c r="AT54" s="317">
        <f>+AT19/AT8</f>
        <v>0.37982456140350879</v>
      </c>
      <c r="AU54" s="317">
        <f>+AU19/AU8</f>
        <v>0.4272156742690954</v>
      </c>
      <c r="AV54" s="317">
        <f>+AV19/AV8</f>
        <v>0.43144120997006852</v>
      </c>
      <c r="AW54" s="377">
        <f>+AW19/AW8</f>
        <v>0.4039688209957133</v>
      </c>
      <c r="AX54" s="241"/>
      <c r="AY54" s="317">
        <f>+AY19/AY8</f>
        <v>0.48667057576242179</v>
      </c>
      <c r="AZ54" s="317">
        <f>+AZ19/AZ8</f>
        <v>0.46273990878178667</v>
      </c>
      <c r="BA54" s="317">
        <f>+BA19/BA8</f>
        <v>0.45244881517904267</v>
      </c>
      <c r="BB54" s="317">
        <f>+BB19/BB8</f>
        <v>0.45135212457324214</v>
      </c>
      <c r="BC54" s="377">
        <f>+BC19/BC8</f>
        <v>0.46277572213664492</v>
      </c>
      <c r="BD54" s="241"/>
      <c r="BE54" s="446">
        <f>+BE19/BE8</f>
        <v>0.45441819407961587</v>
      </c>
      <c r="BF54" s="446">
        <f>+BF19/BF8</f>
        <v>0.45372421224446291</v>
      </c>
      <c r="BG54" s="446">
        <f>+BG19/BG8</f>
        <v>0.45874925487045376</v>
      </c>
      <c r="BH54" s="446">
        <f>+BH19/BH8</f>
        <v>0.47238605898123315</v>
      </c>
      <c r="BI54" s="377">
        <f>+BI19/BI8</f>
        <v>0.4597801012334517</v>
      </c>
      <c r="BJ54" s="241"/>
      <c r="BK54" s="446">
        <f>+BK19/BK8</f>
        <v>0.54476970837398553</v>
      </c>
      <c r="BL54" s="446">
        <f>+BL19/BL8</f>
        <v>0.55965587474552292</v>
      </c>
      <c r="BM54" s="446">
        <f>+BM19/BM8</f>
        <v>0.5642139312683786</v>
      </c>
      <c r="BN54" s="446">
        <f>+BN19/BN8</f>
        <v>0.55572199404203193</v>
      </c>
      <c r="BO54" s="377">
        <f>+BO19/BO8</f>
        <v>0.55637177720016495</v>
      </c>
      <c r="BP54" s="241"/>
      <c r="BQ54" s="446">
        <f>+BQ19/BQ8</f>
        <v>0.55160116930676972</v>
      </c>
      <c r="BR54" s="446">
        <f>+BR19/BR8</f>
        <v>0.5402747373793072</v>
      </c>
      <c r="BS54" s="446">
        <f t="shared" si="145"/>
        <v>0.55000000000000004</v>
      </c>
      <c r="BT54" s="446">
        <f t="shared" si="145"/>
        <v>0.55000000000000004</v>
      </c>
      <c r="BU54" s="377">
        <f>+BU19/BU8</f>
        <v>0.54794870949453178</v>
      </c>
      <c r="BV54" s="241"/>
      <c r="BW54" s="446">
        <f t="shared" si="146"/>
        <v>0.53860116930676971</v>
      </c>
      <c r="BX54" s="446">
        <f t="shared" si="146"/>
        <v>0.52727473737930719</v>
      </c>
      <c r="BY54" s="446">
        <f t="shared" si="146"/>
        <v>0.53700000000000003</v>
      </c>
      <c r="BZ54" s="446">
        <f t="shared" si="146"/>
        <v>0.53700000000000003</v>
      </c>
      <c r="CA54" s="377">
        <f>+CA19/CA8</f>
        <v>0.53494603908560168</v>
      </c>
      <c r="CB54" s="241"/>
      <c r="CC54" s="446">
        <f t="shared" ref="CC54:CF54" si="152">CC103</f>
        <v>0.53760116930676971</v>
      </c>
      <c r="CD54" s="446">
        <f t="shared" si="152"/>
        <v>0.52627473737930719</v>
      </c>
      <c r="CE54" s="446">
        <f t="shared" si="152"/>
        <v>0.53600000000000003</v>
      </c>
      <c r="CF54" s="446">
        <f t="shared" si="152"/>
        <v>0.53600000000000003</v>
      </c>
      <c r="CG54" s="377">
        <f>+CG19/CG8</f>
        <v>0.53393950835367054</v>
      </c>
      <c r="CH54" s="241"/>
      <c r="CI54" s="446">
        <f t="shared" ref="CI54:CL54" si="153">CI103</f>
        <v>0.53660116930676971</v>
      </c>
      <c r="CJ54" s="446">
        <f t="shared" si="153"/>
        <v>0.52527473737930719</v>
      </c>
      <c r="CK54" s="446">
        <f t="shared" si="153"/>
        <v>0.53500000000000003</v>
      </c>
      <c r="CL54" s="446">
        <f t="shared" si="153"/>
        <v>0.53500000000000003</v>
      </c>
      <c r="CM54" s="377">
        <f t="shared" ref="CM54" si="154">+CM19/CM8</f>
        <v>0.53293095550817648</v>
      </c>
      <c r="CN54" s="241"/>
      <c r="CO54" s="446">
        <f t="shared" ref="CO54:CR54" si="155">CO103</f>
        <v>0.53560116930676971</v>
      </c>
      <c r="CP54" s="446">
        <f t="shared" si="155"/>
        <v>0.52427473737930719</v>
      </c>
      <c r="CQ54" s="446">
        <f t="shared" si="155"/>
        <v>0.53400000000000003</v>
      </c>
      <c r="CR54" s="446">
        <f t="shared" si="155"/>
        <v>0.53400000000000003</v>
      </c>
      <c r="CS54" s="377">
        <f t="shared" ref="CS54" si="156">+CS19/CS8</f>
        <v>0.53191588053775218</v>
      </c>
      <c r="CT54" s="233"/>
      <c r="DA54" s="43"/>
      <c r="DB54" s="43"/>
      <c r="DC54" s="43"/>
      <c r="DD54" s="43"/>
      <c r="DH54" s="73"/>
      <c r="DI54" s="73"/>
      <c r="DJ54" s="753"/>
      <c r="DK54" s="753"/>
    </row>
    <row r="55" spans="1:116" ht="12.75" hidden="1" customHeight="1" outlineLevel="1" x14ac:dyDescent="0.2">
      <c r="B55" s="239" t="s">
        <v>99</v>
      </c>
      <c r="C55" s="100"/>
      <c r="D55" s="100"/>
      <c r="E55" s="100"/>
      <c r="F55" s="100"/>
      <c r="G55" s="335"/>
      <c r="H55" s="254"/>
      <c r="I55" s="100">
        <f>I50-C50</f>
        <v>8.965981529735334E-2</v>
      </c>
      <c r="J55" s="100">
        <f>J50-D50</f>
        <v>6.7221022010402143E-2</v>
      </c>
      <c r="K55" s="100">
        <f>K50-E50</f>
        <v>5.1158932438199689E-2</v>
      </c>
      <c r="L55" s="100">
        <f>L50-F50</f>
        <v>2.7218354537444811E-2</v>
      </c>
      <c r="M55" s="335">
        <f>M50-G50</f>
        <v>5.6380885149636462E-2</v>
      </c>
      <c r="N55" s="254"/>
      <c r="O55" s="100">
        <f>O50-I50</f>
        <v>1.2043224671573038E-2</v>
      </c>
      <c r="P55" s="100">
        <f>P50-J50</f>
        <v>3.7837650961402014E-3</v>
      </c>
      <c r="Q55" s="100">
        <f>Q50-K50</f>
        <v>3.9780757885901075E-3</v>
      </c>
      <c r="R55" s="100">
        <f>R50-L50</f>
        <v>1.0000614895498972E-2</v>
      </c>
      <c r="S55" s="335">
        <f>S50-M50</f>
        <v>7.2162253538157195E-3</v>
      </c>
      <c r="T55" s="254"/>
      <c r="U55" s="100">
        <f>U50-O50</f>
        <v>9.972453089232447E-3</v>
      </c>
      <c r="V55" s="100">
        <f>V50-P50</f>
        <v>1.2271871891446295E-2</v>
      </c>
      <c r="W55" s="100">
        <f>W50-Q50</f>
        <v>1.0018979654988658E-2</v>
      </c>
      <c r="X55" s="100">
        <f>X50-R50</f>
        <v>1.0049074418765902E-2</v>
      </c>
      <c r="Y55" s="335">
        <f>Y50-S50</f>
        <v>1.0388235495109921E-2</v>
      </c>
      <c r="Z55" s="254"/>
      <c r="AA55" s="100">
        <f>AA50-U50</f>
        <v>1.0084854283470501E-2</v>
      </c>
      <c r="AB55" s="100">
        <f>AB50-V50</f>
        <v>-4.6222200104972799E-4</v>
      </c>
      <c r="AC55" s="100">
        <f>AC50-W50</f>
        <v>1.1035897262814287E-2</v>
      </c>
      <c r="AD55" s="100">
        <f>AD50-X50</f>
        <v>3.2919296903052286E-3</v>
      </c>
      <c r="AE55" s="335">
        <f>AE50-Y50</f>
        <v>5.9387141162463575E-3</v>
      </c>
      <c r="AF55" s="254"/>
      <c r="AG55" s="100">
        <f>AG50-AA50</f>
        <v>-1.0150481265110978E-2</v>
      </c>
      <c r="AH55" s="100">
        <f>AH50-AB50</f>
        <v>-1.1301874945393919E-2</v>
      </c>
      <c r="AI55" s="100">
        <f>AI50-AC50</f>
        <v>-2.400248059366572E-2</v>
      </c>
      <c r="AJ55" s="100">
        <f>AJ50-AD50</f>
        <v>-1.0901944910156613E-2</v>
      </c>
      <c r="AK55" s="335">
        <f>AK50-AE50</f>
        <v>-1.4179869244679066E-2</v>
      </c>
      <c r="AL55" s="254"/>
      <c r="AM55" s="100">
        <f>AM50-AG50</f>
        <v>1.6873987543830626E-4</v>
      </c>
      <c r="AN55" s="100">
        <f>AN50-AH50</f>
        <v>-2.0902203529280516E-3</v>
      </c>
      <c r="AO55" s="100">
        <f>AO50-AI50</f>
        <v>2.7978327651110302E-3</v>
      </c>
      <c r="AP55" s="100">
        <f>AP50-AJ50</f>
        <v>7.2791067001476417E-4</v>
      </c>
      <c r="AQ55" s="335">
        <f>AQ50-AK50</f>
        <v>5.119789474198333E-4</v>
      </c>
      <c r="AR55" s="254"/>
      <c r="AS55" s="100">
        <f>AS50-AM50</f>
        <v>3.998932347976436E-3</v>
      </c>
      <c r="AT55" s="100">
        <f>AT50-AN50</f>
        <v>5.2689193073777174E-3</v>
      </c>
      <c r="AU55" s="100">
        <f>AU50-AO50</f>
        <v>-1.3199384592562979E-2</v>
      </c>
      <c r="AV55" s="100">
        <f>AV50-AP50</f>
        <v>-3.7347600428307093E-2</v>
      </c>
      <c r="AW55" s="335">
        <f>AW50-AQ50</f>
        <v>-9.9310792324744934E-3</v>
      </c>
      <c r="AX55" s="254"/>
      <c r="AY55" s="100">
        <f>AY50-AS50</f>
        <v>-8.0648336618799554E-2</v>
      </c>
      <c r="AZ55" s="100">
        <f>AZ50-AT50</f>
        <v>-7.7223468378965099E-2</v>
      </c>
      <c r="BA55" s="100">
        <f>BA50-AU50</f>
        <v>-5.849223406992865E-2</v>
      </c>
      <c r="BB55" s="100">
        <f>BB50-AV50</f>
        <v>-3.3380063350119671E-2</v>
      </c>
      <c r="BC55" s="335">
        <f>BC50-AW50</f>
        <v>-6.2838176034777149E-2</v>
      </c>
      <c r="BD55" s="254"/>
      <c r="BE55" s="100">
        <f>BE50-AY50</f>
        <v>7.6248765457910261E-3</v>
      </c>
      <c r="BF55" s="100">
        <f>BF50-AZ50</f>
        <v>-4.7689826795173085E-3</v>
      </c>
      <c r="BG55" s="100">
        <f>BG50-BA50</f>
        <v>-9.3590803582674909E-3</v>
      </c>
      <c r="BH55" s="100">
        <f>BH50-BB50</f>
        <v>-1.6977740716939915E-2</v>
      </c>
      <c r="BI55" s="335">
        <f>BI50-BC50</f>
        <v>-6.0484995783802731E-3</v>
      </c>
      <c r="BJ55" s="254"/>
      <c r="BK55" s="100">
        <f>BK50-BE50</f>
        <v>-2.6468175228823165E-2</v>
      </c>
      <c r="BL55" s="100">
        <f>BL50-BF50</f>
        <v>-1.584953723129745E-2</v>
      </c>
      <c r="BM55" s="100">
        <f>BM50-BG50</f>
        <v>-1.3970930004718385E-2</v>
      </c>
      <c r="BN55" s="100">
        <f>BN50-BH50</f>
        <v>2.4647813942146879E-3</v>
      </c>
      <c r="BO55" s="335">
        <f>BO50-BI50</f>
        <v>-1.3261138198114364E-2</v>
      </c>
      <c r="BP55" s="254"/>
      <c r="BQ55" s="100">
        <f>BQ50-BK50</f>
        <v>-7.6491086278407394E-4</v>
      </c>
      <c r="BR55" s="100">
        <f>BR50-BL50</f>
        <v>-2.9975601548098973E-3</v>
      </c>
      <c r="BS55" s="100">
        <f>BS50-BM50</f>
        <v>-2.3209577284305505E-3</v>
      </c>
      <c r="BT55" s="100">
        <f>BT50-BN50</f>
        <v>-1.0443491591772935E-2</v>
      </c>
      <c r="BU55" s="335">
        <f>BU50-BO50</f>
        <v>-4.2413263272412793E-3</v>
      </c>
      <c r="BV55" s="254"/>
      <c r="BW55" s="100">
        <f>BW50-BQ50</f>
        <v>-6.4497762310451456E-3</v>
      </c>
      <c r="BX55" s="100">
        <f>BX50-BR50</f>
        <v>-7.4134939312783255E-3</v>
      </c>
      <c r="BY55" s="100">
        <f>BY50-BS50</f>
        <v>7.9553979395707852E-4</v>
      </c>
      <c r="BZ55" s="100">
        <f>BZ50-BT50</f>
        <v>3.6146133017229687E-3</v>
      </c>
      <c r="CA55" s="335">
        <f>CA50-BU50</f>
        <v>-2.2324505818732687E-3</v>
      </c>
      <c r="CB55" s="254"/>
      <c r="CC55" s="100">
        <f>CC50-BW50</f>
        <v>6.3667413176237142E-3</v>
      </c>
      <c r="CD55" s="100">
        <f>CD50-BX50</f>
        <v>5.0817430294530785E-3</v>
      </c>
      <c r="CE55" s="100">
        <f>CE50-BY50</f>
        <v>3.1431025010626445E-3</v>
      </c>
      <c r="CF55" s="100">
        <f>CF50-BZ50</f>
        <v>1.59027486605956E-3</v>
      </c>
      <c r="CG55" s="335">
        <f>CG50-CA50</f>
        <v>4.0060376216777271E-3</v>
      </c>
      <c r="CH55" s="254"/>
      <c r="CI55" s="100">
        <f t="shared" ref="CI55:CM55" si="157">CI50-CC50</f>
        <v>3.0139625274522297E-3</v>
      </c>
      <c r="CJ55" s="100">
        <f t="shared" si="157"/>
        <v>2.5092677383961037E-3</v>
      </c>
      <c r="CK55" s="100">
        <f t="shared" si="157"/>
        <v>1.6982620411211125E-3</v>
      </c>
      <c r="CL55" s="100">
        <f t="shared" si="157"/>
        <v>3.8508290283001401E-4</v>
      </c>
      <c r="CM55" s="335">
        <f t="shared" si="157"/>
        <v>1.8584981812310719E-3</v>
      </c>
      <c r="CN55" s="254"/>
      <c r="CO55" s="100">
        <f t="shared" ref="CO55:CS55" si="158">CO50-CI50</f>
        <v>2.0750113494356626E-3</v>
      </c>
      <c r="CP55" s="100">
        <f t="shared" si="158"/>
        <v>2.2623590129614568E-3</v>
      </c>
      <c r="CQ55" s="100">
        <f t="shared" si="158"/>
        <v>2.889110861547306E-3</v>
      </c>
      <c r="CR55" s="100">
        <f t="shared" si="158"/>
        <v>2.1713309261123248E-3</v>
      </c>
      <c r="CS55" s="335">
        <f t="shared" si="158"/>
        <v>2.3408562099553887E-3</v>
      </c>
      <c r="CT55" s="233"/>
      <c r="DA55" s="43"/>
      <c r="DB55" s="43"/>
      <c r="DC55" s="43"/>
      <c r="DD55" s="43"/>
      <c r="DH55" s="73"/>
      <c r="DI55" s="73"/>
      <c r="DJ55" s="73"/>
      <c r="DK55" s="73"/>
    </row>
    <row r="56" spans="1:116" ht="12.75" hidden="1" customHeight="1" outlineLevel="1" x14ac:dyDescent="0.2">
      <c r="B56" s="239" t="s">
        <v>101</v>
      </c>
      <c r="C56" s="100"/>
      <c r="D56" s="100"/>
      <c r="E56" s="100"/>
      <c r="F56" s="100"/>
      <c r="G56" s="335"/>
      <c r="H56" s="254"/>
      <c r="I56" s="100">
        <f t="shared" ref="I56:M57" si="159">I53-C53</f>
        <v>-0.24322908812408472</v>
      </c>
      <c r="J56" s="100">
        <f t="shared" si="159"/>
        <v>-0.18566023880898674</v>
      </c>
      <c r="K56" s="100">
        <f t="shared" si="159"/>
        <v>-5.4192462746818326E-2</v>
      </c>
      <c r="L56" s="100">
        <f t="shared" si="159"/>
        <v>-0.47011153927062266</v>
      </c>
      <c r="M56" s="335">
        <f t="shared" si="159"/>
        <v>-0.24208211388307277</v>
      </c>
      <c r="N56" s="254"/>
      <c r="O56" s="100">
        <f t="shared" ref="O56:S57" si="160">O53-I53</f>
        <v>-0.47666817082348822</v>
      </c>
      <c r="P56" s="100">
        <f t="shared" si="160"/>
        <v>-0.42625894560432925</v>
      </c>
      <c r="Q56" s="100">
        <f t="shared" si="160"/>
        <v>-0.4520076104698762</v>
      </c>
      <c r="R56" s="100">
        <f t="shared" si="160"/>
        <v>-2.3674297379744476E-2</v>
      </c>
      <c r="S56" s="335">
        <f t="shared" si="160"/>
        <v>-0.33102938229431833</v>
      </c>
      <c r="T56" s="254"/>
      <c r="U56" s="100">
        <f t="shared" ref="U56:Y57" si="161">U53-O53</f>
        <v>4.1494984469749585E-3</v>
      </c>
      <c r="V56" s="100">
        <f t="shared" si="161"/>
        <v>-4.379977014083089E-4</v>
      </c>
      <c r="W56" s="100">
        <f t="shared" si="161"/>
        <v>1.2289952812968387E-2</v>
      </c>
      <c r="X56" s="100">
        <f t="shared" si="161"/>
        <v>5.0307075360669015E-3</v>
      </c>
      <c r="Y56" s="335">
        <f t="shared" si="161"/>
        <v>5.4524534012447556E-3</v>
      </c>
      <c r="Z56" s="254"/>
      <c r="AA56" s="100">
        <f t="shared" ref="AA56:AE57" si="162">AA53-U53</f>
        <v>-3.9535111459151617E-3</v>
      </c>
      <c r="AB56" s="100">
        <f t="shared" si="162"/>
        <v>6.1192352476286058E-3</v>
      </c>
      <c r="AC56" s="100">
        <f t="shared" si="162"/>
        <v>3.3258876418490457E-4</v>
      </c>
      <c r="AD56" s="100">
        <f t="shared" si="162"/>
        <v>3.0004992957506207E-2</v>
      </c>
      <c r="AE56" s="335">
        <f t="shared" si="162"/>
        <v>8.70323133954614E-3</v>
      </c>
      <c r="AF56" s="254"/>
      <c r="AG56" s="100">
        <f t="shared" ref="AG56:AK57" si="163">AG53-AA53</f>
        <v>1.4274521592614955E-2</v>
      </c>
      <c r="AH56" s="100">
        <f t="shared" si="163"/>
        <v>2.2751454778348452E-2</v>
      </c>
      <c r="AI56" s="100">
        <f t="shared" si="163"/>
        <v>2.5439085503190031E-2</v>
      </c>
      <c r="AJ56" s="100">
        <f t="shared" si="163"/>
        <v>5.4014970181514577E-3</v>
      </c>
      <c r="AK56" s="335">
        <f t="shared" si="163"/>
        <v>1.6959039223229472E-2</v>
      </c>
      <c r="AL56" s="254"/>
      <c r="AM56" s="100">
        <f t="shared" ref="AM56:AQ57" si="164">AM53-AG53</f>
        <v>8.431800868639136E-3</v>
      </c>
      <c r="AN56" s="100">
        <f t="shared" si="164"/>
        <v>1.1184395777449313E-2</v>
      </c>
      <c r="AO56" s="100">
        <f t="shared" si="164"/>
        <v>-4.0299889208535028E-3</v>
      </c>
      <c r="AP56" s="100">
        <f t="shared" si="164"/>
        <v>-7.5892836004766429E-3</v>
      </c>
      <c r="AQ56" s="335">
        <f t="shared" si="164"/>
        <v>1.4840048753543972E-3</v>
      </c>
      <c r="AR56" s="254"/>
      <c r="AS56" s="100">
        <f t="shared" ref="AS56:AY57" si="165">AS53-AM53</f>
        <v>-2.4422731088317856E-3</v>
      </c>
      <c r="AT56" s="100">
        <f t="shared" si="165"/>
        <v>-1.1608480867752999E-2</v>
      </c>
      <c r="AU56" s="100">
        <f t="shared" si="165"/>
        <v>-3.4413047714346869E-2</v>
      </c>
      <c r="AV56" s="100">
        <f t="shared" si="165"/>
        <v>2.2786260547680182E-2</v>
      </c>
      <c r="AW56" s="335">
        <f t="shared" si="165"/>
        <v>-6.0195614497940281E-3</v>
      </c>
      <c r="AX56" s="254"/>
      <c r="AY56" s="100">
        <f t="shared" si="165"/>
        <v>5.0474703387813208E-2</v>
      </c>
      <c r="AZ56" s="100">
        <f t="shared" ref="AZ56:BE57" si="166">AZ53-AT53</f>
        <v>1.1524176153681717E-2</v>
      </c>
      <c r="BA56" s="100">
        <f t="shared" si="166"/>
        <v>3.6881855143455246E-2</v>
      </c>
      <c r="BB56" s="100">
        <f t="shared" si="166"/>
        <v>-9.09621004200592E-3</v>
      </c>
      <c r="BC56" s="335">
        <f t="shared" si="166"/>
        <v>2.1559763208828228E-2</v>
      </c>
      <c r="BD56" s="254"/>
      <c r="BE56" s="100">
        <f t="shared" si="166"/>
        <v>-3.9749063969442749E-2</v>
      </c>
      <c r="BF56" s="100">
        <f t="shared" ref="BF56:BI57" si="167">BF53-AZ53</f>
        <v>-8.6230081950523368E-3</v>
      </c>
      <c r="BG56" s="100">
        <f t="shared" si="167"/>
        <v>7.5342773017648967E-4</v>
      </c>
      <c r="BH56" s="100">
        <f>BH53-BB53</f>
        <v>6.5883753220550151E-3</v>
      </c>
      <c r="BI56" s="335">
        <f t="shared" si="167"/>
        <v>-9.7451292841759934E-3</v>
      </c>
      <c r="BJ56" s="254"/>
      <c r="BK56" s="100">
        <f>BK53-BE53</f>
        <v>1.4448295118294041E-2</v>
      </c>
      <c r="BL56" s="100">
        <f t="shared" ref="BL56:BN57" si="168">BL53-BF53</f>
        <v>8.2422786796397113E-3</v>
      </c>
      <c r="BM56" s="100">
        <f t="shared" si="168"/>
        <v>-8.8270756348018953E-4</v>
      </c>
      <c r="BN56" s="100">
        <f t="shared" si="168"/>
        <v>-1.1234831121702094E-2</v>
      </c>
      <c r="BO56" s="335">
        <f t="shared" ref="BO56:BO57" si="169">BO53-BI53</f>
        <v>2.4108753402952293E-3</v>
      </c>
      <c r="BP56" s="254"/>
      <c r="BQ56" s="100">
        <f>BQ53-BK53</f>
        <v>-1.5618234155668945E-2</v>
      </c>
      <c r="BR56" s="100">
        <f t="shared" ref="BR56:BR57" si="170">BR53-BL53</f>
        <v>-8.5460738638102746E-3</v>
      </c>
      <c r="BS56" s="100">
        <f t="shared" ref="BS56:BU57" si="171">BS53-BM53</f>
        <v>1.1274185670870768E-3</v>
      </c>
      <c r="BT56" s="100">
        <f t="shared" si="171"/>
        <v>-2.7866165994775149E-3</v>
      </c>
      <c r="BU56" s="335">
        <f t="shared" si="171"/>
        <v>-6.1511025684555659E-3</v>
      </c>
      <c r="BV56" s="254"/>
      <c r="BW56" s="100">
        <f t="shared" ref="BW56:CA57" si="172">BW53-BQ53</f>
        <v>-1.0000000000000009E-3</v>
      </c>
      <c r="BX56" s="100">
        <f t="shared" si="172"/>
        <v>-1.0000000000000009E-3</v>
      </c>
      <c r="BY56" s="100">
        <f t="shared" si="172"/>
        <v>-1.0000000000000009E-3</v>
      </c>
      <c r="BZ56" s="100">
        <f t="shared" si="172"/>
        <v>-1.0000000000000009E-3</v>
      </c>
      <c r="CA56" s="335">
        <f t="shared" si="172"/>
        <v>-1.0155321331402622E-3</v>
      </c>
      <c r="CB56" s="254"/>
      <c r="CC56" s="100">
        <f t="shared" ref="CC56:CC57" si="173">CC53-BW53</f>
        <v>-1.0000000000000009E-3</v>
      </c>
      <c r="CD56" s="100">
        <f t="shared" ref="CD56:CD57" si="174">CD53-BX53</f>
        <v>-1.0000000000000009E-3</v>
      </c>
      <c r="CE56" s="100">
        <f t="shared" ref="CE56:CE57" si="175">CE53-BY53</f>
        <v>-1.0000000000000009E-3</v>
      </c>
      <c r="CF56" s="100">
        <f t="shared" ref="CF56:CF57" si="176">CF53-BZ53</f>
        <v>-1.0000000000000009E-3</v>
      </c>
      <c r="CG56" s="335">
        <f t="shared" ref="CG56:CG57" si="177">CG53-CA53</f>
        <v>-1.0071826906813686E-3</v>
      </c>
      <c r="CH56" s="254"/>
      <c r="CI56" s="100">
        <f t="shared" ref="CI56:CI57" si="178">CI53-CC53</f>
        <v>-1.0000000000000009E-3</v>
      </c>
      <c r="CJ56" s="100">
        <f t="shared" ref="CJ56:CJ57" si="179">CJ53-CD53</f>
        <v>-1.0000000000000009E-3</v>
      </c>
      <c r="CK56" s="100">
        <f t="shared" ref="CK56:CK57" si="180">CK53-CE53</f>
        <v>-1.0000000000000009E-3</v>
      </c>
      <c r="CL56" s="100">
        <f t="shared" ref="CL56:CL57" si="181">CL53-CF53</f>
        <v>-1.0000000000000009E-3</v>
      </c>
      <c r="CM56" s="335">
        <f t="shared" ref="CM56:CM57" si="182">CM53-CG53</f>
        <v>-1.0038139554074815E-3</v>
      </c>
      <c r="CN56" s="254"/>
      <c r="CO56" s="100">
        <f t="shared" ref="CO56:CO57" si="183">CO53-CI53</f>
        <v>-1.0000000000000009E-3</v>
      </c>
      <c r="CP56" s="100">
        <f t="shared" ref="CP56:CP57" si="184">CP53-CJ53</f>
        <v>-1.0000000000000009E-3</v>
      </c>
      <c r="CQ56" s="100">
        <f t="shared" ref="CQ56:CQ57" si="185">CQ53-CK53</f>
        <v>-1.0000000000000009E-3</v>
      </c>
      <c r="CR56" s="100">
        <f t="shared" ref="CR56:CR57" si="186">CR53-CL53</f>
        <v>-1.0000000000000009E-3</v>
      </c>
      <c r="CS56" s="335">
        <f t="shared" ref="CS56:CS57" si="187">CS53-CM53</f>
        <v>-1.0077472894806649E-3</v>
      </c>
      <c r="CT56" s="233"/>
      <c r="DA56" s="43"/>
      <c r="DB56" s="43"/>
      <c r="DC56" s="43"/>
      <c r="DD56" s="43"/>
      <c r="DH56" s="73"/>
      <c r="DI56" s="73"/>
      <c r="DJ56" s="73"/>
      <c r="DK56" s="73"/>
    </row>
    <row r="57" spans="1:116" ht="12.75" hidden="1" customHeight="1" outlineLevel="1" x14ac:dyDescent="0.2">
      <c r="B57" s="239" t="s">
        <v>100</v>
      </c>
      <c r="C57" s="100"/>
      <c r="D57" s="100"/>
      <c r="E57" s="100"/>
      <c r="F57" s="100"/>
      <c r="G57" s="335"/>
      <c r="H57" s="254"/>
      <c r="I57" s="100">
        <f t="shared" si="159"/>
        <v>0.12566358878912365</v>
      </c>
      <c r="J57" s="100">
        <f t="shared" si="159"/>
        <v>0.10068806570647276</v>
      </c>
      <c r="K57" s="100">
        <f t="shared" si="159"/>
        <v>9.9770775642029075E-3</v>
      </c>
      <c r="L57" s="100">
        <f t="shared" si="159"/>
        <v>-6.8727904841684173E-2</v>
      </c>
      <c r="M57" s="335">
        <f t="shared" si="159"/>
        <v>3.3455683847768702E-2</v>
      </c>
      <c r="N57" s="254"/>
      <c r="O57" s="100">
        <f t="shared" si="160"/>
        <v>-8.5546201719644999E-2</v>
      </c>
      <c r="P57" s="100">
        <f t="shared" si="160"/>
        <v>-0.12077504713288123</v>
      </c>
      <c r="Q57" s="100">
        <f t="shared" si="160"/>
        <v>-7.8042496121938587E-2</v>
      </c>
      <c r="R57" s="100">
        <f t="shared" si="160"/>
        <v>-7.0728267210937112E-2</v>
      </c>
      <c r="S57" s="335">
        <f t="shared" si="160"/>
        <v>-8.7791093411385079E-2</v>
      </c>
      <c r="T57" s="254"/>
      <c r="U57" s="100">
        <f t="shared" si="161"/>
        <v>-8.9332750368915081E-3</v>
      </c>
      <c r="V57" s="100">
        <f t="shared" si="161"/>
        <v>3.7434965876458337E-2</v>
      </c>
      <c r="W57" s="100">
        <f t="shared" si="161"/>
        <v>3.9419809789994598E-2</v>
      </c>
      <c r="X57" s="100">
        <f t="shared" si="161"/>
        <v>5.2895557614029975E-3</v>
      </c>
      <c r="Y57" s="335">
        <f t="shared" si="161"/>
        <v>1.976132182713658E-2</v>
      </c>
      <c r="Z57" s="254"/>
      <c r="AA57" s="100">
        <f t="shared" si="162"/>
        <v>-2.4366412290092565E-2</v>
      </c>
      <c r="AB57" s="100">
        <f t="shared" si="162"/>
        <v>-1.8618478831121665E-2</v>
      </c>
      <c r="AC57" s="100">
        <f t="shared" si="162"/>
        <v>-3.2044682554444426E-2</v>
      </c>
      <c r="AD57" s="100">
        <f t="shared" si="162"/>
        <v>-1.5177747444420631E-2</v>
      </c>
      <c r="AE57" s="335">
        <f t="shared" si="162"/>
        <v>-2.2696490425866411E-2</v>
      </c>
      <c r="AF57" s="254"/>
      <c r="AG57" s="100">
        <f t="shared" si="163"/>
        <v>-1.2443595766725601E-2</v>
      </c>
      <c r="AH57" s="100">
        <f t="shared" si="163"/>
        <v>-2.0086671044988624E-2</v>
      </c>
      <c r="AI57" s="100">
        <f t="shared" si="163"/>
        <v>3.9057555225815443E-3</v>
      </c>
      <c r="AJ57" s="100">
        <f t="shared" si="163"/>
        <v>1.7018303351803876E-2</v>
      </c>
      <c r="AK57" s="335">
        <f t="shared" si="163"/>
        <v>-2.2790056709854345E-3</v>
      </c>
      <c r="AL57" s="254"/>
      <c r="AM57" s="100">
        <f t="shared" si="164"/>
        <v>3.1303323003415984E-3</v>
      </c>
      <c r="AN57" s="100">
        <f t="shared" si="164"/>
        <v>-1.5781826460983028E-2</v>
      </c>
      <c r="AO57" s="100">
        <f t="shared" si="164"/>
        <v>-9.3673990851316224E-3</v>
      </c>
      <c r="AP57" s="100">
        <f t="shared" si="164"/>
        <v>-1.4638108494235635E-2</v>
      </c>
      <c r="AQ57" s="335">
        <f t="shared" si="164"/>
        <v>-9.592173435118645E-3</v>
      </c>
      <c r="AR57" s="254"/>
      <c r="AS57" s="100">
        <f t="shared" si="165"/>
        <v>-3.8946065690352749E-2</v>
      </c>
      <c r="AT57" s="100">
        <f t="shared" si="165"/>
        <v>-1.9551863432216099E-2</v>
      </c>
      <c r="AU57" s="100">
        <f t="shared" si="165"/>
        <v>1.5090821260250353E-2</v>
      </c>
      <c r="AV57" s="100">
        <f t="shared" si="165"/>
        <v>2.0531241902803032E-2</v>
      </c>
      <c r="AW57" s="335">
        <f t="shared" si="165"/>
        <v>-6.5617865895207239E-3</v>
      </c>
      <c r="AX57" s="254"/>
      <c r="AY57" s="100">
        <f t="shared" si="165"/>
        <v>0.10498368357752258</v>
      </c>
      <c r="AZ57" s="100">
        <f t="shared" si="166"/>
        <v>8.2915347378277882E-2</v>
      </c>
      <c r="BA57" s="100">
        <f t="shared" si="166"/>
        <v>2.5233140909947271E-2</v>
      </c>
      <c r="BB57" s="100">
        <f t="shared" si="166"/>
        <v>1.9910914603173624E-2</v>
      </c>
      <c r="BC57" s="335">
        <f t="shared" si="166"/>
        <v>5.8806901140931622E-2</v>
      </c>
      <c r="BD57" s="254"/>
      <c r="BE57" s="100">
        <f t="shared" si="166"/>
        <v>-3.225238168280592E-2</v>
      </c>
      <c r="BF57" s="100">
        <f t="shared" si="167"/>
        <v>-9.0156965373237585E-3</v>
      </c>
      <c r="BG57" s="100">
        <f t="shared" si="167"/>
        <v>6.3004396914110861E-3</v>
      </c>
      <c r="BH57" s="100">
        <f>BH54-BB54</f>
        <v>2.1033934407991006E-2</v>
      </c>
      <c r="BI57" s="335">
        <f t="shared" si="167"/>
        <v>-2.9956209031932191E-3</v>
      </c>
      <c r="BJ57" s="254"/>
      <c r="BK57" s="100">
        <f>BK54-BE54</f>
        <v>9.0351514294369661E-2</v>
      </c>
      <c r="BL57" s="100">
        <f t="shared" si="168"/>
        <v>0.10593166250106001</v>
      </c>
      <c r="BM57" s="100">
        <f t="shared" si="168"/>
        <v>0.10546467639792484</v>
      </c>
      <c r="BN57" s="100">
        <f t="shared" si="168"/>
        <v>8.3335935060798783E-2</v>
      </c>
      <c r="BO57" s="335">
        <f t="shared" si="169"/>
        <v>9.6591675966713253E-2</v>
      </c>
      <c r="BP57" s="254"/>
      <c r="BQ57" s="100">
        <f>BQ54-BK54</f>
        <v>6.8314609327841946E-3</v>
      </c>
      <c r="BR57" s="100">
        <f t="shared" si="170"/>
        <v>-1.9381137366215717E-2</v>
      </c>
      <c r="BS57" s="100">
        <f t="shared" si="171"/>
        <v>-1.4213931268378555E-2</v>
      </c>
      <c r="BT57" s="100">
        <f t="shared" si="171"/>
        <v>-5.721994042031886E-3</v>
      </c>
      <c r="BU57" s="335">
        <f t="shared" si="171"/>
        <v>-8.4230677056331693E-3</v>
      </c>
      <c r="BV57" s="254"/>
      <c r="BW57" s="100">
        <f t="shared" si="172"/>
        <v>-1.3000000000000012E-2</v>
      </c>
      <c r="BX57" s="100">
        <f t="shared" si="172"/>
        <v>-1.3000000000000012E-2</v>
      </c>
      <c r="BY57" s="100">
        <f t="shared" si="172"/>
        <v>-1.3000000000000012E-2</v>
      </c>
      <c r="BZ57" s="100">
        <f t="shared" si="172"/>
        <v>-1.3000000000000012E-2</v>
      </c>
      <c r="CA57" s="335">
        <f t="shared" si="172"/>
        <v>-1.3002670408930106E-2</v>
      </c>
      <c r="CB57" s="254"/>
      <c r="CC57" s="100">
        <f t="shared" si="173"/>
        <v>-1.0000000000000009E-3</v>
      </c>
      <c r="CD57" s="100">
        <f t="shared" si="174"/>
        <v>-1.0000000000000009E-3</v>
      </c>
      <c r="CE57" s="100">
        <f t="shared" si="175"/>
        <v>-1.0000000000000009E-3</v>
      </c>
      <c r="CF57" s="100">
        <f t="shared" si="176"/>
        <v>-1.0000000000000009E-3</v>
      </c>
      <c r="CG57" s="335">
        <f t="shared" si="177"/>
        <v>-1.0065307319311323E-3</v>
      </c>
      <c r="CH57" s="254"/>
      <c r="CI57" s="100">
        <f t="shared" si="178"/>
        <v>-1.0000000000000009E-3</v>
      </c>
      <c r="CJ57" s="100">
        <f t="shared" si="179"/>
        <v>-1.0000000000000009E-3</v>
      </c>
      <c r="CK57" s="100">
        <f t="shared" si="180"/>
        <v>-1.0000000000000009E-3</v>
      </c>
      <c r="CL57" s="100">
        <f t="shared" si="181"/>
        <v>-1.0000000000000009E-3</v>
      </c>
      <c r="CM57" s="335">
        <f t="shared" si="182"/>
        <v>-1.0085528454940595E-3</v>
      </c>
      <c r="CN57" s="254"/>
      <c r="CO57" s="100">
        <f t="shared" si="183"/>
        <v>-1.0000000000000009E-3</v>
      </c>
      <c r="CP57" s="100">
        <f t="shared" si="184"/>
        <v>-1.0000000000000009E-3</v>
      </c>
      <c r="CQ57" s="100">
        <f t="shared" si="185"/>
        <v>-1.0000000000000009E-3</v>
      </c>
      <c r="CR57" s="100">
        <f t="shared" si="186"/>
        <v>-1.0000000000000009E-3</v>
      </c>
      <c r="CS57" s="335">
        <f t="shared" si="187"/>
        <v>-1.0150749704243012E-3</v>
      </c>
      <c r="CT57" s="233"/>
      <c r="DA57" s="43"/>
      <c r="DB57" s="43"/>
      <c r="DC57" s="43"/>
      <c r="DD57" s="43"/>
      <c r="DH57" s="73"/>
      <c r="DI57" s="73"/>
      <c r="DJ57" s="73"/>
      <c r="DK57" s="73"/>
    </row>
    <row r="58" spans="1:116" ht="12.75" hidden="1" customHeight="1" outlineLevel="1" x14ac:dyDescent="0.2">
      <c r="B58" s="239" t="s">
        <v>102</v>
      </c>
      <c r="C58" s="100"/>
      <c r="D58" s="100"/>
      <c r="E58" s="100"/>
      <c r="F58" s="100"/>
      <c r="G58" s="335"/>
      <c r="H58" s="254"/>
      <c r="I58" s="100">
        <f>I66-C66</f>
        <v>0.20722531463231453</v>
      </c>
      <c r="J58" s="100">
        <f>J66-D66</f>
        <v>0.15219319511291612</v>
      </c>
      <c r="K58" s="100">
        <f>K66-E66</f>
        <v>9.5374317620815191E-2</v>
      </c>
      <c r="L58" s="100">
        <f>L66-F66</f>
        <v>0.56605779864975148</v>
      </c>
      <c r="M58" s="335">
        <f>M66-G66</f>
        <v>0.26500731518494047</v>
      </c>
      <c r="N58" s="254"/>
      <c r="O58" s="100">
        <f>O66-I66</f>
        <v>0.57425759721470626</v>
      </c>
      <c r="P58" s="100">
        <f>P66-J66</f>
        <v>0.55081775783335063</v>
      </c>
      <c r="Q58" s="100">
        <f>Q66-K66</f>
        <v>0.53402818238040484</v>
      </c>
      <c r="R58" s="100">
        <f>R66-L66</f>
        <v>0.10440317948618055</v>
      </c>
      <c r="S58" s="335">
        <f>S66-M66</f>
        <v>0.42603670105951913</v>
      </c>
      <c r="T58" s="254"/>
      <c r="U58" s="100">
        <f>U66-O66</f>
        <v>1.4756229679148969E-2</v>
      </c>
      <c r="V58" s="100">
        <f>V66-P66</f>
        <v>-2.4725096283603643E-2</v>
      </c>
      <c r="W58" s="100">
        <f>W66-Q66</f>
        <v>-4.1690782947974347E-2</v>
      </c>
      <c r="X58" s="100">
        <f>X66-R66</f>
        <v>-2.7118887870397623E-4</v>
      </c>
      <c r="Y58" s="335">
        <f>Y66-S66</f>
        <v>-1.4825539733271387E-2</v>
      </c>
      <c r="Z58" s="254"/>
      <c r="AA58" s="100">
        <f>AA66-U66</f>
        <v>3.8404777719478311E-2</v>
      </c>
      <c r="AB58" s="100">
        <f>AB66-V66</f>
        <v>1.2037021582443241E-2</v>
      </c>
      <c r="AC58" s="100">
        <f>AC66-W66</f>
        <v>4.2747991053073808E-2</v>
      </c>
      <c r="AD58" s="100">
        <f>AD66-X66</f>
        <v>-1.153531582278039E-2</v>
      </c>
      <c r="AE58" s="335">
        <f>AE66-Y66</f>
        <v>1.9931973202566677E-2</v>
      </c>
      <c r="AF58" s="254"/>
      <c r="AG58" s="100">
        <f>AG66-AA66</f>
        <v>-1.1981407091000318E-2</v>
      </c>
      <c r="AH58" s="100">
        <f>AH66-AB66</f>
        <v>-1.3966658678753685E-2</v>
      </c>
      <c r="AI58" s="100">
        <f>AI66-AC66</f>
        <v>-5.3347321619437282E-2</v>
      </c>
      <c r="AJ58" s="100">
        <f>AJ66-AD66</f>
        <v>-3.3321745280111892E-2</v>
      </c>
      <c r="AK58" s="335">
        <f>AK66-AE66</f>
        <v>-2.8859902796923187E-2</v>
      </c>
      <c r="AL58" s="254"/>
      <c r="AM58" s="100">
        <f>AM66-AG66</f>
        <v>-1.1393393293542553E-2</v>
      </c>
      <c r="AN58" s="100">
        <f>AN66-AH66</f>
        <v>2.5072103306056359E-3</v>
      </c>
      <c r="AO58" s="100">
        <f>AO66-AI66</f>
        <v>1.6195220771096142E-2</v>
      </c>
      <c r="AP58" s="100">
        <f>AP66-AJ66</f>
        <v>2.2955302764726959E-2</v>
      </c>
      <c r="AQ58" s="335">
        <f>AQ66-AK66</f>
        <v>8.6201475071840949E-3</v>
      </c>
      <c r="AR58" s="254"/>
      <c r="AS58" s="100">
        <f>AS66-AM66</f>
        <v>4.5387271147161012E-2</v>
      </c>
      <c r="AT58" s="100">
        <f>AT66-AN66</f>
        <v>3.6429263607346829E-2</v>
      </c>
      <c r="AU58" s="100">
        <f>AU66-AO66</f>
        <v>6.1228418615335567E-3</v>
      </c>
      <c r="AV58" s="100">
        <f>AV66-AP66</f>
        <v>-8.0665102878790196E-2</v>
      </c>
      <c r="AW58" s="335">
        <f>AW66-AQ66</f>
        <v>2.650268806840328E-3</v>
      </c>
      <c r="AX58" s="254"/>
      <c r="AY58" s="100">
        <f>AY66-AS66</f>
        <v>-0.23610672358413534</v>
      </c>
      <c r="AZ58" s="100">
        <f>AZ66-AT66</f>
        <v>-0.17166299191092474</v>
      </c>
      <c r="BA58" s="100">
        <f>BA66-AU66</f>
        <v>-0.12060723012333119</v>
      </c>
      <c r="BB58" s="100">
        <f>BB66-AV66</f>
        <v>-4.4194767911287458E-2</v>
      </c>
      <c r="BC58" s="335">
        <f>BC66-AW66</f>
        <v>-0.14320484038453699</v>
      </c>
      <c r="BD58" s="254"/>
      <c r="BE58" s="100">
        <f>BE66-AY66</f>
        <v>7.9626322198039695E-2</v>
      </c>
      <c r="BF58" s="100">
        <f>BF66-AZ66</f>
        <v>1.2869722052858773E-2</v>
      </c>
      <c r="BG58" s="100">
        <f>BG66-BA66</f>
        <v>-1.6412947779855053E-2</v>
      </c>
      <c r="BH58" s="100">
        <f>BH66-BB66</f>
        <v>-4.4600050446985978E-2</v>
      </c>
      <c r="BI58" s="335">
        <f>BI66-BC66</f>
        <v>6.6922506089888978E-3</v>
      </c>
      <c r="BJ58" s="254"/>
      <c r="BK58" s="100">
        <f>BK66-BE66</f>
        <v>-0.13126798464148684</v>
      </c>
      <c r="BL58" s="100">
        <f>BL66-BF66</f>
        <v>-0.13002347841199713</v>
      </c>
      <c r="BM58" s="100">
        <f>BM66-BG66</f>
        <v>-0.11855289883916301</v>
      </c>
      <c r="BN58" s="100">
        <f>BN66-BH66</f>
        <v>-6.9636322544881946E-2</v>
      </c>
      <c r="BO58" s="335">
        <f>BO66-BI66</f>
        <v>-0.11226368950512286</v>
      </c>
      <c r="BP58" s="254"/>
      <c r="BQ58" s="100">
        <f>BQ66-BK66</f>
        <v>8.0218623601007455E-3</v>
      </c>
      <c r="BR58" s="100">
        <f>BR66-BL66</f>
        <v>2.4929651075216122E-2</v>
      </c>
      <c r="BS58" s="100">
        <f>BS66-BM66</f>
        <v>1.0765554972860913E-2</v>
      </c>
      <c r="BT58" s="100">
        <f>BT66-BN66</f>
        <v>-1.9348809502635067E-3</v>
      </c>
      <c r="BU58" s="335">
        <f>BU66-BO66</f>
        <v>1.033284394684747E-2</v>
      </c>
      <c r="BV58" s="254"/>
      <c r="BW58" s="100">
        <f>BW66-BQ66</f>
        <v>7.550223768954839E-3</v>
      </c>
      <c r="BX58" s="100">
        <f>BX66-BR66</f>
        <v>6.5865060687217147E-3</v>
      </c>
      <c r="BY58" s="100">
        <f>BY66-BS66</f>
        <v>1.4795539793957035E-2</v>
      </c>
      <c r="BZ58" s="100">
        <f>BZ66-BT66</f>
        <v>1.761461330172287E-2</v>
      </c>
      <c r="CA58" s="335">
        <f>CA66-BU66</f>
        <v>1.1785751960197044E-2</v>
      </c>
      <c r="CB58" s="254"/>
      <c r="CC58" s="100">
        <f>CC66-BW66</f>
        <v>8.3667413176235772E-3</v>
      </c>
      <c r="CD58" s="100">
        <f>CD66-BX66</f>
        <v>7.0817430294530526E-3</v>
      </c>
      <c r="CE58" s="100">
        <f>CE66-BY66</f>
        <v>5.1431025010627573E-3</v>
      </c>
      <c r="CF58" s="100">
        <f>CF66-BZ66</f>
        <v>3.5902748660596451E-3</v>
      </c>
      <c r="CG58" s="335">
        <f>CG66-CA66</f>
        <v>6.0197510442901725E-3</v>
      </c>
      <c r="CH58" s="254"/>
      <c r="CI58" s="100">
        <f t="shared" ref="CI58:CM58" si="188">CI66-CC66</f>
        <v>5.0139625274523147E-3</v>
      </c>
      <c r="CJ58" s="100">
        <f t="shared" si="188"/>
        <v>4.5092677383960778E-3</v>
      </c>
      <c r="CK58" s="100">
        <f t="shared" si="188"/>
        <v>3.698262041121031E-3</v>
      </c>
      <c r="CL58" s="100">
        <f t="shared" si="188"/>
        <v>2.3850829028300435E-3</v>
      </c>
      <c r="CM58" s="335">
        <f t="shared" si="188"/>
        <v>3.8708649821327656E-3</v>
      </c>
      <c r="CN58" s="254"/>
      <c r="CO58" s="100">
        <f t="shared" ref="CO58:CS58" si="189">CO66-CI66</f>
        <v>4.0750113494356643E-3</v>
      </c>
      <c r="CP58" s="100">
        <f t="shared" si="189"/>
        <v>4.2623590129615141E-3</v>
      </c>
      <c r="CQ58" s="100">
        <f t="shared" si="189"/>
        <v>4.8891108615473355E-3</v>
      </c>
      <c r="CR58" s="100">
        <f t="shared" si="189"/>
        <v>4.1713309261124376E-3</v>
      </c>
      <c r="CS58" s="335">
        <f t="shared" si="189"/>
        <v>4.3636784698603548E-3</v>
      </c>
      <c r="CT58" s="233"/>
      <c r="DA58" s="43"/>
      <c r="DB58" s="43"/>
      <c r="DC58" s="43"/>
      <c r="DD58" s="43"/>
      <c r="DH58" s="73"/>
      <c r="DI58" s="73"/>
      <c r="DJ58" s="73"/>
      <c r="DK58" s="73"/>
    </row>
    <row r="59" spans="1:116" ht="12.75" hidden="1" customHeight="1" outlineLevel="1" x14ac:dyDescent="0.2">
      <c r="B59" s="349" t="s">
        <v>55</v>
      </c>
      <c r="C59" s="350"/>
      <c r="D59" s="350"/>
      <c r="E59" s="350"/>
      <c r="F59" s="350"/>
      <c r="G59" s="351"/>
      <c r="H59" s="254"/>
      <c r="I59" s="352">
        <f>I8-C8</f>
        <v>14.722999999999999</v>
      </c>
      <c r="J59" s="352">
        <f>J8-D8</f>
        <v>19.606999999999999</v>
      </c>
      <c r="K59" s="352">
        <f>K8-E8</f>
        <v>20.795000000000002</v>
      </c>
      <c r="L59" s="353">
        <f>L8-F8</f>
        <v>19.199999999999996</v>
      </c>
      <c r="M59" s="354">
        <f>M8-G8</f>
        <v>74.324999999999989</v>
      </c>
      <c r="N59" s="254"/>
      <c r="O59" s="352">
        <f>O8-I8</f>
        <v>21.699000000000005</v>
      </c>
      <c r="P59" s="352">
        <f>P8-J8</f>
        <v>27.21</v>
      </c>
      <c r="Q59" s="352">
        <f>Q8-K8</f>
        <v>24.766000000000005</v>
      </c>
      <c r="R59" s="353">
        <f>R8-L8</f>
        <v>21.400999999999996</v>
      </c>
      <c r="S59" s="354">
        <f>S8-M8</f>
        <v>95.075999999999993</v>
      </c>
      <c r="T59" s="254"/>
      <c r="U59" s="352">
        <f>U8-O8</f>
        <v>15.156999999999996</v>
      </c>
      <c r="V59" s="352">
        <f>V8-P8</f>
        <v>8.8160000000000025</v>
      </c>
      <c r="W59" s="352">
        <f>W8-Q8</f>
        <v>4.2989999999999924</v>
      </c>
      <c r="X59" s="353">
        <f>X8-R8</f>
        <v>7.8490000000000464</v>
      </c>
      <c r="Y59" s="354">
        <f>Y8-S8</f>
        <v>36.121000000000038</v>
      </c>
      <c r="Z59" s="254"/>
      <c r="AA59" s="352">
        <f>AA8-U8</f>
        <v>6.7360000000000042</v>
      </c>
      <c r="AB59" s="352">
        <f>AB8-V8</f>
        <v>7.671999999999997</v>
      </c>
      <c r="AC59" s="352">
        <f>AC8-W8</f>
        <v>11.543999999999997</v>
      </c>
      <c r="AD59" s="352">
        <f>AD8-X8</f>
        <v>13.483999999999966</v>
      </c>
      <c r="AE59" s="354">
        <f>AE8-Y8</f>
        <v>39.436000000000035</v>
      </c>
      <c r="AF59" s="254"/>
      <c r="AG59" s="352">
        <f>AG8-AA8</f>
        <v>18.593999999999994</v>
      </c>
      <c r="AH59" s="352">
        <f>AH8-AB8</f>
        <v>22.371000000000009</v>
      </c>
      <c r="AI59" s="352">
        <f>AI8-AC8</f>
        <v>27.402999999999992</v>
      </c>
      <c r="AJ59" s="352">
        <f>AJ8-AD8</f>
        <v>25.552999999999997</v>
      </c>
      <c r="AK59" s="354">
        <f>AK8-AE8</f>
        <v>93.920999999999935</v>
      </c>
      <c r="AL59" s="254"/>
      <c r="AM59" s="352">
        <f>AM8-AG8</f>
        <v>22.985000000000014</v>
      </c>
      <c r="AN59" s="352">
        <f>AN8-AH8</f>
        <v>26.328999999999979</v>
      </c>
      <c r="AO59" s="352">
        <f>AO8-AI8</f>
        <v>26.695000000000022</v>
      </c>
      <c r="AP59" s="352">
        <f>AP8-AJ8</f>
        <v>41.15100000000001</v>
      </c>
      <c r="AQ59" s="354">
        <f>AQ8-AK8</f>
        <v>117.15999999999997</v>
      </c>
      <c r="AR59" s="254"/>
      <c r="AS59" s="352">
        <f>AS8-AM8</f>
        <v>69.03</v>
      </c>
      <c r="AT59" s="352">
        <f>AT8-AN8</f>
        <v>54.920000000000016</v>
      </c>
      <c r="AU59" s="352">
        <f>AU8-AO8</f>
        <v>26.451999999999998</v>
      </c>
      <c r="AV59" s="352">
        <f>AV8-AP8</f>
        <v>14.649000000000001</v>
      </c>
      <c r="AW59" s="354">
        <f>AW8-AQ8</f>
        <v>165.05100000000004</v>
      </c>
      <c r="AX59" s="254"/>
      <c r="AY59" s="352">
        <f>AY8-AS8</f>
        <v>-33.630000000000024</v>
      </c>
      <c r="AZ59" s="352">
        <f>AZ8-AT8</f>
        <v>-19.667000000000002</v>
      </c>
      <c r="BA59" s="352">
        <f>BA8-AU8</f>
        <v>-2.938999999999993</v>
      </c>
      <c r="BB59" s="353">
        <f>BB8-AV8</f>
        <v>1.1089262189807698</v>
      </c>
      <c r="BC59" s="354">
        <f>BC8-AW8</f>
        <v>-55.127073781019249</v>
      </c>
      <c r="BD59" s="254"/>
      <c r="BE59" s="352">
        <f>BE8-AY8</f>
        <v>14.694383836686796</v>
      </c>
      <c r="BF59" s="352">
        <f>BF8-AZ8</f>
        <v>8.8962220280013469</v>
      </c>
      <c r="BG59" s="352">
        <f>BG8-BA8</f>
        <v>10.533020622574952</v>
      </c>
      <c r="BH59" s="353">
        <f>BH8-BB8</f>
        <v>-3.3739262189807562</v>
      </c>
      <c r="BI59" s="354">
        <f>BI8-BC8</f>
        <v>30.749700268282368</v>
      </c>
      <c r="BJ59" s="254"/>
      <c r="BK59" s="352">
        <f>BK8-BE8</f>
        <v>-6.0251853209366288</v>
      </c>
      <c r="BL59" s="352">
        <f>BL8-BF8</f>
        <v>3.2601308221180147</v>
      </c>
      <c r="BM59" s="352">
        <f>BM8-BG8</f>
        <v>6.3931044718411556</v>
      </c>
      <c r="BN59" s="352">
        <f>BN8-BH8</f>
        <v>13.959944350473677</v>
      </c>
      <c r="BO59" s="354">
        <f>BO8-BI8</f>
        <v>17.587994323496218</v>
      </c>
      <c r="BP59" s="254"/>
      <c r="BQ59" s="352">
        <f>BQ8-BK8</f>
        <v>12.667437504336846</v>
      </c>
      <c r="BR59" s="352">
        <f>BR8-BL8</f>
        <v>-2.5739681998025787</v>
      </c>
      <c r="BS59" s="352">
        <f>BS8-BM8</f>
        <v>-7.0522331246163787</v>
      </c>
      <c r="BT59" s="353">
        <f>BT8-BN8</f>
        <v>-3.2648681867926257</v>
      </c>
      <c r="BU59" s="354">
        <f>BU8-BO8</f>
        <v>-0.22363200687470908</v>
      </c>
      <c r="BV59" s="254"/>
      <c r="BW59" s="352">
        <f>BW8-BQ8</f>
        <v>0.2410216826487499</v>
      </c>
      <c r="BX59" s="352">
        <f>BX8-BR8</f>
        <v>5.8353293225690948</v>
      </c>
      <c r="BY59" s="352">
        <f>BY8-BS8</f>
        <v>8.9284824378195253</v>
      </c>
      <c r="BZ59" s="353">
        <f>BZ8-BT8</f>
        <v>11.434212154572293</v>
      </c>
      <c r="CA59" s="354">
        <f>CA8-BU8</f>
        <v>26.43904559760972</v>
      </c>
      <c r="CB59" s="254"/>
      <c r="CC59" s="352">
        <f>CC8-BW8</f>
        <v>9.0995129563599733</v>
      </c>
      <c r="CD59" s="352">
        <f>CD8-BX8</f>
        <v>11.84468024647299</v>
      </c>
      <c r="CE59" s="352">
        <f>CE8-BY8</f>
        <v>11.920735198239413</v>
      </c>
      <c r="CF59" s="353">
        <f>CF8-BZ8</f>
        <v>13.441291315487206</v>
      </c>
      <c r="CG59" s="354">
        <f>CG8-CA8</f>
        <v>46.306219716559553</v>
      </c>
      <c r="CH59" s="254"/>
      <c r="CI59" s="352">
        <f t="shared" ref="CI59:CM59" si="190">CI8-CC8</f>
        <v>14.385082861448325</v>
      </c>
      <c r="CJ59" s="352">
        <f t="shared" si="190"/>
        <v>16.022592366510878</v>
      </c>
      <c r="CK59" s="352">
        <f t="shared" si="190"/>
        <v>14.754862306734196</v>
      </c>
      <c r="CL59" s="353">
        <f t="shared" si="190"/>
        <v>15.528668937330735</v>
      </c>
      <c r="CM59" s="354">
        <f t="shared" si="190"/>
        <v>60.691206472024078</v>
      </c>
      <c r="CN59" s="254"/>
      <c r="CO59" s="352">
        <f t="shared" ref="CO59:CS59" si="191">CO8-CI8</f>
        <v>15.374162480872883</v>
      </c>
      <c r="CP59" s="352">
        <f t="shared" si="191"/>
        <v>18.299745611788978</v>
      </c>
      <c r="CQ59" s="352">
        <f t="shared" si="191"/>
        <v>15.603258014367583</v>
      </c>
      <c r="CR59" s="353">
        <f t="shared" si="191"/>
        <v>17.761112793351288</v>
      </c>
      <c r="CS59" s="354">
        <f t="shared" si="191"/>
        <v>67.03827890038076</v>
      </c>
      <c r="CT59" s="233"/>
      <c r="DA59" s="43"/>
      <c r="DB59" s="43"/>
      <c r="DC59" s="43"/>
      <c r="DD59" s="43"/>
      <c r="DH59" s="73"/>
      <c r="DI59" s="73"/>
      <c r="DJ59" s="73"/>
      <c r="DK59" s="73"/>
    </row>
    <row r="60" spans="1:116" ht="12.75" hidden="1" customHeight="1" outlineLevel="1" x14ac:dyDescent="0.2">
      <c r="B60" s="349" t="s">
        <v>52</v>
      </c>
      <c r="C60" s="350"/>
      <c r="D60" s="350"/>
      <c r="E60" s="350"/>
      <c r="F60" s="350"/>
      <c r="G60" s="351"/>
      <c r="H60" s="254"/>
      <c r="I60" s="352">
        <f>I14-C14</f>
        <v>15.492999999999999</v>
      </c>
      <c r="J60" s="352">
        <f>J14-D14</f>
        <v>19.446000000000002</v>
      </c>
      <c r="K60" s="352">
        <f>K14-E14</f>
        <v>20.109000000000002</v>
      </c>
      <c r="L60" s="353">
        <f>L14-F14</f>
        <v>17.750999999999991</v>
      </c>
      <c r="M60" s="354">
        <f>M14-G14</f>
        <v>72.798999999999992</v>
      </c>
      <c r="N60" s="254"/>
      <c r="O60" s="352">
        <f>O14-I14</f>
        <v>19.244000000000007</v>
      </c>
      <c r="P60" s="352">
        <f>P14-J14</f>
        <v>23.839999999999996</v>
      </c>
      <c r="Q60" s="352">
        <f>Q14-K14</f>
        <v>21.797000000000004</v>
      </c>
      <c r="R60" s="353">
        <f>R14-L14</f>
        <v>19.266999999999996</v>
      </c>
      <c r="S60" s="354">
        <f>S14-M14</f>
        <v>84.147999999999996</v>
      </c>
      <c r="T60" s="254"/>
      <c r="U60" s="352">
        <f>U14-O14</f>
        <v>13.884999999999998</v>
      </c>
      <c r="V60" s="352">
        <f>V14-P14</f>
        <v>8.7930000000000064</v>
      </c>
      <c r="W60" s="352">
        <f>W14-Q14</f>
        <v>4.6509999999999962</v>
      </c>
      <c r="X60" s="353">
        <f>X14-R14</f>
        <v>7.773000000000053</v>
      </c>
      <c r="Y60" s="354">
        <f>Y14-S14</f>
        <v>35.102000000000032</v>
      </c>
      <c r="Z60" s="254"/>
      <c r="AA60" s="352">
        <f>AA14-U14</f>
        <v>6.7870000000000061</v>
      </c>
      <c r="AB60" s="352">
        <f>AB14-V14</f>
        <v>6.7090000000000032</v>
      </c>
      <c r="AC60" s="352">
        <f>AC14-W14</f>
        <v>11.290999999999997</v>
      </c>
      <c r="AD60" s="352">
        <f>AD14-X14</f>
        <v>12.220999999999961</v>
      </c>
      <c r="AE60" s="354">
        <f>AE14-Y14</f>
        <v>37.008000000000038</v>
      </c>
      <c r="AF60" s="254"/>
      <c r="AG60" s="352">
        <f>AG14-AA14</f>
        <v>15.243999999999986</v>
      </c>
      <c r="AH60" s="352">
        <f>AH14-AB14</f>
        <v>18.299999999999997</v>
      </c>
      <c r="AI60" s="352">
        <f>AI14-AC14</f>
        <v>21.307999999999979</v>
      </c>
      <c r="AJ60" s="352">
        <f>AJ14-AD14</f>
        <v>21.123999999999995</v>
      </c>
      <c r="AK60" s="354">
        <f>AK14-AE14</f>
        <v>75.975999999999942</v>
      </c>
      <c r="AL60" s="254"/>
      <c r="AM60" s="352">
        <f>AM14-AG14</f>
        <v>20.01900000000002</v>
      </c>
      <c r="AN60" s="352">
        <f>AN14-AH14</f>
        <v>22.561999999999969</v>
      </c>
      <c r="AO60" s="352">
        <f>AO14-AI14</f>
        <v>23.589000000000027</v>
      </c>
      <c r="AP60" s="352">
        <f>AP14-AJ14</f>
        <v>36.031000000000006</v>
      </c>
      <c r="AQ60" s="354">
        <f>AQ14-AK14</f>
        <v>102.20100000000002</v>
      </c>
      <c r="AR60" s="254"/>
      <c r="AS60" s="352">
        <f>AS14-AM14</f>
        <v>60.876000000000005</v>
      </c>
      <c r="AT60" s="352">
        <f>AT14-AN14</f>
        <v>48.67300000000003</v>
      </c>
      <c r="AU60" s="352">
        <f>AU14-AO14</f>
        <v>20.599999999999994</v>
      </c>
      <c r="AV60" s="352">
        <f>AV14-AP14</f>
        <v>5.7420000000000186</v>
      </c>
      <c r="AW60" s="354">
        <f>AW14-AQ14</f>
        <v>135.89099999999996</v>
      </c>
      <c r="AX60" s="254"/>
      <c r="AY60" s="352">
        <f>AY14-AS14</f>
        <v>-43.014000000000038</v>
      </c>
      <c r="AZ60" s="352">
        <f>AZ14-AT14</f>
        <v>-31.388000000000005</v>
      </c>
      <c r="BA60" s="352">
        <f>BA14-AU14</f>
        <v>-13.045999999999992</v>
      </c>
      <c r="BB60" s="353">
        <f>BB14-AV14</f>
        <v>-5.4110737810192404</v>
      </c>
      <c r="BC60" s="354">
        <f>BC14-AW14</f>
        <v>-92.859073781019219</v>
      </c>
      <c r="BD60" s="254"/>
      <c r="BE60" s="352">
        <f>BE14-AY14</f>
        <v>13.059383836686806</v>
      </c>
      <c r="BF60" s="352">
        <f>BF14-AZ14</f>
        <v>6.1482220280013564</v>
      </c>
      <c r="BG60" s="352">
        <f>BG14-BA14</f>
        <v>6.6260206225749698</v>
      </c>
      <c r="BH60" s="353">
        <f>BH14-BB14</f>
        <v>-5.8739262189807562</v>
      </c>
      <c r="BI60" s="354">
        <f>BI14-BC14</f>
        <v>19.959700268282404</v>
      </c>
      <c r="BJ60" s="254"/>
      <c r="BK60" s="352">
        <f>BK14-BE14</f>
        <v>-9.5251853209366288</v>
      </c>
      <c r="BL60" s="352">
        <f>BL14-BF14</f>
        <v>-0.53986917788199662</v>
      </c>
      <c r="BM60" s="352">
        <f>BM14-BG14</f>
        <v>2.2931044718411613</v>
      </c>
      <c r="BN60" s="352">
        <f>BN14-BH14</f>
        <v>11.459944350473677</v>
      </c>
      <c r="BO60" s="354">
        <f>BO14-BI14</f>
        <v>3.6879943234962411</v>
      </c>
      <c r="BP60" s="254"/>
      <c r="BQ60" s="352">
        <f>BQ14-BK14</f>
        <v>9.6674375043368457</v>
      </c>
      <c r="BR60" s="352">
        <f>BR14-BL14</f>
        <v>-2.5739681998025787</v>
      </c>
      <c r="BS60" s="352">
        <f>BS14-BM14</f>
        <v>-5.9063143183618081</v>
      </c>
      <c r="BT60" s="353">
        <f>BT14-BN14</f>
        <v>-4.632080667422855</v>
      </c>
      <c r="BU60" s="354">
        <f>BU14-BO14</f>
        <v>-3.4449256812504245</v>
      </c>
      <c r="BV60" s="254"/>
      <c r="BW60" s="352">
        <f>BW14-BQ14</f>
        <v>-1.0416074594631084</v>
      </c>
      <c r="BX60" s="352">
        <f>BX14-BR14</f>
        <v>3.0183559715645742</v>
      </c>
      <c r="BY60" s="352">
        <f>BY14-BS14</f>
        <v>7.0572213820389038</v>
      </c>
      <c r="BZ60" s="353">
        <f>BZ14-BT14</f>
        <v>9.6447181481382813</v>
      </c>
      <c r="CA60" s="354">
        <f>CA14-BU14</f>
        <v>18.678688042278736</v>
      </c>
      <c r="CB60" s="254"/>
      <c r="CC60" s="352">
        <f>CC14-BW14</f>
        <v>8.2535950691721496</v>
      </c>
      <c r="CD60" s="352">
        <f>CD14-BX14</f>
        <v>10.12125975612139</v>
      </c>
      <c r="CE60" s="352">
        <f>CE14-BY14</f>
        <v>9.8829657454262474</v>
      </c>
      <c r="CF60" s="353">
        <f>CF14-BZ14</f>
        <v>10.852934794777298</v>
      </c>
      <c r="CG60" s="354">
        <f>CG14-CA14</f>
        <v>39.110755365497084</v>
      </c>
      <c r="CH60" s="254"/>
      <c r="CI60" s="352">
        <f t="shared" ref="CI60:CM60" si="192">CI14-CC14</f>
        <v>11.775973812567969</v>
      </c>
      <c r="CJ60" s="352">
        <f t="shared" si="192"/>
        <v>12.889045061359582</v>
      </c>
      <c r="CK60" s="352">
        <f t="shared" si="192"/>
        <v>11.842157101300103</v>
      </c>
      <c r="CL60" s="353">
        <f t="shared" si="192"/>
        <v>12.246544965103567</v>
      </c>
      <c r="CM60" s="354">
        <f t="shared" si="192"/>
        <v>48.753720940331164</v>
      </c>
      <c r="CN60" s="254"/>
      <c r="CO60" s="352">
        <f t="shared" ref="CO60:CS60" si="193">CO14-CI14</f>
        <v>12.418729102798153</v>
      </c>
      <c r="CP60" s="352">
        <f t="shared" si="193"/>
        <v>14.670763383816251</v>
      </c>
      <c r="CQ60" s="352">
        <f t="shared" si="193"/>
        <v>12.841128044679323</v>
      </c>
      <c r="CR60" s="353">
        <f t="shared" si="193"/>
        <v>14.463804027900892</v>
      </c>
      <c r="CS60" s="354">
        <f t="shared" si="193"/>
        <v>54.394424559194476</v>
      </c>
      <c r="CT60" s="233"/>
      <c r="DA60" s="43"/>
      <c r="DB60" s="43"/>
      <c r="DC60" s="43"/>
      <c r="DD60" s="43"/>
      <c r="DH60" s="73"/>
      <c r="DI60" s="73"/>
      <c r="DJ60" s="73"/>
      <c r="DK60" s="73"/>
    </row>
    <row r="61" spans="1:116" ht="12.75" hidden="1" customHeight="1" outlineLevel="1" x14ac:dyDescent="0.2">
      <c r="B61" s="349" t="s">
        <v>53</v>
      </c>
      <c r="C61" s="350"/>
      <c r="D61" s="350"/>
      <c r="E61" s="350"/>
      <c r="F61" s="350"/>
      <c r="G61" s="351"/>
      <c r="H61" s="254"/>
      <c r="I61" s="352">
        <f>I19-C19</f>
        <v>12.295</v>
      </c>
      <c r="J61" s="352">
        <f>J19-D19</f>
        <v>14.271999999999998</v>
      </c>
      <c r="K61" s="352">
        <f>K19-E19</f>
        <v>10.562000000000001</v>
      </c>
      <c r="L61" s="353">
        <f>L19-F19</f>
        <v>6.2660000000000018</v>
      </c>
      <c r="M61" s="354">
        <f>M19-G19</f>
        <v>43.394999999999996</v>
      </c>
      <c r="N61" s="254"/>
      <c r="O61" s="352">
        <f>O19-I19</f>
        <v>5.9230000000000018</v>
      </c>
      <c r="P61" s="352">
        <f>P19-J19</f>
        <v>4.4780000000000015</v>
      </c>
      <c r="Q61" s="352">
        <f>Q19-K19</f>
        <v>5.3390000000000022</v>
      </c>
      <c r="R61" s="353">
        <f>R19-L19</f>
        <v>4.3800000000000026</v>
      </c>
      <c r="S61" s="354">
        <f>S19-M19</f>
        <v>20.120000000000019</v>
      </c>
      <c r="T61" s="254"/>
      <c r="U61" s="352">
        <f>U19-O19</f>
        <v>6.2609999999999957</v>
      </c>
      <c r="V61" s="352">
        <f>V19-P19</f>
        <v>7.1439999999999984</v>
      </c>
      <c r="W61" s="352">
        <f>W19-Q19</f>
        <v>5.3440000000000012</v>
      </c>
      <c r="X61" s="353">
        <f>X19-R19</f>
        <v>3.7809999999999988</v>
      </c>
      <c r="Y61" s="354">
        <f>Y19-S19</f>
        <v>22.529999999999973</v>
      </c>
      <c r="Z61" s="254"/>
      <c r="AA61" s="352">
        <f>AA19-U19</f>
        <v>0.82200000000000273</v>
      </c>
      <c r="AB61" s="352">
        <f>AB19-V19</f>
        <v>1.6120000000000019</v>
      </c>
      <c r="AC61" s="352">
        <f>AC19-W19</f>
        <v>1.9099999999999966</v>
      </c>
      <c r="AD61" s="352">
        <f>AD19-X19</f>
        <v>4.0829999999999984</v>
      </c>
      <c r="AE61" s="354">
        <f>AE19-Y19</f>
        <v>8.4270000000000209</v>
      </c>
      <c r="AF61" s="254"/>
      <c r="AG61" s="352">
        <f>AG19-AA19</f>
        <v>6.6199999999999974</v>
      </c>
      <c r="AH61" s="352">
        <f>AH19-AB19</f>
        <v>7.269999999999996</v>
      </c>
      <c r="AI61" s="352">
        <f>AI19-AC19</f>
        <v>11.950000000000003</v>
      </c>
      <c r="AJ61" s="352">
        <f>AJ19-AD19</f>
        <v>12.701999999999998</v>
      </c>
      <c r="AK61" s="354">
        <f>AK19-AE19</f>
        <v>38.542000000000002</v>
      </c>
      <c r="AL61" s="254"/>
      <c r="AM61" s="352">
        <f>AM19-AG19</f>
        <v>10.014000000000003</v>
      </c>
      <c r="AN61" s="352">
        <f>AN19-AH19</f>
        <v>8.5770000000000053</v>
      </c>
      <c r="AO61" s="352">
        <f>AO19-AI19</f>
        <v>9.7860000000000014</v>
      </c>
      <c r="AP61" s="352">
        <f>AP19-AJ19</f>
        <v>14.963000000000008</v>
      </c>
      <c r="AQ61" s="354">
        <f>AQ19-AK19</f>
        <v>43.34</v>
      </c>
      <c r="AR61" s="254"/>
      <c r="AS61" s="352">
        <f>AS19-AM19</f>
        <v>21.150999999999996</v>
      </c>
      <c r="AT61" s="352">
        <f>AT19-AN19</f>
        <v>17.944000000000003</v>
      </c>
      <c r="AU61" s="352">
        <f>AU19-AO19</f>
        <v>13.662000000000006</v>
      </c>
      <c r="AV61" s="352">
        <f>AV19-AP19</f>
        <v>9.8949999999999818</v>
      </c>
      <c r="AW61" s="354">
        <f>AW19-AQ19</f>
        <v>62.651999999999987</v>
      </c>
      <c r="AX61" s="254"/>
      <c r="AY61" s="352">
        <f>AY19-AS19</f>
        <v>4.88900000000001</v>
      </c>
      <c r="AZ61" s="352">
        <f>AZ19-AT19</f>
        <v>7.8189999999999884</v>
      </c>
      <c r="BA61" s="352">
        <f>BA19-AU19</f>
        <v>3.2859999999999872</v>
      </c>
      <c r="BB61" s="353">
        <f>BB19-AV19</f>
        <v>4.2590000000000146</v>
      </c>
      <c r="BC61" s="354">
        <f>BC19-AW19</f>
        <v>20.252999999999986</v>
      </c>
      <c r="BD61" s="254"/>
      <c r="BE61" s="352">
        <f>BE19-AY19</f>
        <v>1.2319999999999993</v>
      </c>
      <c r="BF61" s="352">
        <f>BF19-AZ19</f>
        <v>2.3740000000000094</v>
      </c>
      <c r="BG61" s="352">
        <f>BG19-BA19</f>
        <v>5.9660000000000082</v>
      </c>
      <c r="BH61" s="353">
        <f>BH19-BB19</f>
        <v>2.3999999999999915</v>
      </c>
      <c r="BI61" s="354">
        <f>BI19-BC19</f>
        <v>11.972000000000037</v>
      </c>
      <c r="BJ61" s="254"/>
      <c r="BK61" s="352">
        <f>BK19-BE19</f>
        <v>13.299999999999997</v>
      </c>
      <c r="BL61" s="352">
        <f>BL19-BF19</f>
        <v>22.299999999999997</v>
      </c>
      <c r="BM61" s="352">
        <f>BM19-BG19</f>
        <v>23.699999999999989</v>
      </c>
      <c r="BN61" s="352">
        <f>BN19-BH19</f>
        <v>23.300000000000011</v>
      </c>
      <c r="BO61" s="354">
        <f>BO19-BI19</f>
        <v>82.599999999999909</v>
      </c>
      <c r="BP61" s="254"/>
      <c r="BQ61" s="352">
        <f>BQ19-BK19</f>
        <v>8.2000000000000028</v>
      </c>
      <c r="BR61" s="352">
        <f>BR19-BL19</f>
        <v>-5.2000000000000028</v>
      </c>
      <c r="BS61" s="352">
        <f>BS19-BM19</f>
        <v>-6.6776094166101245</v>
      </c>
      <c r="BT61" s="353">
        <f>BT19-BN19</f>
        <v>-2.9427081099753991</v>
      </c>
      <c r="BU61" s="354">
        <f>BU19-BO19</f>
        <v>-6.6203175265854952</v>
      </c>
      <c r="BV61" s="254"/>
      <c r="BW61" s="352">
        <f>BW19-BQ19</f>
        <v>-2.3424427081582309</v>
      </c>
      <c r="BX61" s="352">
        <f>BX19-BR19</f>
        <v>0.55514173562526992</v>
      </c>
      <c r="BY61" s="352">
        <f>BY19-BS19</f>
        <v>2.3264294735016904</v>
      </c>
      <c r="BZ61" s="353">
        <f>BZ19-BT19</f>
        <v>3.5766359368774658</v>
      </c>
      <c r="CA61" s="354">
        <f>CA19-BU19</f>
        <v>4.1157644378462237</v>
      </c>
      <c r="CB61" s="254"/>
      <c r="CC61" s="352">
        <f>CC19-BW19</f>
        <v>4.7014941477584955</v>
      </c>
      <c r="CD61" s="352">
        <f>CD19-BX19</f>
        <v>6.0337452720815605</v>
      </c>
      <c r="CE61" s="352">
        <f>CE19-BY19</f>
        <v>6.1907266918486954</v>
      </c>
      <c r="CF61" s="353">
        <f>CF19-BZ19</f>
        <v>6.9959028567828909</v>
      </c>
      <c r="CG61" s="354">
        <f>CG19-CA19</f>
        <v>23.921868968471642</v>
      </c>
      <c r="CH61" s="254"/>
      <c r="CI61" s="352">
        <f t="shared" ref="CI61:CM61" si="194">CI19-CC19</f>
        <v>7.5195381133688386</v>
      </c>
      <c r="CJ61" s="352">
        <f t="shared" si="194"/>
        <v>8.2046076032353312</v>
      </c>
      <c r="CK61" s="352">
        <f t="shared" si="194"/>
        <v>7.6831432244969449</v>
      </c>
      <c r="CL61" s="353">
        <f t="shared" si="194"/>
        <v>8.085767301838203</v>
      </c>
      <c r="CM61" s="354">
        <f t="shared" si="194"/>
        <v>31.493056242939304</v>
      </c>
      <c r="CN61" s="254"/>
      <c r="CO61" s="352">
        <f t="shared" ref="CO61:CS61" si="195">CO19-CI19</f>
        <v>8.020520148347245</v>
      </c>
      <c r="CP61" s="352">
        <f t="shared" si="195"/>
        <v>9.366416338142912</v>
      </c>
      <c r="CQ61" s="352">
        <f t="shared" si="195"/>
        <v>8.1066768077596834</v>
      </c>
      <c r="CR61" s="353">
        <f t="shared" si="195"/>
        <v>9.2468349830785002</v>
      </c>
      <c r="CS61" s="354">
        <f t="shared" si="195"/>
        <v>34.740448277328369</v>
      </c>
      <c r="CT61" s="233"/>
      <c r="DA61" s="43"/>
      <c r="DB61" s="43"/>
      <c r="DC61" s="43"/>
      <c r="DD61" s="43"/>
      <c r="DH61" s="73"/>
      <c r="DI61" s="73"/>
      <c r="DJ61" s="73"/>
      <c r="DK61" s="73"/>
    </row>
    <row r="62" spans="1:116" ht="12.75" hidden="1" customHeight="1" outlineLevel="1" x14ac:dyDescent="0.2">
      <c r="B62" s="349" t="s">
        <v>54</v>
      </c>
      <c r="C62" s="350"/>
      <c r="D62" s="350"/>
      <c r="E62" s="350"/>
      <c r="F62" s="350"/>
      <c r="G62" s="351"/>
      <c r="H62" s="254"/>
      <c r="I62" s="352">
        <f>I18-C18</f>
        <v>-0.22000000000000242</v>
      </c>
      <c r="J62" s="352">
        <f>J18-D18</f>
        <v>2.5410000000000004</v>
      </c>
      <c r="K62" s="352">
        <f>K18-E18</f>
        <v>8.2710000000000008</v>
      </c>
      <c r="L62" s="353">
        <f>L18-F18</f>
        <v>-19.948</v>
      </c>
      <c r="M62" s="354">
        <f>M18-G18</f>
        <v>-9.3560000000000088</v>
      </c>
      <c r="N62" s="254"/>
      <c r="O62" s="352">
        <f>O18-I18</f>
        <v>-21.65</v>
      </c>
      <c r="P62" s="352">
        <f>P18-J18</f>
        <v>-22.691000000000003</v>
      </c>
      <c r="Q62" s="352">
        <f>Q18-K18</f>
        <v>-26.618000000000002</v>
      </c>
      <c r="R62" s="353">
        <f>R18-L18</f>
        <v>-0.44200000000000017</v>
      </c>
      <c r="S62" s="354">
        <f>S18-M18</f>
        <v>-71.400999999999996</v>
      </c>
      <c r="T62" s="254"/>
      <c r="U62" s="352">
        <f>U18-O18</f>
        <v>1.3010000000000002</v>
      </c>
      <c r="V62" s="352">
        <f>V18-P18</f>
        <v>0.44399999999999995</v>
      </c>
      <c r="W62" s="352">
        <f>W18-Q18</f>
        <v>1.3419999999999996</v>
      </c>
      <c r="X62" s="353">
        <f>X18-R18</f>
        <v>0.87200000000000166</v>
      </c>
      <c r="Y62" s="354">
        <f>Y18-S18</f>
        <v>3.9589999999999961</v>
      </c>
      <c r="Z62" s="254"/>
      <c r="AA62" s="352">
        <f>AA18-U18</f>
        <v>8.599999999999941E-2</v>
      </c>
      <c r="AB62" s="352">
        <f>AB18-V18</f>
        <v>1.0329999999999995</v>
      </c>
      <c r="AC62" s="352">
        <f>AC18-W18</f>
        <v>0.78200000000000003</v>
      </c>
      <c r="AD62" s="352">
        <f>AD18-X18</f>
        <v>3.9769999999999985</v>
      </c>
      <c r="AE62" s="354">
        <f>AE18-Y18</f>
        <v>5.8780000000000037</v>
      </c>
      <c r="AF62" s="254"/>
      <c r="AG62" s="352">
        <f>AG18-AA18</f>
        <v>2.7430000000000012</v>
      </c>
      <c r="AH62" s="352">
        <f>AH18-AB18</f>
        <v>4.1510000000000007</v>
      </c>
      <c r="AI62" s="352">
        <f>AI18-AC18</f>
        <v>5.0860000000000003</v>
      </c>
      <c r="AJ62" s="352">
        <f>AJ18-AD18</f>
        <v>2.9139999999999997</v>
      </c>
      <c r="AK62" s="354">
        <f>AK18-AE18</f>
        <v>14.894000000000002</v>
      </c>
      <c r="AL62" s="254"/>
      <c r="AM62" s="352">
        <f>AM18-AG18</f>
        <v>2.8949999999999996</v>
      </c>
      <c r="AN62" s="352">
        <f>AN18-AH18</f>
        <v>3.863999999999999</v>
      </c>
      <c r="AO62" s="352">
        <f>AO18-AI18</f>
        <v>1.7870000000000008</v>
      </c>
      <c r="AP62" s="352">
        <f>AP18-AJ18</f>
        <v>2.4369999999999994</v>
      </c>
      <c r="AQ62" s="354">
        <f>AQ18-AK18</f>
        <v>10.982999999999997</v>
      </c>
      <c r="AR62" s="254"/>
      <c r="AS62" s="352">
        <f>AS18-AM18</f>
        <v>5.4030000000000005</v>
      </c>
      <c r="AT62" s="352">
        <f>AT18-AN18</f>
        <v>2.8260000000000005</v>
      </c>
      <c r="AU62" s="352">
        <f>AU18-AO18</f>
        <v>-4.0059999999999985</v>
      </c>
      <c r="AV62" s="352">
        <f>AV18-AP18</f>
        <v>5.5280000000000022</v>
      </c>
      <c r="AW62" s="354">
        <f>AW18-AQ18</f>
        <v>9.7510000000000119</v>
      </c>
      <c r="AX62" s="254"/>
      <c r="AY62" s="352">
        <f>AY18-AS18</f>
        <v>5.7309999999999981</v>
      </c>
      <c r="AZ62" s="352">
        <f>AZ18-AT18</f>
        <v>0.4930000000000021</v>
      </c>
      <c r="BA62" s="352">
        <f>BA18-AU18</f>
        <v>6.4849999999999959</v>
      </c>
      <c r="BB62" s="353">
        <f>BB18-AV18</f>
        <v>-1.6090000000000053</v>
      </c>
      <c r="BC62" s="354">
        <f>BC18-AW18</f>
        <v>11.099999999999987</v>
      </c>
      <c r="BD62" s="254"/>
      <c r="BE62" s="352">
        <f>BE18-AY18</f>
        <v>-5.3339999999999996</v>
      </c>
      <c r="BF62" s="352">
        <f>BF18-AZ18</f>
        <v>-0.82600000000000051</v>
      </c>
      <c r="BG62" s="352">
        <f>BG18-BA18</f>
        <v>1.0809999999999995</v>
      </c>
      <c r="BH62" s="353">
        <f>BH18-BB18</f>
        <v>0.90000000000000213</v>
      </c>
      <c r="BI62" s="354">
        <f>BI18-BC18</f>
        <v>-4.1790000000000163</v>
      </c>
      <c r="BJ62" s="254"/>
      <c r="BK62" s="352">
        <f>BK18-BE18</f>
        <v>2</v>
      </c>
      <c r="BL62" s="352">
        <f>BL18-BF18</f>
        <v>1.8999999999999986</v>
      </c>
      <c r="BM62" s="352">
        <f>BM18-BG18</f>
        <v>0.40000000000000213</v>
      </c>
      <c r="BN62" s="352">
        <f>BN18-BH18</f>
        <v>-0.79999999999999716</v>
      </c>
      <c r="BO62" s="354">
        <f>BO18-BI18</f>
        <v>3.5000000000000284</v>
      </c>
      <c r="BP62" s="254"/>
      <c r="BQ62" s="352">
        <f>BQ18-BK18</f>
        <v>-1.5999999999999979</v>
      </c>
      <c r="BR62" s="352">
        <f>BR18-BL18</f>
        <v>-1.8999999999999986</v>
      </c>
      <c r="BS62" s="352">
        <f>BS18-BM18</f>
        <v>-0.41269972271802402</v>
      </c>
      <c r="BT62" s="353">
        <f>BT18-BN18</f>
        <v>-0.85244314526870468</v>
      </c>
      <c r="BU62" s="354">
        <f>BU18-BO18</f>
        <v>-4.7651428679867394</v>
      </c>
      <c r="BV62" s="254"/>
      <c r="BW62" s="352">
        <f>BW18-BQ18</f>
        <v>-0.16810882339576594</v>
      </c>
      <c r="BX62" s="352">
        <f>BX18-BR18</f>
        <v>0.29956433265619964</v>
      </c>
      <c r="BY62" s="352">
        <f>BY18-BS18</f>
        <v>0.60477604499613946</v>
      </c>
      <c r="BZ62" s="353">
        <f>BZ18-BT18</f>
        <v>0.82044980559325253</v>
      </c>
      <c r="CA62" s="354">
        <f>CA18-BU18</f>
        <v>1.5566813598498328</v>
      </c>
      <c r="CB62" s="254"/>
      <c r="CC62" s="352">
        <f>CC18-BW18</f>
        <v>0.63351896622786796</v>
      </c>
      <c r="CD62" s="352">
        <f>CD18-BX18</f>
        <v>0.79014241654355644</v>
      </c>
      <c r="CE62" s="352">
        <f>CE18-BY18</f>
        <v>0.85023732303744737</v>
      </c>
      <c r="CF62" s="353">
        <f>CF18-BZ18</f>
        <v>0.97420434744461915</v>
      </c>
      <c r="CG62" s="354">
        <f>CG18-CA18</f>
        <v>3.2481030532534874</v>
      </c>
      <c r="CH62" s="254"/>
      <c r="CI62" s="352">
        <f t="shared" ref="CI62:CM62" si="196">CI18-CC18</f>
        <v>1.0886268827042613</v>
      </c>
      <c r="CJ62" s="352">
        <f t="shared" si="196"/>
        <v>1.111456134568602</v>
      </c>
      <c r="CK62" s="352">
        <f t="shared" si="196"/>
        <v>1.0729649110800175</v>
      </c>
      <c r="CL62" s="353">
        <f t="shared" si="196"/>
        <v>1.1289236179140332</v>
      </c>
      <c r="CM62" s="354">
        <f t="shared" si="196"/>
        <v>4.4019715462669069</v>
      </c>
      <c r="CN62" s="254"/>
      <c r="CO62" s="352">
        <f t="shared" ref="CO62:CS62" si="197">CO18-CI18</f>
        <v>1.1474367526807185</v>
      </c>
      <c r="CP62" s="352">
        <f t="shared" si="197"/>
        <v>1.2651762583046562</v>
      </c>
      <c r="CQ62" s="352">
        <f t="shared" si="197"/>
        <v>1.1164172173230185</v>
      </c>
      <c r="CR62" s="353">
        <f t="shared" si="197"/>
        <v>1.2898564516571405</v>
      </c>
      <c r="CS62" s="354">
        <f t="shared" si="197"/>
        <v>4.8188866799655443</v>
      </c>
      <c r="CT62" s="233"/>
      <c r="DA62" s="43"/>
      <c r="DB62" s="43"/>
      <c r="DC62" s="43"/>
      <c r="DD62" s="43"/>
    </row>
    <row r="63" spans="1:116" ht="12.75" hidden="1" customHeight="1" outlineLevel="1" x14ac:dyDescent="0.2">
      <c r="B63" s="349" t="s">
        <v>57</v>
      </c>
      <c r="C63" s="350"/>
      <c r="D63" s="350"/>
      <c r="E63" s="350"/>
      <c r="F63" s="350"/>
      <c r="G63" s="351"/>
      <c r="H63" s="254"/>
      <c r="I63" s="352">
        <f>I24-C24</f>
        <v>3.4180000000000028</v>
      </c>
      <c r="J63" s="352">
        <f>J24-D24</f>
        <v>2.6330000000000062</v>
      </c>
      <c r="K63" s="352">
        <f>K24-E24</f>
        <v>1.2760000000000034</v>
      </c>
      <c r="L63" s="353">
        <f>L24-F24</f>
        <v>31.432999999999986</v>
      </c>
      <c r="M63" s="354">
        <f>M24-G24</f>
        <v>38.760000000000005</v>
      </c>
      <c r="N63" s="254"/>
      <c r="O63" s="352">
        <f>O24-I24</f>
        <v>34.971000000000004</v>
      </c>
      <c r="P63" s="352">
        <f>P24-J24</f>
        <v>42.05299999999999</v>
      </c>
      <c r="Q63" s="352">
        <f>Q24-K24</f>
        <v>43.076000000000001</v>
      </c>
      <c r="R63" s="353">
        <f>R24-L24</f>
        <v>15.328999999999994</v>
      </c>
      <c r="S63" s="354">
        <f>S24-M24</f>
        <v>135.429</v>
      </c>
      <c r="T63" s="254"/>
      <c r="U63" s="352">
        <f>U24-O24</f>
        <v>6.3230000000000004</v>
      </c>
      <c r="V63" s="352">
        <f>V24-P24</f>
        <v>1.2050000000000125</v>
      </c>
      <c r="W63" s="352">
        <f>W24-Q24</f>
        <v>-2.0350000000000037</v>
      </c>
      <c r="X63" s="353">
        <f>X24-R24</f>
        <v>3.1200000000000543</v>
      </c>
      <c r="Y63" s="354">
        <f>Y24-S24</f>
        <v>8.6130000000000564</v>
      </c>
      <c r="Z63" s="254"/>
      <c r="AA63" s="352">
        <f>AA24-U24</f>
        <v>5.8790000000000049</v>
      </c>
      <c r="AB63" s="352">
        <f>AB24-V24</f>
        <v>4.0640000000000001</v>
      </c>
      <c r="AC63" s="352">
        <f>AC24-W24</f>
        <v>8.5989999999999966</v>
      </c>
      <c r="AD63" s="352">
        <f>AD24-X24</f>
        <v>4.1609999999999587</v>
      </c>
      <c r="AE63" s="354">
        <f>AE24-Y24</f>
        <v>22.703000000000003</v>
      </c>
      <c r="AF63" s="254"/>
      <c r="AG63" s="352">
        <f>AG24-AA24</f>
        <v>5.880999999999986</v>
      </c>
      <c r="AH63" s="352">
        <f>AH24-AB24</f>
        <v>6.8789999999999978</v>
      </c>
      <c r="AI63" s="352">
        <f>AI24-AC24</f>
        <v>4.2719999999999771</v>
      </c>
      <c r="AJ63" s="352">
        <f>AJ24-AD24</f>
        <v>5.5079999999999956</v>
      </c>
      <c r="AK63" s="354">
        <f>AK24-AE24</f>
        <v>22.539999999999935</v>
      </c>
      <c r="AL63" s="254"/>
      <c r="AM63" s="352">
        <f>AM24-AG24</f>
        <v>7.1100000000000136</v>
      </c>
      <c r="AN63" s="352">
        <f>AN24-AH24</f>
        <v>10.120999999999967</v>
      </c>
      <c r="AO63" s="352">
        <f>AO24-AI24</f>
        <v>12.01600000000002</v>
      </c>
      <c r="AP63" s="352">
        <f>AP24-AJ24</f>
        <v>18.631</v>
      </c>
      <c r="AQ63" s="354">
        <f>AQ24-AK24</f>
        <v>47.878000000000043</v>
      </c>
      <c r="AR63" s="254"/>
      <c r="AS63" s="352">
        <f>AS24-AM24</f>
        <v>34.322000000000017</v>
      </c>
      <c r="AT63" s="352">
        <f>AT24-AN24</f>
        <v>27.903000000000034</v>
      </c>
      <c r="AU63" s="352">
        <f>AU24-AO24</f>
        <v>10.943999999999988</v>
      </c>
      <c r="AV63" s="352">
        <f>AV24-AP24</f>
        <v>-9.6809999999999548</v>
      </c>
      <c r="AW63" s="354">
        <f>AW24-AQ24</f>
        <v>63.487999999999943</v>
      </c>
      <c r="AX63" s="254"/>
      <c r="AY63" s="352">
        <f>AY24-AS24</f>
        <v>-53.634000000000043</v>
      </c>
      <c r="AZ63" s="352">
        <f>AZ24-AT24</f>
        <v>-39.700000000000003</v>
      </c>
      <c r="BA63" s="352">
        <f>BA24-AU24</f>
        <v>-22.816999999999979</v>
      </c>
      <c r="BB63" s="353">
        <f>BB24-AV24</f>
        <v>-8.0610737810192603</v>
      </c>
      <c r="BC63" s="354">
        <f>BC24-AW24</f>
        <v>-124.21207378101917</v>
      </c>
      <c r="BD63" s="254"/>
      <c r="BE63" s="352">
        <f>BE24-AY24</f>
        <v>17.161383836686795</v>
      </c>
      <c r="BF63" s="352">
        <f>BF24-AZ24</f>
        <v>4.6002220280013404</v>
      </c>
      <c r="BG63" s="352">
        <f>BG24-BA24</f>
        <v>-0.42097937742502722</v>
      </c>
      <c r="BH63" s="353">
        <f>BH24-BB24</f>
        <v>-9.1739262189807533</v>
      </c>
      <c r="BI63" s="354">
        <f>BI24-BC24</f>
        <v>12.166700268282398</v>
      </c>
      <c r="BJ63" s="254"/>
      <c r="BK63" s="352">
        <f>BK24-BE24</f>
        <v>-24.825185320936626</v>
      </c>
      <c r="BL63" s="352">
        <f>BL24-BF24</f>
        <v>-24.739869177881985</v>
      </c>
      <c r="BM63" s="352">
        <f>BM24-BG24</f>
        <v>-21.806895528158833</v>
      </c>
      <c r="BN63" s="352">
        <f>BN24-BH24</f>
        <v>-11.040055649526323</v>
      </c>
      <c r="BO63" s="354">
        <f>BO24-BI24</f>
        <v>-82.412005676503725</v>
      </c>
      <c r="BP63" s="254"/>
      <c r="BQ63" s="352">
        <f>BQ24-BK24</f>
        <v>3.0674375043368514</v>
      </c>
      <c r="BR63" s="352">
        <f>BR24-BL24</f>
        <v>4.5260318001974156</v>
      </c>
      <c r="BS63" s="352">
        <f>BS24-BM24</f>
        <v>1.1839948209663476</v>
      </c>
      <c r="BT63" s="353">
        <f>BT24-BN24</f>
        <v>-0.83692941217876182</v>
      </c>
      <c r="BU63" s="354">
        <f>BU24-BO24</f>
        <v>7.9405347133218243</v>
      </c>
      <c r="BV63" s="254"/>
      <c r="BW63" s="352">
        <f>BW24-BQ24</f>
        <v>1.4689440720908777</v>
      </c>
      <c r="BX63" s="352">
        <f>BX24-BR24</f>
        <v>2.1636499032831153</v>
      </c>
      <c r="BY63" s="352">
        <f>BY24-BS24</f>
        <v>4.1260158635410704</v>
      </c>
      <c r="BZ63" s="353">
        <f>BZ24-BT24</f>
        <v>5.2476324056675594</v>
      </c>
      <c r="CA63" s="354">
        <f>CA24-BU24</f>
        <v>13.006242244582666</v>
      </c>
      <c r="CB63" s="254"/>
      <c r="CC63" s="352">
        <f>CC24-BW24</f>
        <v>2.9185819551857861</v>
      </c>
      <c r="CD63" s="352">
        <f>CD24-BX24</f>
        <v>3.2973720674962834</v>
      </c>
      <c r="CE63" s="352">
        <f>CE24-BY24</f>
        <v>2.8420017305401046</v>
      </c>
      <c r="CF63" s="353">
        <f>CF24-BZ24</f>
        <v>2.8828275905497946</v>
      </c>
      <c r="CG63" s="354">
        <f>CG24-CA24</f>
        <v>11.940783343771898</v>
      </c>
      <c r="CH63" s="254"/>
      <c r="CI63" s="352">
        <f t="shared" ref="CI63:CM63" si="198">CI24-CC24</f>
        <v>3.167808816494869</v>
      </c>
      <c r="CJ63" s="352">
        <f t="shared" si="198"/>
        <v>3.5729813235556378</v>
      </c>
      <c r="CK63" s="352">
        <f t="shared" si="198"/>
        <v>3.0860489657231369</v>
      </c>
      <c r="CL63" s="353">
        <f t="shared" si="198"/>
        <v>3.0318540453513378</v>
      </c>
      <c r="CM63" s="354">
        <f t="shared" si="198"/>
        <v>12.858693151125067</v>
      </c>
      <c r="CN63" s="254"/>
      <c r="CO63" s="352">
        <f t="shared" ref="CO63:CS63" si="199">CO24-CI24</f>
        <v>3.2507722017701894</v>
      </c>
      <c r="CP63" s="352">
        <f t="shared" si="199"/>
        <v>4.0391707873686755</v>
      </c>
      <c r="CQ63" s="352">
        <f t="shared" si="199"/>
        <v>3.618034019596621</v>
      </c>
      <c r="CR63" s="353">
        <f t="shared" si="199"/>
        <v>3.9271125931652477</v>
      </c>
      <c r="CS63" s="354">
        <f t="shared" si="199"/>
        <v>14.835089601900563</v>
      </c>
      <c r="CT63" s="233"/>
      <c r="DA63" s="43"/>
      <c r="DB63" s="43"/>
      <c r="DC63" s="43"/>
      <c r="DD63" s="43"/>
    </row>
    <row r="64" spans="1:116" s="43" customFormat="1" ht="12.75" customHeight="1" collapsed="1" x14ac:dyDescent="0.2">
      <c r="B64" s="826" t="s">
        <v>376</v>
      </c>
      <c r="C64" s="841"/>
      <c r="D64" s="841"/>
      <c r="E64" s="841"/>
      <c r="F64" s="841"/>
      <c r="G64" s="842"/>
      <c r="H64" s="843"/>
      <c r="I64" s="844"/>
      <c r="J64" s="844"/>
      <c r="K64" s="844"/>
      <c r="L64" s="844"/>
      <c r="M64" s="845"/>
      <c r="N64" s="843"/>
      <c r="O64" s="844"/>
      <c r="P64" s="844"/>
      <c r="Q64" s="844"/>
      <c r="R64" s="844"/>
      <c r="S64" s="845"/>
      <c r="T64" s="843"/>
      <c r="U64" s="844"/>
      <c r="V64" s="844"/>
      <c r="W64" s="844"/>
      <c r="X64" s="844"/>
      <c r="Y64" s="845"/>
      <c r="Z64" s="843"/>
      <c r="AA64" s="844"/>
      <c r="AB64" s="844"/>
      <c r="AC64" s="844"/>
      <c r="AD64" s="844"/>
      <c r="AE64" s="845"/>
      <c r="AF64" s="843"/>
      <c r="AG64" s="844"/>
      <c r="AH64" s="844"/>
      <c r="AI64" s="844"/>
      <c r="AJ64" s="844"/>
      <c r="AK64" s="842">
        <f>+AK20/AK$8</f>
        <v>0.50609973689781362</v>
      </c>
      <c r="AL64" s="843"/>
      <c r="AM64" s="844"/>
      <c r="AN64" s="844"/>
      <c r="AO64" s="844"/>
      <c r="AP64" s="844"/>
      <c r="AQ64" s="842">
        <f>+AQ20/AQ8</f>
        <v>0.49799156833804931</v>
      </c>
      <c r="AR64" s="843"/>
      <c r="AS64" s="846">
        <f>+AS20/AS8</f>
        <v>0.46467819447119774</v>
      </c>
      <c r="AT64" s="846">
        <f>+AT20/AT8</f>
        <v>0.46280505733607763</v>
      </c>
      <c r="AU64" s="846">
        <f>+AU20/AU8</f>
        <v>0.47933568039185681</v>
      </c>
      <c r="AV64" s="846">
        <f>+AV20/AV8</f>
        <v>0.53797049241119899</v>
      </c>
      <c r="AW64" s="847">
        <f>+AW20/AW8</f>
        <v>0.48541022029873454</v>
      </c>
      <c r="AX64" s="848"/>
      <c r="AY64" s="849">
        <f>+AY20/AY8</f>
        <v>0.6201365814365335</v>
      </c>
      <c r="AZ64" s="849">
        <f>+AZ20/AZ8</f>
        <v>0.5572445808680373</v>
      </c>
      <c r="BA64" s="849">
        <f>+BA20/BA8</f>
        <v>0.54145067644525935</v>
      </c>
      <c r="BB64" s="849">
        <f>+BB20/BB8</f>
        <v>0.54878519697236672</v>
      </c>
      <c r="BC64" s="847">
        <f>+BC20/BC8</f>
        <v>0.5657768846484944</v>
      </c>
      <c r="BD64" s="848"/>
      <c r="BE64" s="849">
        <f>+BE20/BE8</f>
        <v>0.54813513578428485</v>
      </c>
      <c r="BF64" s="849">
        <f>+BF20/BF8</f>
        <v>0.53960587613566124</v>
      </c>
      <c r="BG64" s="849">
        <f>+BG20/BG8</f>
        <v>0.54850454386684688</v>
      </c>
      <c r="BH64" s="849">
        <f>+BH20/BH8</f>
        <v>0.57640750670241281</v>
      </c>
      <c r="BI64" s="847">
        <f>+BI20/BI8</f>
        <v>0.55303613446112521</v>
      </c>
      <c r="BJ64" s="848"/>
      <c r="BK64" s="849">
        <f>+BK27/BK8</f>
        <v>0.61349970260524334</v>
      </c>
      <c r="BL64" s="849">
        <f>+BL27/BL8</f>
        <v>0.55610800279696648</v>
      </c>
      <c r="BM64" s="849">
        <f>+BM27/BM8</f>
        <v>0.56158952803417528</v>
      </c>
      <c r="BN64" s="849">
        <f>+BN27/BN8</f>
        <v>0.56518410478786829</v>
      </c>
      <c r="BO64" s="847">
        <f>+BO27/BO8</f>
        <v>0.57307157432536227</v>
      </c>
      <c r="BP64" s="848"/>
      <c r="BQ64" s="849">
        <f>+BQ27/BQ8</f>
        <v>0.5347499444117535</v>
      </c>
      <c r="BR64" s="849">
        <f>+BR27/BR8</f>
        <v>0.52116304164048399</v>
      </c>
      <c r="BS64" s="849">
        <f>+BS27/BS8</f>
        <v>0.5395695555504515</v>
      </c>
      <c r="BT64" s="849">
        <f>+BT27/BT8</f>
        <v>0.55030005697458695</v>
      </c>
      <c r="BU64" s="847">
        <f>+BU27/BU8</f>
        <v>0.53649517490226839</v>
      </c>
      <c r="BV64" s="848"/>
      <c r="BW64" s="849">
        <f>+BW27/BW8</f>
        <v>0.49222180377913721</v>
      </c>
      <c r="BX64" s="849">
        <f>+BX27/BX8</f>
        <v>0.48740865104223485</v>
      </c>
      <c r="BY64" s="849">
        <f>+BY27/BY8</f>
        <v>0.50660325899228698</v>
      </c>
      <c r="BZ64" s="849">
        <f>+BZ27/BZ8</f>
        <v>0.52115603657624188</v>
      </c>
      <c r="CA64" s="847">
        <f>+CA27/CA8</f>
        <v>0.50216819613496311</v>
      </c>
      <c r="CB64" s="848"/>
      <c r="CC64" s="849">
        <f>+CC27/CC8</f>
        <v>0.48245493702329545</v>
      </c>
      <c r="CD64" s="849">
        <f>+CD27/CD8</f>
        <v>0.48005623305908446</v>
      </c>
      <c r="CE64" s="849">
        <f>+CE27/CE8</f>
        <v>0.49976120231831195</v>
      </c>
      <c r="CF64" s="849">
        <f>+CF27/CF8</f>
        <v>0.51547463955411088</v>
      </c>
      <c r="CG64" s="847">
        <f>+CG27/CG8</f>
        <v>0.49486277866612777</v>
      </c>
      <c r="CH64" s="848"/>
      <c r="CI64" s="849">
        <f t="shared" ref="CI64:CM64" si="200">+CI27/CI8</f>
        <v>0.47689148170955292</v>
      </c>
      <c r="CJ64" s="849">
        <f t="shared" si="200"/>
        <v>0.47552307891593704</v>
      </c>
      <c r="CK64" s="849">
        <f t="shared" si="200"/>
        <v>0.49484795728606773</v>
      </c>
      <c r="CL64" s="849">
        <f t="shared" si="200"/>
        <v>0.51101772166475479</v>
      </c>
      <c r="CM64" s="847">
        <f t="shared" si="200"/>
        <v>0.48998546515999131</v>
      </c>
      <c r="CN64" s="848"/>
      <c r="CO64" s="849">
        <f t="shared" ref="CO64:CS64" si="201">+CO27/CO8</f>
        <v>0.47219824801832411</v>
      </c>
      <c r="CP64" s="849">
        <f t="shared" si="201"/>
        <v>0.47236402167136221</v>
      </c>
      <c r="CQ64" s="849">
        <f t="shared" si="201"/>
        <v>0.49055377282492718</v>
      </c>
      <c r="CR64" s="849">
        <f t="shared" si="201"/>
        <v>0.50768345910194213</v>
      </c>
      <c r="CS64" s="847">
        <f t="shared" si="201"/>
        <v>0.48611972585642926</v>
      </c>
      <c r="CT64" s="233"/>
      <c r="CU64"/>
      <c r="CV64"/>
      <c r="CW64"/>
      <c r="CX64"/>
      <c r="CY64"/>
      <c r="CZ64"/>
    </row>
    <row r="65" spans="1:117" s="43" customFormat="1" ht="12.75" customHeight="1" x14ac:dyDescent="0.2">
      <c r="B65" s="826" t="s">
        <v>380</v>
      </c>
      <c r="C65" s="841"/>
      <c r="D65" s="841"/>
      <c r="E65" s="841"/>
      <c r="F65" s="841"/>
      <c r="G65" s="842"/>
      <c r="H65" s="843"/>
      <c r="I65" s="844"/>
      <c r="J65" s="844"/>
      <c r="K65" s="844"/>
      <c r="L65" s="844"/>
      <c r="M65" s="845"/>
      <c r="N65" s="843"/>
      <c r="O65" s="844"/>
      <c r="P65" s="844"/>
      <c r="Q65" s="844"/>
      <c r="R65" s="844"/>
      <c r="S65" s="845"/>
      <c r="T65" s="843"/>
      <c r="U65" s="844"/>
      <c r="V65" s="844"/>
      <c r="W65" s="844"/>
      <c r="X65" s="844"/>
      <c r="Y65" s="845"/>
      <c r="Z65" s="843"/>
      <c r="AA65" s="844"/>
      <c r="AB65" s="844"/>
      <c r="AC65" s="844"/>
      <c r="AD65" s="844"/>
      <c r="AE65" s="845"/>
      <c r="AF65" s="843"/>
      <c r="AG65" s="844"/>
      <c r="AH65" s="844"/>
      <c r="AI65" s="844"/>
      <c r="AJ65" s="844"/>
      <c r="AK65" s="842">
        <f>+AK24/AK$8</f>
        <v>0.36354069011401091</v>
      </c>
      <c r="AL65" s="843"/>
      <c r="AM65" s="844"/>
      <c r="AN65" s="844"/>
      <c r="AO65" s="844"/>
      <c r="AP65" s="844"/>
      <c r="AQ65" s="842">
        <f>+AQ24/AQ$8</f>
        <v>0.37216083762119501</v>
      </c>
      <c r="AR65" s="843"/>
      <c r="AS65" s="846"/>
      <c r="AT65" s="846"/>
      <c r="AU65" s="846"/>
      <c r="AV65" s="846"/>
      <c r="AW65" s="842">
        <f>+AW24/AW$8</f>
        <v>0.37481110642803533</v>
      </c>
      <c r="AX65" s="848"/>
      <c r="AY65" s="849"/>
      <c r="AZ65" s="849"/>
      <c r="BA65" s="849"/>
      <c r="BB65" s="849"/>
      <c r="BC65" s="842">
        <f>+BC24/BC$8</f>
        <v>0.23160626604349835</v>
      </c>
      <c r="BD65" s="848"/>
      <c r="BE65" s="849">
        <f>+BE24/BE$8</f>
        <v>0.25298879606336533</v>
      </c>
      <c r="BF65" s="849">
        <f t="shared" ref="BF65:BI65" si="202">+BF24/BF$8</f>
        <v>0.2503461989256251</v>
      </c>
      <c r="BG65" s="849">
        <f t="shared" si="202"/>
        <v>0.24049179428198345</v>
      </c>
      <c r="BH65" s="849">
        <f t="shared" si="202"/>
        <v>0.20911528150134059</v>
      </c>
      <c r="BI65" s="847">
        <f t="shared" si="202"/>
        <v>0.23829851665248725</v>
      </c>
      <c r="BJ65" s="848"/>
      <c r="BK65" s="849">
        <f>+BK28/BK$8</f>
        <v>0.16053817463657086</v>
      </c>
      <c r="BL65" s="849">
        <f t="shared" ref="BL65:BO65" si="203">+BL28/BL$8</f>
        <v>0.15740115313019939</v>
      </c>
      <c r="BM65" s="849">
        <f t="shared" si="203"/>
        <v>0.1418223703500508</v>
      </c>
      <c r="BN65" s="849">
        <f t="shared" ref="BN65" si="204">+BN28/BN$8</f>
        <v>0.14175874047440645</v>
      </c>
      <c r="BO65" s="847">
        <f t="shared" si="203"/>
        <v>0.15008163381268436</v>
      </c>
      <c r="BP65" s="848"/>
      <c r="BQ65" s="849">
        <f>+BQ28/BQ$8</f>
        <v>0.13259996307175731</v>
      </c>
      <c r="BR65" s="849">
        <f t="shared" ref="BR65" si="205">+BR28/BR$8</f>
        <v>0.13857651629467713</v>
      </c>
      <c r="BS65" s="849">
        <f>+BS28/BS$8</f>
        <v>0.113806853552736</v>
      </c>
      <c r="BT65" s="849">
        <f t="shared" ref="BT65:CG65" si="206">+BT28/BT$8</f>
        <v>0.10441288910857513</v>
      </c>
      <c r="BU65" s="847">
        <f t="shared" si="206"/>
        <v>0.12226923685270154</v>
      </c>
      <c r="BV65" s="848"/>
      <c r="BW65" s="849">
        <f t="shared" ref="BW65" si="207">+BW28/BW$8</f>
        <v>0.12523307984493973</v>
      </c>
      <c r="BX65" s="849">
        <f t="shared" si="206"/>
        <v>0.12273959792801437</v>
      </c>
      <c r="BY65" s="849">
        <f t="shared" si="206"/>
        <v>0.1013428128307248</v>
      </c>
      <c r="BZ65" s="849">
        <f t="shared" si="206"/>
        <v>9.1949940222291318E-2</v>
      </c>
      <c r="CA65" s="847">
        <f t="shared" si="206"/>
        <v>0.10994909898331214</v>
      </c>
      <c r="CB65" s="848"/>
      <c r="CC65" s="849">
        <f t="shared" ref="CC65" si="208">+CC28/CC$8</f>
        <v>0.10093797474110681</v>
      </c>
      <c r="CD65" s="849">
        <f t="shared" si="206"/>
        <v>9.7054014306663869E-2</v>
      </c>
      <c r="CE65" s="849">
        <f t="shared" si="206"/>
        <v>7.1508113181977501E-2</v>
      </c>
      <c r="CF65" s="849">
        <f t="shared" si="206"/>
        <v>6.0650007031959177E-2</v>
      </c>
      <c r="CG65" s="847">
        <f t="shared" si="206"/>
        <v>8.2015079959962406E-2</v>
      </c>
      <c r="CH65" s="848"/>
      <c r="CI65" s="849">
        <f t="shared" ref="CI65:CS65" si="209">+CI28/CI$8</f>
        <v>7.2393453522530057E-2</v>
      </c>
      <c r="CJ65" s="849">
        <f t="shared" si="209"/>
        <v>7.2184994524199228E-2</v>
      </c>
      <c r="CK65" s="849">
        <f t="shared" si="209"/>
        <v>4.750093991337858E-2</v>
      </c>
      <c r="CL65" s="849">
        <f t="shared" si="209"/>
        <v>3.9262235281048247E-2</v>
      </c>
      <c r="CM65" s="847">
        <f t="shared" si="209"/>
        <v>5.7435279830534279E-2</v>
      </c>
      <c r="CN65" s="848"/>
      <c r="CO65" s="849">
        <f t="shared" si="209"/>
        <v>5.1366956672443315E-2</v>
      </c>
      <c r="CP65" s="849">
        <f t="shared" si="209"/>
        <v>5.2801971425478003E-2</v>
      </c>
      <c r="CQ65" s="849">
        <f t="shared" si="209"/>
        <v>2.6307522307862066E-2</v>
      </c>
      <c r="CR65" s="849">
        <f t="shared" si="209"/>
        <v>1.8541164735673993E-2</v>
      </c>
      <c r="CS65" s="847">
        <f t="shared" si="209"/>
        <v>3.6886427572152047E-2</v>
      </c>
      <c r="CT65" s="858"/>
      <c r="CU65"/>
      <c r="CV65"/>
      <c r="CW65"/>
      <c r="CX65"/>
      <c r="CY65"/>
      <c r="CZ65"/>
    </row>
    <row r="66" spans="1:117" x14ac:dyDescent="0.2">
      <c r="A66" s="43"/>
      <c r="B66" s="445" t="str">
        <f>+B24</f>
        <v>Operating Income / Loss</v>
      </c>
      <c r="C66" s="317">
        <f>+C24/C8</f>
        <v>-0.44718719255880524</v>
      </c>
      <c r="D66" s="317">
        <f>+D24/D8</f>
        <v>-0.30615322472061407</v>
      </c>
      <c r="E66" s="317">
        <f>+E24/E8</f>
        <v>-0.22191847693434219</v>
      </c>
      <c r="F66" s="317">
        <f>+F24/F8</f>
        <v>-0.26971282818065856</v>
      </c>
      <c r="G66" s="377">
        <f>+G24/G8</f>
        <v>-0.30374985680282079</v>
      </c>
      <c r="H66" s="254"/>
      <c r="I66" s="317">
        <f>+I24/I8</f>
        <v>-0.23996187792649071</v>
      </c>
      <c r="J66" s="317">
        <f>+J24/J8</f>
        <v>-0.15396002960769795</v>
      </c>
      <c r="K66" s="317">
        <f>+K24/K8</f>
        <v>-0.126544159313527</v>
      </c>
      <c r="L66" s="317">
        <f>+L24/L8</f>
        <v>0.29634497046909297</v>
      </c>
      <c r="M66" s="377">
        <f>+M24/M8</f>
        <v>-3.8742541617880301E-2</v>
      </c>
      <c r="N66" s="254"/>
      <c r="O66" s="317">
        <f>+O24/O8</f>
        <v>0.33429571928821555</v>
      </c>
      <c r="P66" s="317">
        <f>+P24/P8</f>
        <v>0.39685772822565268</v>
      </c>
      <c r="Q66" s="317">
        <f>+Q24/Q8</f>
        <v>0.40748402306687781</v>
      </c>
      <c r="R66" s="317">
        <f>+R24/R8</f>
        <v>0.40074814995527352</v>
      </c>
      <c r="S66" s="377">
        <f>+S24/S8</f>
        <v>0.38729415944163881</v>
      </c>
      <c r="T66" s="254"/>
      <c r="U66" s="317">
        <f>+U24/U8</f>
        <v>0.34905194896736452</v>
      </c>
      <c r="V66" s="317">
        <f>+V24/V8</f>
        <v>0.37213263194204904</v>
      </c>
      <c r="W66" s="317">
        <f>+W24/W8</f>
        <v>0.36579324011890346</v>
      </c>
      <c r="X66" s="317">
        <f>+X24/X8</f>
        <v>0.40047696107656955</v>
      </c>
      <c r="Y66" s="377">
        <f>+Y24/Y8</f>
        <v>0.37246861970836742</v>
      </c>
      <c r="Z66" s="254"/>
      <c r="AA66" s="317">
        <f>+AA24/AA8</f>
        <v>0.38745672668684283</v>
      </c>
      <c r="AB66" s="317">
        <f>+AB24/AB8</f>
        <v>0.38416965352449228</v>
      </c>
      <c r="AC66" s="317">
        <f>+AC24/AC8</f>
        <v>0.40854123117197727</v>
      </c>
      <c r="AD66" s="317">
        <f>+AD24/AD8</f>
        <v>0.38894164525378916</v>
      </c>
      <c r="AE66" s="377">
        <f>+AE24/AE8</f>
        <v>0.3924005929109341</v>
      </c>
      <c r="AF66" s="254"/>
      <c r="AG66" s="317">
        <f>+AG24/AG8</f>
        <v>0.37547531959584252</v>
      </c>
      <c r="AH66" s="317">
        <f>+AH24/AH8</f>
        <v>0.3702029948457386</v>
      </c>
      <c r="AI66" s="317">
        <f>+AI24/AI8</f>
        <v>0.35519390955253999</v>
      </c>
      <c r="AJ66" s="317">
        <f>+AJ24/AJ8</f>
        <v>0.35561989997367727</v>
      </c>
      <c r="AK66" s="377">
        <f>+AK24/AK8</f>
        <v>0.36354069011401091</v>
      </c>
      <c r="AL66" s="254"/>
      <c r="AM66" s="317">
        <f>+AM24/AM8</f>
        <v>0.36408192630229996</v>
      </c>
      <c r="AN66" s="317">
        <f>+AN24/AN8</f>
        <v>0.37271020517634423</v>
      </c>
      <c r="AO66" s="317">
        <f>+AO24/AO8</f>
        <v>0.37138913032363613</v>
      </c>
      <c r="AP66" s="317">
        <f>+AP24/AP8</f>
        <v>0.37857520273840423</v>
      </c>
      <c r="AQ66" s="377">
        <f>+AQ24/AQ8</f>
        <v>0.37216083762119501</v>
      </c>
      <c r="AR66" s="254"/>
      <c r="AS66" s="317">
        <f>+AS24/AS8</f>
        <v>0.40946919744946098</v>
      </c>
      <c r="AT66" s="317">
        <f>+AT24/AT8</f>
        <v>0.40913946878369106</v>
      </c>
      <c r="AU66" s="317">
        <f>+AU24/AU8</f>
        <v>0.37751197218516969</v>
      </c>
      <c r="AV66" s="317">
        <f>+AV24/AV8</f>
        <v>0.29791009985961403</v>
      </c>
      <c r="AW66" s="377">
        <f>+AW24/AW8</f>
        <v>0.37481110642803533</v>
      </c>
      <c r="AX66" s="254"/>
      <c r="AY66" s="317">
        <f>+AY24/AY8</f>
        <v>0.17336247386532563</v>
      </c>
      <c r="AZ66" s="317">
        <f>+AZ24/AZ8</f>
        <v>0.23747647687276632</v>
      </c>
      <c r="BA66" s="317">
        <f>+BA24/BA8</f>
        <v>0.2569047420618385</v>
      </c>
      <c r="BB66" s="317">
        <f>+BB24/BB8</f>
        <v>0.25371533194832657</v>
      </c>
      <c r="BC66" s="377">
        <f>+BC24/BC8</f>
        <v>0.23160626604349835</v>
      </c>
      <c r="BD66" s="254"/>
      <c r="BE66" s="317">
        <f>+BE24/BE8</f>
        <v>0.25298879606336533</v>
      </c>
      <c r="BF66" s="317">
        <f>+BF24/BF8</f>
        <v>0.2503461989256251</v>
      </c>
      <c r="BG66" s="317">
        <f>+BG24/BG8</f>
        <v>0.24049179428198345</v>
      </c>
      <c r="BH66" s="317">
        <f>+BH24/BH8</f>
        <v>0.20911528150134059</v>
      </c>
      <c r="BI66" s="377">
        <f>+BI24/BI8</f>
        <v>0.23829851665248725</v>
      </c>
      <c r="BJ66" s="254"/>
      <c r="BK66" s="317">
        <f>+BK24/BK8</f>
        <v>0.12172081142187849</v>
      </c>
      <c r="BL66" s="317">
        <f>+BL24/BL8</f>
        <v>0.12032272051362795</v>
      </c>
      <c r="BM66" s="317">
        <f>+BM24/BM8</f>
        <v>0.12193889544282044</v>
      </c>
      <c r="BN66" s="317">
        <f>+BN24/BN8</f>
        <v>0.13947895895645865</v>
      </c>
      <c r="BO66" s="377">
        <f>+BO24/BO8</f>
        <v>0.12603482714736439</v>
      </c>
      <c r="BP66" s="254"/>
      <c r="BQ66" s="317">
        <f>+BQ24/BQ8</f>
        <v>0.12974267378197923</v>
      </c>
      <c r="BR66" s="317">
        <f>+BR24/BR8</f>
        <v>0.14525237158884408</v>
      </c>
      <c r="BS66" s="317">
        <f>+BS24/BS8</f>
        <v>0.13270445041568135</v>
      </c>
      <c r="BT66" s="317">
        <f>+BT24/BT8</f>
        <v>0.13754407800619514</v>
      </c>
      <c r="BU66" s="377">
        <f>+BU24/BU8</f>
        <v>0.13636767109421186</v>
      </c>
      <c r="BV66" s="254"/>
      <c r="BW66" s="317">
        <f>+BW24/BW8</f>
        <v>0.13729289755093407</v>
      </c>
      <c r="BX66" s="317">
        <f>+BX24/BX8</f>
        <v>0.15183887765756579</v>
      </c>
      <c r="BY66" s="317">
        <f>+BY24/BY8</f>
        <v>0.14749999020963839</v>
      </c>
      <c r="BZ66" s="317">
        <f>+BZ24/BZ8</f>
        <v>0.15515869130791801</v>
      </c>
      <c r="CA66" s="377">
        <f>+CA24/CA8</f>
        <v>0.1481534230544089</v>
      </c>
      <c r="CB66" s="254"/>
      <c r="CC66" s="317">
        <f>+CC24/CC8</f>
        <v>0.14565963886855765</v>
      </c>
      <c r="CD66" s="317">
        <f>+CD24/CD8</f>
        <v>0.15892062068701884</v>
      </c>
      <c r="CE66" s="317">
        <f>+CE24/CE8</f>
        <v>0.15264309271070114</v>
      </c>
      <c r="CF66" s="317">
        <f>+CF24/CF8</f>
        <v>0.15874896617397766</v>
      </c>
      <c r="CG66" s="377">
        <f>+CG24/CG8</f>
        <v>0.15417317409869907</v>
      </c>
      <c r="CH66" s="254"/>
      <c r="CI66" s="317">
        <f t="shared" ref="CI66:CM66" si="210">+CI24/CI8</f>
        <v>0.15067360139600997</v>
      </c>
      <c r="CJ66" s="317">
        <f t="shared" si="210"/>
        <v>0.16342988842541492</v>
      </c>
      <c r="CK66" s="317">
        <f t="shared" si="210"/>
        <v>0.15634135475182218</v>
      </c>
      <c r="CL66" s="317">
        <f t="shared" si="210"/>
        <v>0.1611340490768077</v>
      </c>
      <c r="CM66" s="377">
        <f t="shared" si="210"/>
        <v>0.15804403908083184</v>
      </c>
      <c r="CN66" s="254"/>
      <c r="CO66" s="317">
        <f t="shared" ref="CO66:CS66" si="211">+CO24/CO8</f>
        <v>0.15474861274544563</v>
      </c>
      <c r="CP66" s="317">
        <f t="shared" si="211"/>
        <v>0.16769224743837643</v>
      </c>
      <c r="CQ66" s="317">
        <f t="shared" si="211"/>
        <v>0.16123046561336951</v>
      </c>
      <c r="CR66" s="317">
        <f t="shared" si="211"/>
        <v>0.16530538000292014</v>
      </c>
      <c r="CS66" s="377">
        <f t="shared" si="211"/>
        <v>0.16240771755069219</v>
      </c>
      <c r="CT66" s="466"/>
      <c r="DA66" s="43"/>
      <c r="DB66" s="43"/>
      <c r="DC66" s="43"/>
      <c r="DD66" s="43"/>
      <c r="DJ66" s="717"/>
      <c r="DK66" s="717"/>
    </row>
    <row r="67" spans="1:117" ht="12.75" hidden="1" customHeight="1" outlineLevel="1" x14ac:dyDescent="0.2">
      <c r="A67" s="43"/>
      <c r="B67" s="90" t="s">
        <v>220</v>
      </c>
      <c r="C67" s="317"/>
      <c r="D67" s="317"/>
      <c r="E67" s="317"/>
      <c r="F67" s="317"/>
      <c r="G67" s="377"/>
      <c r="H67" s="256"/>
      <c r="I67" s="317">
        <f>+(I24-C24)/(I8-C8)</f>
        <v>0.23215377300821863</v>
      </c>
      <c r="J67" s="317">
        <f>+(J24-D24)/(J8-D8)</f>
        <v>0.13428877441730028</v>
      </c>
      <c r="K67" s="317">
        <f>+(K24-E24)/(K8-E8)</f>
        <v>6.1360904063476954E-2</v>
      </c>
      <c r="L67" s="317">
        <f>+(L24-F24)/(L8-F8)</f>
        <v>1.6371354166666663</v>
      </c>
      <c r="M67" s="377">
        <f>+(M24-G24)/(M8-G8)</f>
        <v>0.52149344096871864</v>
      </c>
      <c r="N67" s="256"/>
      <c r="O67" s="317">
        <f>+(O24-I24)/(O8-I8)</f>
        <v>1.6116410894511266</v>
      </c>
      <c r="P67" s="317">
        <f>+(P24-J24)/(P8-J8)</f>
        <v>1.5454979786843068</v>
      </c>
      <c r="Q67" s="317">
        <f>+(Q24-K24)/(Q8-K8)</f>
        <v>1.7393200355325846</v>
      </c>
      <c r="R67" s="317">
        <f>+(R24-L24)/(R8-L8)</f>
        <v>0.7162749404233445</v>
      </c>
      <c r="S67" s="377">
        <f>+(S24-M24)/(S8-M8)</f>
        <v>1.4244288779502714</v>
      </c>
      <c r="T67" s="256"/>
      <c r="U67" s="317">
        <f>+(U24-O24)/(U8-O8)</f>
        <v>0.41716698555123055</v>
      </c>
      <c r="V67" s="317">
        <f>+(V24-P24)/(V8-P8)</f>
        <v>0.13668330308530083</v>
      </c>
      <c r="W67" s="317">
        <f>+(W24-Q24)/(W8-Q8)</f>
        <v>-0.47336589904629156</v>
      </c>
      <c r="X67" s="317">
        <f>+(X24-R24)/(X8-R8)</f>
        <v>0.39750286660721568</v>
      </c>
      <c r="Y67" s="377">
        <f>+(Y24-S24)/(Y8-S8)</f>
        <v>0.23844854793610495</v>
      </c>
      <c r="Z67" s="256"/>
      <c r="AA67" s="317">
        <f>+(AA24-U24)/(AA8-U8)</f>
        <v>0.87277315914489328</v>
      </c>
      <c r="AB67" s="317">
        <f>+(AB24-V24)/(AB8-V8)</f>
        <v>0.52971845672575624</v>
      </c>
      <c r="AC67" s="317">
        <f>+(AC24-W24)/(AC8-W8)</f>
        <v>0.74488911988911977</v>
      </c>
      <c r="AD67" s="317">
        <f>+(AD24-X24)/(AD8-X8)</f>
        <v>0.30858795609611162</v>
      </c>
      <c r="AE67" s="377">
        <f>+(AE24-Y24)/(AE8-Y8)</f>
        <v>0.57569226087838477</v>
      </c>
      <c r="AF67" s="256"/>
      <c r="AG67" s="317">
        <f>+(AG24-AA24)/(AG8-AA8)</f>
        <v>0.31628482306120187</v>
      </c>
      <c r="AH67" s="317">
        <f>+(AH24-AB24)/(AH8-AB8)</f>
        <v>0.30749631218988849</v>
      </c>
      <c r="AI67" s="317">
        <f>+(AI24-AC24)/(AI8-AC8)</f>
        <v>0.15589533992628465</v>
      </c>
      <c r="AJ67" s="317">
        <f>+(AJ24-AD24)/(AJ8-AD8)</f>
        <v>0.21555198998160671</v>
      </c>
      <c r="AK67" s="377">
        <f>+(AK24-AE24)/(AK8-AE8)</f>
        <v>0.23998892686406609</v>
      </c>
      <c r="AL67" s="256"/>
      <c r="AM67" s="317">
        <f>+(AM24-AG24)/(AM8-AG8)</f>
        <v>0.30933217315640676</v>
      </c>
      <c r="AN67" s="317">
        <f>+(AN24-AH24)/(AN8-AH8)</f>
        <v>0.38440502867560389</v>
      </c>
      <c r="AO67" s="317">
        <f>+(AO24-AI24)/(AO8-AI8)</f>
        <v>0.45012174564525231</v>
      </c>
      <c r="AP67" s="317">
        <f>+(AP24-AJ24)/(AP8-AJ8)</f>
        <v>0.45274719933901958</v>
      </c>
      <c r="AQ67" s="377">
        <f>+(AQ24-AK24)/(AQ8-AK8)</f>
        <v>0.40865483100034189</v>
      </c>
      <c r="AR67" s="256"/>
      <c r="AS67" s="317">
        <f>+(AS24-AM24)/(AS8-AM8)</f>
        <v>0.49720411415326693</v>
      </c>
      <c r="AT67" s="317">
        <f>+(AT24-AN24)/(AT8-AN8)</f>
        <v>0.50806627822287009</v>
      </c>
      <c r="AU67" s="317">
        <f>+(AU24-AO24)/(AU8-AO8)</f>
        <v>0.41373053077271998</v>
      </c>
      <c r="AV67" s="317">
        <f>+(AV24-AP24)/(AV8-AP8)</f>
        <v>-0.66086422281384083</v>
      </c>
      <c r="AW67" s="377">
        <f>+(AW24-AQ24)/(AW8-AQ8)</f>
        <v>0.38465686363608781</v>
      </c>
      <c r="AX67" s="256"/>
      <c r="AY67" s="317">
        <f>+(AY24-AS24)/(AY8-AS8)</f>
        <v>1.5948260481712757</v>
      </c>
      <c r="AZ67" s="317">
        <f>+(AZ24-AT24)/(AZ8-AT8)</f>
        <v>2.0186098540702702</v>
      </c>
      <c r="BA67" s="317">
        <f>+(BA24-AU24)/(BA8-AU8)</f>
        <v>7.7635250085063063</v>
      </c>
      <c r="BB67" s="664">
        <f>+(BB24-AV24)/(BB8-AV8)</f>
        <v>-7.2692606983612578</v>
      </c>
      <c r="BC67" s="377">
        <f>+(BC24-AW24)/(BC8-AW8)</f>
        <v>2.2531954856596528</v>
      </c>
      <c r="BD67" s="256"/>
      <c r="BE67" s="317">
        <f>+(BE24-AY24)/(BE8-AY8)</f>
        <v>1.167887270906913</v>
      </c>
      <c r="BF67" s="317">
        <f>+(BF24-AZ24)/(BF8-AZ8)</f>
        <v>0.51709838328246405</v>
      </c>
      <c r="BG67" s="317">
        <f>+(BG24-BA24)/(BG8-BA8)</f>
        <v>-3.9967583137809577E-2</v>
      </c>
      <c r="BH67" s="317">
        <f>+(BH24-BB24)/(BH8-BB8)</f>
        <v>2.7190654518082922</v>
      </c>
      <c r="BI67" s="377">
        <f>+(BI24-BC24)/(BI8-BC8)</f>
        <v>0.39566890610742239</v>
      </c>
      <c r="BJ67" s="256"/>
      <c r="BK67" s="317">
        <f>+(BK24-BE24)/(BK8-BE8)</f>
        <v>4.1202359759247198</v>
      </c>
      <c r="BL67" s="664">
        <f>+(BL24-BF24)/(BL8-BF8)</f>
        <v>-7.5886123986304304</v>
      </c>
      <c r="BM67" s="664">
        <f>+(BM24-BG24)/(BM8-BG8)</f>
        <v>-3.4110025300241413</v>
      </c>
      <c r="BN67" s="664">
        <f>+(BN24-BH24)/(BN8-BH8)</f>
        <v>-0.79083808447644144</v>
      </c>
      <c r="BO67" s="772">
        <f>+(BO24-BI24)/(BO8-BI8)</f>
        <v>-4.6856966269546483</v>
      </c>
      <c r="BP67" s="256"/>
      <c r="BQ67" s="317">
        <f>+(BQ24-BK24)/(BQ8-BK8)</f>
        <v>0.24215138249442147</v>
      </c>
      <c r="BR67" s="664">
        <f>+(BR24-BL24)/(BR8-BL8)</f>
        <v>-1.7583868365368922</v>
      </c>
      <c r="BS67" s="317">
        <f>+(BS24-BM24)/(BS8-BM8)</f>
        <v>-0.16788934796178528</v>
      </c>
      <c r="BT67" s="664">
        <f>+(BT24-BN24)/(BT8-BN8)</f>
        <v>0.25634401277343849</v>
      </c>
      <c r="BU67" s="377">
        <f>+(BU24-BO24)/(BU8-BO8)</f>
        <v>-35.507147766064399</v>
      </c>
      <c r="BV67" s="256"/>
      <c r="BW67" s="317">
        <f>+(BW24-BQ24)/(BW8-BQ8)</f>
        <v>6.0946552855646017</v>
      </c>
      <c r="BX67" s="317">
        <f>+(BX24-BR24)/(BX8-BR8)</f>
        <v>0.37078454079958162</v>
      </c>
      <c r="BY67" s="317">
        <f>+(BY24-BS24)/(BY8-BS8)</f>
        <v>0.46211838263398186</v>
      </c>
      <c r="BZ67" s="664">
        <f>+(BZ24-BT24)/(BZ8-BT8)</f>
        <v>0.45894131880080125</v>
      </c>
      <c r="CA67" s="377">
        <f>+(CA24-BU24)/(CA8-BU8)</f>
        <v>0.49193312203972006</v>
      </c>
      <c r="CB67" s="256"/>
      <c r="CC67" s="317">
        <f>+(CC24-BW24)/(CC8-BW8)</f>
        <v>0.32074045821824843</v>
      </c>
      <c r="CD67" s="317">
        <f>+(CD24-BX24)/(CD8-BX8)</f>
        <v>0.27838421965659627</v>
      </c>
      <c r="CE67" s="317">
        <f>+(CE24-BY24)/(CE8-BY8)</f>
        <v>0.23840825949727021</v>
      </c>
      <c r="CF67" s="664">
        <f>+(CF24-BZ24)/(CF8-BZ8)</f>
        <v>0.21447549367732016</v>
      </c>
      <c r="CG67" s="377">
        <f>+(CG24-CA24)/(CG8-CA8)</f>
        <v>0.25786564778687293</v>
      </c>
      <c r="CH67" s="256"/>
      <c r="CI67" s="317">
        <f t="shared" ref="CI67:CM67" si="212">+(CI24-CC24)/(CI8-CC8)</f>
        <v>0.22021484665788893</v>
      </c>
      <c r="CJ67" s="317">
        <f t="shared" si="212"/>
        <v>0.22299645661731951</v>
      </c>
      <c r="CK67" s="317">
        <f t="shared" si="212"/>
        <v>0.20915471127877946</v>
      </c>
      <c r="CL67" s="664">
        <f t="shared" si="212"/>
        <v>0.19524236478908999</v>
      </c>
      <c r="CM67" s="377">
        <f t="shared" si="212"/>
        <v>0.2118707782988685</v>
      </c>
      <c r="CN67" s="256"/>
      <c r="CO67" s="317">
        <f t="shared" ref="CO67:CS67" si="213">+(CO24-CI24)/(CO8-CI8)</f>
        <v>0.21144385626303228</v>
      </c>
      <c r="CP67" s="317">
        <f t="shared" si="213"/>
        <v>0.2207227834230974</v>
      </c>
      <c r="CQ67" s="317">
        <f t="shared" si="213"/>
        <v>0.23187683086859881</v>
      </c>
      <c r="CR67" s="664">
        <f t="shared" si="213"/>
        <v>0.22110735058421152</v>
      </c>
      <c r="CS67" s="377">
        <f t="shared" si="213"/>
        <v>0.22129281725662417</v>
      </c>
      <c r="CT67" s="233"/>
      <c r="DA67" s="43"/>
      <c r="DB67" s="43"/>
      <c r="DC67" s="43"/>
      <c r="DD67" s="43"/>
      <c r="DJ67" s="717"/>
      <c r="DK67" s="717"/>
    </row>
    <row r="68" spans="1:117" ht="12.75" hidden="1" customHeight="1" outlineLevel="1" x14ac:dyDescent="0.2">
      <c r="A68" s="43"/>
      <c r="B68" s="90" t="s">
        <v>63</v>
      </c>
      <c r="C68" s="317">
        <f>+C35/C8</f>
        <v>-0.37042005783621035</v>
      </c>
      <c r="D68" s="317">
        <f>+D35/D8</f>
        <v>-0.2368654907768952</v>
      </c>
      <c r="E68" s="317">
        <f>+E35/E8</f>
        <v>-0.14491091042226015</v>
      </c>
      <c r="F68" s="317">
        <f>+F35/F8</f>
        <v>-0.17159945468138421</v>
      </c>
      <c r="G68" s="377">
        <f>+G35/G8</f>
        <v>-0.22250932372745449</v>
      </c>
      <c r="H68" s="256"/>
      <c r="I68" s="317">
        <f>+I35/I8</f>
        <v>-0.1657274271744085</v>
      </c>
      <c r="J68" s="317">
        <f>+J35/J8</f>
        <v>-8.9298932008036333E-2</v>
      </c>
      <c r="K68" s="317">
        <f>+K35/K8</f>
        <v>-7.4977738201246577E-2</v>
      </c>
      <c r="L68" s="317">
        <f>+L35/L8</f>
        <v>0.34172361544883878</v>
      </c>
      <c r="M68" s="377">
        <f>+M35/M8</f>
        <v>1.9032106147737485E-2</v>
      </c>
      <c r="N68" s="256"/>
      <c r="O68" s="317">
        <f>+O35/O8</f>
        <v>0.35472021725148295</v>
      </c>
      <c r="P68" s="317">
        <f>+P35/P8</f>
        <v>0.43779778921288343</v>
      </c>
      <c r="Q68" s="317">
        <f>+Q35/Q8</f>
        <v>0.44114825900544313</v>
      </c>
      <c r="R68" s="317">
        <f>+R35/R8</f>
        <v>0.42637577109399499</v>
      </c>
      <c r="S68" s="377">
        <f>+S35/S8</f>
        <v>0.41787356022626004</v>
      </c>
      <c r="T68" s="256"/>
      <c r="U68" s="317">
        <f>+U35/U8</f>
        <v>0.36899978853880316</v>
      </c>
      <c r="V68" s="317">
        <f>+V35/V8</f>
        <v>0.39171912728527086</v>
      </c>
      <c r="W68" s="317">
        <f>+W35/W8</f>
        <v>0.37961026092700656</v>
      </c>
      <c r="X68" s="317">
        <f>+X35/X8</f>
        <v>0.41100630269994065</v>
      </c>
      <c r="Y68" s="377">
        <f>+Y35/Y8</f>
        <v>0.3883490326707994</v>
      </c>
      <c r="Z68" s="256"/>
      <c r="AA68" s="317">
        <f>+AA35/AA8</f>
        <v>0.39384702475560113</v>
      </c>
      <c r="AB68" s="317">
        <f>+AB35/AB8</f>
        <v>0.38882915173237764</v>
      </c>
      <c r="AC68" s="317">
        <f>+AC35/AC8</f>
        <v>0.41330806650126006</v>
      </c>
      <c r="AD68" s="317">
        <f>+AD35/AD8</f>
        <v>0.39201392768033366</v>
      </c>
      <c r="AE68" s="377">
        <f>+AE35/AE8</f>
        <v>0.3970588235294118</v>
      </c>
      <c r="AF68" s="256"/>
      <c r="AG68" s="317">
        <f>+AG35/AG8</f>
        <v>0.3784902038894723</v>
      </c>
      <c r="AH68" s="317">
        <f>+AH35/AH8</f>
        <v>0.38093493253861621</v>
      </c>
      <c r="AI68" s="317">
        <f>+AI35/AI8</f>
        <v>0.36586606255345694</v>
      </c>
      <c r="AJ68" s="317">
        <f>+AJ35/AJ8</f>
        <v>0.36453954048057757</v>
      </c>
      <c r="AK68" s="377">
        <f>+AK35/AK8</f>
        <v>0.37205270108164229</v>
      </c>
      <c r="AL68" s="256"/>
      <c r="AM68" s="317">
        <f>+AM35/AM8</f>
        <v>0.37337470116984051</v>
      </c>
      <c r="AN68" s="317">
        <f>+AN35/AN8</f>
        <v>0.382090653077645</v>
      </c>
      <c r="AO68" s="317">
        <f>+AO35/AO8</f>
        <v>0.37984431719413053</v>
      </c>
      <c r="AP68" s="317">
        <f>+AP35/AP8</f>
        <v>0.38611040915251893</v>
      </c>
      <c r="AQ68" s="377">
        <f>+AQ35/AQ8</f>
        <v>0.38076211134034077</v>
      </c>
      <c r="AR68" s="256"/>
      <c r="AS68" s="317">
        <f>+AS35/AS8</f>
        <v>0.41402796505109485</v>
      </c>
      <c r="AT68" s="317">
        <f>+AT35/AT8</f>
        <v>0.41475056355973733</v>
      </c>
      <c r="AU68" s="317">
        <f>+AU35/AU8</f>
        <v>0.38875161269160952</v>
      </c>
      <c r="AV68" s="317">
        <f>+AV35/AV8</f>
        <v>0.29845575186077949</v>
      </c>
      <c r="AW68" s="377">
        <f>+AW35/AW8</f>
        <v>0.38024276036473159</v>
      </c>
      <c r="AX68" s="256"/>
      <c r="AY68" s="317">
        <f>+AY35/AY8</f>
        <v>0.17310779035401</v>
      </c>
      <c r="AZ68" s="317">
        <f>+AZ35/AZ8</f>
        <v>0.24614274945361267</v>
      </c>
      <c r="BA68" s="317">
        <f>+BA35/BA8</f>
        <v>0.25593799483290275</v>
      </c>
      <c r="BB68" s="317">
        <f>+BB35/BB8</f>
        <v>0.25160867092348066</v>
      </c>
      <c r="BC68" s="377">
        <f>+BC35/BC8</f>
        <v>0.23296294565015421</v>
      </c>
      <c r="BD68" s="256"/>
      <c r="BE68" s="317">
        <f>+BE35/BE8</f>
        <v>0.25407852794365221</v>
      </c>
      <c r="BF68" s="317">
        <f>+BF35/BF8</f>
        <v>0.24931148008356246</v>
      </c>
      <c r="BG68" s="317">
        <f>+BG35/BG8</f>
        <v>0.24311621793684873</v>
      </c>
      <c r="BH68" s="317">
        <f>+BH35/BH8</f>
        <v>0.21769436997319047</v>
      </c>
      <c r="BI68" s="377">
        <f>+BI35/BI8</f>
        <v>0.24108425875459413</v>
      </c>
      <c r="BJ68" s="256"/>
      <c r="BK68" s="317">
        <f>+BK35/BK8</f>
        <v>0.10932687803591398</v>
      </c>
      <c r="BL68" s="317">
        <f>+BL35/BL8</f>
        <v>0.11269104949437082</v>
      </c>
      <c r="BM68" s="317">
        <f>+BM35/BM8</f>
        <v>0.12295458208776802</v>
      </c>
      <c r="BN68" s="317">
        <f>+BN35/BN8</f>
        <v>0.13449043118229317</v>
      </c>
      <c r="BO68" s="377">
        <f>+BO35/BO8</f>
        <v>0.12020147906395166</v>
      </c>
      <c r="BP68" s="256"/>
      <c r="BQ68" s="317">
        <f>+BQ35/BQ8</f>
        <v>0.12553599184255676</v>
      </c>
      <c r="BR68" s="317">
        <f>+BR35/BR8</f>
        <v>0.14164366628192121</v>
      </c>
      <c r="BS68" s="317">
        <f>+BS35/BS8</f>
        <v>0.13157071368222226</v>
      </c>
      <c r="BT68" s="317">
        <f>+BT35/BT8</f>
        <v>0.13752425673203192</v>
      </c>
      <c r="BU68" s="377">
        <f>+BU35/BU8</f>
        <v>0.13413848022925601</v>
      </c>
      <c r="BV68" s="256"/>
      <c r="BW68" s="317">
        <f>+BW35/BW8</f>
        <v>0.13781012145276264</v>
      </c>
      <c r="BX68" s="317">
        <f>+BX35/BX8</f>
        <v>0.15367114542168062</v>
      </c>
      <c r="BY68" s="317">
        <f>+BY35/BY8</f>
        <v>0.15013678866011457</v>
      </c>
      <c r="BZ68" s="317">
        <f>+BZ35/BZ8</f>
        <v>0.15855992785833181</v>
      </c>
      <c r="CA68" s="377">
        <f>+CA35/CA8</f>
        <v>0.15028264076215053</v>
      </c>
      <c r="CB68" s="256"/>
      <c r="CC68" s="317">
        <f>+CC35/CC8</f>
        <v>0.14896216152445635</v>
      </c>
      <c r="CD68" s="317">
        <f>+CD35/CD8</f>
        <v>0.164152769621565</v>
      </c>
      <c r="CE68" s="317">
        <f>+CE35/CE8</f>
        <v>0.15870268030198931</v>
      </c>
      <c r="CF68" s="317">
        <f>+CF35/CF8</f>
        <v>0.16537749719820999</v>
      </c>
      <c r="CG68" s="377">
        <f>+CG35/CG8</f>
        <v>0.15952316868085697</v>
      </c>
      <c r="CH68" s="256"/>
      <c r="CI68" s="317">
        <f t="shared" ref="CI68:CM68" si="214">+CI35/CI8</f>
        <v>0.14880356214427606</v>
      </c>
      <c r="CJ68" s="317">
        <f t="shared" si="214"/>
        <v>0.16167302116741528</v>
      </c>
      <c r="CK68" s="317">
        <f t="shared" si="214"/>
        <v>0.1545672275121836</v>
      </c>
      <c r="CL68" s="317">
        <f t="shared" si="214"/>
        <v>0.15945054206908099</v>
      </c>
      <c r="CM68" s="377">
        <f t="shared" si="214"/>
        <v>0.15627537867002428</v>
      </c>
      <c r="CN68" s="256"/>
      <c r="CO68" s="317">
        <f t="shared" ref="CO68:CS68" si="215">+CO35/CO8</f>
        <v>0.15300397088082784</v>
      </c>
      <c r="CP68" s="317">
        <f t="shared" si="215"/>
        <v>0.16606608397867526</v>
      </c>
      <c r="CQ68" s="317">
        <f t="shared" si="215"/>
        <v>0.15957117057183179</v>
      </c>
      <c r="CR68" s="317">
        <f t="shared" si="215"/>
        <v>0.16373896617947961</v>
      </c>
      <c r="CS68" s="377">
        <f t="shared" si="215"/>
        <v>0.16076108108370982</v>
      </c>
      <c r="CT68" s="233"/>
      <c r="DA68" s="43"/>
      <c r="DB68" s="43"/>
      <c r="DC68" s="43"/>
      <c r="DD68" s="43"/>
      <c r="DJ68" s="717"/>
      <c r="DK68" s="717"/>
    </row>
    <row r="69" spans="1:117" collapsed="1" x14ac:dyDescent="0.2">
      <c r="A69" s="43"/>
      <c r="B69" s="90" t="s">
        <v>148</v>
      </c>
      <c r="C69" s="317">
        <f>+C38/C8</f>
        <v>-0.37042005783621035</v>
      </c>
      <c r="D69" s="317">
        <f>+D38/D8</f>
        <v>-0.2368654907768952</v>
      </c>
      <c r="E69" s="317">
        <f>+E38/E8</f>
        <v>-0.14491091042226015</v>
      </c>
      <c r="F69" s="317">
        <f>+F38/F8</f>
        <v>-0.17159945468138421</v>
      </c>
      <c r="G69" s="377">
        <f>+G38/G8</f>
        <v>-0.22250932372745449</v>
      </c>
      <c r="H69" s="74"/>
      <c r="I69" s="317">
        <f>+I38/I8</f>
        <v>-0.1657274271744085</v>
      </c>
      <c r="J69" s="317">
        <f>+J38/J8</f>
        <v>-8.9298932008036333E-2</v>
      </c>
      <c r="K69" s="317">
        <f>+K38/K8</f>
        <v>-7.4977738201246577E-2</v>
      </c>
      <c r="L69" s="317">
        <f>+L38/L8</f>
        <v>0.33232320108846891</v>
      </c>
      <c r="M69" s="377">
        <f>+M38/M8</f>
        <v>1.6405200236767128E-2</v>
      </c>
      <c r="N69" s="74"/>
      <c r="O69" s="317">
        <f>+O38/O8</f>
        <v>0.3506181662259702</v>
      </c>
      <c r="P69" s="317">
        <f>+P38/P8</f>
        <v>0.43779778921288343</v>
      </c>
      <c r="Q69" s="317">
        <f>+Q38/Q8</f>
        <v>0.44223457489223517</v>
      </c>
      <c r="R69" s="317">
        <f>+R38/R8</f>
        <v>0.42637577109399499</v>
      </c>
      <c r="S69" s="377">
        <f>+S38/S8</f>
        <v>0.41728249118755872</v>
      </c>
      <c r="T69" s="74"/>
      <c r="U69" s="317">
        <f>+U38/U8</f>
        <v>0.35762787528488527</v>
      </c>
      <c r="V69" s="317">
        <f>+V38/V8</f>
        <v>0.38115513970334608</v>
      </c>
      <c r="W69" s="317">
        <f>+W38/W8</f>
        <v>0.36607948915556537</v>
      </c>
      <c r="X69" s="317">
        <f>+X38/X8</f>
        <v>0.56693424750873023</v>
      </c>
      <c r="Y69" s="377">
        <f>+Y38/Y8</f>
        <v>0.41997474134698121</v>
      </c>
      <c r="Z69" s="74"/>
      <c r="AA69" s="317">
        <f>+AA38/AA8</f>
        <v>0.24535696400966719</v>
      </c>
      <c r="AB69" s="317">
        <f>+AB38/AB8</f>
        <v>0.24085025886101166</v>
      </c>
      <c r="AC69" s="317">
        <f>+AC38/AC8</f>
        <v>0.27292085881180767</v>
      </c>
      <c r="AD69" s="317">
        <f>+AD38/AD8</f>
        <v>0.24244032324135104</v>
      </c>
      <c r="AE69" s="377">
        <f>+AE38/AE8</f>
        <v>0.25047005103411235</v>
      </c>
      <c r="AF69" s="74"/>
      <c r="AG69" s="317">
        <f>+AG38/AG8</f>
        <v>0.22723898163908299</v>
      </c>
      <c r="AH69" s="317">
        <f>+AH38/AH8</f>
        <v>0.23040281408017199</v>
      </c>
      <c r="AI69" s="317">
        <f>+AI38/AI8</f>
        <v>0.22819914160444438</v>
      </c>
      <c r="AJ69" s="317">
        <f>+AJ38/AJ8</f>
        <v>0.21916293761516187</v>
      </c>
      <c r="AK69" s="377">
        <f>+AK38/AK8</f>
        <v>0.22610860777613129</v>
      </c>
      <c r="AL69" s="74"/>
      <c r="AM69" s="317">
        <f>+AM38/AM8</f>
        <v>0.22584440597435498</v>
      </c>
      <c r="AN69" s="317">
        <f>+AN38/AN8</f>
        <v>0.23492020919940979</v>
      </c>
      <c r="AO69" s="317">
        <f>+AO38/AO8</f>
        <v>0.24340457078582747</v>
      </c>
      <c r="AP69" s="317">
        <f>+AP38/AP8</f>
        <v>0.2531358404741666</v>
      </c>
      <c r="AQ69" s="377">
        <f>+AQ38/AQ8</f>
        <v>0.24028279500623817</v>
      </c>
      <c r="AR69" s="74"/>
      <c r="AS69" s="317">
        <f>+AS38/AS8</f>
        <v>0.27394587759980654</v>
      </c>
      <c r="AT69" s="317">
        <f>+AT38/AT8</f>
        <v>0.24919141428991473</v>
      </c>
      <c r="AU69" s="317">
        <f>+AU38/AU8</f>
        <v>0.25257483982418916</v>
      </c>
      <c r="AV69" s="317">
        <f>+AV38/AV8</f>
        <v>0.19668900484729712</v>
      </c>
      <c r="AW69" s="377">
        <f>+AW38/AW8</f>
        <v>0.24369198268861081</v>
      </c>
      <c r="AX69" s="74"/>
      <c r="AY69" s="317">
        <f>+AY38/AY8</f>
        <v>0.11450096838963014</v>
      </c>
      <c r="AZ69" s="317">
        <f>+AZ38/AZ8</f>
        <v>0.16213739133264277</v>
      </c>
      <c r="BA69" s="317">
        <f>+BA38/BA8</f>
        <v>0.16257465899936108</v>
      </c>
      <c r="BB69" s="317">
        <f>+BB38/BB8</f>
        <v>0.15470226378056753</v>
      </c>
      <c r="BC69" s="377">
        <f>+BC38/BC8</f>
        <v>0.14917103873101661</v>
      </c>
      <c r="BD69" s="74"/>
      <c r="BE69" s="317">
        <f>+BE38/BE8</f>
        <v>0.16199618405941352</v>
      </c>
      <c r="BF69" s="317">
        <f>+BF38/BF8</f>
        <v>0.17325964519195919</v>
      </c>
      <c r="BG69" s="317">
        <f>+BG38/BG8</f>
        <v>0.15651023732629396</v>
      </c>
      <c r="BH69" s="317">
        <f>+BH38/BH8</f>
        <v>0.1415549597855229</v>
      </c>
      <c r="BI69" s="377">
        <f>+BI38/BI8</f>
        <v>0.15844057639208969</v>
      </c>
      <c r="BJ69" s="74"/>
      <c r="BK69" s="317">
        <f>+BK38/BK8</f>
        <v>9.0172617348514283E-2</v>
      </c>
      <c r="BL69" s="317">
        <f>+BL38/BL8</f>
        <v>8.9287258368648953E-2</v>
      </c>
      <c r="BM69" s="317">
        <f>+BM38/BM8</f>
        <v>9.1976139416866956E-2</v>
      </c>
      <c r="BN69" s="317">
        <f>+BN38/BN8</f>
        <v>0.10256385342763427</v>
      </c>
      <c r="BO69" s="377">
        <f>+BO38/BO8</f>
        <v>9.3627337795071458E-2</v>
      </c>
      <c r="BP69" s="74"/>
      <c r="BQ69" s="317">
        <f>+BQ38/BQ8</f>
        <v>9.5563383024171764E-2</v>
      </c>
      <c r="BR69" s="317">
        <f>+BR38/BR8</f>
        <v>0.11483614114478</v>
      </c>
      <c r="BS69" s="317">
        <f>+BS38/BS8</f>
        <v>0.10657227808260004</v>
      </c>
      <c r="BT69" s="317">
        <f>+BT38/BT8</f>
        <v>0.11139464795294587</v>
      </c>
      <c r="BU69" s="377">
        <f>+BU38/BU8</f>
        <v>0.10716917930693964</v>
      </c>
      <c r="BV69" s="74"/>
      <c r="BW69" s="317">
        <f>+BW38/BW8</f>
        <v>0.11438240080579298</v>
      </c>
      <c r="BX69" s="317">
        <f>+BX38/BX8</f>
        <v>0.12754705069999492</v>
      </c>
      <c r="BY69" s="317">
        <f>+BY38/BY8</f>
        <v>0.12461353458789511</v>
      </c>
      <c r="BZ69" s="317">
        <f>+BZ38/BZ8</f>
        <v>0.13160474012241538</v>
      </c>
      <c r="CA69" s="377">
        <f>+CA38/CA8</f>
        <v>0.12473459183258498</v>
      </c>
      <c r="CB69" s="74"/>
      <c r="CC69" s="317">
        <f>+CC38/CC8</f>
        <v>0.12065935083480965</v>
      </c>
      <c r="CD69" s="317">
        <f>+CD38/CD8</f>
        <v>0.13296374339346764</v>
      </c>
      <c r="CE69" s="317">
        <f>+CE38/CE8</f>
        <v>0.12854917104461133</v>
      </c>
      <c r="CF69" s="317">
        <f>+CF38/CF8</f>
        <v>0.13395577273055007</v>
      </c>
      <c r="CG69" s="377">
        <f>+CG38/CG8</f>
        <v>0.12921376663149417</v>
      </c>
      <c r="CH69" s="74"/>
      <c r="CI69" s="317">
        <f t="shared" ref="CI69:CM69" si="216">+CI38/CI8</f>
        <v>0.1175548140939781</v>
      </c>
      <c r="CJ69" s="317">
        <f t="shared" si="216"/>
        <v>0.12772168672225806</v>
      </c>
      <c r="CK69" s="317">
        <f t="shared" si="216"/>
        <v>0.12210810973462505</v>
      </c>
      <c r="CL69" s="317">
        <f t="shared" si="216"/>
        <v>0.12596592823457398</v>
      </c>
      <c r="CM69" s="377">
        <f t="shared" si="216"/>
        <v>0.12345754914931921</v>
      </c>
      <c r="CN69" s="74"/>
      <c r="CO69" s="317">
        <f t="shared" ref="CO69:CS69" si="217">+CO38/CO8</f>
        <v>0.11781305757823744</v>
      </c>
      <c r="CP69" s="317">
        <f t="shared" si="217"/>
        <v>0.12787088466357993</v>
      </c>
      <c r="CQ69" s="317">
        <f t="shared" si="217"/>
        <v>0.12286980134031046</v>
      </c>
      <c r="CR69" s="317">
        <f t="shared" si="217"/>
        <v>0.12607900395819929</v>
      </c>
      <c r="CS69" s="377">
        <f t="shared" si="217"/>
        <v>0.12378603243445654</v>
      </c>
      <c r="CT69" s="233"/>
      <c r="DA69" s="43"/>
      <c r="DB69" s="43"/>
      <c r="DC69" s="43"/>
      <c r="DD69" s="43"/>
      <c r="DJ69" s="717"/>
      <c r="DK69" s="717"/>
    </row>
    <row r="70" spans="1:117" ht="6" customHeight="1" x14ac:dyDescent="0.2">
      <c r="A70" s="43"/>
      <c r="B70" s="236"/>
      <c r="C70" s="43"/>
      <c r="D70" s="31"/>
      <c r="E70" s="31"/>
      <c r="F70" s="31"/>
      <c r="G70" s="326"/>
      <c r="H70" s="103"/>
      <c r="I70" s="31"/>
      <c r="J70" s="31"/>
      <c r="K70" s="31"/>
      <c r="L70" s="31"/>
      <c r="M70" s="326"/>
      <c r="N70" s="103"/>
      <c r="O70" s="43"/>
      <c r="P70" s="43"/>
      <c r="Q70" s="43"/>
      <c r="R70" s="43"/>
      <c r="S70" s="326"/>
      <c r="T70" s="103"/>
      <c r="U70" s="236"/>
      <c r="V70" s="236"/>
      <c r="W70" s="236"/>
      <c r="X70" s="236"/>
      <c r="Y70" s="326"/>
      <c r="Z70" s="103"/>
      <c r="AA70" s="317"/>
      <c r="AB70" s="236"/>
      <c r="AC70" s="236"/>
      <c r="AD70" s="236"/>
      <c r="AE70" s="377"/>
      <c r="AF70" s="103"/>
      <c r="AG70" s="236"/>
      <c r="AH70" s="236"/>
      <c r="AI70" s="236"/>
      <c r="AJ70" s="250"/>
      <c r="AK70" s="121"/>
      <c r="AL70" s="103"/>
      <c r="AM70" s="250"/>
      <c r="AN70" s="250"/>
      <c r="AO70" s="250"/>
      <c r="AP70" s="250"/>
      <c r="AQ70" s="121"/>
      <c r="AR70" s="103"/>
      <c r="AS70" s="250"/>
      <c r="AT70" s="250"/>
      <c r="AU70" s="250"/>
      <c r="AV70" s="250"/>
      <c r="AW70" s="121"/>
      <c r="AX70" s="103"/>
      <c r="AY70" s="250"/>
      <c r="AZ70" s="250"/>
      <c r="BA70" s="250"/>
      <c r="BB70" s="250"/>
      <c r="BC70" s="121"/>
      <c r="BD70" s="103"/>
      <c r="BE70" s="250"/>
      <c r="BF70" s="250"/>
      <c r="BG70" s="250"/>
      <c r="BH70" s="250"/>
      <c r="BI70" s="121"/>
      <c r="BJ70" s="103"/>
      <c r="BK70" s="250"/>
      <c r="BL70" s="250"/>
      <c r="BM70" s="250"/>
      <c r="BN70" s="250"/>
      <c r="BO70" s="121"/>
      <c r="BP70" s="103"/>
      <c r="BQ70" s="250"/>
      <c r="BR70" s="250"/>
      <c r="BS70" s="250"/>
      <c r="BT70" s="250"/>
      <c r="BU70" s="121"/>
      <c r="BV70" s="103"/>
      <c r="BW70" s="250"/>
      <c r="BX70" s="250"/>
      <c r="BY70" s="250"/>
      <c r="BZ70" s="250"/>
      <c r="CA70" s="121"/>
      <c r="CB70" s="103"/>
      <c r="CC70" s="250"/>
      <c r="CD70" s="250"/>
      <c r="CE70" s="250"/>
      <c r="CF70" s="250"/>
      <c r="CG70" s="121"/>
      <c r="CH70" s="103"/>
      <c r="CI70" s="250"/>
      <c r="CJ70" s="250"/>
      <c r="CK70" s="250"/>
      <c r="CL70" s="250"/>
      <c r="CM70" s="121"/>
      <c r="CN70" s="103"/>
      <c r="CO70" s="250"/>
      <c r="CP70" s="250"/>
      <c r="CQ70" s="250"/>
      <c r="CR70" s="250"/>
      <c r="CS70" s="121"/>
      <c r="CT70" s="233"/>
      <c r="DA70" s="43"/>
      <c r="DB70" s="43"/>
      <c r="DC70" s="43"/>
      <c r="DD70" s="43"/>
    </row>
    <row r="71" spans="1:117" x14ac:dyDescent="0.2">
      <c r="A71" s="43"/>
      <c r="B71" s="623" t="s">
        <v>221</v>
      </c>
      <c r="C71" s="43"/>
      <c r="D71" s="31"/>
      <c r="E71" s="31"/>
      <c r="F71" s="31"/>
      <c r="G71" s="326"/>
      <c r="H71" s="103"/>
      <c r="I71" s="31"/>
      <c r="J71" s="31"/>
      <c r="K71" s="31"/>
      <c r="L71" s="31"/>
      <c r="M71" s="326"/>
      <c r="N71" s="103"/>
      <c r="O71" s="43"/>
      <c r="P71" s="43"/>
      <c r="Q71" s="43"/>
      <c r="R71" s="43"/>
      <c r="S71" s="326"/>
      <c r="T71" s="103"/>
      <c r="U71" s="236"/>
      <c r="V71" s="236"/>
      <c r="W71" s="236"/>
      <c r="X71" s="236"/>
      <c r="Y71" s="326"/>
      <c r="Z71" s="103"/>
      <c r="AA71" s="250"/>
      <c r="AB71" s="236"/>
      <c r="AC71" s="236"/>
      <c r="AD71" s="236"/>
      <c r="AE71" s="121"/>
      <c r="AF71" s="103"/>
      <c r="AG71" s="236"/>
      <c r="AH71" s="236"/>
      <c r="AI71" s="236"/>
      <c r="AJ71" s="250"/>
      <c r="AK71" s="121"/>
      <c r="AL71" s="103"/>
      <c r="AM71" s="250"/>
      <c r="AN71" s="250"/>
      <c r="AO71" s="250"/>
      <c r="AP71" s="250"/>
      <c r="AQ71" s="121"/>
      <c r="AR71" s="103"/>
      <c r="AS71" s="250"/>
      <c r="AT71" s="250"/>
      <c r="AU71" s="250"/>
      <c r="AV71" s="250"/>
      <c r="AW71" s="121"/>
      <c r="AX71" s="103"/>
      <c r="AY71" s="250"/>
      <c r="AZ71" s="250"/>
      <c r="BA71" s="250"/>
      <c r="BB71" s="250"/>
      <c r="BC71" s="121"/>
      <c r="BD71" s="103"/>
      <c r="BE71" s="250"/>
      <c r="BF71" s="250"/>
      <c r="BG71" s="250"/>
      <c r="BH71" s="250"/>
      <c r="BI71" s="121"/>
      <c r="BJ71" s="103"/>
      <c r="BK71" s="250"/>
      <c r="BL71" s="250"/>
      <c r="BM71" s="250"/>
      <c r="BN71" s="250"/>
      <c r="BO71" s="121"/>
      <c r="BP71" s="103"/>
      <c r="BQ71" s="250"/>
      <c r="BR71" s="250"/>
      <c r="BS71" s="250"/>
      <c r="BT71" s="250"/>
      <c r="BU71" s="121"/>
      <c r="BV71" s="103"/>
      <c r="BW71" s="250"/>
      <c r="BX71" s="250"/>
      <c r="BY71" s="250"/>
      <c r="BZ71" s="250"/>
      <c r="CA71" s="838"/>
      <c r="CB71" s="103"/>
      <c r="CC71" s="250"/>
      <c r="CD71" s="250"/>
      <c r="CE71" s="250"/>
      <c r="CF71" s="250"/>
      <c r="CG71" s="121"/>
      <c r="CH71" s="103"/>
      <c r="CI71" s="250"/>
      <c r="CJ71" s="250"/>
      <c r="CK71" s="250"/>
      <c r="CL71" s="250"/>
      <c r="CM71" s="121"/>
      <c r="CN71" s="103"/>
      <c r="CO71" s="250"/>
      <c r="CP71" s="250"/>
      <c r="CQ71" s="250"/>
      <c r="CR71" s="250"/>
      <c r="CS71" s="121"/>
      <c r="CT71" s="233"/>
      <c r="DA71" s="43"/>
      <c r="DB71" s="43"/>
      <c r="DC71" s="43"/>
      <c r="DD71" s="43"/>
      <c r="DL71" s="348"/>
    </row>
    <row r="72" spans="1:117" x14ac:dyDescent="0.2">
      <c r="A72" s="43"/>
      <c r="B72" s="90" t="s">
        <v>222</v>
      </c>
      <c r="C72" s="638"/>
      <c r="D72" s="638"/>
      <c r="E72" s="638"/>
      <c r="F72" s="638"/>
      <c r="G72" s="639"/>
      <c r="H72" s="103"/>
      <c r="I72" s="638">
        <f>IF(ISERROR(I8/C8-1),"NM",I8/C8-1)</f>
        <v>0.43892913573621906</v>
      </c>
      <c r="J72" s="638">
        <f>IF(ISERROR(J8/D8-1),"NM",J8/D8-1)</f>
        <v>0.52799245994344957</v>
      </c>
      <c r="K72" s="638">
        <f>IF(ISERROR(K8/E8-1),"NM",K8/E8-1)</f>
        <v>0.5075665120820112</v>
      </c>
      <c r="L72" s="638">
        <f>IF(ISERROR(L8/F8-1),"NM",L8/F8-1)</f>
        <v>0.42218215400853154</v>
      </c>
      <c r="M72" s="639">
        <f>IF(ISERROR(M8/G8-1),"NM",M8/G8-1)</f>
        <v>0.47302801573259678</v>
      </c>
      <c r="N72" s="103"/>
      <c r="O72" s="638">
        <f>IF(ISERROR(O8/I8-1),"NM",O8/I8-1)</f>
        <v>0.44957112667302046</v>
      </c>
      <c r="P72" s="638">
        <f>IF(ISERROR(P8/J8-1),"NM",P8/J8-1)</f>
        <v>0.47953896584540545</v>
      </c>
      <c r="Q72" s="638">
        <f>IF(ISERROR(Q8/K8-1),"NM",Q8/K8-1)</f>
        <v>0.40097142394560037</v>
      </c>
      <c r="R72" s="638">
        <f>IF(ISERROR(R8/L8-1),"NM",R8/L8-1)</f>
        <v>0.3308853087603203</v>
      </c>
      <c r="S72" s="639">
        <f>IF(ISERROR(S8/M8-1),"NM",S8/M8-1)</f>
        <v>0.41078241182798947</v>
      </c>
      <c r="T72" s="103"/>
      <c r="U72" s="638">
        <f>IF(ISERROR(U8/O8-1),"NM",U8/O8-1)</f>
        <v>0.21663688987350804</v>
      </c>
      <c r="V72" s="638">
        <f>IF(ISERROR(V8/P8-1),"NM",V8/P8-1)</f>
        <v>0.1050123880312559</v>
      </c>
      <c r="W72" s="638">
        <f>IF(ISERROR(W8/Q8-1),"NM",W8/Q8-1)</f>
        <v>4.9681616992753863E-2</v>
      </c>
      <c r="X72" s="638">
        <f>IF(ISERROR(X8/R8-1),"NM",X8/R8-1)</f>
        <v>9.1183680107808529E-2</v>
      </c>
      <c r="Y72" s="639">
        <f>IF(ISERROR(Y8/S8-1),"NM",Y8/S8-1)</f>
        <v>0.1106217862535106</v>
      </c>
      <c r="Z72" s="106"/>
      <c r="AA72" s="640">
        <f>IF(ISERROR(AA8/U8-1),"NM",AA8/U8-1)</f>
        <v>7.9133479006602281E-2</v>
      </c>
      <c r="AB72" s="638">
        <f>IF(ISERROR(AB8/V8-1),"NM",AB8/V8-1)</f>
        <v>8.2700931355639939E-2</v>
      </c>
      <c r="AC72" s="638">
        <f>IF(ISERROR(AC8/W8-1),"NM",AC8/W8-1)</f>
        <v>0.12709457227788179</v>
      </c>
      <c r="AD72" s="638">
        <f>IF(ISERROR(AD8/X8-1),"NM",AD8/X8-1)</f>
        <v>0.1435567668852733</v>
      </c>
      <c r="AE72" s="641">
        <f>IF(ISERROR(AE8/Y8-1),"NM",AE8/Y8-1)</f>
        <v>0.10874456773510421</v>
      </c>
      <c r="AF72" s="103"/>
      <c r="AG72" s="638">
        <f>IF(ISERROR(AG8/AA8-1),"NM",AG8/AA8-1)</f>
        <v>0.2024211282631887</v>
      </c>
      <c r="AH72" s="638">
        <f>IF(ISERROR(AH8/AB8-1),"NM",AH8/AB8-1)</f>
        <v>0.22272998805256883</v>
      </c>
      <c r="AI72" s="638">
        <f>IF(ISERROR(AI8/AC8-1),"NM",AI8/AC8-1)</f>
        <v>0.26767538632855992</v>
      </c>
      <c r="AJ72" s="638">
        <f>IF(ISERROR(AJ8/AD8-1),"NM",AJ8/AD8-1)</f>
        <v>0.23789706922876408</v>
      </c>
      <c r="AK72" s="642">
        <f>IF(ISERROR(AK8/AE8-1),"NM",AK8/AE8-1)</f>
        <v>0.23358551944369821</v>
      </c>
      <c r="AL72" s="103"/>
      <c r="AM72" s="446">
        <f>IF(ISERROR(AM8/AG8-1),"NM",AM8/AG8-1)</f>
        <v>0.20809944591315688</v>
      </c>
      <c r="AN72" s="446">
        <f>IF(ISERROR(AN8/AH8-1),"NM",AN8/AH8-1)</f>
        <v>0.21438633347175728</v>
      </c>
      <c r="AO72" s="446">
        <f>IF(ISERROR(AO8/AI8-1),"NM",AO8/AI8-1)</f>
        <v>0.20569900675774622</v>
      </c>
      <c r="AP72" s="638">
        <f>IF(ISERROR(AP8/AJ8-1),"NM",AP8/AJ8-1)</f>
        <v>0.30948745910577968</v>
      </c>
      <c r="AQ72" s="642">
        <f>IF(ISERROR(AQ8/AK8-1),"NM",AQ8/AK8-1)</f>
        <v>0.23620729629741621</v>
      </c>
      <c r="AR72" s="103"/>
      <c r="AS72" s="446">
        <f>IF(ISERROR(AS8/AM8-1),"NM",AS8/AM8-1)</f>
        <v>0.51732278153735467</v>
      </c>
      <c r="AT72" s="446">
        <f>IF(ISERROR(AT8/AN8-1),"NM",AT8/AN8-1)</f>
        <v>0.36824460238701895</v>
      </c>
      <c r="AU72" s="446">
        <f>IF(ISERROR(AU8/AO8-1),"NM",AU8/AO8-1)</f>
        <v>0.16905261005163852</v>
      </c>
      <c r="AV72" s="638">
        <f>IF(ISERROR(AV8/AP8-1),"NM",AV8/AP8-1)</f>
        <v>8.413356612832823E-2</v>
      </c>
      <c r="AW72" s="642">
        <f>IF(ISERROR(AW8/AQ8-1),"NM",AW8/AQ8-1)</f>
        <v>0.26917876917306116</v>
      </c>
      <c r="AX72" s="103"/>
      <c r="AY72" s="446">
        <f>IF(ISERROR(AY8/AS8-1),"NM",AY8/AS8-1)</f>
        <v>-0.16610114240839258</v>
      </c>
      <c r="AZ72" s="446">
        <f>IF(ISERROR(AZ8/AT8-1),"NM",AZ8/AT8-1)</f>
        <v>-9.6378516122708979E-2</v>
      </c>
      <c r="BA72" s="446">
        <f>IF(ISERROR(BA8/AU8-1),"NM",BA8/AU8-1)</f>
        <v>-1.6066781832892341E-2</v>
      </c>
      <c r="BB72" s="446">
        <f>IF(ISERROR(BB8/AV8-1),"NM",BB8/AV8-1)</f>
        <v>5.8746389372010821E-3</v>
      </c>
      <c r="BC72" s="642">
        <f>IF(ISERROR(BC8/AW8-1),"NM",BC8/AW8-1)</f>
        <v>-7.0837754275187459E-2</v>
      </c>
      <c r="BD72" s="103"/>
      <c r="BE72" s="446">
        <f>IF(ISERROR(BE8/AY8-1),"NM",BE8/AY8-1)</f>
        <v>8.7032959817378908E-2</v>
      </c>
      <c r="BF72" s="446">
        <f>IF(ISERROR(BF8/AZ8-1),"NM",BF8/AZ8-1)</f>
        <v>4.8245985628528887E-2</v>
      </c>
      <c r="BG72" s="446">
        <f>IF(ISERROR(BG8/BA8-1),"NM",BG8/BA8-1)</f>
        <v>5.8521658041364333E-2</v>
      </c>
      <c r="BH72" s="446">
        <f>IF(ISERROR(BH8/BB8-1),"NM",BH8/BB8-1)</f>
        <v>-1.7769297165581399E-2</v>
      </c>
      <c r="BI72" s="642">
        <f>IF(ISERROR(BI8/BC8-1),"NM",BI8/BC8-1)</f>
        <v>4.2525475295372095E-2</v>
      </c>
      <c r="BJ72" s="103"/>
      <c r="BK72" s="446">
        <f>IF(ISERROR(BK8/BE8-1),"NM",BK8/BE8-1)</f>
        <v>-3.2829182644305011E-2</v>
      </c>
      <c r="BL72" s="446">
        <f>IF(ISERROR(BL8/BF8-1),"NM",BL8/BF8-1)</f>
        <v>1.6866593946173181E-2</v>
      </c>
      <c r="BM72" s="446">
        <f>IF(ISERROR(BM8/BG8-1),"NM",BM8/BG8-1)</f>
        <v>3.3556429207850069E-2</v>
      </c>
      <c r="BN72" s="446">
        <f>IF(ISERROR(BN8/BH8-1),"NM",BN8/BH8-1)</f>
        <v>7.485224852800898E-2</v>
      </c>
      <c r="BO72" s="642">
        <f>IF(ISERROR(BO8/BI8-1),"NM",BO8/BI8-1)</f>
        <v>2.3331245846943016E-2</v>
      </c>
      <c r="BP72" s="103"/>
      <c r="BQ72" s="446">
        <f>IF(ISERROR(BQ8/BK8-1),"NM",BQ8/BK8-1)</f>
        <v>7.136335299982699E-2</v>
      </c>
      <c r="BR72" s="446">
        <f>IF(ISERROR(BR8/BL8-1),"NM",BR8/BL8-1)</f>
        <v>-1.3095785676615179E-2</v>
      </c>
      <c r="BS72" s="446">
        <f>IF(ISERROR(BS8/BM8-1),"NM",BS8/BM8-1)</f>
        <v>-3.5814295008648855E-2</v>
      </c>
      <c r="BT72" s="446">
        <f>IF(ISERROR(BT8/BN8-1),"NM",BT8/BN8-1)</f>
        <v>-1.6286885628804204E-2</v>
      </c>
      <c r="BU72" s="642">
        <f>IF(ISERROR(BU8/BO8-1),"NM",BU8/BO8-1)</f>
        <v>-2.8989407526491817E-4</v>
      </c>
      <c r="BV72" s="103"/>
      <c r="BW72" s="446">
        <f>IF(ISERROR(BW8/BQ8-1),"NM",BW8/BQ8-1)</f>
        <v>1.2673769492597131E-3</v>
      </c>
      <c r="BX72" s="446">
        <f>IF(ISERROR(BX8/BR8-1),"NM",BX8/BR8-1)</f>
        <v>3.0082834134282255E-2</v>
      </c>
      <c r="BY72" s="446">
        <f>IF(ISERROR(BY8/BS8-1),"NM",BY8/BS8-1)</f>
        <v>4.7026938507782612E-2</v>
      </c>
      <c r="BZ72" s="446">
        <f>IF(ISERROR(BZ8/BT8-1),"NM",BZ8/BT8-1)</f>
        <v>5.7984268050797372E-2</v>
      </c>
      <c r="CA72" s="642">
        <f>IF(ISERROR(CA8/BU8-1),"NM",CA8/BU8-1)</f>
        <v>3.4282861946134391E-2</v>
      </c>
      <c r="CB72" s="103"/>
      <c r="CC72" s="446">
        <f>IF(ISERROR(CC8/BW8-1),"NM",CC8/BW8-1)</f>
        <v>4.7787880755302048E-2</v>
      </c>
      <c r="CD72" s="446">
        <f>IF(ISERROR(CD8/BX8-1),"NM",CD8/BX8-1)</f>
        <v>5.9279505142453504E-2</v>
      </c>
      <c r="CE72" s="446">
        <f>IF(ISERROR(CE8/BY8-1),"NM",CE8/BY8-1)</f>
        <v>5.996726519359119E-2</v>
      </c>
      <c r="CF72" s="446">
        <f>IF(ISERROR(CF8/BZ8-1),"NM",CF8/BZ8-1)</f>
        <v>6.4426674815585727E-2</v>
      </c>
      <c r="CG72" s="642">
        <f>IF(ISERROR(CG8/CA8-1),"NM",CG8/CA8-1)</f>
        <v>5.8053885978194719E-2</v>
      </c>
      <c r="CH72" s="103"/>
      <c r="CI72" s="446">
        <f t="shared" ref="CI72:CM72" si="218">IF(ISERROR(CI8/CC8-1),"NM",CI8/CC8-1)</f>
        <v>7.2100557138007559E-2</v>
      </c>
      <c r="CJ72" s="446">
        <f t="shared" si="218"/>
        <v>7.5701318294326692E-2</v>
      </c>
      <c r="CK72" s="446">
        <f t="shared" si="218"/>
        <v>7.0025127814653088E-2</v>
      </c>
      <c r="CL72" s="446">
        <f t="shared" si="218"/>
        <v>6.9926727632908747E-2</v>
      </c>
      <c r="CM72" s="642">
        <f t="shared" si="218"/>
        <v>7.191342144009516E-2</v>
      </c>
      <c r="CN72" s="103"/>
      <c r="CO72" s="446">
        <f t="shared" ref="CO72:CS72" si="219">IF(ISERROR(CO8/CI8-1),"NM",CO8/CI8-1)</f>
        <v>7.1875718254417631E-2</v>
      </c>
      <c r="CP72" s="446">
        <f t="shared" si="219"/>
        <v>8.0375559737687396E-2</v>
      </c>
      <c r="CQ72" s="446">
        <f t="shared" si="219"/>
        <v>6.9205412675996447E-2</v>
      </c>
      <c r="CR72" s="446">
        <f t="shared" si="219"/>
        <v>7.4752394631578678E-2</v>
      </c>
      <c r="CS72" s="642">
        <f t="shared" si="219"/>
        <v>7.410496868736316E-2</v>
      </c>
      <c r="CT72" s="51"/>
      <c r="DA72" s="43"/>
      <c r="DB72" s="43"/>
      <c r="DC72" s="43"/>
      <c r="DD72" s="43"/>
      <c r="DI72" s="598"/>
      <c r="DK72" s="348"/>
      <c r="DL72" s="348"/>
      <c r="DM72" s="405"/>
    </row>
    <row r="73" spans="1:117" hidden="1" outlineLevel="1" x14ac:dyDescent="0.2">
      <c r="B73" s="382" t="s">
        <v>223</v>
      </c>
      <c r="C73" s="383"/>
      <c r="D73" s="384"/>
      <c r="E73" s="384"/>
      <c r="F73" s="384"/>
      <c r="G73" s="385"/>
      <c r="H73" s="180"/>
      <c r="I73" s="386">
        <f>+MYGN!I77</f>
        <v>0.43892913573621906</v>
      </c>
      <c r="J73" s="386">
        <f>+MYGN!J77</f>
        <v>0.52799245994344957</v>
      </c>
      <c r="K73" s="386">
        <f>+MYGN!K77</f>
        <v>0.5075665120820112</v>
      </c>
      <c r="L73" s="386">
        <f>+MYGN!L77</f>
        <v>0.42218215400853154</v>
      </c>
      <c r="M73" s="387">
        <f>+SUMPRODUCT(I73:L73,C8:F8)/G$8</f>
        <v>0.47302801573259678</v>
      </c>
      <c r="N73" s="180"/>
      <c r="O73" s="386">
        <f>+MYGN!O77</f>
        <v>0.44957112667302046</v>
      </c>
      <c r="P73" s="386">
        <f>+MYGN!P77</f>
        <v>0.47953896584540545</v>
      </c>
      <c r="Q73" s="386">
        <f>+MYGN!Q77</f>
        <v>0.40097142394560037</v>
      </c>
      <c r="R73" s="386">
        <f>+MYGN!R77</f>
        <v>0.3308853087603203</v>
      </c>
      <c r="S73" s="387">
        <f>+SUMPRODUCT(O73:R73,I8:L8)/M$8</f>
        <v>0.41078241182798958</v>
      </c>
      <c r="T73" s="423"/>
      <c r="U73" s="386">
        <f>+MYGN!U77</f>
        <v>0.21663688987350804</v>
      </c>
      <c r="V73" s="386">
        <f>+MYGN!V77</f>
        <v>0.1050123880312559</v>
      </c>
      <c r="W73" s="386">
        <f>+MYGN!W77</f>
        <v>4.9681616992753863E-2</v>
      </c>
      <c r="X73" s="386">
        <f>+MYGN!X77</f>
        <v>9.1183680107808529E-2</v>
      </c>
      <c r="Y73" s="387">
        <f>+SUMPRODUCT(U73:X73,O8:R8)/S$8</f>
        <v>0.1106217862535105</v>
      </c>
      <c r="Z73" s="491"/>
      <c r="AA73" s="386">
        <f>+MYGN!AA77</f>
        <v>7.9133479006602281E-2</v>
      </c>
      <c r="AB73" s="386">
        <f>+MYGN!AB77</f>
        <v>8.2700931355639939E-2</v>
      </c>
      <c r="AC73" s="386">
        <f>+MYGN!AC77</f>
        <v>0.12709457227788179</v>
      </c>
      <c r="AD73" s="386">
        <f>+MYGN!AD77</f>
        <v>0.1435567668852733</v>
      </c>
      <c r="AE73" s="387">
        <f>+SUMPRODUCT(AA73:AD73,U8:X8)/Y$8</f>
        <v>0.10874456773510391</v>
      </c>
      <c r="AF73" s="180"/>
      <c r="AG73" s="386">
        <f>+MYGN!AG77</f>
        <v>0.2024211282631887</v>
      </c>
      <c r="AH73" s="386">
        <f>+MYGN!AH77</f>
        <v>0.22272998805256883</v>
      </c>
      <c r="AI73" s="386">
        <f>+MYGN!AI77</f>
        <v>0.26767538632855992</v>
      </c>
      <c r="AJ73" s="386">
        <f>+MYGN!AJ77</f>
        <v>0.23789706922876408</v>
      </c>
      <c r="AK73" s="387">
        <f>+SUMPRODUCT(AG73:AJ73,AA8:AD8)/AE$8</f>
        <v>0.23358551944369832</v>
      </c>
      <c r="AL73" s="180"/>
      <c r="AM73" s="386">
        <f>+MYGN!AM77</f>
        <v>0.20809944591315688</v>
      </c>
      <c r="AN73" s="386">
        <f>+MYGN!AN77</f>
        <v>0.21438633347175728</v>
      </c>
      <c r="AO73" s="386">
        <f>+MYGN!AO77</f>
        <v>0.20569900675774622</v>
      </c>
      <c r="AP73" s="386">
        <f>+MYGN!AP77</f>
        <v>0.30948745910577968</v>
      </c>
      <c r="AQ73" s="387">
        <f>+SUMPRODUCT(AM73:AP73,AG8:AJ8)/AK$8</f>
        <v>0.23620729629741638</v>
      </c>
      <c r="AR73" s="180"/>
      <c r="AS73" s="386">
        <f>+MYGN!AS77</f>
        <v>0.51732278153735467</v>
      </c>
      <c r="AT73" s="386">
        <f>+MYGN!AT77</f>
        <v>0.36824460238701895</v>
      </c>
      <c r="AU73" s="386">
        <f>+MYGN!AU77</f>
        <v>0.16905261005163852</v>
      </c>
      <c r="AV73" s="386">
        <f>+MYGN!AV77</f>
        <v>8.413356612832823E-2</v>
      </c>
      <c r="AW73" s="387">
        <f>+SUMPRODUCT(AS73:AV73,AM8:AP8)/AQ$8</f>
        <v>0.26917876917306111</v>
      </c>
      <c r="AX73" s="180"/>
      <c r="AY73" s="386">
        <f>+MYGN!AY77</f>
        <v>-0.16609620333190112</v>
      </c>
      <c r="AZ73" s="386">
        <f>+MYGN!AZ77</f>
        <v>-9.6378516122708979E-2</v>
      </c>
      <c r="BA73" s="386">
        <f>+MYGN!BA77</f>
        <v>-1.5897312545100739E-2</v>
      </c>
      <c r="BB73" s="386">
        <f>+MYGN!BB77</f>
        <v>5.8746389372010821E-3</v>
      </c>
      <c r="BC73" s="387">
        <f>+SUMPRODUCT(AY73:BB73,AS8:AV8)/AW$8</f>
        <v>-7.0796634586052287E-2</v>
      </c>
      <c r="BD73" s="180"/>
      <c r="BE73" s="386">
        <f>+MYGN!BE77</f>
        <v>8.7026521498044129E-2</v>
      </c>
      <c r="BF73" s="386">
        <f>+MYGN!BF77</f>
        <v>4.8245985628528887E-2</v>
      </c>
      <c r="BG73" s="386">
        <f>+MYGN!BG77</f>
        <v>5.8339373292235042E-2</v>
      </c>
      <c r="BH73" s="386">
        <f>+MYGN!BH77</f>
        <v>-1.7769297165581399E-2</v>
      </c>
      <c r="BI73" s="387">
        <f>+SUMPRODUCT(BE73:BH73,AY8:BB8)/BC$8</f>
        <v>4.2478599253070001E-2</v>
      </c>
      <c r="BJ73" s="180"/>
      <c r="BK73" s="386">
        <f>+MYGN!BK77</f>
        <v>-3.2829182644305011E-2</v>
      </c>
      <c r="BL73" s="386">
        <f>+MYGN!BL77</f>
        <v>1.6866593946173181E-2</v>
      </c>
      <c r="BM73" s="386">
        <f>+MYGN!BM77</f>
        <v>3.3556429207850069E-2</v>
      </c>
      <c r="BN73" s="386">
        <f>+MYGN!BN77</f>
        <v>7.485224852800898E-2</v>
      </c>
      <c r="BO73" s="387">
        <f>BO72</f>
        <v>2.3331245846943016E-2</v>
      </c>
      <c r="BP73" s="180"/>
      <c r="BQ73" s="386">
        <f>+MYGN!BQ77</f>
        <v>7.136335299982699E-2</v>
      </c>
      <c r="BR73" s="386">
        <f>+MYGN!BR77</f>
        <v>-1.3095785676615179E-2</v>
      </c>
      <c r="BS73" s="386">
        <f>BS72</f>
        <v>-3.5814295008648855E-2</v>
      </c>
      <c r="BT73" s="386">
        <f>BT72</f>
        <v>-1.6286885628804204E-2</v>
      </c>
      <c r="BU73" s="387">
        <f>BU72</f>
        <v>-2.8989407526491817E-4</v>
      </c>
      <c r="BV73" s="180"/>
      <c r="BW73" s="386">
        <f>BW72</f>
        <v>1.2673769492597131E-3</v>
      </c>
      <c r="BX73" s="386">
        <f>BX72</f>
        <v>3.0082834134282255E-2</v>
      </c>
      <c r="BY73" s="386">
        <f>BY72</f>
        <v>4.7026938507782612E-2</v>
      </c>
      <c r="BZ73" s="386">
        <f>BZ72</f>
        <v>5.7984268050797372E-2</v>
      </c>
      <c r="CA73" s="387">
        <f>CA72</f>
        <v>3.4282861946134391E-2</v>
      </c>
      <c r="CB73" s="180"/>
      <c r="CC73" s="386">
        <f>CC72</f>
        <v>4.7787880755302048E-2</v>
      </c>
      <c r="CD73" s="386">
        <f>CD72</f>
        <v>5.9279505142453504E-2</v>
      </c>
      <c r="CE73" s="386">
        <f>CE72</f>
        <v>5.996726519359119E-2</v>
      </c>
      <c r="CF73" s="386">
        <f>CF72</f>
        <v>6.4426674815585727E-2</v>
      </c>
      <c r="CG73" s="387">
        <f>CG72</f>
        <v>5.8053885978194719E-2</v>
      </c>
      <c r="CH73" s="180"/>
      <c r="CI73" s="386">
        <f t="shared" ref="CI73:CM73" si="220">CI72</f>
        <v>7.2100557138007559E-2</v>
      </c>
      <c r="CJ73" s="386">
        <f t="shared" si="220"/>
        <v>7.5701318294326692E-2</v>
      </c>
      <c r="CK73" s="386">
        <f t="shared" si="220"/>
        <v>7.0025127814653088E-2</v>
      </c>
      <c r="CL73" s="386">
        <f t="shared" si="220"/>
        <v>6.9926727632908747E-2</v>
      </c>
      <c r="CM73" s="387">
        <f t="shared" si="220"/>
        <v>7.191342144009516E-2</v>
      </c>
      <c r="CN73" s="180"/>
      <c r="CO73" s="386">
        <f t="shared" ref="CO73:CS73" si="221">CO72</f>
        <v>7.1875718254417631E-2</v>
      </c>
      <c r="CP73" s="386">
        <f t="shared" si="221"/>
        <v>8.0375559737687396E-2</v>
      </c>
      <c r="CQ73" s="386">
        <f t="shared" si="221"/>
        <v>6.9205412675996447E-2</v>
      </c>
      <c r="CR73" s="386">
        <f t="shared" si="221"/>
        <v>7.4752394631578678E-2</v>
      </c>
      <c r="CS73" s="387">
        <f t="shared" si="221"/>
        <v>7.410496868736316E-2</v>
      </c>
      <c r="CT73" s="51"/>
      <c r="DA73" s="43"/>
      <c r="DB73" s="43"/>
      <c r="DC73" s="43"/>
      <c r="DD73" s="43"/>
    </row>
    <row r="74" spans="1:117" collapsed="1" x14ac:dyDescent="0.2">
      <c r="B74" s="818" t="s">
        <v>224</v>
      </c>
      <c r="C74" s="819"/>
      <c r="D74" s="820"/>
      <c r="E74" s="820"/>
      <c r="F74" s="820"/>
      <c r="G74" s="821"/>
      <c r="H74" s="599"/>
      <c r="I74" s="822">
        <f>+I73-I75</f>
        <v>0.43892913573621906</v>
      </c>
      <c r="J74" s="822">
        <f>+J73-J75</f>
        <v>0.52799245994344957</v>
      </c>
      <c r="K74" s="822">
        <f>+K73-K75</f>
        <v>0.5075665120820112</v>
      </c>
      <c r="L74" s="823">
        <f>+L73-L75</f>
        <v>0.42218215400853154</v>
      </c>
      <c r="M74" s="824">
        <f>+SUMPRODUCT(I74:L74,C$8:F$8)/G$8</f>
        <v>0.47302801573259678</v>
      </c>
      <c r="N74" s="599"/>
      <c r="O74" s="822">
        <f>+O73-O75</f>
        <v>0.44957112667302046</v>
      </c>
      <c r="P74" s="822">
        <f>+P73-P75</f>
        <v>0.47953896584540545</v>
      </c>
      <c r="Q74" s="822">
        <f>+Q73-Q75</f>
        <v>0.40097142394560037</v>
      </c>
      <c r="R74" s="823">
        <f>+R73-R75</f>
        <v>0.3308853087603203</v>
      </c>
      <c r="S74" s="824">
        <f>+SUMPRODUCT(O74:R74,I$8:L$8)/M$8</f>
        <v>0.41078241182798958</v>
      </c>
      <c r="T74" s="599"/>
      <c r="U74" s="822">
        <f>+U73-U75</f>
        <v>0.21663688987350804</v>
      </c>
      <c r="V74" s="822">
        <f>+V73-V75</f>
        <v>0.1050123880312559</v>
      </c>
      <c r="W74" s="822">
        <f>+W73-W75</f>
        <v>4.9681616992753863E-2</v>
      </c>
      <c r="X74" s="823">
        <f>+X73-X75</f>
        <v>9.1183680107808529E-2</v>
      </c>
      <c r="Y74" s="824">
        <f>+SUMPRODUCT(U74:X74,O$8:R$8)/S$8</f>
        <v>0.1106217862535105</v>
      </c>
      <c r="Z74" s="825"/>
      <c r="AA74" s="822">
        <f>+AA73-AA75</f>
        <v>7.9133479006602281E-2</v>
      </c>
      <c r="AB74" s="822">
        <f>+AB73-AB75</f>
        <v>8.2700931355639939E-2</v>
      </c>
      <c r="AC74" s="822">
        <f>+AC73-AC75</f>
        <v>0.12709457227788179</v>
      </c>
      <c r="AD74" s="823">
        <f>+AD73-AD75</f>
        <v>0.1435567668852733</v>
      </c>
      <c r="AE74" s="824">
        <f>+SUMPRODUCT(AA74:AD74,U$8:X$8)/Y$8</f>
        <v>0.10874456773510391</v>
      </c>
      <c r="AF74" s="599"/>
      <c r="AG74" s="822">
        <f>+AG73-AG75</f>
        <v>0.2024211282631887</v>
      </c>
      <c r="AH74" s="822">
        <f>+AH73-AH75</f>
        <v>0.22272998805256883</v>
      </c>
      <c r="AI74" s="822">
        <f>+AI73-AI75</f>
        <v>0.26767538632855992</v>
      </c>
      <c r="AJ74" s="823">
        <f>+AJ73-AJ75</f>
        <v>0.23789706922876408</v>
      </c>
      <c r="AK74" s="824">
        <f>+SUMPRODUCT(AG74:AJ74,AA$8:AD$8)/AE$8</f>
        <v>0.23358551944369832</v>
      </c>
      <c r="AL74" s="599"/>
      <c r="AM74" s="822">
        <f>+AM73-AM75</f>
        <v>0.20809944591315688</v>
      </c>
      <c r="AN74" s="822">
        <f>+AN73-AN75</f>
        <v>0.21438633347175728</v>
      </c>
      <c r="AO74" s="822">
        <f>+AO73-AO75</f>
        <v>0.20569900675774622</v>
      </c>
      <c r="AP74" s="823">
        <f>+AP73-AP75</f>
        <v>0.30948745910577968</v>
      </c>
      <c r="AQ74" s="824">
        <f>+SUMPRODUCT(AM74:AP74,AG$8:AJ$8)/AK$8</f>
        <v>0.23620729629741638</v>
      </c>
      <c r="AR74" s="599"/>
      <c r="AS74" s="822">
        <f>+AS73-AS75</f>
        <v>0.51732278153735467</v>
      </c>
      <c r="AT74" s="822">
        <f>+AT73-AT75</f>
        <v>0.36824460238701895</v>
      </c>
      <c r="AU74" s="822">
        <f>+AU73-AU75</f>
        <v>0.14906820389590458</v>
      </c>
      <c r="AV74" s="823">
        <f>+AV73-AV75</f>
        <v>2.1858990558018786E-2</v>
      </c>
      <c r="AW74" s="824">
        <f>+SUMPRODUCT(AS74:AV74,AM$8:AP$8)/AQ$8</f>
        <v>0.24639534219989725</v>
      </c>
      <c r="AX74" s="599"/>
      <c r="AY74" s="822">
        <f>+AY73-AY75</f>
        <v>-0.21834669353524289</v>
      </c>
      <c r="AZ74" s="822">
        <f>+AZ73-AZ75</f>
        <v>-0.14950994805449375</v>
      </c>
      <c r="BA74" s="822">
        <f>+BA73-BA75</f>
        <v>-2.6830814983271785E-2</v>
      </c>
      <c r="BB74" s="822">
        <f>+BB73-BB75</f>
        <v>-1.5315730040098733E-2</v>
      </c>
      <c r="BC74" s="824">
        <f>+SUMPRODUCT(AY74:BB74,AS$8:AV$8)/AW$8</f>
        <v>-0.10603235320401955</v>
      </c>
      <c r="BD74" s="599"/>
      <c r="BE74" s="822">
        <f>+BE73-BE75</f>
        <v>6.4198964546585205E-2</v>
      </c>
      <c r="BF74" s="822">
        <f>+BF73-BF75</f>
        <v>3.2518707478056796E-2</v>
      </c>
      <c r="BG74" s="822">
        <f>+BG73-BG75</f>
        <v>2.7647531466760227E-2</v>
      </c>
      <c r="BH74" s="822">
        <f>+BH73-BH75</f>
        <v>-3.8835907414040777E-2</v>
      </c>
      <c r="BI74" s="824">
        <f>+SUMPRODUCT(BE74:BH74,AY$8:BB$8)/BC$8</f>
        <v>1.9966558487779874E-2</v>
      </c>
      <c r="BJ74" s="599"/>
      <c r="BK74" s="822">
        <f>+BK73-BK75</f>
        <v>-9.1402946681745451E-2</v>
      </c>
      <c r="BL74" s="822">
        <f>+BL73-BL75</f>
        <v>-0.11573773229654555</v>
      </c>
      <c r="BM74" s="822">
        <f>+BM73-BM75</f>
        <v>-0.11256215007886808</v>
      </c>
      <c r="BN74" s="822">
        <f>+BN73-BN75</f>
        <v>-8.3374018962658419E-2</v>
      </c>
      <c r="BO74" s="824">
        <f>+SUMPRODUCT(BK74:BN74,BE$8:BH$8)/BI$8</f>
        <v>-0.10100376316283848</v>
      </c>
      <c r="BP74" s="599"/>
      <c r="BQ74" s="822">
        <f>+BQ73-BQ75</f>
        <v>-9.0884502234617526E-2</v>
      </c>
      <c r="BR74" s="822">
        <f>+BR73-BR75</f>
        <v>-0.17437843321691587</v>
      </c>
      <c r="BS74" s="822">
        <f>+BS73-BS75</f>
        <v>-3.5814295008648855E-2</v>
      </c>
      <c r="BT74" s="822">
        <f>+BT73-BT75</f>
        <v>-1.6286885628804204E-2</v>
      </c>
      <c r="BU74" s="824">
        <f>+SUMPRODUCT(BQ74:BT74,BK$8:BN$8)/BO$8</f>
        <v>-7.8716018307813884E-2</v>
      </c>
      <c r="BV74" s="599"/>
      <c r="BW74" s="822">
        <f>+BW73-BW75</f>
        <v>1.2673769492597131E-3</v>
      </c>
      <c r="BX74" s="822">
        <f>+BX73-BX75</f>
        <v>3.0082834134282255E-2</v>
      </c>
      <c r="BY74" s="822">
        <f>+BY73-BY75</f>
        <v>4.7026938507782612E-2</v>
      </c>
      <c r="BZ74" s="822">
        <f>+BZ73-BZ75</f>
        <v>5.7984268050797372E-2</v>
      </c>
      <c r="CA74" s="824">
        <f>+SUMPRODUCT(BW74:BZ74,BQ$8:BT$8)/BU$8</f>
        <v>3.428286194613419E-2</v>
      </c>
      <c r="CB74" s="599"/>
      <c r="CC74" s="822">
        <f>+CC73-CC75</f>
        <v>4.7787880755302048E-2</v>
      </c>
      <c r="CD74" s="822">
        <f>+CD73-CD75</f>
        <v>5.9279505142453504E-2</v>
      </c>
      <c r="CE74" s="822">
        <f>+CE73-CE75</f>
        <v>5.996726519359119E-2</v>
      </c>
      <c r="CF74" s="822">
        <f>+CF73-CF75</f>
        <v>6.4426674815585727E-2</v>
      </c>
      <c r="CG74" s="824">
        <f>+SUMPRODUCT(CC74:CF74,BW$8:BZ$8)/CA$8</f>
        <v>5.8053885978194671E-2</v>
      </c>
      <c r="CH74" s="599"/>
      <c r="CI74" s="822">
        <f t="shared" ref="CI74:CL74" si="222">+CI73-CI75</f>
        <v>7.2100557138007559E-2</v>
      </c>
      <c r="CJ74" s="822">
        <f t="shared" si="222"/>
        <v>7.5701318294326692E-2</v>
      </c>
      <c r="CK74" s="822">
        <f t="shared" si="222"/>
        <v>7.0025127814653088E-2</v>
      </c>
      <c r="CL74" s="822">
        <f t="shared" si="222"/>
        <v>6.9926727632908747E-2</v>
      </c>
      <c r="CM74" s="824">
        <f t="shared" ref="CM74" si="223">+SUMPRODUCT(CI74:CL74,CC$8:CF$8)/CG$8</f>
        <v>7.191342144009516E-2</v>
      </c>
      <c r="CN74" s="599"/>
      <c r="CO74" s="822">
        <f t="shared" ref="CO74:CR74" si="224">+CO73-CO75</f>
        <v>7.1875718254417631E-2</v>
      </c>
      <c r="CP74" s="822">
        <f t="shared" si="224"/>
        <v>8.0375559737687396E-2</v>
      </c>
      <c r="CQ74" s="822">
        <f t="shared" si="224"/>
        <v>6.9205412675996447E-2</v>
      </c>
      <c r="CR74" s="822">
        <f t="shared" si="224"/>
        <v>7.4752394631578678E-2</v>
      </c>
      <c r="CS74" s="824">
        <f t="shared" ref="CS74" si="225">+SUMPRODUCT(CO74:CR74,CI$8:CL$8)/CM$8</f>
        <v>7.4104968687363021E-2</v>
      </c>
      <c r="CT74" s="51"/>
      <c r="DA74" s="43"/>
      <c r="DB74" s="43"/>
      <c r="DC74" s="43"/>
      <c r="DD74" s="43"/>
      <c r="DH74" s="405"/>
      <c r="DI74" s="405"/>
      <c r="DJ74" s="348"/>
    </row>
    <row r="75" spans="1:117" hidden="1" outlineLevel="1" x14ac:dyDescent="0.2">
      <c r="B75" s="388" t="s">
        <v>2</v>
      </c>
      <c r="C75" s="383"/>
      <c r="D75" s="384"/>
      <c r="E75" s="384"/>
      <c r="F75" s="384"/>
      <c r="G75" s="385"/>
      <c r="H75" s="104"/>
      <c r="I75" s="389">
        <f>MYGN!I79</f>
        <v>0</v>
      </c>
      <c r="J75" s="389">
        <f>MYGN!J79</f>
        <v>0</v>
      </c>
      <c r="K75" s="389">
        <f>MYGN!K79</f>
        <v>0</v>
      </c>
      <c r="L75" s="389">
        <f>MYGN!L79</f>
        <v>0</v>
      </c>
      <c r="M75" s="387">
        <f>+SUMPRODUCT(I75:L75,C$8:F$8)/G$8</f>
        <v>0</v>
      </c>
      <c r="N75" s="104"/>
      <c r="O75" s="389">
        <f>MYGN!O79</f>
        <v>0</v>
      </c>
      <c r="P75" s="389">
        <f>MYGN!P79</f>
        <v>0</v>
      </c>
      <c r="Q75" s="389">
        <f>MYGN!Q79</f>
        <v>0</v>
      </c>
      <c r="R75" s="389">
        <f>MYGN!R79</f>
        <v>0</v>
      </c>
      <c r="S75" s="387">
        <f>+SUMPRODUCT(O75:R75,I$8:L$8)/M$8</f>
        <v>0</v>
      </c>
      <c r="T75" s="104"/>
      <c r="U75" s="389">
        <f>MYGN!U79</f>
        <v>0</v>
      </c>
      <c r="V75" s="389">
        <f>MYGN!V79</f>
        <v>0</v>
      </c>
      <c r="W75" s="389">
        <f>MYGN!W79</f>
        <v>0</v>
      </c>
      <c r="X75" s="389">
        <f>MYGN!X79</f>
        <v>0</v>
      </c>
      <c r="Y75" s="387">
        <f>+SUMPRODUCT(U75:X75,O$8:R$8)/S$8</f>
        <v>0</v>
      </c>
      <c r="Z75" s="392"/>
      <c r="AA75" s="389">
        <f>MYGN!AA79</f>
        <v>0</v>
      </c>
      <c r="AB75" s="389">
        <f>MYGN!AB79</f>
        <v>0</v>
      </c>
      <c r="AC75" s="389">
        <f>MYGN!AC79</f>
        <v>0</v>
      </c>
      <c r="AD75" s="389">
        <f>MYGN!AD79</f>
        <v>0</v>
      </c>
      <c r="AE75" s="387">
        <f>+SUMPRODUCT(AA75:AD75,U$8:X$8)/Y$8</f>
        <v>0</v>
      </c>
      <c r="AF75" s="104"/>
      <c r="AG75" s="389">
        <f>MYGN!AG79</f>
        <v>0</v>
      </c>
      <c r="AH75" s="389">
        <f>MYGN!AH79</f>
        <v>0</v>
      </c>
      <c r="AI75" s="389">
        <f>MYGN!AI79</f>
        <v>0</v>
      </c>
      <c r="AJ75" s="389">
        <f>MYGN!AJ79</f>
        <v>0</v>
      </c>
      <c r="AK75" s="387">
        <f>+SUMPRODUCT(AG75:AJ75,AA$8:AD$8)/AE$8</f>
        <v>0</v>
      </c>
      <c r="AL75" s="104"/>
      <c r="AM75" s="389">
        <f>MYGN!AM79</f>
        <v>0</v>
      </c>
      <c r="AN75" s="389">
        <f>MYGN!AN79</f>
        <v>0</v>
      </c>
      <c r="AO75" s="389">
        <f>MYGN!AO79</f>
        <v>0</v>
      </c>
      <c r="AP75" s="389">
        <f>MYGN!AP79</f>
        <v>0</v>
      </c>
      <c r="AQ75" s="387">
        <f>+SUMPRODUCT(AM75:AP75,AG$8:AJ$8)/AK$8</f>
        <v>0</v>
      </c>
      <c r="AR75" s="104"/>
      <c r="AS75" s="389">
        <f>MYGN!AS79</f>
        <v>0</v>
      </c>
      <c r="AT75" s="389">
        <f>MYGN!AT79</f>
        <v>0</v>
      </c>
      <c r="AU75" s="389">
        <f>MYGN!AU79</f>
        <v>1.9984406155733932E-2</v>
      </c>
      <c r="AV75" s="389">
        <f>MYGN!AV79</f>
        <v>6.2274575570309444E-2</v>
      </c>
      <c r="AW75" s="387">
        <f>+SUMPRODUCT(AS75:AV75,AM$8:AP$8)/AQ$8</f>
        <v>2.2783426973163833E-2</v>
      </c>
      <c r="AX75" s="104"/>
      <c r="AY75" s="389">
        <f>MYGN!AY79</f>
        <v>5.2250490203341778E-2</v>
      </c>
      <c r="AZ75" s="389">
        <f>MYGN!AZ79</f>
        <v>5.3131431931784774E-2</v>
      </c>
      <c r="BA75" s="389">
        <f>MYGN!BA79</f>
        <v>1.0933502438171044E-2</v>
      </c>
      <c r="BB75" s="389">
        <f>MYGN!BB79</f>
        <v>2.1190368977299815E-2</v>
      </c>
      <c r="BC75" s="387">
        <f>MYGN!BC79</f>
        <v>3.5235718617967239E-2</v>
      </c>
      <c r="BD75" s="104"/>
      <c r="BE75" s="389">
        <f>MYGN!BE79</f>
        <v>2.2827556951458928E-2</v>
      </c>
      <c r="BF75" s="389">
        <f>MYGN!BF79</f>
        <v>1.572727815047209E-2</v>
      </c>
      <c r="BG75" s="389">
        <f>MYGN!BG79</f>
        <v>3.0691841825474814E-2</v>
      </c>
      <c r="BH75" s="389">
        <f>MYGN!BH79</f>
        <v>2.1066610248459378E-2</v>
      </c>
      <c r="BI75" s="387">
        <f>MYGN!BI79</f>
        <v>2.2512391867491491E-2</v>
      </c>
      <c r="BJ75" s="104"/>
      <c r="BK75" s="389">
        <f>MYGN!BK79</f>
        <v>5.8573764037440447E-2</v>
      </c>
      <c r="BL75" s="389">
        <f>MYGN!BL79</f>
        <v>0.13260432624271873</v>
      </c>
      <c r="BM75" s="389">
        <f>MYGN!BM79</f>
        <v>0.14611857928671815</v>
      </c>
      <c r="BN75" s="389">
        <f>MYGN!BN79</f>
        <v>0.1582262674906674</v>
      </c>
      <c r="BO75" s="387">
        <f>MYGN!BO79</f>
        <v>0.12433500900978155</v>
      </c>
      <c r="BP75" s="104"/>
      <c r="BQ75" s="389">
        <f>MYGN!BQ79</f>
        <v>0.16224785523444452</v>
      </c>
      <c r="BR75" s="389">
        <f>MYGN!BR79</f>
        <v>0.16128264754030069</v>
      </c>
      <c r="BS75" s="389">
        <f>MYGN!BS79</f>
        <v>0</v>
      </c>
      <c r="BT75" s="389">
        <f>MYGN!BT79</f>
        <v>0</v>
      </c>
      <c r="BU75" s="387">
        <f>MYGN!BU79</f>
        <v>7.8426124232548911E-2</v>
      </c>
      <c r="BV75" s="104"/>
      <c r="BW75" s="389">
        <f>MYGN!BW79</f>
        <v>0</v>
      </c>
      <c r="BX75" s="389">
        <f>MYGN!BX79</f>
        <v>0</v>
      </c>
      <c r="BY75" s="389">
        <f>MYGN!BY79</f>
        <v>0</v>
      </c>
      <c r="BZ75" s="389">
        <f>MYGN!BZ79</f>
        <v>0</v>
      </c>
      <c r="CA75" s="387">
        <f>MYGN!CA79</f>
        <v>0</v>
      </c>
      <c r="CB75" s="104"/>
      <c r="CC75" s="389">
        <f>MYGN!CC79</f>
        <v>0</v>
      </c>
      <c r="CD75" s="389">
        <f>MYGN!CD79</f>
        <v>0</v>
      </c>
      <c r="CE75" s="389">
        <f>MYGN!CE79</f>
        <v>0</v>
      </c>
      <c r="CF75" s="389">
        <f>MYGN!CF79</f>
        <v>0</v>
      </c>
      <c r="CG75" s="387">
        <f>MYGN!CG79</f>
        <v>0</v>
      </c>
      <c r="CH75" s="104"/>
      <c r="CI75" s="389">
        <f>MYGN!CI79</f>
        <v>0</v>
      </c>
      <c r="CJ75" s="389">
        <f>MYGN!CJ79</f>
        <v>0</v>
      </c>
      <c r="CK75" s="389">
        <f>MYGN!CK79</f>
        <v>0</v>
      </c>
      <c r="CL75" s="389">
        <f>MYGN!CL79</f>
        <v>0</v>
      </c>
      <c r="CM75" s="387">
        <f>MYGN!CM79</f>
        <v>0</v>
      </c>
      <c r="CN75" s="104"/>
      <c r="CO75" s="389">
        <f>MYGN!CO79</f>
        <v>0</v>
      </c>
      <c r="CP75" s="389">
        <f>MYGN!CP79</f>
        <v>0</v>
      </c>
      <c r="CQ75" s="389">
        <f>MYGN!CQ79</f>
        <v>0</v>
      </c>
      <c r="CR75" s="389">
        <f>MYGN!CR79</f>
        <v>0</v>
      </c>
      <c r="CS75" s="387">
        <f>MYGN!CS79</f>
        <v>0</v>
      </c>
      <c r="CT75" s="51"/>
      <c r="DA75" s="43"/>
      <c r="DB75" s="43"/>
      <c r="DC75" s="43"/>
      <c r="DD75" s="43"/>
    </row>
    <row r="76" spans="1:117" hidden="1" outlineLevel="1" x14ac:dyDescent="0.2">
      <c r="B76" s="382" t="s">
        <v>225</v>
      </c>
      <c r="C76" s="383"/>
      <c r="D76" s="384"/>
      <c r="E76" s="384"/>
      <c r="F76" s="384"/>
      <c r="G76" s="385"/>
      <c r="H76" s="488"/>
      <c r="I76" s="389">
        <f>+I72-I73</f>
        <v>0</v>
      </c>
      <c r="J76" s="389">
        <f>+J72-J73</f>
        <v>0</v>
      </c>
      <c r="K76" s="389">
        <f>+K72-K73</f>
        <v>0</v>
      </c>
      <c r="L76" s="389">
        <f>+L72-L73</f>
        <v>0</v>
      </c>
      <c r="M76" s="387">
        <f>+SUMPRODUCT(I76:L76,C$8:F$8)/G$8</f>
        <v>0</v>
      </c>
      <c r="N76" s="103"/>
      <c r="O76" s="389">
        <f>+O72-O73</f>
        <v>0</v>
      </c>
      <c r="P76" s="389">
        <f>+P72-P73</f>
        <v>0</v>
      </c>
      <c r="Q76" s="389">
        <f>+Q72-Q73</f>
        <v>0</v>
      </c>
      <c r="R76" s="389">
        <f>+R72-R73</f>
        <v>0</v>
      </c>
      <c r="S76" s="387">
        <f>+SUMPRODUCT(O76:R76,I$8:L$8)/M$8</f>
        <v>0</v>
      </c>
      <c r="T76" s="103"/>
      <c r="U76" s="389">
        <f>+U72-U73</f>
        <v>0</v>
      </c>
      <c r="V76" s="389">
        <f>+V72-V73</f>
        <v>0</v>
      </c>
      <c r="W76" s="389">
        <f>+W72-W73</f>
        <v>0</v>
      </c>
      <c r="X76" s="389">
        <f>+X72-X73</f>
        <v>0</v>
      </c>
      <c r="Y76" s="387">
        <f>+SUMPRODUCT(U76:X76,O$8:R$8)/S$8</f>
        <v>0</v>
      </c>
      <c r="Z76" s="302"/>
      <c r="AA76" s="389">
        <f>+AA72-AA73</f>
        <v>0</v>
      </c>
      <c r="AB76" s="389">
        <f>+AB72-AB73</f>
        <v>0</v>
      </c>
      <c r="AC76" s="389">
        <f>+AC72-AC73</f>
        <v>0</v>
      </c>
      <c r="AD76" s="389">
        <f>+AD72-AD73</f>
        <v>0</v>
      </c>
      <c r="AE76" s="387">
        <f>+SUMPRODUCT(AA76:AD76,U$8:X$8)/Y$8</f>
        <v>0</v>
      </c>
      <c r="AF76" s="103"/>
      <c r="AG76" s="389">
        <f>+AG72-AG73</f>
        <v>0</v>
      </c>
      <c r="AH76" s="389">
        <f>+AH72-AH73</f>
        <v>0</v>
      </c>
      <c r="AI76" s="389">
        <f>+AI72-AI73</f>
        <v>0</v>
      </c>
      <c r="AJ76" s="389">
        <f>+AJ72-AJ73</f>
        <v>0</v>
      </c>
      <c r="AK76" s="387">
        <f>+SUMPRODUCT(AG76:AJ76,AA$8:AD$8)/AE$8</f>
        <v>0</v>
      </c>
      <c r="AL76" s="103"/>
      <c r="AM76" s="389">
        <f>+AM72-AM73</f>
        <v>0</v>
      </c>
      <c r="AN76" s="389">
        <f>+AN72-AN73</f>
        <v>0</v>
      </c>
      <c r="AO76" s="389">
        <f>+AO72-AO73</f>
        <v>0</v>
      </c>
      <c r="AP76" s="389">
        <f>+AP72-AP73</f>
        <v>0</v>
      </c>
      <c r="AQ76" s="387">
        <f>+SUMPRODUCT(AM76:AP76,AG$8:AJ$8)/AK$8</f>
        <v>0</v>
      </c>
      <c r="AR76" s="103"/>
      <c r="AS76" s="389">
        <f>+AS72-AS73</f>
        <v>0</v>
      </c>
      <c r="AT76" s="389">
        <f>+AT72-AT73</f>
        <v>0</v>
      </c>
      <c r="AU76" s="389">
        <f>+AU72-AU73</f>
        <v>0</v>
      </c>
      <c r="AV76" s="389">
        <f>+AV72-AV73</f>
        <v>0</v>
      </c>
      <c r="AW76" s="387">
        <f>+SUMPRODUCT(AS76:AV76,AM$8:AP$8)/AQ$8</f>
        <v>0</v>
      </c>
      <c r="AX76" s="103"/>
      <c r="AY76" s="389">
        <f>+AY72-AY73</f>
        <v>-4.9390764914614138E-6</v>
      </c>
      <c r="AZ76" s="389">
        <f>+AZ72-AZ73</f>
        <v>0</v>
      </c>
      <c r="BA76" s="389">
        <f>+BA72-BA73</f>
        <v>-1.6946928779160153E-4</v>
      </c>
      <c r="BB76" s="389">
        <f>+BB72-BB73</f>
        <v>0</v>
      </c>
      <c r="BC76" s="387">
        <f>+SUMPRODUCT(AY76:BB76,AS$8:AV$8)/AW$8</f>
        <v>-4.1119689135134249E-5</v>
      </c>
      <c r="BD76" s="103"/>
      <c r="BE76" s="389">
        <f>+BE72-BE73</f>
        <v>6.4383193347783418E-6</v>
      </c>
      <c r="BF76" s="389">
        <f>+BF72-BF73</f>
        <v>0</v>
      </c>
      <c r="BG76" s="389">
        <f>+BG72-BG73</f>
        <v>1.8228474912929116E-4</v>
      </c>
      <c r="BH76" s="389">
        <f>+BH72-BH73</f>
        <v>0</v>
      </c>
      <c r="BI76" s="387">
        <f>+SUMPRODUCT(BE76:BH76,AY$8:BB$8)/BC$8</f>
        <v>4.6876042302017625E-5</v>
      </c>
      <c r="BJ76" s="103"/>
      <c r="BK76" s="389">
        <f>+BK72-BK73</f>
        <v>0</v>
      </c>
      <c r="BL76" s="389">
        <f>+BL72-BL73</f>
        <v>0</v>
      </c>
      <c r="BM76" s="389">
        <f>+BM72-BM73</f>
        <v>0</v>
      </c>
      <c r="BN76" s="389">
        <f>+BN72-BN73</f>
        <v>0</v>
      </c>
      <c r="BO76" s="387">
        <f>+SUMPRODUCT(BK76:BN76,BE$8:BH$8)/BI$8</f>
        <v>0</v>
      </c>
      <c r="BP76" s="103"/>
      <c r="BQ76" s="389">
        <f>+BQ72-BQ73</f>
        <v>0</v>
      </c>
      <c r="BR76" s="389">
        <f>+BR72-BR73</f>
        <v>0</v>
      </c>
      <c r="BS76" s="389">
        <f>+BS72-BS73</f>
        <v>0</v>
      </c>
      <c r="BT76" s="389">
        <f>+BT72-BT73</f>
        <v>0</v>
      </c>
      <c r="BU76" s="387">
        <f>+SUMPRODUCT(BQ76:BT76,BK$8:BN$8)/BO$8</f>
        <v>0</v>
      </c>
      <c r="BV76" s="103"/>
      <c r="BW76" s="389">
        <f>+BW72-BW73</f>
        <v>0</v>
      </c>
      <c r="BX76" s="389">
        <f>+BX72-BX73</f>
        <v>0</v>
      </c>
      <c r="BY76" s="389">
        <f>+BY72-BY73</f>
        <v>0</v>
      </c>
      <c r="BZ76" s="389">
        <f>+BZ72-BZ73</f>
        <v>0</v>
      </c>
      <c r="CA76" s="387">
        <f>+SUMPRODUCT(BW76:BZ76,BQ$8:BT$8)/BU$8</f>
        <v>0</v>
      </c>
      <c r="CB76" s="103"/>
      <c r="CC76" s="389">
        <f>+CC72-CC73</f>
        <v>0</v>
      </c>
      <c r="CD76" s="389">
        <f>+CD72-CD73</f>
        <v>0</v>
      </c>
      <c r="CE76" s="389">
        <f>+CE72-CE73</f>
        <v>0</v>
      </c>
      <c r="CF76" s="389">
        <f>+CF72-CF73</f>
        <v>0</v>
      </c>
      <c r="CG76" s="387">
        <f>+SUMPRODUCT(CC76:CF76,BW$8:BZ$8)/CA$8</f>
        <v>0</v>
      </c>
      <c r="CH76" s="103"/>
      <c r="CI76" s="389">
        <f t="shared" ref="CI76:CL76" si="226">+CI72-CI73</f>
        <v>0</v>
      </c>
      <c r="CJ76" s="389">
        <f t="shared" si="226"/>
        <v>0</v>
      </c>
      <c r="CK76" s="389">
        <f t="shared" si="226"/>
        <v>0</v>
      </c>
      <c r="CL76" s="389">
        <f t="shared" si="226"/>
        <v>0</v>
      </c>
      <c r="CM76" s="387">
        <f t="shared" ref="CM76" si="227">+SUMPRODUCT(CI76:CL76,CC$8:CF$8)/CG$8</f>
        <v>0</v>
      </c>
      <c r="CN76" s="103"/>
      <c r="CO76" s="389">
        <f t="shared" ref="CO76:CR76" si="228">+CO72-CO73</f>
        <v>0</v>
      </c>
      <c r="CP76" s="389">
        <f t="shared" si="228"/>
        <v>0</v>
      </c>
      <c r="CQ76" s="389">
        <f t="shared" si="228"/>
        <v>0</v>
      </c>
      <c r="CR76" s="389">
        <f t="shared" si="228"/>
        <v>0</v>
      </c>
      <c r="CS76" s="387">
        <f t="shared" ref="CS76" si="229">+SUMPRODUCT(CO76:CR76,CI$8:CL$8)/CM$8</f>
        <v>0</v>
      </c>
      <c r="CT76" s="51"/>
      <c r="DA76" s="43"/>
      <c r="DB76" s="43"/>
      <c r="DC76" s="43"/>
      <c r="DD76" s="43"/>
    </row>
    <row r="77" spans="1:117" collapsed="1" x14ac:dyDescent="0.2">
      <c r="A77" s="43"/>
      <c r="B77" s="445" t="str">
        <f>+B11</f>
        <v>Cost of Revenues</v>
      </c>
      <c r="C77" s="43"/>
      <c r="D77" s="31"/>
      <c r="E77" s="31"/>
      <c r="F77" s="31"/>
      <c r="G77" s="326"/>
      <c r="H77" s="103"/>
      <c r="I77" s="638">
        <f>IF(ISERROR(I11/C11-1),"NM",I11/C11-1)</f>
        <v>-9.5003084515731029E-2</v>
      </c>
      <c r="J77" s="638">
        <f>IF(ISERROR(J11/D11-1),"NM",J11/D11-1)</f>
        <v>2.1383981936512253E-2</v>
      </c>
      <c r="K77" s="638">
        <f>IF(ISERROR(K11/E11-1),"NM",K11/E11-1)</f>
        <v>9.0537151907087221E-2</v>
      </c>
      <c r="L77" s="638">
        <f>IF(ISERROR(L11/F11-1),"NM",L11/F11-1)</f>
        <v>0.19060773480662974</v>
      </c>
      <c r="M77" s="639">
        <f>IF(ISERROR(M11/G11-1),"NM",M11/G11-1)</f>
        <v>4.9524551325739186E-2</v>
      </c>
      <c r="N77" s="103"/>
      <c r="O77" s="638">
        <f>IF(ISERROR(O11/I11-1),"NM",O11/I11-1)</f>
        <v>0.33469665985003405</v>
      </c>
      <c r="P77" s="638">
        <f>IF(ISERROR(P11/J11-1),"NM",P11/J11-1)</f>
        <v>0.43823146944083224</v>
      </c>
      <c r="Q77" s="638">
        <f>IF(ISERROR(Q11/K11-1),"NM",Q11/K11-1)</f>
        <v>0.35931259832990436</v>
      </c>
      <c r="R77" s="638">
        <f>IF(ISERROR(R11/L11-1),"NM",R11/L11-1)</f>
        <v>0.23577505248038899</v>
      </c>
      <c r="S77" s="639">
        <f>IF(ISERROR(S11/M11-1),"NM",S11/M11-1)</f>
        <v>0.33792015832276823</v>
      </c>
      <c r="T77" s="103"/>
      <c r="U77" s="638">
        <f>IF(ISERROR(U11/O11-1),"NM",U11/O11-1)</f>
        <v>0.12992849846782439</v>
      </c>
      <c r="V77" s="638">
        <f>IF(ISERROR(V11/P11-1),"NM",V11/P11-1)</f>
        <v>2.0795660036165842E-3</v>
      </c>
      <c r="W77" s="638">
        <f>IF(ISERROR(W11/Q11-1),"NM",W11/Q11-1)</f>
        <v>-3.1339031339031265E-2</v>
      </c>
      <c r="X77" s="638">
        <f>IF(ISERROR(X11/R11-1),"NM",X11/R11-1)</f>
        <v>6.7948144836835755E-3</v>
      </c>
      <c r="Y77" s="639">
        <f>IF(ISERROR(Y11/S11-1),"NM",Y11/S11-1)</f>
        <v>2.3551436429611439E-2</v>
      </c>
      <c r="Z77" s="106"/>
      <c r="AA77" s="638">
        <f>IF(ISERROR(AA11/U11-1),"NM",AA11/U11-1)</f>
        <v>-4.6103778701862552E-3</v>
      </c>
      <c r="AB77" s="638">
        <f>IF(ISERROR(AB11/V11-1),"NM",AB11/V11-1)</f>
        <v>8.6889831273120999E-2</v>
      </c>
      <c r="AC77" s="638">
        <f>IF(ISERROR(AC11/W11-1),"NM",AC11/W11-1)</f>
        <v>2.325367647058818E-2</v>
      </c>
      <c r="AD77" s="638">
        <f>IF(ISERROR(AD11/X11-1),"NM",AD11/X11-1)</f>
        <v>0.11215700204244716</v>
      </c>
      <c r="AE77" s="639">
        <f>IF(ISERROR(AE11/Y11-1),"NM",AE11/Y11-1)</f>
        <v>5.4825452739014624E-2</v>
      </c>
      <c r="AF77" s="103"/>
      <c r="AG77" s="638">
        <f>IF(ISERROR(AG11/AA11-1),"NM",AG11/AA11-1)</f>
        <v>0.30424121333212262</v>
      </c>
      <c r="AH77" s="638">
        <f>IF(ISERROR(AH11/AB11-1),"NM",AH11/AB11-1)</f>
        <v>0.33795450772040536</v>
      </c>
      <c r="AI77" s="638">
        <f>IF(ISERROR(AI11/AC11-1),"NM",AI11/AC11-1)</f>
        <v>0.54747148118207156</v>
      </c>
      <c r="AJ77" s="638">
        <f>IF(ISERROR(AJ11/AD11-1),"NM",AJ11/AD11-1)</f>
        <v>0.35364100926221664</v>
      </c>
      <c r="AK77" s="639">
        <f>IF(ISERROR(AK11/AE11-1),"NM",AK11/AE11-1)</f>
        <v>0.38414608040416165</v>
      </c>
      <c r="AL77" s="103"/>
      <c r="AM77" s="638">
        <f>IF(ISERROR(AM11/AG11-1),"NM",AM11/AG11-1)</f>
        <v>0.20653157858087878</v>
      </c>
      <c r="AN77" s="638">
        <f>IF(ISERROR(AN11/AH11-1),"NM",AN11/AH11-1)</f>
        <v>0.23372836135757269</v>
      </c>
      <c r="AO77" s="638">
        <f>IF(ISERROR(AO11/AI11-1),"NM",AO11/AI11-1)</f>
        <v>0.18028790341304846</v>
      </c>
      <c r="AP77" s="638">
        <f>IF(ISERROR(AP11/AJ11-1),"NM",AP11/AJ11-1)</f>
        <v>0.30201144340234776</v>
      </c>
      <c r="AQ77" s="639">
        <f>IF(ISERROR(AQ11/AK11-1),"NM",AQ11/AK11-1)</f>
        <v>0.23135217061816582</v>
      </c>
      <c r="AR77" s="103"/>
      <c r="AS77" s="638">
        <f>IF(ISERROR(AS11/AM11-1),"NM",AS11/AM11-1)</f>
        <v>0.4705950251053268</v>
      </c>
      <c r="AT77" s="638">
        <f>IF(ISERROR(AT11/AN11-1),"NM",AT11/AN11-1)</f>
        <v>0.31417219875276614</v>
      </c>
      <c r="AU77" s="638">
        <f>IF(ISERROR(AU11/AO11-1),"NM",AU11/AO11-1)</f>
        <v>0.28779384282482545</v>
      </c>
      <c r="AV77" s="638">
        <f>IF(ISERROR(AV11/AP11-1),"NM",AV11/AP11-1)</f>
        <v>0.40352466814660426</v>
      </c>
      <c r="AW77" s="639">
        <f>IF(ISERROR(AW11/AQ11-1),"NM",AW11/AQ11-1)</f>
        <v>0.36624883820241649</v>
      </c>
      <c r="AX77" s="103"/>
      <c r="AY77" s="638">
        <f>IF(ISERROR(AY11/AS11-1),"NM",AY11/AS11-1)</f>
        <v>0.36827440053373062</v>
      </c>
      <c r="AZ77" s="638">
        <f>IF(ISERROR(AZ11/AT11-1),"NM",AZ11/AT11-1)</f>
        <v>0.44854770196318539</v>
      </c>
      <c r="BA77" s="638">
        <f>IF(ISERROR(BA11/AU11-1),"NM",BA11/AU11-1)</f>
        <v>0.38596960207744613</v>
      </c>
      <c r="BB77" s="638">
        <f>IF(ISERROR(BB11/AV11-1),"NM",BB11/AV11-1)</f>
        <v>0.21045836023240816</v>
      </c>
      <c r="BC77" s="639">
        <f>IF(ISERROR(BC11/AW11-1),"NM",BC11/AW11-1)</f>
        <v>0.34687161006821232</v>
      </c>
      <c r="BD77" s="103"/>
      <c r="BE77" s="638">
        <f>IF(ISERROR(BE11/AY11-1),"NM",BE11/AY11-1)</f>
        <v>4.6895167072996014E-2</v>
      </c>
      <c r="BF77" s="638">
        <f>IF(ISERROR(BF11/AZ11-1),"NM",BF11/AZ11-1)</f>
        <v>7.2598541688682294E-2</v>
      </c>
      <c r="BG77" s="638">
        <f>IF(ISERROR(BG11/BA11-1),"NM",BG11/BA11-1)</f>
        <v>0.10765161325875505</v>
      </c>
      <c r="BH77" s="638">
        <f>IF(ISERROR(BH11/BB11-1),"NM",BH11/BB11-1)</f>
        <v>6.6666666666666652E-2</v>
      </c>
      <c r="BI77" s="639">
        <f>IF(ISERROR(BI11/BC11-1),"NM",BI11/BC11-1)</f>
        <v>7.3646850044365664E-2</v>
      </c>
      <c r="BJ77" s="103"/>
      <c r="BK77" s="638">
        <f>IF(ISERROR(BK11/BE11-1),"NM",BK11/BE11-1)</f>
        <v>9.5890410958904049E-2</v>
      </c>
      <c r="BL77" s="638">
        <f>IF(ISERROR(BL11/BF11-1),"NM",BL11/BF11-1)</f>
        <v>9.3596059113300489E-2</v>
      </c>
      <c r="BM77" s="638">
        <f>IF(ISERROR(BM11/BG11-1),"NM",BM11/BG11-1)</f>
        <v>0.10199004975124359</v>
      </c>
      <c r="BN77" s="638">
        <f>IF(ISERROR(BN11/BH11-1),"NM",BN11/BH11-1)</f>
        <v>6.25E-2</v>
      </c>
      <c r="BO77" s="639">
        <f>IF(ISERROR(BO11/BI11-1),"NM",BO11/BI11-1)</f>
        <v>8.8366179275270129E-2</v>
      </c>
      <c r="BP77" s="103"/>
      <c r="BQ77" s="638">
        <f>IF(ISERROR(BQ11/BK11-1),"NM",BQ11/BK11-1)</f>
        <v>7.4999999999999956E-2</v>
      </c>
      <c r="BR77" s="638">
        <f>IF(ISERROR(BR11/BL11-1),"NM",BR11/BL11-1)</f>
        <v>2.2204460492503131E-16</v>
      </c>
      <c r="BS77" s="638">
        <f>IF(ISERROR(BS11/BM11-1),"NM",BS11/BM11-1)</f>
        <v>-2.5867241676176045E-2</v>
      </c>
      <c r="BT77" s="638">
        <f>IF(ISERROR(BT11/BN11-1),"NM",BT11/BN11-1)</f>
        <v>3.2169705426593698E-2</v>
      </c>
      <c r="BU77" s="639">
        <f>IF(ISERROR(BU11/BO11-1),"NM",BU11/BO11-1)</f>
        <v>1.8815967724156613E-2</v>
      </c>
      <c r="BV77" s="103"/>
      <c r="BW77" s="638">
        <f>IF(ISERROR(BW11/BQ11-1),"NM",BW11/BQ11-1)</f>
        <v>2.9828584700275718E-2</v>
      </c>
      <c r="BX77" s="638">
        <f>IF(ISERROR(BX11/BR11-1),"NM",BX11/BR11-1)</f>
        <v>6.3445345743344816E-2</v>
      </c>
      <c r="BY77" s="638">
        <f>IF(ISERROR(BY11/BS11-1),"NM",BY11/BS11-1)</f>
        <v>4.3362319484439471E-2</v>
      </c>
      <c r="BZ77" s="638">
        <f>IF(ISERROR(BZ11/BT11-1),"NM",BZ11/BT11-1)</f>
        <v>4.0793428741891402E-2</v>
      </c>
      <c r="CA77" s="639">
        <f>IF(ISERROR(CA11/BU11-1),"NM",CA11/BU11-1)</f>
        <v>4.4492030713971786E-2</v>
      </c>
      <c r="CB77" s="103"/>
      <c r="CC77" s="638">
        <f>IF(ISERROR(CC11/BW11-1),"NM",CC11/BW11-1)</f>
        <v>1.9102702427019391E-2</v>
      </c>
      <c r="CD77" s="638">
        <f>IF(ISERROR(CD11/BX11-1),"NM",CD11/BX11-1)</f>
        <v>3.6500020396054156E-2</v>
      </c>
      <c r="CE77" s="638">
        <f>IF(ISERROR(CE11/BY11-1),"NM",CE11/BY11-1)</f>
        <v>4.5258277916468526E-2</v>
      </c>
      <c r="CF77" s="638">
        <f>IF(ISERROR(CF11/BZ11-1),"NM",CF11/BZ11-1)</f>
        <v>5.6691704677455323E-2</v>
      </c>
      <c r="CG77" s="639">
        <f>IF(ISERROR(CG11/CA11-1),"NM",CG11/CA11-1)</f>
        <v>3.9496098001603697E-2</v>
      </c>
      <c r="CH77" s="103"/>
      <c r="CI77" s="638">
        <f t="shared" ref="CI77:CM77" si="230">IF(ISERROR(CI11/CC11-1),"NM",CI11/CC11-1)</f>
        <v>5.7815046586507934E-2</v>
      </c>
      <c r="CJ77" s="638">
        <f t="shared" si="230"/>
        <v>6.4027831801045876E-2</v>
      </c>
      <c r="CK77" s="638">
        <f t="shared" si="230"/>
        <v>6.1889346030839398E-2</v>
      </c>
      <c r="CL77" s="638">
        <f t="shared" si="230"/>
        <v>6.8030255690583186E-2</v>
      </c>
      <c r="CM77" s="639">
        <f t="shared" si="230"/>
        <v>6.3035523036053753E-2</v>
      </c>
      <c r="CN77" s="103"/>
      <c r="CO77" s="638">
        <f t="shared" ref="CO77:CS77" si="231">IF(ISERROR(CO11/CI11-1),"NM",CO11/CI11-1)</f>
        <v>6.1909897151938509E-2</v>
      </c>
      <c r="CP77" s="638">
        <f t="shared" si="231"/>
        <v>6.968902579819658E-2</v>
      </c>
      <c r="CQ77" s="638">
        <f t="shared" si="231"/>
        <v>5.526933106037224E-2</v>
      </c>
      <c r="CR77" s="638">
        <f t="shared" si="231"/>
        <v>6.3991631577523744E-2</v>
      </c>
      <c r="CS77" s="639">
        <f t="shared" si="231"/>
        <v>6.2806444596250843E-2</v>
      </c>
      <c r="CT77" s="51"/>
      <c r="DA77" s="43"/>
      <c r="DB77" s="43"/>
      <c r="DC77" s="43"/>
      <c r="DD77" s="43"/>
      <c r="DK77" s="363"/>
      <c r="DL77" s="579"/>
      <c r="DM77" s="579"/>
    </row>
    <row r="78" spans="1:117" x14ac:dyDescent="0.2">
      <c r="A78" s="43"/>
      <c r="B78" s="445" t="str">
        <f>+B14</f>
        <v>Gross Profit</v>
      </c>
      <c r="C78" s="43"/>
      <c r="D78" s="31"/>
      <c r="E78" s="31"/>
      <c r="F78" s="31"/>
      <c r="G78" s="326"/>
      <c r="H78" s="181"/>
      <c r="I78" s="638">
        <f>IF(ISERROR(I14/C14-1),"NM",I14/C14-1)</f>
        <v>0.60904945357339413</v>
      </c>
      <c r="J78" s="638">
        <f>IF(ISERROR(J14/D14-1),"NM",J14/D14-1)</f>
        <v>0.65682631898939414</v>
      </c>
      <c r="K78" s="638">
        <f>IF(ISERROR(K14/E14-1),"NM",K14/E14-1)</f>
        <v>0.60219207618363124</v>
      </c>
      <c r="L78" s="638">
        <f>IF(ISERROR(L14/F14-1),"NM",L14/F14-1)</f>
        <v>0.4686608934417571</v>
      </c>
      <c r="M78" s="639">
        <f>IF(ISERROR(M14/G14-1),"NM",M14/G14-1)</f>
        <v>0.57633814413401629</v>
      </c>
      <c r="N78" s="181"/>
      <c r="O78" s="638">
        <f>IF(ISERROR(O14/I14-1),"NM",O14/I14-1)</f>
        <v>0.47015709364540337</v>
      </c>
      <c r="P78" s="638">
        <f>IF(ISERROR(P14/J14-1),"NM",P14/J14-1)</f>
        <v>0.48601484139280759</v>
      </c>
      <c r="Q78" s="638">
        <f>IF(ISERROR(Q14/K14-1),"NM",Q14/K14-1)</f>
        <v>0.40740533064184525</v>
      </c>
      <c r="R78" s="638">
        <f>IF(ISERROR(R14/L14-1),"NM",R14/L14-1)</f>
        <v>0.34636058029374217</v>
      </c>
      <c r="S78" s="639">
        <f>IF(ISERROR(S14/M14-1),"NM",S14/M14-1)</f>
        <v>0.42261641689099605</v>
      </c>
      <c r="T78" s="181"/>
      <c r="U78" s="638">
        <f>IF(ISERROR(U14/O14-1),"NM",U14/O14-1)</f>
        <v>0.2307436643124221</v>
      </c>
      <c r="V78" s="638">
        <f>IF(ISERROR(V14/P14-1),"NM",V14/P14-1)</f>
        <v>0.12063052186796908</v>
      </c>
      <c r="W78" s="638">
        <f>IF(ISERROR(W14/Q14-1),"NM",W14/Q14-1)</f>
        <v>6.1767088540352511E-2</v>
      </c>
      <c r="X78" s="638">
        <f>IF(ISERROR(X14/R14-1),"NM",X14/R14-1)</f>
        <v>0.10378668518172418</v>
      </c>
      <c r="Y78" s="639">
        <f>IF(ISERROR(Y14/S14-1),"NM",Y14/S14-1)</f>
        <v>0.12392148556096894</v>
      </c>
      <c r="Z78" s="181"/>
      <c r="AA78" s="638">
        <f>IF(ISERROR(AA14/U14-1),"NM",AA14/U14-1)</f>
        <v>9.1641911963273204E-2</v>
      </c>
      <c r="AB78" s="638">
        <f>IF(ISERROR(AB14/V14-1),"NM",AB14/V14-1)</f>
        <v>8.2132582481483807E-2</v>
      </c>
      <c r="AC78" s="638">
        <f>IF(ISERROR(AC14/W14-1),"NM",AC14/W14-1)</f>
        <v>0.14122576610381476</v>
      </c>
      <c r="AD78" s="638">
        <f>IF(ISERROR(AD14/X14-1),"NM",AD14/X14-1)</f>
        <v>0.14783408131418763</v>
      </c>
      <c r="AE78" s="639">
        <f>IF(ISERROR(AE14/Y14-1),"NM",AE14/Y14-1)</f>
        <v>0.11624502924344005</v>
      </c>
      <c r="AF78" s="181"/>
      <c r="AG78" s="638">
        <f>IF(ISERROR(AG14/AA14-1),"NM",AG14/AA14-1)</f>
        <v>0.18855368783009863</v>
      </c>
      <c r="AH78" s="638">
        <f>IF(ISERROR(AH14/AB14-1),"NM",AH14/AB14-1)</f>
        <v>0.20702762630947791</v>
      </c>
      <c r="AI78" s="638">
        <f>IF(ISERROR(AI14/AC14-1),"NM",AI14/AC14-1)</f>
        <v>0.23353536239190698</v>
      </c>
      <c r="AJ78" s="638">
        <f>IF(ISERROR(AJ14/AD14-1),"NM",AJ14/AD14-1)</f>
        <v>0.22262035241547928</v>
      </c>
      <c r="AK78" s="639">
        <f>IF(ISERROR(AK14/AE14-1),"NM",AK14/AE14-1)</f>
        <v>0.21379407378225501</v>
      </c>
      <c r="AL78" s="181"/>
      <c r="AM78" s="638">
        <f>IF(ISERROR(AM14/AG14-1),"NM",AM14/AG14-1)</f>
        <v>0.20833376695007888</v>
      </c>
      <c r="AN78" s="638">
        <f>IF(ISERROR(AN14/AH14-1),"NM",AN14/AH14-1)</f>
        <v>0.21146456220593435</v>
      </c>
      <c r="AO78" s="638">
        <f>IF(ISERROR(AO14/AI14-1),"NM",AO14/AI14-1)</f>
        <v>0.20958871247190136</v>
      </c>
      <c r="AP78" s="638">
        <f>IF(ISERROR(AP14/AJ14-1),"NM",AP14/AJ14-1)</f>
        <v>0.31057994000620637</v>
      </c>
      <c r="AQ78" s="639">
        <f>IF(ISERROR(AQ14/AK14-1),"NM",AQ14/AK14-1)</f>
        <v>0.23693508227733662</v>
      </c>
      <c r="AR78" s="181"/>
      <c r="AS78" s="638">
        <f>IF(ISERROR(AS14/AM14-1),"NM",AS14/AM14-1)</f>
        <v>0.52429592627680655</v>
      </c>
      <c r="AT78" s="638">
        <f>IF(ISERROR(AT14/AN14-1),"NM",AT14/AN14-1)</f>
        <v>0.37656279012192884</v>
      </c>
      <c r="AU78" s="638">
        <f>IF(ISERROR(AU14/AO14-1),"NM",AU14/AO14-1)</f>
        <v>0.15131704593867989</v>
      </c>
      <c r="AV78" s="638">
        <f>IF(ISERROR(AV14/AP14-1),"NM",AV14/AP14-1)</f>
        <v>3.7765632090921875E-2</v>
      </c>
      <c r="AW78" s="639">
        <f>IF(ISERROR(AW14/AQ14-1),"NM",AW14/AQ14-1)</f>
        <v>0.25469358838115475</v>
      </c>
      <c r="AX78" s="181"/>
      <c r="AY78" s="638">
        <f>IF(ISERROR(AY14/AS14-1),"NM",AY14/AS14-1)</f>
        <v>-0.24303617235261565</v>
      </c>
      <c r="AZ78" s="638">
        <f>IF(ISERROR(AZ14/AT14-1),"NM",AZ14/AT14-1)</f>
        <v>-0.17640744341844217</v>
      </c>
      <c r="BA78" s="638">
        <f>IF(ISERROR(BA14/AU14-1),"NM",BA14/AU14-1)</f>
        <v>-8.3234442190151636E-2</v>
      </c>
      <c r="BB78" s="638">
        <f>IF(ISERROR(BB14/AV14-1),"NM",BB14/AV14-1)</f>
        <v>-3.4293968254392015E-2</v>
      </c>
      <c r="BC78" s="639">
        <f>IF(ISERROR(BC14/AW14-1),"NM",BC14/AW14-1)</f>
        <v>-0.13871198495009129</v>
      </c>
      <c r="BD78" s="181"/>
      <c r="BE78" s="638">
        <f>IF(ISERROR(BE14/AY14-1),"NM",BE14/AY14-1)</f>
        <v>9.7478456966282545E-2</v>
      </c>
      <c r="BF78" s="638">
        <f>IF(ISERROR(BF14/AZ14-1),"NM",BF14/AZ14-1)</f>
        <v>4.1955644004076476E-2</v>
      </c>
      <c r="BG78" s="638">
        <f>IF(ISERROR(BG14/BA14-1),"NM",BG14/BA14-1)</f>
        <v>4.611266196152175E-2</v>
      </c>
      <c r="BH78" s="638">
        <f>IF(ISERROR(BH14/BB14-1),"NM",BH14/BB14-1)</f>
        <v>-3.8549418294434257E-2</v>
      </c>
      <c r="BI78" s="639">
        <f>IF(ISERROR(BI14/BC14-1),"NM",BI14/BC14-1)</f>
        <v>3.4617464081061255E-2</v>
      </c>
      <c r="BJ78" s="181"/>
      <c r="BK78" s="638">
        <f>IF(ISERROR(BK14/BE14-1),"NM",BK14/BE14-1)</f>
        <v>-6.4783348101495108E-2</v>
      </c>
      <c r="BL78" s="638">
        <f>IF(ISERROR(BL14/BF14-1),"NM",BL14/BF14-1)</f>
        <v>-3.5357386114849287E-3</v>
      </c>
      <c r="BM78" s="638">
        <f>IF(ISERROR(BM14/BG14-1),"NM",BM14/BG14-1)</f>
        <v>1.5255020405030351E-2</v>
      </c>
      <c r="BN78" s="638">
        <f>IF(ISERROR(BN14/BH14-1),"NM",BN14/BH14-1)</f>
        <v>7.8224876112448216E-2</v>
      </c>
      <c r="BO78" s="639">
        <f>IF(ISERROR(BO14/BI14-1),"NM",BO14/BI14-1)</f>
        <v>6.1823227528670088E-3</v>
      </c>
      <c r="BP78" s="181"/>
      <c r="BQ78" s="638">
        <f>IF(ISERROR(BQ14/BK14-1),"NM",BQ14/BK14-1)</f>
        <v>7.0305467016670731E-2</v>
      </c>
      <c r="BR78" s="638">
        <f>IF(ISERROR(BR14/BL14-1),"NM",BR14/BL14-1)</f>
        <v>-1.6917378559855978E-2</v>
      </c>
      <c r="BS78" s="638">
        <f>IF(ISERROR(BS14/BM14-1),"NM",BS14/BM14-1)</f>
        <v>-3.8701728427123161E-2</v>
      </c>
      <c r="BT78" s="638">
        <f>IF(ISERROR(BT14/BN14-1),"NM",BT14/BN14-1)</f>
        <v>-2.9324400476777979E-2</v>
      </c>
      <c r="BU78" s="639">
        <f>IF(ISERROR(BU14/BO14-1),"NM",BU14/BO14-1)</f>
        <v>-5.7393750323788684E-3</v>
      </c>
      <c r="BV78" s="181"/>
      <c r="BW78" s="638">
        <f>IF(ISERROR(BW14/BQ14-1),"NM",BW14/BQ14-1)</f>
        <v>-7.077405217609356E-3</v>
      </c>
      <c r="BX78" s="638">
        <f>IF(ISERROR(BX14/BR14-1),"NM",BX14/BR14-1)</f>
        <v>2.0179496637237504E-2</v>
      </c>
      <c r="BY78" s="638">
        <f>IF(ISERROR(BY14/BS14-1),"NM",BY14/BS14-1)</f>
        <v>4.810490770348208E-2</v>
      </c>
      <c r="BZ78" s="638">
        <f>IF(ISERROR(BZ14/BT14-1),"NM",BZ14/BT14-1)</f>
        <v>6.2902579586416207E-2</v>
      </c>
      <c r="CA78" s="639">
        <f>IF(ISERROR(CA14/BU14-1),"NM",CA14/BU14-1)</f>
        <v>3.1299029770383902E-2</v>
      </c>
      <c r="CB78" s="181"/>
      <c r="CC78" s="638">
        <f>IF(ISERROR(CC14/BW14-1),"NM",CC14/BW14-1)</f>
        <v>5.648039755876022E-2</v>
      </c>
      <c r="CD78" s="638">
        <f>IF(ISERROR(CD14/BX14-1),"NM",CD14/BX14-1)</f>
        <v>6.6328145013505591E-2</v>
      </c>
      <c r="CE78" s="638">
        <f>IF(ISERROR(CE14/BY14-1),"NM",CE14/BY14-1)</f>
        <v>6.4274422018986366E-2</v>
      </c>
      <c r="CF78" s="638">
        <f>IF(ISERROR(CF14/BZ14-1),"NM",CF14/BZ14-1)</f>
        <v>6.6593623742299268E-2</v>
      </c>
      <c r="CG78" s="639">
        <f>IF(ISERROR(CG14/CA14-1),"NM",CG14/CA14-1)</f>
        <v>6.3547153374745369E-2</v>
      </c>
      <c r="CH78" s="181"/>
      <c r="CI78" s="638">
        <f t="shared" ref="CI78:CM78" si="232">IF(ISERROR(CI14/CC14-1),"NM",CI14/CC14-1)</f>
        <v>7.6276362628205474E-2</v>
      </c>
      <c r="CJ78" s="638">
        <f t="shared" si="232"/>
        <v>7.9212396100034388E-2</v>
      </c>
      <c r="CK78" s="638">
        <f t="shared" si="232"/>
        <v>7.2364919508764336E-2</v>
      </c>
      <c r="CL78" s="638">
        <f t="shared" si="232"/>
        <v>7.0453091138830803E-2</v>
      </c>
      <c r="CM78" s="639">
        <f t="shared" si="232"/>
        <v>7.4481928808039166E-2</v>
      </c>
      <c r="CN78" s="181"/>
      <c r="CO78" s="638">
        <f t="shared" ref="CO78:CS78" si="233">IF(ISERROR(CO14/CI14-1),"NM",CO14/CI14-1)</f>
        <v>7.4738864418451456E-2</v>
      </c>
      <c r="CP78" s="638">
        <f t="shared" si="233"/>
        <v>8.3544563834562657E-2</v>
      </c>
      <c r="CQ78" s="638">
        <f t="shared" si="233"/>
        <v>7.3174176447994954E-2</v>
      </c>
      <c r="CR78" s="638">
        <f t="shared" si="233"/>
        <v>7.7732271595334579E-2</v>
      </c>
      <c r="CS78" s="639">
        <f t="shared" si="233"/>
        <v>7.7338976187469211E-2</v>
      </c>
      <c r="CT78" s="467"/>
      <c r="DA78" s="43"/>
      <c r="DB78" s="43"/>
      <c r="DC78" s="43"/>
      <c r="DD78" s="43"/>
      <c r="DL78" s="348"/>
    </row>
    <row r="79" spans="1:117" x14ac:dyDescent="0.2">
      <c r="A79" s="43"/>
      <c r="B79" s="456" t="s">
        <v>84</v>
      </c>
      <c r="C79" s="43"/>
      <c r="D79" s="31"/>
      <c r="E79" s="31"/>
      <c r="F79" s="31"/>
      <c r="G79" s="326"/>
      <c r="H79" s="182"/>
      <c r="I79" s="638">
        <f t="shared" ref="I79:M81" si="234">IF(ISERROR(I18/C18-1),"NM",I18/C18-1)</f>
        <v>-8.3825490569633399E-3</v>
      </c>
      <c r="J79" s="638">
        <f t="shared" si="234"/>
        <v>0.1026044821320411</v>
      </c>
      <c r="K79" s="638">
        <f t="shared" si="234"/>
        <v>0.36133682830930547</v>
      </c>
      <c r="L79" s="638">
        <f t="shared" si="234"/>
        <v>-0.80529651608736019</v>
      </c>
      <c r="M79" s="639">
        <f t="shared" si="234"/>
        <v>-9.4820159925408709E-2</v>
      </c>
      <c r="N79" s="182"/>
      <c r="O79" s="638">
        <f t="shared" ref="O79:S81" si="235">IF(ISERROR(O18/I18-1),"NM",O18/I18-1)</f>
        <v>-0.83189241114313162</v>
      </c>
      <c r="P79" s="638">
        <f t="shared" si="235"/>
        <v>-0.83098952611147736</v>
      </c>
      <c r="Q79" s="638">
        <f t="shared" si="235"/>
        <v>-0.85420878662430599</v>
      </c>
      <c r="R79" s="638">
        <f t="shared" si="235"/>
        <v>-9.1644204851752065E-2</v>
      </c>
      <c r="S79" s="639">
        <f t="shared" si="235"/>
        <v>-0.79942898729216816</v>
      </c>
      <c r="T79" s="182"/>
      <c r="U79" s="638">
        <f t="shared" ref="U79:Y81" si="236">IF(ISERROR(U18/O18-1),"NM",U18/O18-1)</f>
        <v>0.29737142857142862</v>
      </c>
      <c r="V79" s="638">
        <f t="shared" si="236"/>
        <v>9.6208017334777907E-2</v>
      </c>
      <c r="W79" s="638">
        <f t="shared" si="236"/>
        <v>0.29539951573849876</v>
      </c>
      <c r="X79" s="638">
        <f t="shared" si="236"/>
        <v>0.1990413147683181</v>
      </c>
      <c r="Y79" s="639">
        <f t="shared" si="236"/>
        <v>0.22100033493357119</v>
      </c>
      <c r="Z79" s="182"/>
      <c r="AA79" s="638">
        <f t="shared" ref="AA79:AE81" si="237">IF(ISERROR(AA18/U18-1),"NM",AA18/U18-1)</f>
        <v>1.5151515151515138E-2</v>
      </c>
      <c r="AB79" s="638">
        <f t="shared" si="237"/>
        <v>0.20419055149238963</v>
      </c>
      <c r="AC79" s="638">
        <f t="shared" si="237"/>
        <v>0.13288020390824129</v>
      </c>
      <c r="AD79" s="638">
        <f t="shared" si="237"/>
        <v>0.75709118598895819</v>
      </c>
      <c r="AE79" s="639">
        <f t="shared" si="237"/>
        <v>0.26873314131577763</v>
      </c>
      <c r="AF79" s="182"/>
      <c r="AG79" s="638">
        <f t="shared" ref="AG79:AK81" si="238">IF(ISERROR(AG18/AA18-1),"NM",AG18/AA18-1)</f>
        <v>0.47604998264491516</v>
      </c>
      <c r="AH79" s="638">
        <f t="shared" si="238"/>
        <v>0.68138542350623776</v>
      </c>
      <c r="AI79" s="638">
        <f t="shared" si="238"/>
        <v>0.7628618569071548</v>
      </c>
      <c r="AJ79" s="638">
        <f t="shared" si="238"/>
        <v>0.31570964247020572</v>
      </c>
      <c r="AK79" s="639">
        <f t="shared" si="238"/>
        <v>0.53670138013044588</v>
      </c>
      <c r="AL79" s="182"/>
      <c r="AM79" s="638">
        <f t="shared" ref="AM79:AQ81" si="239">IF(ISERROR(AM18/AG18-1),"NM",AM18/AG18-1)</f>
        <v>0.34038800705467365</v>
      </c>
      <c r="AN79" s="638">
        <f t="shared" si="239"/>
        <v>0.37723323245143003</v>
      </c>
      <c r="AO79" s="638">
        <f t="shared" si="239"/>
        <v>0.15204628605462434</v>
      </c>
      <c r="AP79" s="638">
        <f t="shared" si="239"/>
        <v>0.20067523056653491</v>
      </c>
      <c r="AQ79" s="639">
        <f t="shared" si="239"/>
        <v>0.25754484699261337</v>
      </c>
      <c r="AR79" s="182"/>
      <c r="AS79" s="638">
        <f t="shared" ref="AS79:AW81" si="240">IF(ISERROR(AS18/AM18-1),"NM",AS18/AM18-1)</f>
        <v>0.47394736842105267</v>
      </c>
      <c r="AT79" s="638">
        <f t="shared" si="240"/>
        <v>0.20032607925143542</v>
      </c>
      <c r="AU79" s="638">
        <f t="shared" si="240"/>
        <v>-0.2958641063515508</v>
      </c>
      <c r="AV79" s="638">
        <f t="shared" si="240"/>
        <v>0.37912351690556223</v>
      </c>
      <c r="AW79" s="639">
        <f t="shared" si="240"/>
        <v>0.18182665771611872</v>
      </c>
      <c r="AX79" s="182"/>
      <c r="AY79" s="638">
        <f t="shared" ref="AY79:BC81" si="241">IF(ISERROR(AY18/AS18-1),"NM",AY18/AS18-1)</f>
        <v>0.34107004701541377</v>
      </c>
      <c r="AZ79" s="638">
        <f t="shared" si="241"/>
        <v>2.9114746353274823E-2</v>
      </c>
      <c r="BA79" s="638">
        <f t="shared" si="241"/>
        <v>0.68019718900776116</v>
      </c>
      <c r="BB79" s="638">
        <f t="shared" si="241"/>
        <v>-8.0013924113581214E-2</v>
      </c>
      <c r="BC79" s="639">
        <f t="shared" si="241"/>
        <v>0.17513687499013852</v>
      </c>
      <c r="BD79" s="182"/>
      <c r="BE79" s="638">
        <f t="shared" ref="BE79:BI81" si="242">IF(ISERROR(BE18/AY18-1),"NM",BE18/AY18-1)</f>
        <v>-0.23670897310730454</v>
      </c>
      <c r="BF79" s="638">
        <f t="shared" si="242"/>
        <v>-4.7400436129920842E-2</v>
      </c>
      <c r="BG79" s="638">
        <f t="shared" si="242"/>
        <v>6.7482364691928254E-2</v>
      </c>
      <c r="BH79" s="638">
        <f t="shared" si="242"/>
        <v>4.8648648648648818E-2</v>
      </c>
      <c r="BI79" s="639">
        <f t="shared" si="242"/>
        <v>-5.6109775909988224E-2</v>
      </c>
      <c r="BJ79" s="182"/>
      <c r="BK79" s="638">
        <f t="shared" ref="BK79:BR81" si="243">IF(ISERROR(BK18/BE18-1),"NM",BK18/BE18-1)</f>
        <v>0.11627906976744184</v>
      </c>
      <c r="BL79" s="638">
        <f t="shared" si="243"/>
        <v>0.11445783132530107</v>
      </c>
      <c r="BM79" s="638">
        <f t="shared" si="243"/>
        <v>2.3391812865497297E-2</v>
      </c>
      <c r="BN79" s="638">
        <f t="shared" si="243"/>
        <v>-4.1237113402061709E-2</v>
      </c>
      <c r="BO79" s="639">
        <f t="shared" si="243"/>
        <v>4.978662873399764E-2</v>
      </c>
      <c r="BP79" s="182"/>
      <c r="BQ79" s="638">
        <f t="shared" si="243"/>
        <v>-8.3333333333333259E-2</v>
      </c>
      <c r="BR79" s="638">
        <f t="shared" si="243"/>
        <v>-0.10270270270270265</v>
      </c>
      <c r="BS79" s="638">
        <f t="shared" ref="BS79:BU81" si="244">IF(ISERROR(BS18/BM18-1),"NM",BS18/BM18-1)</f>
        <v>-2.3582841298172785E-2</v>
      </c>
      <c r="BT79" s="638">
        <f t="shared" si="244"/>
        <v>-4.5830276627349731E-2</v>
      </c>
      <c r="BU79" s="639">
        <f t="shared" si="244"/>
        <v>-6.4568331544535784E-2</v>
      </c>
      <c r="BV79" s="182"/>
      <c r="BW79" s="638">
        <f t="shared" ref="BW79:CA81" si="245">IF(ISERROR(BW18/BQ18-1),"NM",BW18/BQ18-1)</f>
        <v>-9.5516376929412061E-3</v>
      </c>
      <c r="BX79" s="638">
        <f t="shared" si="245"/>
        <v>1.8046044135915595E-2</v>
      </c>
      <c r="BY79" s="638">
        <f t="shared" si="245"/>
        <v>3.5393305857696289E-2</v>
      </c>
      <c r="BZ79" s="638">
        <f t="shared" si="245"/>
        <v>4.6228887294677445E-2</v>
      </c>
      <c r="CA79" s="639">
        <f t="shared" si="245"/>
        <v>2.2549208103278096E-2</v>
      </c>
      <c r="CB79" s="182"/>
      <c r="CC79" s="638">
        <f t="shared" ref="CC79:CG81" si="246">IF(ISERROR(CC18/BW18-1),"NM",CC18/BW18-1)</f>
        <v>3.6342526453935653E-2</v>
      </c>
      <c r="CD79" s="638">
        <f t="shared" si="246"/>
        <v>4.6755194452954507E-2</v>
      </c>
      <c r="CE79" s="638">
        <f t="shared" si="246"/>
        <v>4.8057520640854223E-2</v>
      </c>
      <c r="CF79" s="638">
        <f t="shared" si="246"/>
        <v>5.2466824536758994E-2</v>
      </c>
      <c r="CG79" s="639">
        <f t="shared" si="246"/>
        <v>4.6012640079063916E-2</v>
      </c>
      <c r="CH79" s="182"/>
      <c r="CI79" s="638">
        <f t="shared" ref="CI79:CI81" si="247">IF(ISERROR(CI18/CC18-1),"NM",CI18/CC18-1)</f>
        <v>6.0260291579164571E-2</v>
      </c>
      <c r="CJ79" s="638">
        <f t="shared" ref="CJ79:CJ81" si="248">IF(ISERROR(CJ18/CD18-1),"NM",CJ18/CD18-1)</f>
        <v>6.2830670419049328E-2</v>
      </c>
      <c r="CK79" s="638">
        <f t="shared" ref="CK79:CK81" si="249">IF(ISERROR(CK18/CE18-1),"NM",CK18/CE18-1)</f>
        <v>5.7865751362214057E-2</v>
      </c>
      <c r="CL79" s="638">
        <f t="shared" ref="CL79:CL81" si="250">IF(ISERROR(CL18/CF18-1),"NM",CL18/CF18-1)</f>
        <v>5.7768469364352981E-2</v>
      </c>
      <c r="CM79" s="639">
        <f t="shared" ref="CM79:CM81" si="251">IF(ISERROR(CM18/CG18-1),"NM",CM18/CG18-1)</f>
        <v>5.9615288673595002E-2</v>
      </c>
      <c r="CN79" s="182"/>
      <c r="CO79" s="638">
        <f t="shared" ref="CO79:CO81" si="252">IF(ISERROR(CO18/CI18-1),"NM",CO18/CI18-1)</f>
        <v>5.9905739513343548E-2</v>
      </c>
      <c r="CP79" s="638">
        <f t="shared" ref="CP79:CP81" si="253">IF(ISERROR(CP18/CJ18-1),"NM",CP18/CJ18-1)</f>
        <v>6.7292447075011586E-2</v>
      </c>
      <c r="CQ79" s="638">
        <f t="shared" ref="CQ79:CQ81" si="254">IF(ISERROR(CQ18/CK18-1),"NM",CQ18/CK18-1)</f>
        <v>5.6915695288916046E-2</v>
      </c>
      <c r="CR79" s="638">
        <f t="shared" ref="CR79:CR81" si="255">IF(ISERROR(CR18/CL18-1),"NM",CR18/CL18-1)</f>
        <v>6.2398918831215733E-2</v>
      </c>
      <c r="CS79" s="639">
        <f t="shared" ref="CS79:CS81" si="256">IF(ISERROR(CS18/CM18-1),"NM",CS18/CM18-1)</f>
        <v>6.1589817611981568E-2</v>
      </c>
      <c r="CT79" s="467"/>
      <c r="DA79" s="43"/>
      <c r="DB79" s="43"/>
      <c r="DC79" s="43"/>
      <c r="DD79" s="43"/>
    </row>
    <row r="80" spans="1:117" x14ac:dyDescent="0.2">
      <c r="A80" s="43"/>
      <c r="B80" s="456" t="s">
        <v>272</v>
      </c>
      <c r="C80" s="43"/>
      <c r="D80" s="31"/>
      <c r="E80" s="31"/>
      <c r="F80" s="31"/>
      <c r="G80" s="326"/>
      <c r="H80" s="182"/>
      <c r="I80" s="638">
        <f t="shared" si="234"/>
        <v>0.86627210596773052</v>
      </c>
      <c r="J80" s="638">
        <f t="shared" si="234"/>
        <v>0.88044417026526811</v>
      </c>
      <c r="K80" s="638">
        <f t="shared" si="234"/>
        <v>0.53901505486093404</v>
      </c>
      <c r="L80" s="638">
        <f t="shared" si="234"/>
        <v>0.24697489259390659</v>
      </c>
      <c r="M80" s="639">
        <f t="shared" si="234"/>
        <v>0.57576722525176138</v>
      </c>
      <c r="N80" s="182"/>
      <c r="O80" s="638">
        <f t="shared" si="235"/>
        <v>0.22361069163394753</v>
      </c>
      <c r="P80" s="638">
        <f t="shared" si="235"/>
        <v>0.14690637097303338</v>
      </c>
      <c r="Q80" s="638">
        <f t="shared" si="235"/>
        <v>0.1770401565142421</v>
      </c>
      <c r="R80" s="638">
        <f t="shared" si="235"/>
        <v>0.13844549103897341</v>
      </c>
      <c r="S80" s="639">
        <f t="shared" si="235"/>
        <v>0.16941160621063633</v>
      </c>
      <c r="T80" s="182"/>
      <c r="U80" s="638">
        <f t="shared" si="236"/>
        <v>0.19317515658264162</v>
      </c>
      <c r="V80" s="638">
        <f t="shared" si="236"/>
        <v>0.20434782608695645</v>
      </c>
      <c r="W80" s="638">
        <f t="shared" si="236"/>
        <v>0.1505521748929457</v>
      </c>
      <c r="X80" s="638">
        <f t="shared" si="236"/>
        <v>0.10497820473665209</v>
      </c>
      <c r="Y80" s="639">
        <f t="shared" si="236"/>
        <v>0.16222171020419895</v>
      </c>
      <c r="Z80" s="182"/>
      <c r="AA80" s="638">
        <f t="shared" si="237"/>
        <v>2.1255688870500666E-2</v>
      </c>
      <c r="AB80" s="638">
        <f t="shared" si="237"/>
        <v>3.8286148584457669E-2</v>
      </c>
      <c r="AC80" s="638">
        <f t="shared" si="237"/>
        <v>4.6767874632712925E-2</v>
      </c>
      <c r="AD80" s="638">
        <f t="shared" si="237"/>
        <v>0.1025930951304086</v>
      </c>
      <c r="AE80" s="639">
        <f t="shared" si="237"/>
        <v>5.2207367390684878E-2</v>
      </c>
      <c r="AF80" s="182"/>
      <c r="AG80" s="638">
        <f t="shared" si="238"/>
        <v>0.1676203980351445</v>
      </c>
      <c r="AH80" s="638">
        <f t="shared" si="238"/>
        <v>0.16630066794766218</v>
      </c>
      <c r="AI80" s="638">
        <f t="shared" si="238"/>
        <v>0.27953216374269019</v>
      </c>
      <c r="AJ80" s="638">
        <f t="shared" si="238"/>
        <v>0.28946468858959462</v>
      </c>
      <c r="AK80" s="639">
        <f t="shared" si="238"/>
        <v>0.22692989325310142</v>
      </c>
      <c r="AL80" s="182"/>
      <c r="AM80" s="638">
        <f t="shared" si="239"/>
        <v>0.21715747929045426</v>
      </c>
      <c r="AN80" s="638">
        <f t="shared" si="239"/>
        <v>0.16822264935472497</v>
      </c>
      <c r="AO80" s="638">
        <f t="shared" si="239"/>
        <v>0.17890310786106034</v>
      </c>
      <c r="AP80" s="638">
        <f t="shared" si="239"/>
        <v>0.26444338405528178</v>
      </c>
      <c r="AQ80" s="639">
        <f t="shared" si="239"/>
        <v>0.20798241699178921</v>
      </c>
      <c r="AR80" s="182"/>
      <c r="AS80" s="638">
        <f t="shared" si="240"/>
        <v>0.37683509122006842</v>
      </c>
      <c r="AT80" s="638">
        <f t="shared" si="240"/>
        <v>0.30126084985645463</v>
      </c>
      <c r="AU80" s="638">
        <f t="shared" si="240"/>
        <v>0.21185993859132224</v>
      </c>
      <c r="AV80" s="638">
        <f t="shared" si="240"/>
        <v>0.13830263047549796</v>
      </c>
      <c r="AW80" s="639">
        <f t="shared" si="240"/>
        <v>0.24889263198039102</v>
      </c>
      <c r="AX80" s="182"/>
      <c r="AY80" s="638">
        <f t="shared" si="241"/>
        <v>6.3264276194050284E-2</v>
      </c>
      <c r="AZ80" s="638">
        <f t="shared" si="241"/>
        <v>0.1008812107293533</v>
      </c>
      <c r="BA80" s="638">
        <f t="shared" si="241"/>
        <v>4.204842094487371E-2</v>
      </c>
      <c r="BB80" s="638">
        <f t="shared" si="241"/>
        <v>5.2295526823099125E-2</v>
      </c>
      <c r="BC80" s="639">
        <f t="shared" si="241"/>
        <v>6.4423061630218603E-2</v>
      </c>
      <c r="BD80" s="182"/>
      <c r="BE80" s="638">
        <f t="shared" si="242"/>
        <v>1.4993671502288031E-2</v>
      </c>
      <c r="BF80" s="638">
        <f t="shared" si="242"/>
        <v>2.7822703513583402E-2</v>
      </c>
      <c r="BG80" s="638">
        <f t="shared" si="242"/>
        <v>7.3261782547830334E-2</v>
      </c>
      <c r="BH80" s="638">
        <f t="shared" si="242"/>
        <v>2.8004667444573972E-2</v>
      </c>
      <c r="BI80" s="639">
        <f t="shared" si="242"/>
        <v>3.5777041968992451E-2</v>
      </c>
      <c r="BJ80" s="182"/>
      <c r="BK80" s="638">
        <f t="shared" si="243"/>
        <v>0.15947242206235002</v>
      </c>
      <c r="BL80" s="638">
        <f t="shared" si="243"/>
        <v>0.25427594070695547</v>
      </c>
      <c r="BM80" s="638">
        <f t="shared" si="243"/>
        <v>0.27116704805491976</v>
      </c>
      <c r="BN80" s="638">
        <f t="shared" si="243"/>
        <v>0.26447219069239525</v>
      </c>
      <c r="BO80" s="639">
        <f t="shared" si="243"/>
        <v>0.23831506058857443</v>
      </c>
      <c r="BP80" s="182"/>
      <c r="BQ80" s="638">
        <f t="shared" si="243"/>
        <v>8.4798345398138686E-2</v>
      </c>
      <c r="BR80" s="638">
        <f t="shared" si="243"/>
        <v>-4.7272727272727244E-2</v>
      </c>
      <c r="BS80" s="638">
        <f t="shared" si="244"/>
        <v>-6.0104495199011065E-2</v>
      </c>
      <c r="BT80" s="638">
        <f t="shared" si="244"/>
        <v>-2.6415692190084328E-2</v>
      </c>
      <c r="BU80" s="639">
        <f t="shared" si="244"/>
        <v>-1.5424784544700643E-2</v>
      </c>
      <c r="BV80" s="182"/>
      <c r="BW80" s="638">
        <f t="shared" si="245"/>
        <v>-2.2330245073005073E-2</v>
      </c>
      <c r="BX80" s="638">
        <f t="shared" si="245"/>
        <v>5.2971539658899225E-3</v>
      </c>
      <c r="BY80" s="638">
        <f t="shared" si="245"/>
        <v>2.2279029052144184E-2</v>
      </c>
      <c r="BZ80" s="638">
        <f t="shared" si="245"/>
        <v>3.2977367169596761E-2</v>
      </c>
      <c r="CA80" s="639">
        <f t="shared" si="245"/>
        <v>9.7396174225796717E-3</v>
      </c>
      <c r="CB80" s="182"/>
      <c r="CC80" s="638">
        <f t="shared" si="246"/>
        <v>4.5842493443752241E-2</v>
      </c>
      <c r="CD80" s="638">
        <f t="shared" si="246"/>
        <v>5.7270534429372688E-2</v>
      </c>
      <c r="CE80" s="638">
        <f t="shared" si="246"/>
        <v>5.7993396915763107E-2</v>
      </c>
      <c r="CF80" s="638">
        <f t="shared" si="246"/>
        <v>6.2444502236785882E-2</v>
      </c>
      <c r="CG80" s="639">
        <f t="shared" si="246"/>
        <v>5.6063098731509609E-2</v>
      </c>
      <c r="CH80" s="182"/>
      <c r="CI80" s="638">
        <f t="shared" si="247"/>
        <v>7.0106326808262454E-2</v>
      </c>
      <c r="CJ80" s="638">
        <f t="shared" si="248"/>
        <v>7.3657326360282882E-2</v>
      </c>
      <c r="CK80" s="638">
        <f t="shared" si="249"/>
        <v>6.8028812277685535E-2</v>
      </c>
      <c r="CL80" s="638">
        <f t="shared" si="250"/>
        <v>6.7930595678369565E-2</v>
      </c>
      <c r="CM80" s="639">
        <f t="shared" si="251"/>
        <v>6.9888695203503159E-2</v>
      </c>
      <c r="CN80" s="182"/>
      <c r="CO80" s="638">
        <f t="shared" si="252"/>
        <v>6.9878190519546912E-2</v>
      </c>
      <c r="CP80" s="638">
        <f t="shared" si="253"/>
        <v>7.8318777861734468E-2</v>
      </c>
      <c r="CQ80" s="638">
        <f t="shared" si="254"/>
        <v>6.7206897885947692E-2</v>
      </c>
      <c r="CR80" s="638">
        <f t="shared" si="255"/>
        <v>7.2743511650958714E-2</v>
      </c>
      <c r="CS80" s="639">
        <f t="shared" si="256"/>
        <v>7.205911817323174E-2</v>
      </c>
      <c r="CT80" s="467"/>
      <c r="DA80" s="43"/>
      <c r="DB80" s="43"/>
      <c r="DC80" s="43"/>
      <c r="DD80" s="43"/>
      <c r="DJ80" s="348"/>
    </row>
    <row r="81" spans="1:114" x14ac:dyDescent="0.2">
      <c r="A81" s="43"/>
      <c r="B81" s="445" t="str">
        <f>+B20</f>
        <v>Total Operating Expenses</v>
      </c>
      <c r="C81" s="43"/>
      <c r="D81" s="31"/>
      <c r="E81" s="31"/>
      <c r="F81" s="31"/>
      <c r="G81" s="326"/>
      <c r="H81" s="103"/>
      <c r="I81" s="638">
        <f t="shared" si="234"/>
        <v>0.29860527226865807</v>
      </c>
      <c r="J81" s="638">
        <f t="shared" si="234"/>
        <v>0.41032336790726043</v>
      </c>
      <c r="K81" s="638">
        <f t="shared" si="234"/>
        <v>0.44328586559962346</v>
      </c>
      <c r="L81" s="638">
        <f t="shared" si="234"/>
        <v>-0.27286506322045379</v>
      </c>
      <c r="M81" s="639">
        <f t="shared" si="234"/>
        <v>0.1955814755228682</v>
      </c>
      <c r="N81" s="103"/>
      <c r="O81" s="638">
        <f t="shared" si="235"/>
        <v>-0.29948774589149352</v>
      </c>
      <c r="P81" s="638">
        <f t="shared" si="235"/>
        <v>-0.31516923928843354</v>
      </c>
      <c r="Q81" s="638">
        <f t="shared" si="235"/>
        <v>-0.34702697413483796</v>
      </c>
      <c r="R81" s="638">
        <f t="shared" si="235"/>
        <v>0.10800877674163467</v>
      </c>
      <c r="S81" s="639">
        <f t="shared" si="235"/>
        <v>-0.24644966575195004</v>
      </c>
      <c r="T81" s="103"/>
      <c r="U81" s="638">
        <f t="shared" si="236"/>
        <v>0.20556733539933658</v>
      </c>
      <c r="V81" s="638">
        <f t="shared" si="236"/>
        <v>0.19173720783322779</v>
      </c>
      <c r="W81" s="638">
        <f t="shared" si="236"/>
        <v>0.1669871874921951</v>
      </c>
      <c r="X81" s="638">
        <f t="shared" si="236"/>
        <v>0.11517896925590376</v>
      </c>
      <c r="Y81" s="639">
        <f t="shared" si="236"/>
        <v>0.16893710378958904</v>
      </c>
      <c r="Z81" s="106"/>
      <c r="AA81" s="638">
        <f t="shared" si="237"/>
        <v>2.0474429512041148E-2</v>
      </c>
      <c r="AB81" s="638">
        <f t="shared" si="237"/>
        <v>5.6082098254988111E-2</v>
      </c>
      <c r="AC81" s="638">
        <f t="shared" si="237"/>
        <v>5.7613697164258904E-2</v>
      </c>
      <c r="AD81" s="638">
        <f t="shared" si="237"/>
        <v>0.17890834831635272</v>
      </c>
      <c r="AE81" s="639">
        <f t="shared" si="237"/>
        <v>7.8046997332053225E-2</v>
      </c>
      <c r="AF81" s="103"/>
      <c r="AG81" s="638">
        <f t="shared" si="238"/>
        <v>0.20688969418419645</v>
      </c>
      <c r="AH81" s="638">
        <f t="shared" si="238"/>
        <v>0.2293005139736588</v>
      </c>
      <c r="AI81" s="638">
        <f t="shared" si="238"/>
        <v>0.34473966448792925</v>
      </c>
      <c r="AJ81" s="638">
        <f t="shared" si="238"/>
        <v>0.29402571971907898</v>
      </c>
      <c r="AK81" s="639">
        <f t="shared" si="238"/>
        <v>0.27043605004251181</v>
      </c>
      <c r="AL81" s="103"/>
      <c r="AM81" s="638">
        <f t="shared" si="239"/>
        <v>0.23634632636994457</v>
      </c>
      <c r="AN81" s="638">
        <f t="shared" si="239"/>
        <v>0.20318803181498968</v>
      </c>
      <c r="AO81" s="638">
        <f t="shared" si="239"/>
        <v>0.1741531608806226</v>
      </c>
      <c r="AP81" s="638">
        <f t="shared" si="239"/>
        <v>0.25317560783971382</v>
      </c>
      <c r="AQ81" s="639">
        <f t="shared" si="239"/>
        <v>0.21640215434134835</v>
      </c>
      <c r="AR81" s="103"/>
      <c r="AS81" s="638">
        <f t="shared" si="240"/>
        <v>0.39322947518066553</v>
      </c>
      <c r="AT81" s="638">
        <f t="shared" si="240"/>
        <v>0.28193294421066906</v>
      </c>
      <c r="AU81" s="638">
        <f t="shared" si="240"/>
        <v>0.12375362058800921</v>
      </c>
      <c r="AV81" s="638">
        <f t="shared" si="240"/>
        <v>0.17907276463826638</v>
      </c>
      <c r="AW81" s="639">
        <f t="shared" si="240"/>
        <v>0.23711400977891017</v>
      </c>
      <c r="AX81" s="103"/>
      <c r="AY81" s="638">
        <f t="shared" si="241"/>
        <v>0.11288025339597385</v>
      </c>
      <c r="AZ81" s="638">
        <f t="shared" si="241"/>
        <v>8.8013553578991877E-2</v>
      </c>
      <c r="BA81" s="638">
        <f t="shared" si="241"/>
        <v>0.11143678292009751</v>
      </c>
      <c r="BB81" s="638">
        <f t="shared" si="241"/>
        <v>2.609551944854771E-2</v>
      </c>
      <c r="BC81" s="639">
        <f t="shared" si="241"/>
        <v>8.2998459314792106E-2</v>
      </c>
      <c r="BD81" s="103"/>
      <c r="BE81" s="638">
        <f t="shared" si="242"/>
        <v>-3.9177857156501239E-2</v>
      </c>
      <c r="BF81" s="638">
        <f t="shared" si="242"/>
        <v>1.5065400186857758E-2</v>
      </c>
      <c r="BG81" s="638">
        <f t="shared" si="242"/>
        <v>7.2311781063692182E-2</v>
      </c>
      <c r="BH81" s="638">
        <f t="shared" si="242"/>
        <v>3.1669865642994122E-2</v>
      </c>
      <c r="BI81" s="639">
        <f t="shared" si="242"/>
        <v>1.9048806302507604E-2</v>
      </c>
      <c r="BJ81" s="103"/>
      <c r="BK81" s="638">
        <f t="shared" si="243"/>
        <v>0.15208747514910526</v>
      </c>
      <c r="BL81" s="638">
        <f t="shared" si="243"/>
        <v>0.23202301054650043</v>
      </c>
      <c r="BM81" s="638">
        <f t="shared" si="243"/>
        <v>0.23062200956937784</v>
      </c>
      <c r="BN81" s="638">
        <f t="shared" si="243"/>
        <v>0.20930232558139528</v>
      </c>
      <c r="BO81" s="639">
        <f t="shared" si="243"/>
        <v>0.20652434636603489</v>
      </c>
      <c r="BP81" s="103"/>
      <c r="BQ81" s="638">
        <f t="shared" si="243"/>
        <v>5.6945642795513285E-2</v>
      </c>
      <c r="BR81" s="638">
        <f t="shared" si="243"/>
        <v>-5.5252918287937658E-2</v>
      </c>
      <c r="BS81" s="638">
        <f t="shared" si="244"/>
        <v>-5.5134596728834806E-2</v>
      </c>
      <c r="BT81" s="638">
        <f t="shared" si="244"/>
        <v>-2.9193471194185361E-2</v>
      </c>
      <c r="BU81" s="639">
        <f t="shared" si="244"/>
        <v>-2.263511012837427E-2</v>
      </c>
      <c r="BV81" s="103"/>
      <c r="BW81" s="638">
        <f t="shared" si="245"/>
        <v>-2.0494298216767182E-2</v>
      </c>
      <c r="BX81" s="638">
        <f t="shared" si="245"/>
        <v>7.0404124240648347E-3</v>
      </c>
      <c r="BY81" s="638">
        <f t="shared" si="245"/>
        <v>2.4123224227925011E-2</v>
      </c>
      <c r="BZ81" s="638">
        <f t="shared" si="245"/>
        <v>3.4840862187186294E-2</v>
      </c>
      <c r="CA81" s="639">
        <f t="shared" si="245"/>
        <v>1.1538401208086357E-2</v>
      </c>
      <c r="CB81" s="103"/>
      <c r="CC81" s="638">
        <f t="shared" si="246"/>
        <v>4.4462352165818286E-2</v>
      </c>
      <c r="CD81" s="638">
        <f t="shared" si="246"/>
        <v>5.5816973498049594E-2</v>
      </c>
      <c r="CE81" s="638">
        <f t="shared" si="246"/>
        <v>5.6580788307988517E-2</v>
      </c>
      <c r="CF81" s="638">
        <f t="shared" si="246"/>
        <v>6.1025950614896907E-2</v>
      </c>
      <c r="CG81" s="639">
        <f t="shared" si="246"/>
        <v>5.463640275986692E-2</v>
      </c>
      <c r="CH81" s="103"/>
      <c r="CI81" s="638">
        <f t="shared" si="247"/>
        <v>6.8687029550181355E-2</v>
      </c>
      <c r="CJ81" s="638">
        <f t="shared" si="248"/>
        <v>7.2173576320089694E-2</v>
      </c>
      <c r="CK81" s="638">
        <f t="shared" si="249"/>
        <v>6.6595560097298501E-2</v>
      </c>
      <c r="CL81" s="638">
        <f t="shared" si="250"/>
        <v>6.6497475300751896E-2</v>
      </c>
      <c r="CM81" s="639">
        <f t="shared" si="251"/>
        <v>6.8442275921851259E-2</v>
      </c>
      <c r="CN81" s="103"/>
      <c r="CO81" s="638">
        <f t="shared" si="252"/>
        <v>6.8452005573519603E-2</v>
      </c>
      <c r="CP81" s="638">
        <f t="shared" si="253"/>
        <v>7.6820831012598179E-2</v>
      </c>
      <c r="CQ81" s="638">
        <f t="shared" si="254"/>
        <v>6.5767453149707E-2</v>
      </c>
      <c r="CR81" s="638">
        <f t="shared" si="255"/>
        <v>7.129659915044817E-2</v>
      </c>
      <c r="CS81" s="639">
        <f t="shared" si="256"/>
        <v>7.059729598741793E-2</v>
      </c>
      <c r="CT81" s="467"/>
      <c r="DA81" s="43"/>
      <c r="DB81" s="43"/>
      <c r="DC81" s="43"/>
      <c r="DD81" s="43"/>
      <c r="DJ81" s="579"/>
    </row>
    <row r="82" spans="1:114" x14ac:dyDescent="0.2">
      <c r="A82" s="43"/>
      <c r="B82" s="826" t="s">
        <v>376</v>
      </c>
      <c r="C82" s="819"/>
      <c r="D82" s="820"/>
      <c r="E82" s="820"/>
      <c r="F82" s="820"/>
      <c r="G82" s="821"/>
      <c r="H82" s="827"/>
      <c r="I82" s="828"/>
      <c r="J82" s="828"/>
      <c r="K82" s="828"/>
      <c r="L82" s="828"/>
      <c r="M82" s="829"/>
      <c r="N82" s="827"/>
      <c r="O82" s="828"/>
      <c r="P82" s="828"/>
      <c r="Q82" s="828"/>
      <c r="R82" s="828"/>
      <c r="S82" s="829"/>
      <c r="T82" s="827"/>
      <c r="U82" s="828"/>
      <c r="V82" s="828"/>
      <c r="W82" s="828"/>
      <c r="X82" s="828"/>
      <c r="Y82" s="829"/>
      <c r="Z82" s="830"/>
      <c r="AA82" s="828"/>
      <c r="AB82" s="828"/>
      <c r="AC82" s="828"/>
      <c r="AD82" s="828"/>
      <c r="AE82" s="829"/>
      <c r="AF82" s="827"/>
      <c r="AG82" s="828"/>
      <c r="AH82" s="828"/>
      <c r="AI82" s="828"/>
      <c r="AJ82" s="828"/>
      <c r="AK82" s="829"/>
      <c r="AL82" s="827"/>
      <c r="AM82" s="828">
        <f>IF(ISERROR(AM20/AG20-1),"NM",AM20/AG20-1)</f>
        <v>0.23634632636994457</v>
      </c>
      <c r="AN82" s="828">
        <f>IF(ISERROR(AN20/AH20-1),"NM",AN20/AH20-1)</f>
        <v>0.20318803181498968</v>
      </c>
      <c r="AO82" s="822">
        <f>IF(ISERROR(AO20/AI20-1),"NM",AO20/AI20-1)</f>
        <v>0.1741531608806226</v>
      </c>
      <c r="AP82" s="831">
        <f>IF(ISERROR(AP20/AJ20-1),"NM",AP20/AJ20-1)</f>
        <v>0.25317560783971382</v>
      </c>
      <c r="AQ82" s="829">
        <f>IF(ISERROR(AQ20/AK20-1),"NM",AQ20/AK20-1)</f>
        <v>0.21640215434134835</v>
      </c>
      <c r="AR82" s="827"/>
      <c r="AS82" s="828">
        <f>IF(ISERROR(AS20/AM20-1),"NM",AS20/AM20-1)</f>
        <v>0.39322947518066553</v>
      </c>
      <c r="AT82" s="828">
        <f>IF(ISERROR(AT20/AN20-1),"NM",AT20/AN20-1)</f>
        <v>0.28193294421066906</v>
      </c>
      <c r="AU82" s="822">
        <f>IF(ISERROR(AU20/AO20-1),"NM",AU20/AO20-1)</f>
        <v>0.12375362058800921</v>
      </c>
      <c r="AV82" s="831">
        <f>IF(ISERROR(AV20/AP20-1),"NM",AV20/AP20-1)</f>
        <v>0.17907276463826638</v>
      </c>
      <c r="AW82" s="829">
        <f>IF(ISERROR(AW20/AQ20-1),"NM",AW20/AQ20-1)</f>
        <v>0.23711400977891017</v>
      </c>
      <c r="AX82" s="827"/>
      <c r="AY82" s="828">
        <f>IF(ISERROR(AY20/AS20-1),"NM",AY20/AS20-1)</f>
        <v>0.11288025339597385</v>
      </c>
      <c r="AZ82" s="828">
        <f>IF(ISERROR(AZ20/AT20-1),"NM",AZ20/AT20-1)</f>
        <v>8.8013553578991877E-2</v>
      </c>
      <c r="BA82" s="822">
        <f>IF(ISERROR(BA20/AU20-1),"NM",BA20/AU20-1)</f>
        <v>0.11143678292009751</v>
      </c>
      <c r="BB82" s="831">
        <f>IF(ISERROR(BB20/AV20-1),"NM",BB20/AV20-1)</f>
        <v>2.609551944854771E-2</v>
      </c>
      <c r="BC82" s="829">
        <f>IF(ISERROR(BC20/AW20-1),"NM",BC20/AW20-1)</f>
        <v>8.2998459314792106E-2</v>
      </c>
      <c r="BD82" s="827"/>
      <c r="BE82" s="828">
        <f>IF(ISERROR(BE20/AY20-1),"NM",BE20/AY20-1)</f>
        <v>-3.9177857156501239E-2</v>
      </c>
      <c r="BF82" s="828">
        <f>IF(ISERROR(BF20/AZ20-1),"NM",BF20/AZ20-1)</f>
        <v>1.5065400186857758E-2</v>
      </c>
      <c r="BG82" s="822">
        <f>IF(ISERROR(BG20/BA20-1),"NM",BG20/BA20-1)</f>
        <v>7.2311781063692182E-2</v>
      </c>
      <c r="BH82" s="831">
        <f>IF(ISERROR(BH20/BB20-1),"NM",BH20/BB20-1)</f>
        <v>3.1669865642994122E-2</v>
      </c>
      <c r="BI82" s="829">
        <f>IF(ISERROR(BI20/BC20-1),"NM",BI20/BC20-1)</f>
        <v>1.9048806302507604E-2</v>
      </c>
      <c r="BJ82" s="827"/>
      <c r="BK82" s="828">
        <f>IF(ISERROR(BK27/BE20-1),"NM",BK27/BE20-1)</f>
        <v>8.250497017892644E-2</v>
      </c>
      <c r="BL82" s="828">
        <f>IF(ISERROR(BL27/BF20-1),"NM",BL27/BF20-1)</f>
        <v>4.79642192187546E-2</v>
      </c>
      <c r="BM82" s="822">
        <f>IF(ISERROR(BM27/BG20-1),"NM",BM27/BG20-1)</f>
        <v>5.8212687143077702E-2</v>
      </c>
      <c r="BN82" s="822">
        <f>IF(ISERROR(BN27/BH20-1),"NM",BN27/BH20-1)</f>
        <v>5.3923480870217588E-2</v>
      </c>
      <c r="BO82" s="829">
        <f>IF(ISERROR(BO27/BI20-1),"NM",BO27/BI20-1)</f>
        <v>6.0404576791835307E-2</v>
      </c>
      <c r="BP82" s="827"/>
      <c r="BQ82" s="828">
        <f>IF(ISERROR(BQ27/BK20-1),"NM",BQ27/BK20-1)</f>
        <v>-0.12255960922931342</v>
      </c>
      <c r="BR82" s="828">
        <f>IF(ISERROR(BR27/BL20-1),"NM",BR27/BL20-1)</f>
        <v>-0.21328559169072425</v>
      </c>
      <c r="BS82" s="828">
        <f t="shared" ref="BS82:BT83" si="257">IF(ISERROR(BS27/BM27-1),"NM",BS27/BM27-1)</f>
        <v>-7.362009734871211E-2</v>
      </c>
      <c r="BT82" s="828">
        <f t="shared" si="257"/>
        <v>-4.2192838936440658E-2</v>
      </c>
      <c r="BU82" s="829">
        <f t="shared" ref="BU82" si="258">IF(ISERROR(BU27/BO27-1),"NM",BU27/BO27-1)</f>
        <v>-6.409657683501091E-2</v>
      </c>
      <c r="BV82" s="827"/>
      <c r="BW82" s="828">
        <f>IF(ISERROR(BW27/BQ27-1),"NM",BW27/BQ27-1)</f>
        <v>-7.8362439309236587E-2</v>
      </c>
      <c r="BX82" s="828">
        <f>IF(ISERROR(BX27/BR27-1),"NM",BX27/BR27-1)</f>
        <v>-3.6632983285298626E-2</v>
      </c>
      <c r="BY82" s="828">
        <f>IF(ISERROR(BY27/BS27-1),"NM",BY27/BS27-1)</f>
        <v>-1.6943684378866064E-2</v>
      </c>
      <c r="BZ82" s="828">
        <f>IF(ISERROR(BZ27/BT27-1),"NM",BZ27/BT27-1)</f>
        <v>1.9531724722909871E-3</v>
      </c>
      <c r="CA82" s="829">
        <f>IF(ISERROR(CA27/BU27-1),"NM",CA27/BU27-1)</f>
        <v>-3.1894444956729107E-2</v>
      </c>
      <c r="CB82" s="827"/>
      <c r="CC82" s="828">
        <f>IF(ISERROR(CC27/BW27-1),"NM",CC27/BW27-1)</f>
        <v>2.6997244214717719E-2</v>
      </c>
      <c r="CD82" s="828">
        <f>IF(ISERROR(CD27/BX27-1),"NM",CD27/BX27-1)</f>
        <v>4.3300581366401802E-2</v>
      </c>
      <c r="CE82" s="828">
        <f>IF(ISERROR(CE27/BY27-1),"NM",CE27/BY27-1)</f>
        <v>4.5651612910897699E-2</v>
      </c>
      <c r="CF82" s="828">
        <f>IF(ISERROR(CF27/BZ27-1),"NM",CF27/BZ27-1)</f>
        <v>5.282279782645416E-2</v>
      </c>
      <c r="CG82" s="829">
        <f>IF(ISERROR(CG27/CA27-1),"NM",CG27/CA27-1)</f>
        <v>4.2661582361426476E-2</v>
      </c>
      <c r="CH82" s="827"/>
      <c r="CI82" s="828">
        <f t="shared" ref="CI82:CM83" si="259">IF(ISERROR(CI27/CC27-1),"NM",CI27/CC27-1)</f>
        <v>5.9737571325743533E-2</v>
      </c>
      <c r="CJ82" s="828">
        <f t="shared" si="259"/>
        <v>6.5543508537870832E-2</v>
      </c>
      <c r="CK82" s="828">
        <f t="shared" si="259"/>
        <v>5.9505512407886707E-2</v>
      </c>
      <c r="CL82" s="828">
        <f t="shared" si="259"/>
        <v>6.067588344625352E-2</v>
      </c>
      <c r="CM82" s="829">
        <f t="shared" si="259"/>
        <v>6.134875981431942E-2</v>
      </c>
      <c r="CN82" s="827"/>
      <c r="CO82" s="828">
        <f t="shared" ref="CO82:CS83" si="260">IF(ISERROR(CO27/CI27-1),"NM",CO27/CI27-1)</f>
        <v>6.1327064259407704E-2</v>
      </c>
      <c r="CP82" s="828">
        <f t="shared" si="260"/>
        <v>7.3198267214616752E-2</v>
      </c>
      <c r="CQ82" s="828">
        <f t="shared" si="260"/>
        <v>5.9927077378703508E-2</v>
      </c>
      <c r="CR82" s="828">
        <f t="shared" si="260"/>
        <v>6.7739904610607971E-2</v>
      </c>
      <c r="CS82" s="829">
        <f t="shared" si="260"/>
        <v>6.5630819781231198E-2</v>
      </c>
      <c r="CT82" s="467"/>
      <c r="DA82" s="43"/>
      <c r="DB82" s="43"/>
      <c r="DC82" s="43"/>
      <c r="DD82" s="43"/>
      <c r="DJ82" s="579"/>
    </row>
    <row r="83" spans="1:114" x14ac:dyDescent="0.2">
      <c r="A83" s="43"/>
      <c r="B83" s="826" t="s">
        <v>380</v>
      </c>
      <c r="C83" s="819"/>
      <c r="D83" s="820"/>
      <c r="E83" s="820"/>
      <c r="F83" s="820"/>
      <c r="G83" s="821"/>
      <c r="H83" s="827"/>
      <c r="I83" s="828"/>
      <c r="J83" s="828"/>
      <c r="K83" s="828"/>
      <c r="L83" s="828"/>
      <c r="M83" s="829"/>
      <c r="N83" s="827"/>
      <c r="O83" s="828"/>
      <c r="P83" s="828"/>
      <c r="Q83" s="828"/>
      <c r="R83" s="828"/>
      <c r="S83" s="829"/>
      <c r="T83" s="827"/>
      <c r="U83" s="828"/>
      <c r="V83" s="828"/>
      <c r="W83" s="828"/>
      <c r="X83" s="828"/>
      <c r="Y83" s="829"/>
      <c r="Z83" s="830"/>
      <c r="AA83" s="828"/>
      <c r="AB83" s="828"/>
      <c r="AC83" s="828"/>
      <c r="AD83" s="828"/>
      <c r="AE83" s="829"/>
      <c r="AF83" s="827"/>
      <c r="AG83" s="828"/>
      <c r="AH83" s="828"/>
      <c r="AI83" s="828"/>
      <c r="AJ83" s="828"/>
      <c r="AK83" s="829"/>
      <c r="AL83" s="827"/>
      <c r="AM83" s="828"/>
      <c r="AN83" s="828"/>
      <c r="AO83" s="822"/>
      <c r="AP83" s="822"/>
      <c r="AQ83" s="829"/>
      <c r="AR83" s="827"/>
      <c r="AS83" s="828"/>
      <c r="AT83" s="828"/>
      <c r="AU83" s="822"/>
      <c r="AV83" s="822"/>
      <c r="AW83" s="829"/>
      <c r="AX83" s="827"/>
      <c r="AY83" s="828"/>
      <c r="AZ83" s="828"/>
      <c r="BA83" s="822"/>
      <c r="BB83" s="822"/>
      <c r="BC83" s="829"/>
      <c r="BD83" s="827"/>
      <c r="BE83" s="828"/>
      <c r="BF83" s="828"/>
      <c r="BG83" s="822"/>
      <c r="BH83" s="822"/>
      <c r="BI83" s="829"/>
      <c r="BJ83" s="827"/>
      <c r="BK83" s="828">
        <f>IF(ISERROR(BK28/BE24-1),"NM",BK28/BE24-1)</f>
        <v>-0.38626595329085611</v>
      </c>
      <c r="BL83" s="828">
        <f>IF(ISERROR(BL28/BF24-1),"NM",BL28/BF24-1)</f>
        <v>-0.36066145540217842</v>
      </c>
      <c r="BM83" s="822">
        <f>IF(ISERROR(BM28/BG24-1),"NM",BM28/BG24-1)</f>
        <v>-0.39049303898942633</v>
      </c>
      <c r="BN83" s="822">
        <f>IF(ISERROR(BN28/BH24-1),"NM",BN28/BH24-1)</f>
        <v>-0.27136027623864767</v>
      </c>
      <c r="BO83" s="829">
        <f>IF(ISERROR(BO28/BI24-1),"NM",BO28/BI24-1)</f>
        <v>-0.35550070782752419</v>
      </c>
      <c r="BP83" s="827"/>
      <c r="BQ83" s="828">
        <f>IF(ISERROR(BQ28/BK24-1),"NM",BQ28/BK24-1)</f>
        <v>0.16711956965048924</v>
      </c>
      <c r="BR83" s="828">
        <f>IF(ISERROR(BR28/BL24-1),"NM",BR28/BL24-1)</f>
        <v>0.13662446588364974</v>
      </c>
      <c r="BS83" s="822">
        <f t="shared" si="257"/>
        <v>-0.22627903443758157</v>
      </c>
      <c r="BT83" s="822">
        <f t="shared" si="257"/>
        <v>-0.27544271357267924</v>
      </c>
      <c r="BU83" s="829">
        <f>IF(ISERROR(BU28/BO28-1),"NM",BU28/BO28-1)</f>
        <v>-0.18555129884906663</v>
      </c>
      <c r="BV83" s="827"/>
      <c r="BW83" s="828">
        <f t="shared" ref="BW83:CA83" si="261">IF(ISERROR(BW28/BQ28-1),"NM",BW28/BQ28-1)</f>
        <v>-5.4360239182243086E-2</v>
      </c>
      <c r="BX83" s="828">
        <f t="shared" si="261"/>
        <v>-8.7637961504681616E-2</v>
      </c>
      <c r="BY83" s="822">
        <f t="shared" si="261"/>
        <v>-6.7642661707080443E-2</v>
      </c>
      <c r="BZ83" s="822">
        <f t="shared" si="261"/>
        <v>-6.8299028655016802E-2</v>
      </c>
      <c r="CA83" s="829">
        <f t="shared" si="261"/>
        <v>-6.9933928663870049E-2</v>
      </c>
      <c r="CB83" s="827"/>
      <c r="CC83" s="828">
        <f t="shared" ref="CC83:CG83" si="262">IF(ISERROR(CC28/BW28-1),"NM",CC28/BW28-1)</f>
        <v>-0.15548202781032228</v>
      </c>
      <c r="CD83" s="828">
        <f t="shared" si="262"/>
        <v>-0.16239477737944807</v>
      </c>
      <c r="CE83" s="822">
        <f t="shared" si="262"/>
        <v>-0.25208056643090537</v>
      </c>
      <c r="CF83" s="822">
        <f t="shared" si="262"/>
        <v>-0.29790617420195342</v>
      </c>
      <c r="CG83" s="829">
        <f t="shared" si="262"/>
        <v>-0.21075866139092847</v>
      </c>
      <c r="CH83" s="827"/>
      <c r="CI83" s="828">
        <f t="shared" si="259"/>
        <v>-0.23108164143656884</v>
      </c>
      <c r="CJ83" s="828">
        <f t="shared" si="259"/>
        <v>-0.19993526980348364</v>
      </c>
      <c r="CK83" s="822">
        <f t="shared" si="259"/>
        <v>-0.28921073371378958</v>
      </c>
      <c r="CL83" s="822">
        <f t="shared" si="259"/>
        <v>-0.30737493745599143</v>
      </c>
      <c r="CM83" s="829">
        <f t="shared" si="259"/>
        <v>-0.24933747129708328</v>
      </c>
      <c r="CN83" s="827"/>
      <c r="CO83" s="828">
        <f t="shared" si="260"/>
        <v>-0.23944789343854889</v>
      </c>
      <c r="CP83" s="828">
        <f t="shared" si="260"/>
        <v>-0.20972551414504648</v>
      </c>
      <c r="CQ83" s="822">
        <f t="shared" si="260"/>
        <v>-0.40784023859413387</v>
      </c>
      <c r="CR83" s="822">
        <f t="shared" si="260"/>
        <v>-0.49245983942888294</v>
      </c>
      <c r="CS83" s="829">
        <f t="shared" si="260"/>
        <v>-0.31018190824044767</v>
      </c>
      <c r="CT83" s="467"/>
      <c r="DA83" s="43"/>
      <c r="DB83" s="43"/>
      <c r="DC83" s="43"/>
      <c r="DD83" s="43"/>
      <c r="DJ83" s="579"/>
    </row>
    <row r="84" spans="1:114" x14ac:dyDescent="0.2">
      <c r="A84" s="43"/>
      <c r="B84" s="445" t="str">
        <f>+B24</f>
        <v>Operating Income / Loss</v>
      </c>
      <c r="C84" s="43"/>
      <c r="D84" s="31"/>
      <c r="E84" s="31"/>
      <c r="F84" s="31"/>
      <c r="G84" s="326"/>
      <c r="H84" s="103"/>
      <c r="I84" s="638">
        <f>IF(ISERROR(I24/C24-1),"NM",I24/C24-1)</f>
        <v>-0.22786666666666677</v>
      </c>
      <c r="J84" s="638">
        <f>IF(ISERROR(J24/D24-1),"NM",J24/D24-1)</f>
        <v>-0.23159468730759125</v>
      </c>
      <c r="K84" s="638">
        <f>IF(ISERROR(K24/E24-1),"NM",K24/E24-1)</f>
        <v>-0.14034315882094184</v>
      </c>
      <c r="L84" s="667">
        <f>IF(ISERROR(L24/F24-1),"NM",L24/F24-1)</f>
        <v>-2.5626120984836138</v>
      </c>
      <c r="M84" s="639">
        <f>IF(ISERROR(M24/G24-1),"NM",M24/G24-1)</f>
        <v>-0.81211892639386485</v>
      </c>
      <c r="N84" s="103"/>
      <c r="O84" s="667">
        <f>IF(ISERROR(O24/I24-1),"NM",O24/I24-1)</f>
        <v>-3.0194266965981695</v>
      </c>
      <c r="P84" s="667">
        <f>IF(ISERROR(P24/J24-1),"NM",P24/J24-1)</f>
        <v>-4.8137591575091578</v>
      </c>
      <c r="Q84" s="667">
        <f>IF(ISERROR(Q24/K24-1),"NM",Q24/K24-1)</f>
        <v>-5.5112589559877208</v>
      </c>
      <c r="R84" s="638">
        <f>IF(ISERROR(R24/L24-1),"NM",R24/L24-1)</f>
        <v>0.79976000417384041</v>
      </c>
      <c r="S84" s="665">
        <f>IF(ISERROR(S24/M24-1),"NM",S24/M24-1)</f>
        <v>-15.103044496487097</v>
      </c>
      <c r="T84" s="103"/>
      <c r="U84" s="638">
        <f>IF(ISERROR(U24/O24-1),"NM",U24/O24-1)</f>
        <v>0.27034075847620676</v>
      </c>
      <c r="V84" s="638">
        <f>IF(ISERROR(V24/P24-1),"NM",V24/P24-1)</f>
        <v>3.6167722183870543E-2</v>
      </c>
      <c r="W84" s="638">
        <f>IF(ISERROR(W24/Q24-1),"NM",W24/Q24-1)</f>
        <v>-5.7714123652864546E-2</v>
      </c>
      <c r="X84" s="638">
        <f>IF(ISERROR(X24/R24-1),"NM",X24/R24-1)</f>
        <v>9.0445269016699248E-2</v>
      </c>
      <c r="Y84" s="639">
        <f>IF(ISERROR(Y24/S24-1),"NM",Y24/S24-1)</f>
        <v>6.8107415666366578E-2</v>
      </c>
      <c r="Z84" s="106"/>
      <c r="AA84" s="638">
        <f>IF(ISERROR(AA24/U24-1),"NM",AA24/U24-1)</f>
        <v>0.1978661820140013</v>
      </c>
      <c r="AB84" s="638">
        <f>IF(ISERROR(AB24/V24-1),"NM",AB24/V24-1)</f>
        <v>0.11772203232721168</v>
      </c>
      <c r="AC84" s="638">
        <f>IF(ISERROR(AC24/W24-1),"NM",AC24/W24-1)</f>
        <v>0.25881113619262597</v>
      </c>
      <c r="AD84" s="638">
        <f>IF(ISERROR(AD24/X24-1),"NM",AD24/X24-1)</f>
        <v>0.11061782220331651</v>
      </c>
      <c r="AE84" s="639">
        <f>IF(ISERROR(AE24/Y24-1),"NM",AE24/Y24-1)</f>
        <v>0.16807699426244671</v>
      </c>
      <c r="AF84" s="103"/>
      <c r="AG84" s="638">
        <f>IF(ISERROR(AG24/AA24-1),"NM",AG24/AA24-1)</f>
        <v>0.16523840296704173</v>
      </c>
      <c r="AH84" s="638">
        <f>IF(ISERROR(AH24/AB24-1),"NM",AH24/AB24-1)</f>
        <v>0.17827709531954583</v>
      </c>
      <c r="AI84" s="638">
        <f>IF(ISERROR(AI24/AC24-1),"NM",AI24/AC24-1)</f>
        <v>0.10214231063504164</v>
      </c>
      <c r="AJ84" s="638">
        <f>IF(ISERROR(AJ24/AD24-1),"NM",AJ24/AD24-1)</f>
        <v>0.13184288005361799</v>
      </c>
      <c r="AK84" s="639">
        <f>IF(ISERROR(AK24/AE24-1),"NM",AK24/AE24-1)</f>
        <v>0.14285895371978308</v>
      </c>
      <c r="AL84" s="103"/>
      <c r="AM84" s="638">
        <f>IF(ISERROR(AM24/AG24-1),"NM",AM24/AG24-1)</f>
        <v>0.17144097222222254</v>
      </c>
      <c r="AN84" s="638">
        <f>IF(ISERROR(AN24/AH24-1),"NM",AN24/AH24-1)</f>
        <v>0.22261079951611062</v>
      </c>
      <c r="AO84" s="638">
        <f>IF(ISERROR(AO24/AI24-1),"NM",AO24/AI24-1)</f>
        <v>0.26067337729954931</v>
      </c>
      <c r="AP84" s="638">
        <f>IF(ISERROR(AP24/AJ24-1),"NM",AP24/AJ24-1)</f>
        <v>0.39401501533255789</v>
      </c>
      <c r="AQ84" s="639">
        <f>IF(ISERROR(AQ24/AK24-1),"NM",AQ24/AK24-1)</f>
        <v>0.2655198039019957</v>
      </c>
      <c r="AR84" s="103"/>
      <c r="AS84" s="638">
        <f>IF(ISERROR(AS24/AM24-1),"NM",AS24/AM24-1)</f>
        <v>0.70647564941747998</v>
      </c>
      <c r="AT84" s="638">
        <f>IF(ISERROR(AT24/AN24-1),"NM",AT24/AN24-1)</f>
        <v>0.50197891555427709</v>
      </c>
      <c r="AU84" s="638">
        <f>IF(ISERROR(AU24/AO24-1),"NM",AU24/AO24-1)</f>
        <v>0.18832599118942706</v>
      </c>
      <c r="AV84" s="638">
        <f>IF(ISERROR(AV24/AP24-1),"NM",AV24/AP24-1)</f>
        <v>-0.14686874203531697</v>
      </c>
      <c r="AW84" s="639">
        <f>IF(ISERROR(AW24/AQ24-1),"NM",AW24/AQ24-1)</f>
        <v>0.27821697137548385</v>
      </c>
      <c r="AX84" s="103"/>
      <c r="AY84" s="638">
        <f>IF(ISERROR(AY24/AS24-1),"NM",AY24/AS24-1)</f>
        <v>-0.6469410402393132</v>
      </c>
      <c r="AZ84" s="638">
        <f>IF(ISERROR(AZ24/AT24-1),"NM",AZ24/AT24-1)</f>
        <v>-0.47551174406209207</v>
      </c>
      <c r="BA84" s="638">
        <f>IF(ISERROR(BA24/AU24-1),"NM",BA24/AU24-1)</f>
        <v>-0.33041299814643166</v>
      </c>
      <c r="BB84" s="638">
        <f>IF(ISERROR(BB24/AV24-1),"NM",BB24/AV24-1)</f>
        <v>-0.14334620398362685</v>
      </c>
      <c r="BC84" s="639">
        <f>IF(ISERROR(BC24/AW24-1),"NM",BC24/AW24-1)</f>
        <v>-0.42584465990941978</v>
      </c>
      <c r="BD84" s="103"/>
      <c r="BE84" s="638">
        <f>IF(ISERROR(BE24/AY24-1),"NM",BE24/AY24-1)</f>
        <v>0.5863130794904956</v>
      </c>
      <c r="BF84" s="638">
        <f>IF(ISERROR(BF24/AZ24-1),"NM",BF24/AZ24-1)</f>
        <v>0.10505428367857994</v>
      </c>
      <c r="BG84" s="638">
        <f>IF(ISERROR(BG24/BA24-1),"NM",BG24/BA24-1)</f>
        <v>-9.1044221852770724E-3</v>
      </c>
      <c r="BH84" s="638">
        <f>IF(ISERROR(BH24/BB24-1),"NM",BH24/BB24-1)</f>
        <v>-0.19043343441179139</v>
      </c>
      <c r="BI84" s="639">
        <f>IF(ISERROR(BI24/BC24-1),"NM",BI24/BC24-1)</f>
        <v>7.2649192870532842E-2</v>
      </c>
      <c r="BJ84" s="103"/>
      <c r="BK84" s="638">
        <f>IF(ISERROR(BK24/BE24-1),"NM",BK24/BE24-1)</f>
        <v>-0.53466391198363405</v>
      </c>
      <c r="BL84" s="638">
        <f>IF(ISERROR(BL24/BF24-1),"NM",BL24/BF24-1)</f>
        <v>-0.5112681738004754</v>
      </c>
      <c r="BM84" s="638">
        <f>IF(ISERROR(BM24/BG24-1),"NM",BM24/BG24-1)</f>
        <v>-0.47594582288468323</v>
      </c>
      <c r="BN84" s="638">
        <f>IF(ISERROR(BN24/BH24-1),"NM",BN24/BH24-1)</f>
        <v>-0.28307834998785419</v>
      </c>
      <c r="BO84" s="639">
        <f>IF(ISERROR(BO24/BI24-1),"NM",BO24/BI24-1)</f>
        <v>-0.45876550766405988</v>
      </c>
      <c r="BP84" s="103"/>
      <c r="BQ84" s="638">
        <f>IF(ISERROR(BQ24/BK24-1),"NM",BQ24/BK24-1)</f>
        <v>0.14197025460544577</v>
      </c>
      <c r="BR84" s="638">
        <f>IF(ISERROR(BR24/BL24-1),"NM",BR24/BL24-1)</f>
        <v>0.19138078867872999</v>
      </c>
      <c r="BS84" s="638">
        <f>IF(ISERROR(BS24/BM24-1),"NM",BS24/BM24-1)</f>
        <v>4.9310259986179883E-2</v>
      </c>
      <c r="BT84" s="638">
        <f>IF(ISERROR(BT24/BN24-1),"NM",BT24/BN24-1)</f>
        <v>-2.9933157294162571E-2</v>
      </c>
      <c r="BU84" s="639">
        <f>IF(ISERROR(BU24/BO24-1),"NM",BU24/BO24-1)</f>
        <v>8.167037635481722E-2</v>
      </c>
      <c r="BV84" s="103"/>
      <c r="BW84" s="638">
        <f>IF(ISERROR(BW24/BQ24-1),"NM",BW24/BQ24-1)</f>
        <v>5.9534965616538926E-2</v>
      </c>
      <c r="BX84" s="638">
        <f>IF(ISERROR(BX24/BR24-1),"NM",BX24/BR24-1)</f>
        <v>7.6792204618892024E-2</v>
      </c>
      <c r="BY84" s="638">
        <f>IF(ISERROR(BY24/BS24-1),"NM",BY24/BS24-1)</f>
        <v>0.16376250152403493</v>
      </c>
      <c r="BZ84" s="638">
        <f>IF(ISERROR(BZ24/BT24-1),"NM",BZ24/BT24-1)</f>
        <v>0.19347526141935045</v>
      </c>
      <c r="CA84" s="639">
        <f>IF(ISERROR(CA24/BU24-1),"NM",CA24/BU24-1)</f>
        <v>0.12367209305765137</v>
      </c>
      <c r="CB84" s="103"/>
      <c r="CC84" s="638">
        <f>IF(ISERROR(CC24/BW24-1),"NM",CC24/BW24-1)</f>
        <v>0.11164093004190723</v>
      </c>
      <c r="CD84" s="638">
        <f>IF(ISERROR(CD24/BX24-1),"NM",CD24/BX24-1)</f>
        <v>0.10868414621667766</v>
      </c>
      <c r="CE84" s="638">
        <f>IF(ISERROR(CE24/BY24-1),"NM",CE24/BY24-1)</f>
        <v>9.6926727258054513E-2</v>
      </c>
      <c r="CF84" s="638">
        <f>IF(ISERROR(CF24/BZ24-1),"NM",CF24/BZ24-1)</f>
        <v>8.9056840906441614E-2</v>
      </c>
      <c r="CG84" s="639">
        <f>IF(ISERROR(CG24/CA24-1),"NM",CG24/CA24-1)</f>
        <v>0.10104459691636491</v>
      </c>
      <c r="CH84" s="103"/>
      <c r="CI84" s="638">
        <f t="shared" ref="CI84:CM84" si="263">IF(ISERROR(CI24/CC24-1),"NM",CI24/CC24-1)</f>
        <v>0.10900489152264448</v>
      </c>
      <c r="CJ84" s="638">
        <f t="shared" si="263"/>
        <v>0.10622363333289964</v>
      </c>
      <c r="CK84" s="638">
        <f t="shared" si="263"/>
        <v>9.5949873199251856E-2</v>
      </c>
      <c r="CL84" s="638">
        <f t="shared" si="263"/>
        <v>8.6001565830982063E-2</v>
      </c>
      <c r="CM84" s="639">
        <f t="shared" si="263"/>
        <v>9.8826223561392146E-2</v>
      </c>
      <c r="CN84" s="103"/>
      <c r="CO84" s="638">
        <f t="shared" ref="CO84:CS84" si="264">IF(ISERROR(CO24/CI24-1),"NM",CO24/CI24-1)</f>
        <v>0.10086490864080289</v>
      </c>
      <c r="CP84" s="638">
        <f t="shared" si="264"/>
        <v>0.10855246512995209</v>
      </c>
      <c r="CQ84" s="638">
        <f t="shared" si="264"/>
        <v>0.1026416318045662</v>
      </c>
      <c r="CR84" s="638">
        <f t="shared" si="264"/>
        <v>0.10257486869789556</v>
      </c>
      <c r="CS84" s="639">
        <f t="shared" si="264"/>
        <v>0.10376156790800106</v>
      </c>
      <c r="CT84" s="467"/>
      <c r="DA84" s="43"/>
      <c r="DB84" s="43"/>
      <c r="DC84" s="43"/>
      <c r="DD84" s="43"/>
    </row>
    <row r="85" spans="1:114" x14ac:dyDescent="0.2">
      <c r="A85" s="43"/>
      <c r="B85" s="90" t="s">
        <v>148</v>
      </c>
      <c r="C85" s="43"/>
      <c r="D85" s="31"/>
      <c r="E85" s="31"/>
      <c r="F85" s="31"/>
      <c r="G85" s="326"/>
      <c r="H85" s="181"/>
      <c r="I85" s="638">
        <f>IF(ISERROR(I38/C38-1),"NM",I38/C38-1)</f>
        <v>-0.35621730382293781</v>
      </c>
      <c r="J85" s="638">
        <f>IF(ISERROR(J38/D38-1),"NM",J38/D38-1)</f>
        <v>-0.42394270122783129</v>
      </c>
      <c r="K85" s="638">
        <f>IF(ISERROR(K38/E38-1),"NM",K38/E38-1)</f>
        <v>-0.21997641906686949</v>
      </c>
      <c r="L85" s="667">
        <f>IF(ISERROR(L38/F38-1),"NM",L38/F38-1)</f>
        <v>-3.7542286007175827</v>
      </c>
      <c r="M85" s="665">
        <f>IF(ISERROR(M38/G38-1),"NM",M38/G38-1)</f>
        <v>-1.1086036267948054</v>
      </c>
      <c r="N85" s="181"/>
      <c r="O85" s="667">
        <f>IF(ISERROR(O38/I38-1),"NM",O38/I38-1)</f>
        <v>-4.0667583447930991</v>
      </c>
      <c r="P85" s="667">
        <f>IF(ISERROR(P38/J38-1),"NM",P38/J38-1)</f>
        <v>-8.2536017367278482</v>
      </c>
      <c r="Q85" s="667">
        <f>IF(ISERROR(Q38/K38-1),"NM",Q38/K38-1)</f>
        <v>-9.2632260850788271</v>
      </c>
      <c r="R85" s="638">
        <f>IF(ISERROR(R38/L38-1),"NM",R38/L38-1)</f>
        <v>0.70754629198846208</v>
      </c>
      <c r="S85" s="665">
        <f>IF(ISERROR(S38/M38-1),"NM",S38/M38-1)</f>
        <v>34.884645772978772</v>
      </c>
      <c r="T85" s="181"/>
      <c r="U85" s="638">
        <f>IF(ISERROR(U38/O38-1),"NM",U38/O38-1)</f>
        <v>0.2409604174310056</v>
      </c>
      <c r="V85" s="638">
        <f>IF(ISERROR(V38/P38-1),"NM",V38/P38-1)</f>
        <v>-3.7955052511290832E-2</v>
      </c>
      <c r="W85" s="638">
        <f>IF(ISERROR(W38/Q38-1),"NM",W38/Q38-1)</f>
        <v>-0.13107899756970753</v>
      </c>
      <c r="X85" s="638">
        <f>IF(ISERROR(X38/R38-1),"NM",X38/R38-1)</f>
        <v>0.45090185820936335</v>
      </c>
      <c r="Y85" s="639">
        <f>IF(ISERROR(Y38/S38-1),"NM",Y38/S38-1)</f>
        <v>0.11778736771030629</v>
      </c>
      <c r="Z85" s="181"/>
      <c r="AA85" s="638">
        <f>IF(ISERROR(AA38/U38-1),"NM",AA38/U38-1)</f>
        <v>-0.25964128506668394</v>
      </c>
      <c r="AB85" s="638">
        <f>IF(ISERROR(AB38/V38-1),"NM",AB38/V38-1)</f>
        <v>-0.31584603636980679</v>
      </c>
      <c r="AC85" s="638">
        <f>IF(ISERROR(AC38/W38-1),"NM",AC38/W38-1)</f>
        <v>-0.15972451956332157</v>
      </c>
      <c r="AD85" s="638">
        <f>IF(ISERROR(AD38/X38-1),"NM",AD38/X38-1)</f>
        <v>-0.5109763196935273</v>
      </c>
      <c r="AE85" s="639">
        <f>IF(ISERROR(AE38/Y38-1),"NM",AE38/Y38-1)</f>
        <v>-0.33875235550186145</v>
      </c>
      <c r="AF85" s="181"/>
      <c r="AG85" s="638">
        <f>IF(ISERROR(AG38/AA38-1),"NM",AG38/AA38-1)</f>
        <v>0.11363031324873463</v>
      </c>
      <c r="AH85" s="638">
        <f>IF(ISERROR(AH38/AB38-1),"NM",AH38/AB38-1)</f>
        <v>0.16969120747385347</v>
      </c>
      <c r="AI85" s="638">
        <f>IF(ISERROR(AI38/AC38-1),"NM",AI38/AC38-1)</f>
        <v>5.9949892627057189E-2</v>
      </c>
      <c r="AJ85" s="638">
        <f>IF(ISERROR(AJ38/AD38-1),"NM",AJ38/AD38-1)</f>
        <v>0.11904304750201589</v>
      </c>
      <c r="AK85" s="639">
        <f>IF(ISERROR(AK38/AE38-1),"NM",AK38/AE38-1)</f>
        <v>0.11360341574818733</v>
      </c>
      <c r="AL85" s="181"/>
      <c r="AM85" s="638">
        <f>IF(ISERROR(AM38/AG38-1),"NM",AM38/AG38-1)</f>
        <v>0.20068528626638593</v>
      </c>
      <c r="AN85" s="638">
        <f>IF(ISERROR(AN38/AH38-1),"NM",AN38/AH38-1)</f>
        <v>0.23819621147865311</v>
      </c>
      <c r="AO85" s="638">
        <f>IF(ISERROR(AO38/AI38-1),"NM",AO38/AI38-1)</f>
        <v>0.28603748100624804</v>
      </c>
      <c r="AP85" s="638">
        <f>IF(ISERROR(AP38/AJ38-1),"NM",AP38/AJ38-1)</f>
        <v>0.51247383411687997</v>
      </c>
      <c r="AQ85" s="639">
        <f>IF(ISERROR(AQ38/AK38-1),"NM",AQ38/AK38-1)</f>
        <v>0.31370206239801735</v>
      </c>
      <c r="AR85" s="181"/>
      <c r="AS85" s="638">
        <f>IF(ISERROR(AS38/AM38-1),"NM",AS38/AM38-1)</f>
        <v>0.84048977966551686</v>
      </c>
      <c r="AT85" s="638">
        <f>IF(ISERROR(AT38/AN38-1),"NM",AT38/AN38-1)</f>
        <v>0.45136431099440699</v>
      </c>
      <c r="AU85" s="638">
        <f>IF(ISERROR(AU38/AO38-1),"NM",AU38/AO38-1)</f>
        <v>0.21309667594391613</v>
      </c>
      <c r="AV85" s="638">
        <f>IF(ISERROR(AV38/AP38-1),"NM",AV38/AP38-1)</f>
        <v>-0.15761769710720253</v>
      </c>
      <c r="AW85" s="639">
        <f>IF(ISERROR(AW38/AQ38-1),"NM",AW38/AQ38-1)</f>
        <v>0.28718617010445668</v>
      </c>
      <c r="AX85" s="181"/>
      <c r="AY85" s="638">
        <f>IF(ISERROR(AY38/AS38-1),"NM",AY38/AS38-1)</f>
        <v>-0.6514558730731097</v>
      </c>
      <c r="AZ85" s="638">
        <f>IF(ISERROR(AZ38/AT38-1),"NM",AZ38/AT38-1)</f>
        <v>-0.41205506391347102</v>
      </c>
      <c r="BA85" s="638">
        <f>IF(ISERROR(BA38/AU38-1),"NM",BA38/AU38-1)</f>
        <v>-0.36667243842257879</v>
      </c>
      <c r="BB85" s="638">
        <f>IF(ISERROR(BB38/AV38-1),"NM",BB38/AV38-1)</f>
        <v>-0.2088470636990748</v>
      </c>
      <c r="BC85" s="639">
        <f>IF(ISERROR(BC38/AW38-1),"NM",BC38/AW38-1)</f>
        <v>-0.43123242785741345</v>
      </c>
      <c r="BD85" s="181"/>
      <c r="BE85" s="638">
        <f>IF(ISERROR(BE38/AY38-1),"NM",BE38/AY38-1)</f>
        <v>0.53793626301918107</v>
      </c>
      <c r="BF85" s="638">
        <f>IF(ISERROR(BF38/AZ38-1),"NM",BF38/AZ38-1)</f>
        <v>0.12015326046096053</v>
      </c>
      <c r="BG85" s="638">
        <f>IF(ISERROR(BG38/BA38-1),"NM",BG38/BA38-1)</f>
        <v>1.9036281144696687E-2</v>
      </c>
      <c r="BH85" s="638">
        <f>IF(ISERROR(BH38/BB38-1),"NM",BH38/BB38-1)</f>
        <v>-0.10124374238603051</v>
      </c>
      <c r="BI85" s="639">
        <f>IF(ISERROR(BI38/BC38-1),"NM",BI38/BC38-1)</f>
        <v>0.10730835297784291</v>
      </c>
      <c r="BJ85" s="181"/>
      <c r="BK85" s="638">
        <f>IF(ISERROR(BK38/BE38-1),"NM",BK38/BE38-1)</f>
        <v>-0.46163963965917243</v>
      </c>
      <c r="BL85" s="638">
        <f>IF(ISERROR(BL38/BF38-1),"NM",BL38/BF38-1)</f>
        <v>-0.47597012449420839</v>
      </c>
      <c r="BM85" s="638">
        <f>IF(ISERROR(BM38/BG38-1),"NM",BM38/BG38-1)</f>
        <v>-0.39261142368704505</v>
      </c>
      <c r="BN85" s="638">
        <f>IF(ISERROR(BN38/BH38-1),"NM",BN38/BH38-1)</f>
        <v>-0.22121422914872402</v>
      </c>
      <c r="BO85" s="639">
        <f>IF(ISERROR(BO38/BI38-1),"NM",BO38/BI38-1)</f>
        <v>-0.39528255695018699</v>
      </c>
      <c r="BP85" s="181"/>
      <c r="BQ85" s="638">
        <f>IF(ISERROR(BQ38/BK38-1),"NM",BQ38/BK38-1)</f>
        <v>0.13541238428375624</v>
      </c>
      <c r="BR85" s="638">
        <f>IF(ISERROR(BR38/BL38-1),"NM",BR38/BL38-1)</f>
        <v>0.26929949158582644</v>
      </c>
      <c r="BS85" s="638">
        <f>IF(ISERROR(BS38/BM38-1),"NM",BS38/BM38-1)</f>
        <v>0.11719700051644422</v>
      </c>
      <c r="BT85" s="638">
        <f>IF(ISERROR(BT38/BN38-1),"NM",BT38/BN38-1)</f>
        <v>6.8411261862266981E-2</v>
      </c>
      <c r="BU85" s="639">
        <f>IF(ISERROR(BU38/BO38-1),"NM",BU38/BO38-1)</f>
        <v>0.14430372709419603</v>
      </c>
      <c r="BV85" s="181"/>
      <c r="BW85" s="638">
        <f>IF(ISERROR(BW38/BQ38-1),"NM",BW38/BQ38-1)</f>
        <v>0.19844403577682801</v>
      </c>
      <c r="BX85" s="638">
        <f>IF(ISERROR(BX38/BR38-1),"NM",BX38/BR38-1)</f>
        <v>0.14409998595195717</v>
      </c>
      <c r="BY85" s="638">
        <f>IF(ISERROR(BY38/BS38-1),"NM",BY38/BS38-1)</f>
        <v>0.22427454834992222</v>
      </c>
      <c r="BZ85" s="638">
        <f>IF(ISERROR(BZ38/BT38-1),"NM",BZ38/BT38-1)</f>
        <v>0.24993208568910363</v>
      </c>
      <c r="CA85" s="639">
        <f>IF(ISERROR(CA38/BU38-1),"NM",CA38/BU38-1)</f>
        <v>0.2038055293378076</v>
      </c>
      <c r="CB85" s="181"/>
      <c r="CC85" s="638">
        <f>IF(ISERROR(CC38/BW38-1),"NM",CC38/BW38-1)</f>
        <v>0.1052872173855679</v>
      </c>
      <c r="CD85" s="638">
        <f>IF(ISERROR(CD38/BX38-1),"NM",CD38/BX38-1)</f>
        <v>0.10426519100787157</v>
      </c>
      <c r="CE85" s="638">
        <f>IF(ISERROR(CE38/BY38-1),"NM",CE38/BY38-1)</f>
        <v>9.3443932279695607E-2</v>
      </c>
      <c r="CF85" s="638">
        <f>IF(ISERROR(CF38/BZ38-1),"NM",CF38/BZ38-1)</f>
        <v>8.3441961188493341E-2</v>
      </c>
      <c r="CG85" s="639">
        <f>IF(ISERROR(CG38/CA38-1),"NM",CG38/CA38-1)</f>
        <v>9.6048224455866471E-2</v>
      </c>
      <c r="CH85" s="181"/>
      <c r="CI85" s="638">
        <f t="shared" ref="CI85:CM85" si="265">IF(ISERROR(CI38/CC38-1),"NM",CI38/CC38-1)</f>
        <v>4.451566175714583E-2</v>
      </c>
      <c r="CJ85" s="638">
        <f t="shared" si="265"/>
        <v>3.3292108626492345E-2</v>
      </c>
      <c r="CK85" s="638">
        <f t="shared" si="265"/>
        <v>1.6410643991274121E-2</v>
      </c>
      <c r="CL85" s="638">
        <f t="shared" si="265"/>
        <v>6.1105291845537923E-3</v>
      </c>
      <c r="CM85" s="639">
        <f t="shared" si="265"/>
        <v>2.4161800721010263E-2</v>
      </c>
      <c r="CN85" s="181"/>
      <c r="CO85" s="638">
        <f t="shared" ref="CO85:CS85" si="266">IF(ISERROR(CO38/CI38-1),"NM",CO38/CI38-1)</f>
        <v>7.4230406340213273E-2</v>
      </c>
      <c r="CP85" s="638">
        <f t="shared" si="266"/>
        <v>8.1637599204155364E-2</v>
      </c>
      <c r="CQ85" s="638">
        <f t="shared" si="266"/>
        <v>7.5874951573606575E-2</v>
      </c>
      <c r="CR85" s="638">
        <f t="shared" si="266"/>
        <v>7.5717166665129731E-2</v>
      </c>
      <c r="CS85" s="639">
        <f t="shared" si="266"/>
        <v>7.6962837899314129E-2</v>
      </c>
      <c r="CT85" s="467"/>
      <c r="DA85" s="43"/>
      <c r="DB85" s="43"/>
      <c r="DC85" s="43"/>
      <c r="DD85" s="43"/>
    </row>
    <row r="86" spans="1:114" x14ac:dyDescent="0.2">
      <c r="A86" s="43"/>
      <c r="B86" s="90" t="s">
        <v>226</v>
      </c>
      <c r="C86" s="43"/>
      <c r="D86" s="31"/>
      <c r="E86" s="31"/>
      <c r="F86" s="31"/>
      <c r="G86" s="327"/>
      <c r="H86" s="181"/>
      <c r="I86" s="638">
        <f>IF(ISERROR(I46/C46-1),"NM",I46/C46-1)</f>
        <v>-0.41337281862308639</v>
      </c>
      <c r="J86" s="638">
        <f>IF(ISERROR(J46/D46-1),"NM",J46/D46-1)</f>
        <v>-0.47993629633232437</v>
      </c>
      <c r="K86" s="638">
        <f>IF(ISERROR(K46/E46-1),"NM",K46/E46-1)</f>
        <v>-0.27165859702421447</v>
      </c>
      <c r="L86" s="667">
        <f>IF(ISERROR(L46/F46-1),"NM",L46/F46-1)</f>
        <v>-3.5356799836536803</v>
      </c>
      <c r="M86" s="666">
        <f>IF(ISERROR(M46/G46-1),"NM",M46/G46-1)</f>
        <v>-1.0954676665394985</v>
      </c>
      <c r="N86" s="181"/>
      <c r="O86" s="667">
        <f>IF(ISERROR(O46/I46-1),"NM",O46/I46-1)</f>
        <v>-3.7657895540364277</v>
      </c>
      <c r="P86" s="667">
        <f>IF(ISERROR(P46/J46-1),"NM",P46/J46-1)</f>
        <v>-7.5463243476867206</v>
      </c>
      <c r="Q86" s="667">
        <f>IF(ISERROR(Q46/K46-1),"NM",Q46/K46-1)</f>
        <v>-8.3756224878925174</v>
      </c>
      <c r="R86" s="638">
        <f>IF(ISERROR(R46/L46-1),"NM",R46/L46-1)</f>
        <v>0.60096099066604292</v>
      </c>
      <c r="S86" s="666">
        <f>IF(ISERROR(S46/M46-1),"NM",S46/M46-1)</f>
        <v>33.004372316581637</v>
      </c>
      <c r="T86" s="181"/>
      <c r="U86" s="638">
        <f>IF(ISERROR(U46/O46-1),"NM",U46/O46-1)</f>
        <v>0.20511311071592564</v>
      </c>
      <c r="V86" s="638">
        <f>IF(ISERROR(V46/P46-1),"NM",V46/P46-1)</f>
        <v>-5.450099482221249E-2</v>
      </c>
      <c r="W86" s="638">
        <f>IF(ISERROR(W46/Q46-1),"NM",W46/Q46-1)</f>
        <v>-0.13177640792942458</v>
      </c>
      <c r="X86" s="638">
        <f>IF(ISERROR(X46/R46-1),"NM",X46/R46-1)</f>
        <v>0.47944472239400482</v>
      </c>
      <c r="Y86" s="643">
        <f>IF(ISERROR(Y46/S46-1),"NM",Y46/S46-1)</f>
        <v>0.11126002700205739</v>
      </c>
      <c r="Z86" s="181"/>
      <c r="AA86" s="638">
        <f>IF(ISERROR(AA46/U46-1),"NM",AA46/U46-1)</f>
        <v>-0.22245688700840782</v>
      </c>
      <c r="AB86" s="638">
        <f>IF(ISERROR(AB46/V46-1),"NM",AB46/V46-1)</f>
        <v>-0.27362657652785904</v>
      </c>
      <c r="AC86" s="638">
        <f>IF(ISERROR(AC46/W46-1),"NM",AC46/W46-1)</f>
        <v>-7.0715565401650027E-2</v>
      </c>
      <c r="AD86" s="638">
        <f>IF(ISERROR(AD46/X46-1),"NM",AD46/X46-1)</f>
        <v>-0.45435059613415885</v>
      </c>
      <c r="AE86" s="643">
        <f>IF(ISERROR(AE46/Y46-1),"NM",AE46/Y46-1)</f>
        <v>-0.28504725587455904</v>
      </c>
      <c r="AF86" s="181"/>
      <c r="AG86" s="638">
        <f>IF(ISERROR(AG46/AA46-1),"NM",AG46/AA46-1)</f>
        <v>0.2121127117812609</v>
      </c>
      <c r="AH86" s="638">
        <f>IF(ISERROR(AH46/AB46-1),"NM",AH46/AB46-1)</f>
        <v>0.27028646897640041</v>
      </c>
      <c r="AI86" s="638">
        <f>IF(ISERROR(AI46/AC46-1),"NM",AI46/AC46-1)</f>
        <v>0.10487964623532631</v>
      </c>
      <c r="AJ86" s="638">
        <f>IF(ISERROR(AJ46/AD46-1),"NM",AJ46/AD46-1)</f>
        <v>0.14158646999203617</v>
      </c>
      <c r="AK86" s="643">
        <f>IF(ISERROR(AK46/AE46-1),"NM",AK46/AE46-1)</f>
        <v>0.18107774981520608</v>
      </c>
      <c r="AL86" s="181"/>
      <c r="AM86" s="638">
        <f>IF(ISERROR(AM46/AG46-1),"NM",AM46/AG46-1)</f>
        <v>0.24537079939899709</v>
      </c>
      <c r="AN86" s="638">
        <f>IF(ISERROR(AN46/AH46-1),"NM",AN46/AH46-1)</f>
        <v>0.26746079667635025</v>
      </c>
      <c r="AO86" s="638">
        <f>IF(ISERROR(AO46/AI46-1),"NM",AO46/AI46-1)</f>
        <v>0.34887755880780036</v>
      </c>
      <c r="AP86" s="638">
        <f>IF(ISERROR(AP46/AJ46-1),"NM",AP46/AJ46-1)</f>
        <v>0.57989906439418926</v>
      </c>
      <c r="AQ86" s="643">
        <f>IF(ISERROR(AQ46/AK46-1),"NM",AQ46/AK46-1)</f>
        <v>0.3631745871715597</v>
      </c>
      <c r="AR86" s="181"/>
      <c r="AS86" s="638">
        <f>IF(ISERROR(AS46/AM46-1),"NM",AS46/AM46-1)</f>
        <v>0.88810067936688153</v>
      </c>
      <c r="AT86" s="638">
        <f>IF(ISERROR(AT46/AN46-1),"NM",AT46/AN46-1)</f>
        <v>0.59144717940994229</v>
      </c>
      <c r="AU86" s="638">
        <f>IF(ISERROR(AU46/AO46-1),"NM",AU46/AO46-1)</f>
        <v>0.30935149900176473</v>
      </c>
      <c r="AV86" s="638">
        <f>IF(ISERROR(AV46/AP46-1),"NM",AV46/AP46-1)</f>
        <v>-0.10381792619843599</v>
      </c>
      <c r="AW86" s="643">
        <f>IF(ISERROR(AW46/AQ46-1),"NM",AW46/AQ46-1)</f>
        <v>0.37189330020073763</v>
      </c>
      <c r="AX86" s="181"/>
      <c r="AY86" s="638">
        <f>IF(ISERROR(AY46/AS46-1),"NM",AY46/AS46-1)</f>
        <v>-0.62528963942951687</v>
      </c>
      <c r="AZ86" s="638">
        <f>IF(ISERROR(AZ46/AT46-1),"NM",AZ46/AT46-1)</f>
        <v>-0.40095131742486712</v>
      </c>
      <c r="BA86" s="638">
        <f>IF(ISERROR(BA46/AU46-1),"NM",BA46/AU46-1)</f>
        <v>-0.34520428877874698</v>
      </c>
      <c r="BB86" s="638">
        <f>IF(ISERROR(BB46/AV46-1),"NM",BB46/AV46-1)</f>
        <v>-0.15117157754166766</v>
      </c>
      <c r="BC86" s="643">
        <f>IF(ISERROR(BC46/AW46-1),"NM",BC46/AW46-1)</f>
        <v>-0.40312233120467522</v>
      </c>
      <c r="BD86" s="181"/>
      <c r="BE86" s="638">
        <f>IF(ISERROR(BE46/AY46-1),"NM",BE46/AY46-1)</f>
        <v>0.62296003478609441</v>
      </c>
      <c r="BF86" s="638">
        <f>IF(ISERROR(BF46/AZ46-1),"NM",BF46/AZ46-1)</f>
        <v>0.14445360422787101</v>
      </c>
      <c r="BG86" s="638">
        <f>IF(ISERROR(BG46/BA46-1),"NM",BG46/BA46-1)</f>
        <v>2.4166123648418525E-2</v>
      </c>
      <c r="BH86" s="638">
        <f>IF(ISERROR(BH46/BB46-1),"NM",BH46/BB46-1)</f>
        <v>-0.10124374238603051</v>
      </c>
      <c r="BI86" s="643">
        <f>IF(ISERROR(BI46/BC46-1),"NM",BI46/BC46-1)</f>
        <v>0.12390289232764706</v>
      </c>
      <c r="BJ86" s="181"/>
      <c r="BK86" s="638">
        <f>IF(ISERROR(BK46/BE46-1),"NM",BK46/BE46-1)</f>
        <v>-0.44149953984786094</v>
      </c>
      <c r="BL86" s="638">
        <f>IF(ISERROR(BL46/BF46-1),"NM",BL46/BF46-1)</f>
        <v>-0.43377152544176545</v>
      </c>
      <c r="BM86" s="638">
        <f>IF(ISERROR(BM46/BG46-1),"NM",BM46/BG46-1)</f>
        <v>-0.34636807673496062</v>
      </c>
      <c r="BN86" s="638">
        <f>IF(ISERROR(BN46/BH46-1),"NM",BN46/BH46-1)</f>
        <v>-0.18165326836527751</v>
      </c>
      <c r="BO86" s="643">
        <f>IF(ISERROR(BO46/BI46-1),"NM",BO46/BI46-1)</f>
        <v>-0.35438166807481775</v>
      </c>
      <c r="BP86" s="181"/>
      <c r="BQ86" s="638">
        <f>IF(ISERROR(BQ46/BK46-1),"NM",BQ46/BK46-1)</f>
        <v>0.12089716914376503</v>
      </c>
      <c r="BR86" s="638">
        <f>IF(ISERROR(BR46/BL46-1),"NM",BR46/BL46-1)</f>
        <v>0.20574624861351798</v>
      </c>
      <c r="BS86" s="638">
        <f>IF(ISERROR(BS46/BM46-1),"NM",BS46/BM46-1)</f>
        <v>5.841869771833319E-2</v>
      </c>
      <c r="BT86" s="638">
        <f>IF(ISERROR(BT46/BN46-1),"NM",BT46/BN46-1)</f>
        <v>1.850066436584874E-2</v>
      </c>
      <c r="BU86" s="643">
        <f>IF(ISERROR(BU46/BO46-1),"NM",BU46/BO46-1)</f>
        <v>9.7722942665583679E-2</v>
      </c>
      <c r="BV86" s="181"/>
      <c r="BW86" s="638">
        <f>IF(ISERROR(BW46/BQ46-1),"NM",BW46/BQ46-1)</f>
        <v>0.17072696997712966</v>
      </c>
      <c r="BX86" s="638">
        <f>IF(ISERROR(BX46/BR46-1),"NM",BX46/BR46-1)</f>
        <v>0.15258409730009226</v>
      </c>
      <c r="BY86" s="638">
        <f>IF(ISERROR(BY46/BS46-1),"NM",BY46/BS46-1)</f>
        <v>0.25057916326268881</v>
      </c>
      <c r="BZ86" s="638">
        <f>IF(ISERROR(BZ46/BT46-1),"NM",BZ46/BT46-1)</f>
        <v>0.29468972987610931</v>
      </c>
      <c r="CA86" s="643">
        <f>IF(ISERROR(CA46/BU46-1),"NM",CA46/BU46-1)</f>
        <v>0.21601162185455336</v>
      </c>
      <c r="CB86" s="181"/>
      <c r="CC86" s="638">
        <f>IF(ISERROR(CC46/BW46-1),"NM",CC46/BW46-1)</f>
        <v>0.15268897475544918</v>
      </c>
      <c r="CD86" s="638">
        <f>IF(ISERROR(CD46/BX46-1),"NM",CD46/BX46-1)</f>
        <v>0.15108300352860082</v>
      </c>
      <c r="CE86" s="638">
        <f>IF(ISERROR(CE46/BY46-1),"NM",CE46/BY46-1)</f>
        <v>0.13917322739632931</v>
      </c>
      <c r="CF86" s="638">
        <f>IF(ISERROR(CF46/BZ46-1),"NM",CF46/BZ46-1)</f>
        <v>0.12811035598505383</v>
      </c>
      <c r="CG86" s="643">
        <f>IF(ISERROR(CG46/CA46-1),"NM",CG46/CA46-1)</f>
        <v>0.14218136817475435</v>
      </c>
      <c r="CH86" s="181"/>
      <c r="CI86" s="638">
        <f t="shared" ref="CI86:CM86" si="267">IF(ISERROR(CI46/CC46-1),"NM",CI46/CC46-1)</f>
        <v>8.296785085731373E-2</v>
      </c>
      <c r="CJ86" s="638">
        <f t="shared" si="267"/>
        <v>6.1482666522710616E-2</v>
      </c>
      <c r="CK86" s="638">
        <f t="shared" si="267"/>
        <v>3.3092843531067118E-2</v>
      </c>
      <c r="CL86" s="638">
        <f t="shared" si="267"/>
        <v>1.162520421525115E-2</v>
      </c>
      <c r="CM86" s="643">
        <f t="shared" si="267"/>
        <v>4.6178648664985333E-2</v>
      </c>
      <c r="CN86" s="181"/>
      <c r="CO86" s="638">
        <f t="shared" ref="CO86:CS86" si="268">IF(ISERROR(CO46/CI46-1),"NM",CO46/CI46-1)</f>
        <v>7.4230406340213273E-2</v>
      </c>
      <c r="CP86" s="638">
        <f t="shared" si="268"/>
        <v>8.1637599204155364E-2</v>
      </c>
      <c r="CQ86" s="638">
        <f t="shared" si="268"/>
        <v>7.5874951573606575E-2</v>
      </c>
      <c r="CR86" s="638">
        <f t="shared" si="268"/>
        <v>7.5717166665129509E-2</v>
      </c>
      <c r="CS86" s="643">
        <f t="shared" si="268"/>
        <v>7.6962837899314129E-2</v>
      </c>
      <c r="CT86" s="467"/>
      <c r="DA86" s="43"/>
      <c r="DB86" s="43"/>
      <c r="DC86" s="43"/>
      <c r="DD86" s="43"/>
    </row>
    <row r="87" spans="1:114" x14ac:dyDescent="0.2">
      <c r="A87" s="43"/>
      <c r="B87" s="43"/>
      <c r="C87" s="43"/>
      <c r="D87" s="31"/>
      <c r="E87" s="31"/>
      <c r="F87" s="31"/>
      <c r="G87" s="93"/>
      <c r="H87" s="179"/>
      <c r="I87" s="31"/>
      <c r="J87" s="31"/>
      <c r="K87" s="31"/>
      <c r="L87" s="31"/>
      <c r="M87" s="93"/>
      <c r="N87" s="179"/>
      <c r="O87" s="43"/>
      <c r="P87" s="43"/>
      <c r="Q87" s="43"/>
      <c r="R87" s="43"/>
      <c r="S87" s="93"/>
      <c r="T87" s="179"/>
      <c r="U87" s="43"/>
      <c r="V87" s="43"/>
      <c r="W87" s="43"/>
      <c r="X87" s="43"/>
      <c r="Y87" s="93"/>
      <c r="Z87" s="179"/>
      <c r="AA87" s="43"/>
      <c r="AB87" s="43"/>
      <c r="AC87" s="43"/>
      <c r="AD87" s="43"/>
      <c r="AE87" s="93"/>
      <c r="AF87" s="179"/>
      <c r="AG87" s="43"/>
      <c r="AH87" s="43"/>
      <c r="AI87" s="43"/>
      <c r="AJ87" s="43"/>
      <c r="AK87" s="93"/>
      <c r="AL87" s="179"/>
      <c r="AM87" s="43"/>
      <c r="AN87" s="43"/>
      <c r="AO87" s="43"/>
      <c r="AP87" s="43"/>
      <c r="AQ87" s="93"/>
      <c r="AR87" s="179"/>
      <c r="AS87" s="43"/>
      <c r="AT87" s="43"/>
      <c r="AU87" s="43"/>
      <c r="AV87" s="43"/>
      <c r="AW87" s="93"/>
      <c r="AX87" s="179"/>
      <c r="AY87" s="43"/>
      <c r="AZ87" s="43"/>
      <c r="BA87" s="43"/>
      <c r="BB87" s="43"/>
      <c r="BC87" s="93"/>
      <c r="BD87" s="179"/>
      <c r="BE87" s="43"/>
      <c r="BF87" s="43"/>
      <c r="BG87" s="43"/>
      <c r="BH87" s="43"/>
      <c r="BI87" s="93"/>
      <c r="BJ87" s="179"/>
      <c r="BK87" s="43"/>
      <c r="BL87" s="43"/>
      <c r="BM87" s="43"/>
      <c r="BN87" s="43"/>
      <c r="BO87" s="93"/>
      <c r="BP87" s="179"/>
      <c r="BQ87" s="43"/>
      <c r="BR87" s="43"/>
      <c r="BS87" s="43"/>
      <c r="BT87" s="43"/>
      <c r="BU87" s="93"/>
      <c r="BV87" s="179"/>
      <c r="BW87" s="43"/>
      <c r="BX87" s="43"/>
      <c r="BY87" s="43"/>
      <c r="BZ87" s="43"/>
      <c r="CA87" s="93"/>
      <c r="CB87" s="179"/>
      <c r="CC87" s="43"/>
      <c r="CD87" s="43"/>
      <c r="CE87" s="43"/>
      <c r="CF87" s="43"/>
      <c r="CG87" s="93"/>
      <c r="CH87" s="179"/>
      <c r="CI87" s="43"/>
      <c r="CJ87" s="43"/>
      <c r="CK87" s="43"/>
      <c r="CL87" s="43"/>
      <c r="CM87" s="93"/>
      <c r="CN87" s="179"/>
      <c r="CO87" s="43"/>
      <c r="CP87" s="43"/>
      <c r="CQ87" s="43"/>
      <c r="CR87" s="43"/>
      <c r="CS87" s="93"/>
      <c r="CT87" s="31"/>
      <c r="DA87" s="43"/>
      <c r="DB87" s="43"/>
      <c r="DC87" s="43"/>
      <c r="DD87" s="43"/>
    </row>
    <row r="88" spans="1:114" x14ac:dyDescent="0.2">
      <c r="A88" s="43"/>
      <c r="B88" s="114" t="s">
        <v>71</v>
      </c>
      <c r="C88" s="43"/>
      <c r="D88" s="31"/>
      <c r="E88" s="31"/>
      <c r="F88" s="31"/>
      <c r="G88" s="93"/>
      <c r="H88" s="179"/>
      <c r="I88" s="31"/>
      <c r="J88" s="31"/>
      <c r="K88" s="31"/>
      <c r="L88" s="31"/>
      <c r="M88" s="93"/>
      <c r="N88" s="179"/>
      <c r="O88" s="43"/>
      <c r="P88" s="43"/>
      <c r="Q88" s="43"/>
      <c r="R88" s="43"/>
      <c r="S88" s="93"/>
      <c r="T88" s="179"/>
      <c r="U88" s="43"/>
      <c r="V88" s="43"/>
      <c r="W88" s="43"/>
      <c r="X88" s="43"/>
      <c r="Y88" s="93"/>
      <c r="Z88" s="179"/>
      <c r="AA88" s="43"/>
      <c r="AB88" s="43"/>
      <c r="AC88" s="43"/>
      <c r="AD88" s="43"/>
      <c r="AE88" s="93"/>
      <c r="AF88" s="179"/>
      <c r="AG88" s="43"/>
      <c r="AH88" s="43"/>
      <c r="AI88" s="43"/>
      <c r="AJ88" s="43"/>
      <c r="AK88" s="93"/>
      <c r="AL88" s="179"/>
      <c r="AM88" s="43"/>
      <c r="AN88" s="43"/>
      <c r="AO88" s="43"/>
      <c r="AP88" s="43"/>
      <c r="AQ88" s="93"/>
      <c r="AR88" s="179"/>
      <c r="AS88" s="43"/>
      <c r="AT88" s="43"/>
      <c r="AU88" s="43"/>
      <c r="AV88" s="43"/>
      <c r="AW88" s="93"/>
      <c r="AX88" s="179"/>
      <c r="AY88" s="43"/>
      <c r="AZ88" s="43"/>
      <c r="BA88" s="43"/>
      <c r="BB88" s="43"/>
      <c r="BC88" s="93"/>
      <c r="BD88" s="179"/>
      <c r="BE88" s="43"/>
      <c r="BF88" s="43"/>
      <c r="BG88" s="43"/>
      <c r="BH88" s="43"/>
      <c r="BI88" s="93"/>
      <c r="BJ88" s="179"/>
      <c r="BK88" s="43"/>
      <c r="BL88" s="43"/>
      <c r="BM88" s="43"/>
      <c r="BN88" s="43"/>
      <c r="BO88" s="93"/>
      <c r="BP88" s="179"/>
      <c r="BQ88" s="43"/>
      <c r="BR88" s="43"/>
      <c r="BS88" s="43"/>
      <c r="BT88" s="43"/>
      <c r="BU88" s="93"/>
      <c r="BV88" s="179"/>
      <c r="BW88" s="43"/>
      <c r="BX88" s="43"/>
      <c r="BY88" s="43"/>
      <c r="BZ88" s="43"/>
      <c r="CA88" s="93"/>
      <c r="CB88" s="179"/>
      <c r="CC88" s="43"/>
      <c r="CD88" s="43"/>
      <c r="CE88" s="43"/>
      <c r="CF88" s="43"/>
      <c r="CG88" s="93"/>
      <c r="CH88" s="179"/>
      <c r="CI88" s="43"/>
      <c r="CJ88" s="43"/>
      <c r="CK88" s="43"/>
      <c r="CL88" s="43"/>
      <c r="CM88" s="93"/>
      <c r="CN88" s="179"/>
      <c r="CO88" s="43"/>
      <c r="CP88" s="43"/>
      <c r="CQ88" s="43"/>
      <c r="CR88" s="43"/>
      <c r="CS88" s="93"/>
      <c r="CT88" s="31"/>
      <c r="DA88" s="43"/>
      <c r="DB88" s="43"/>
      <c r="DC88" s="43"/>
      <c r="DD88" s="43"/>
    </row>
    <row r="89" spans="1:114" ht="12.75" hidden="1" customHeight="1" outlineLevel="1" x14ac:dyDescent="0.2">
      <c r="A89" s="250"/>
      <c r="B89" s="47" t="s">
        <v>273</v>
      </c>
      <c r="C89" s="42">
        <v>0</v>
      </c>
      <c r="D89" s="42">
        <v>0</v>
      </c>
      <c r="E89" s="42">
        <v>0</v>
      </c>
      <c r="F89" s="42">
        <v>0</v>
      </c>
      <c r="G89" s="91">
        <f>+SUM(C89:F89)</f>
        <v>0</v>
      </c>
      <c r="H89" s="277"/>
      <c r="I89" s="42">
        <v>0</v>
      </c>
      <c r="J89" s="42">
        <v>0</v>
      </c>
      <c r="K89" s="42">
        <v>0</v>
      </c>
      <c r="L89" s="42">
        <v>0</v>
      </c>
      <c r="M89" s="91">
        <f>+SUM(I89:L89)</f>
        <v>0</v>
      </c>
      <c r="N89" s="277"/>
      <c r="O89" s="42">
        <v>-10.077</v>
      </c>
      <c r="P89" s="42">
        <v>-15.551</v>
      </c>
      <c r="Q89" s="42">
        <v>-12.949</v>
      </c>
      <c r="R89" s="42">
        <v>-13.061999999999999</v>
      </c>
      <c r="S89" s="91">
        <f>+SUM(O89:R89)</f>
        <v>-51.638999999999996</v>
      </c>
      <c r="T89" s="277"/>
      <c r="U89" s="42">
        <v>0</v>
      </c>
      <c r="V89" s="42">
        <v>0</v>
      </c>
      <c r="W89" s="42">
        <v>0</v>
      </c>
      <c r="X89" s="42">
        <v>0</v>
      </c>
      <c r="Y89" s="91">
        <f>+SUM(U89:X89)</f>
        <v>0</v>
      </c>
      <c r="Z89" s="277"/>
      <c r="AA89" s="42">
        <v>0</v>
      </c>
      <c r="AB89" s="42">
        <v>0</v>
      </c>
      <c r="AC89" s="42">
        <v>0</v>
      </c>
      <c r="AD89" s="42">
        <v>0</v>
      </c>
      <c r="AE89" s="91">
        <f>+SUM(AA89:AD89)</f>
        <v>0</v>
      </c>
      <c r="AF89" s="103"/>
      <c r="AG89" s="42">
        <v>0</v>
      </c>
      <c r="AH89" s="42">
        <v>0</v>
      </c>
      <c r="AI89" s="42">
        <v>0</v>
      </c>
      <c r="AJ89" s="42">
        <v>0</v>
      </c>
      <c r="AK89" s="91">
        <f>+SUM(AG89:AJ89)</f>
        <v>0</v>
      </c>
      <c r="AL89" s="42"/>
      <c r="AM89" s="42">
        <v>0</v>
      </c>
      <c r="AN89" s="42">
        <v>0</v>
      </c>
      <c r="AO89" s="42">
        <v>0</v>
      </c>
      <c r="AP89" s="42">
        <v>0</v>
      </c>
      <c r="AQ89" s="91">
        <f>+SUM(AM89:AP89)</f>
        <v>0</v>
      </c>
      <c r="AR89" s="42"/>
      <c r="AS89" s="42">
        <v>0</v>
      </c>
      <c r="AT89" s="42">
        <v>0</v>
      </c>
      <c r="AU89" s="42">
        <v>0</v>
      </c>
      <c r="AV89" s="42">
        <v>-0.80400000000000005</v>
      </c>
      <c r="AW89" s="91">
        <f>+SUM(AS89:AV89)</f>
        <v>-0.80400000000000005</v>
      </c>
      <c r="AX89" s="42"/>
      <c r="AY89" s="42">
        <v>0</v>
      </c>
      <c r="AZ89" s="42">
        <v>0</v>
      </c>
      <c r="BA89" s="42">
        <v>0</v>
      </c>
      <c r="BB89" s="42">
        <v>0</v>
      </c>
      <c r="BC89" s="91">
        <f>+SUM(AY89:BB89)</f>
        <v>0</v>
      </c>
      <c r="BD89" s="42"/>
      <c r="BE89" s="42">
        <v>0</v>
      </c>
      <c r="BF89" s="42">
        <v>0</v>
      </c>
      <c r="BG89" s="42">
        <v>0</v>
      </c>
      <c r="BH89" s="42">
        <v>0</v>
      </c>
      <c r="BI89" s="91">
        <f>+SUM(BE89:BH89)</f>
        <v>0</v>
      </c>
      <c r="BJ89" s="42"/>
      <c r="BK89" s="42">
        <v>0</v>
      </c>
      <c r="BL89" s="42">
        <v>0</v>
      </c>
      <c r="BM89" s="42">
        <v>0</v>
      </c>
      <c r="BN89" s="42">
        <v>0</v>
      </c>
      <c r="BO89" s="91">
        <f>+SUM(BK89:BN89)</f>
        <v>0</v>
      </c>
      <c r="BP89" s="42"/>
      <c r="BQ89" s="42">
        <v>0</v>
      </c>
      <c r="BR89" s="42">
        <v>0</v>
      </c>
      <c r="BS89" s="42">
        <v>0</v>
      </c>
      <c r="BT89" s="42">
        <v>0</v>
      </c>
      <c r="BU89" s="91">
        <f>+SUM(BQ89:BT89)</f>
        <v>0</v>
      </c>
      <c r="BV89" s="42"/>
      <c r="BW89" s="42">
        <v>0</v>
      </c>
      <c r="BX89" s="42">
        <v>0</v>
      </c>
      <c r="BY89" s="42">
        <v>0</v>
      </c>
      <c r="BZ89" s="42">
        <v>0</v>
      </c>
      <c r="CA89" s="91">
        <f>+SUM(BW89:BZ89)</f>
        <v>0</v>
      </c>
      <c r="CB89" s="42"/>
      <c r="CC89" s="42">
        <v>0</v>
      </c>
      <c r="CD89" s="42">
        <v>0</v>
      </c>
      <c r="CE89" s="42">
        <v>0</v>
      </c>
      <c r="CF89" s="42">
        <v>0</v>
      </c>
      <c r="CG89" s="91">
        <f>+SUM(CC89:CF89)</f>
        <v>0</v>
      </c>
      <c r="CH89" s="42"/>
      <c r="CI89" s="42">
        <v>0</v>
      </c>
      <c r="CJ89" s="42">
        <v>0</v>
      </c>
      <c r="CK89" s="42">
        <v>0</v>
      </c>
      <c r="CL89" s="42">
        <v>0</v>
      </c>
      <c r="CM89" s="91">
        <f>+SUM(CI89:CL89)</f>
        <v>0</v>
      </c>
      <c r="CN89" s="42"/>
      <c r="CO89" s="42">
        <v>0</v>
      </c>
      <c r="CP89" s="42">
        <v>0</v>
      </c>
      <c r="CQ89" s="42">
        <v>0</v>
      </c>
      <c r="CR89" s="42">
        <v>0</v>
      </c>
      <c r="CS89" s="91">
        <f>+SUM(CO89:CR89)</f>
        <v>0</v>
      </c>
      <c r="CT89" s="37"/>
      <c r="DA89" s="250"/>
      <c r="DB89" s="250"/>
      <c r="DC89" s="250"/>
      <c r="DD89" s="250"/>
    </row>
    <row r="90" spans="1:114" ht="12.75" hidden="1" customHeight="1" outlineLevel="1" x14ac:dyDescent="0.2">
      <c r="A90" s="250"/>
      <c r="B90" s="47" t="s">
        <v>85</v>
      </c>
      <c r="C90" s="42">
        <v>0</v>
      </c>
      <c r="D90" s="42">
        <v>0</v>
      </c>
      <c r="E90" s="42">
        <v>0</v>
      </c>
      <c r="F90" s="42">
        <v>0</v>
      </c>
      <c r="G90" s="91">
        <f>+SUM(C90:F90)</f>
        <v>0</v>
      </c>
      <c r="H90" s="277"/>
      <c r="I90" s="42">
        <v>0</v>
      </c>
      <c r="J90" s="42">
        <v>0</v>
      </c>
      <c r="K90" s="42">
        <v>0</v>
      </c>
      <c r="L90" s="42">
        <v>0</v>
      </c>
      <c r="M90" s="91">
        <f>+SUM(I90:L90)</f>
        <v>0</v>
      </c>
      <c r="N90" s="277"/>
      <c r="O90" s="42">
        <v>0</v>
      </c>
      <c r="P90" s="42">
        <v>0</v>
      </c>
      <c r="Q90" s="42">
        <v>0</v>
      </c>
      <c r="R90" s="42">
        <v>0</v>
      </c>
      <c r="S90" s="91">
        <f>+SUM(O90:R90)</f>
        <v>0</v>
      </c>
      <c r="T90" s="277"/>
      <c r="U90" s="42">
        <v>0</v>
      </c>
      <c r="V90" s="42">
        <v>0</v>
      </c>
      <c r="W90" s="42">
        <v>0</v>
      </c>
      <c r="X90" s="42">
        <v>0</v>
      </c>
      <c r="Y90" s="91">
        <f>+SUM(U90:X90)</f>
        <v>0</v>
      </c>
      <c r="Z90" s="277"/>
      <c r="AA90" s="42">
        <v>0</v>
      </c>
      <c r="AB90" s="42">
        <v>0</v>
      </c>
      <c r="AC90" s="42">
        <v>0</v>
      </c>
      <c r="AD90" s="42">
        <v>0</v>
      </c>
      <c r="AE90" s="91">
        <f>+SUM(AA90:AD90)</f>
        <v>0</v>
      </c>
      <c r="AF90" s="103"/>
      <c r="AG90" s="42">
        <v>0</v>
      </c>
      <c r="AH90" s="42">
        <v>0</v>
      </c>
      <c r="AI90" s="42">
        <v>0</v>
      </c>
      <c r="AJ90" s="42">
        <v>0</v>
      </c>
      <c r="AK90" s="91">
        <f>+SUM(AG90:AJ90)</f>
        <v>0</v>
      </c>
      <c r="AL90" s="42"/>
      <c r="AM90" s="42">
        <v>0</v>
      </c>
      <c r="AN90" s="42">
        <v>0</v>
      </c>
      <c r="AO90" s="42">
        <v>-0.19400000000000001</v>
      </c>
      <c r="AP90" s="42">
        <v>0</v>
      </c>
      <c r="AQ90" s="91">
        <f>+SUM(AM90:AP90)</f>
        <v>-0.19400000000000001</v>
      </c>
      <c r="AR90" s="42"/>
      <c r="AS90" s="42">
        <v>0</v>
      </c>
      <c r="AT90" s="418">
        <f>-(0.313-0.078-0.078)-(4.306-2.906-1.067)</f>
        <v>-0.48999999999999994</v>
      </c>
      <c r="AU90" s="42">
        <f>-5.695-6.929-1.145+4.337</f>
        <v>-9.4320000000000004</v>
      </c>
      <c r="AV90" s="42">
        <f>-2.984+0.289</f>
        <v>-2.6949999999999998</v>
      </c>
      <c r="AW90" s="91">
        <f>+SUM(AS90:AV90)</f>
        <v>-12.617000000000001</v>
      </c>
      <c r="AX90" s="42"/>
      <c r="AY90" s="42">
        <f>-3.272-0.078</f>
        <v>-3.3499999999999996</v>
      </c>
      <c r="AZ90" s="42">
        <f>-3.057-4.312+1.581-0.078</f>
        <v>-5.8660000000000005</v>
      </c>
      <c r="BA90" s="42">
        <f>-0.078-0.398-0.178-3.057-6.788+2.713</f>
        <v>-7.7860000000000005</v>
      </c>
      <c r="BB90" s="42">
        <f>-8.3-3.2-0.8-2.1+3.7</f>
        <v>-10.7</v>
      </c>
      <c r="BC90" s="91">
        <f>+SUM(AY90:BB90)</f>
        <v>-27.702000000000002</v>
      </c>
      <c r="BD90" s="42"/>
      <c r="BE90" s="42">
        <f>-(86.5-83.4)</f>
        <v>-3.0999999999999943</v>
      </c>
      <c r="BF90" s="42">
        <v>-3.2</v>
      </c>
      <c r="BG90" s="42">
        <f>-3.2+6</f>
        <v>2.8</v>
      </c>
      <c r="BH90" s="42">
        <v>-4.0999999999999996</v>
      </c>
      <c r="BI90" s="91">
        <f>+SUM(BE90:BH90)</f>
        <v>-7.5999999999999943</v>
      </c>
      <c r="BJ90" s="42"/>
      <c r="BK90" s="42">
        <v>-17.2</v>
      </c>
      <c r="BL90" s="418">
        <v>-11.6</v>
      </c>
      <c r="BM90" s="418">
        <v>-13.9</v>
      </c>
      <c r="BN90" s="418">
        <v>-8</v>
      </c>
      <c r="BO90" s="91">
        <f>+SUM(BK90:BN90)</f>
        <v>-50.699999999999996</v>
      </c>
      <c r="BP90" s="42"/>
      <c r="BQ90" s="42">
        <v>62.9</v>
      </c>
      <c r="BR90" s="418">
        <v>9.8000000000000007</v>
      </c>
      <c r="BS90" s="42">
        <f>+BR90</f>
        <v>9.8000000000000007</v>
      </c>
      <c r="BT90" s="42">
        <f>+BS90</f>
        <v>9.8000000000000007</v>
      </c>
      <c r="BU90" s="91">
        <f>+SUM(BQ90:BT90)</f>
        <v>92.3</v>
      </c>
      <c r="BV90" s="42"/>
      <c r="BW90" s="42">
        <f>+BU90/4</f>
        <v>23.074999999999999</v>
      </c>
      <c r="BX90" s="42">
        <f>+BW90</f>
        <v>23.074999999999999</v>
      </c>
      <c r="BY90" s="42">
        <f>+BX90</f>
        <v>23.074999999999999</v>
      </c>
      <c r="BZ90" s="42">
        <f>+BY90</f>
        <v>23.074999999999999</v>
      </c>
      <c r="CA90" s="91">
        <f>+SUM(BW90:BZ90)</f>
        <v>92.3</v>
      </c>
      <c r="CB90" s="42"/>
      <c r="CC90" s="42">
        <f>+CA90/4</f>
        <v>23.074999999999999</v>
      </c>
      <c r="CD90" s="42">
        <f>+CC90</f>
        <v>23.074999999999999</v>
      </c>
      <c r="CE90" s="42">
        <f>+CD90</f>
        <v>23.074999999999999</v>
      </c>
      <c r="CF90" s="42">
        <f>+CE90</f>
        <v>23.074999999999999</v>
      </c>
      <c r="CG90" s="91">
        <f>+SUM(CC90:CF90)</f>
        <v>92.3</v>
      </c>
      <c r="CH90" s="42"/>
      <c r="CI90" s="42">
        <f>+CG90/4</f>
        <v>23.074999999999999</v>
      </c>
      <c r="CJ90" s="42">
        <f>+CI90</f>
        <v>23.074999999999999</v>
      </c>
      <c r="CK90" s="42">
        <f>+CJ90</f>
        <v>23.074999999999999</v>
      </c>
      <c r="CL90" s="42">
        <f>+CK90</f>
        <v>23.074999999999999</v>
      </c>
      <c r="CM90" s="91">
        <f>+SUM(CI90:CL90)</f>
        <v>92.3</v>
      </c>
      <c r="CN90" s="42"/>
      <c r="CO90" s="42">
        <f>+CM90/4</f>
        <v>23.074999999999999</v>
      </c>
      <c r="CP90" s="42">
        <f>+CO90</f>
        <v>23.074999999999999</v>
      </c>
      <c r="CQ90" s="42">
        <f>+CP90</f>
        <v>23.074999999999999</v>
      </c>
      <c r="CR90" s="42">
        <f>+CQ90</f>
        <v>23.074999999999999</v>
      </c>
      <c r="CS90" s="91">
        <f>+SUM(CO90:CR90)</f>
        <v>92.3</v>
      </c>
      <c r="CT90" s="37"/>
      <c r="DA90" s="250"/>
      <c r="DB90" s="250"/>
      <c r="DC90" s="250"/>
      <c r="DD90" s="250"/>
    </row>
    <row r="91" spans="1:114" ht="12.75" hidden="1" customHeight="1" outlineLevel="1" x14ac:dyDescent="0.2">
      <c r="A91" s="44"/>
      <c r="B91" s="115" t="s">
        <v>69</v>
      </c>
      <c r="C91" s="259">
        <f>+C38+SUM(C89:C90)</f>
        <v>-12.425000000000004</v>
      </c>
      <c r="D91" s="259">
        <f>+D38+SUM(D89:D90)</f>
        <v>-8.7960000000000029</v>
      </c>
      <c r="E91" s="259">
        <f>+E38+SUM(E89:E90)</f>
        <v>-5.9369999999999985</v>
      </c>
      <c r="F91" s="259">
        <f>+F38+SUM(F89:F90)</f>
        <v>-7.8039999999999914</v>
      </c>
      <c r="G91" s="260">
        <f>+G38+SUM(G89:G90)</f>
        <v>-34.962000000000018</v>
      </c>
      <c r="H91" s="259"/>
      <c r="I91" s="259">
        <f>+I38+SUM(I89:I90)</f>
        <v>-7.9990000000000006</v>
      </c>
      <c r="J91" s="259">
        <f>+J38+SUM(J89:J90)</f>
        <v>-5.0669999999999975</v>
      </c>
      <c r="K91" s="259">
        <f>+K38+SUM(K89:K90)</f>
        <v>-4.6309999999999949</v>
      </c>
      <c r="L91" s="259">
        <f>+L38+SUM(L89:L90)</f>
        <v>21.493999999999993</v>
      </c>
      <c r="M91" s="260">
        <f>+M38+SUM(M89:M90)</f>
        <v>3.7969999999999886</v>
      </c>
      <c r="N91" s="259"/>
      <c r="O91" s="259">
        <f>+O38+SUM(O89:O90)</f>
        <v>14.454000000000006</v>
      </c>
      <c r="P91" s="259">
        <f>+P38+SUM(P89:P90)</f>
        <v>21.202999999999989</v>
      </c>
      <c r="Q91" s="259">
        <f>+Q38+SUM(Q89:Q90)</f>
        <v>25.318000000000005</v>
      </c>
      <c r="R91" s="259">
        <f>+R38+SUM(R89:R90)</f>
        <v>23.639999999999993</v>
      </c>
      <c r="S91" s="260">
        <f>+S38+SUM(S89:S90)</f>
        <v>84.614999999999995</v>
      </c>
      <c r="T91" s="259"/>
      <c r="U91" s="259">
        <f>+U38+SUM(U89:U90)</f>
        <v>30.442000000000004</v>
      </c>
      <c r="V91" s="259">
        <f>+V38+SUM(V89:V90)</f>
        <v>35.359000000000009</v>
      </c>
      <c r="W91" s="259">
        <f>+W38+SUM(W89:W90)</f>
        <v>33.251000000000005</v>
      </c>
      <c r="X91" s="259">
        <f>+X38+SUM(X89:X90)</f>
        <v>53.25100000000004</v>
      </c>
      <c r="Y91" s="260">
        <f>+Y38+SUM(Y89:Y90)</f>
        <v>152.30300000000005</v>
      </c>
      <c r="Z91" s="259"/>
      <c r="AA91" s="259">
        <f>+AA38+SUM(AA89:AA90)</f>
        <v>22.538000000000011</v>
      </c>
      <c r="AB91" s="259">
        <f>+AB38+SUM(AB89:AB90)</f>
        <v>24.19100000000001</v>
      </c>
      <c r="AC91" s="259">
        <f>+AC38+SUM(AC89:AC90)</f>
        <v>27.939999999999998</v>
      </c>
      <c r="AD91" s="259">
        <f>+AD38+SUM(AD89:AD90)</f>
        <v>26.041</v>
      </c>
      <c r="AE91" s="260">
        <f>+AE38+SUM(AE89:AE90)</f>
        <v>100.71000000000004</v>
      </c>
      <c r="AF91" s="278"/>
      <c r="AG91" s="259">
        <f>+AG38+SUM(AG89:AG90)</f>
        <v>25.098999999999993</v>
      </c>
      <c r="AH91" s="259">
        <f>+AH38+SUM(AH89:AH90)</f>
        <v>28.296000000000003</v>
      </c>
      <c r="AI91" s="259">
        <f>+AI38+SUM(AI89:AI90)</f>
        <v>29.614999999999974</v>
      </c>
      <c r="AJ91" s="259">
        <f>+AJ38+SUM(AJ89:AJ90)</f>
        <v>29.140999999999998</v>
      </c>
      <c r="AK91" s="260">
        <f>+AK38+SUM(AK89:AK90)</f>
        <v>112.151</v>
      </c>
      <c r="AL91" s="278"/>
      <c r="AM91" s="259">
        <f>+AM38+SUM(AM89:AM90)</f>
        <v>30.13600000000001</v>
      </c>
      <c r="AN91" s="259">
        <f>+AN38+SUM(AN89:AN90)</f>
        <v>35.035999999999973</v>
      </c>
      <c r="AO91" s="259">
        <f>+AO38+SUM(AO89:AO90)</f>
        <v>37.891999999999996</v>
      </c>
      <c r="AP91" s="259">
        <f>+AP38+SUM(AP89:AP90)</f>
        <v>44.074999999999996</v>
      </c>
      <c r="AQ91" s="260">
        <f>+AQ38+SUM(AQ89:AQ90)</f>
        <v>147.13900000000004</v>
      </c>
      <c r="AR91" s="278"/>
      <c r="AS91" s="259">
        <f>+AS38+SUM(AS89:AS90)</f>
        <v>55.465000000000032</v>
      </c>
      <c r="AT91" s="259">
        <f>+AT38+SUM(AT89:AT90)</f>
        <v>50.36</v>
      </c>
      <c r="AU91" s="547">
        <f>+AU38+SUM(AU89:AU90)</f>
        <v>36.769999999999982</v>
      </c>
      <c r="AV91" s="259">
        <f>+AV38+SUM(AV89:AV90)</f>
        <v>33.62900000000004</v>
      </c>
      <c r="AW91" s="260">
        <f>+AW38+SUM(AW89:AW90)</f>
        <v>176.22399999999996</v>
      </c>
      <c r="AX91" s="278"/>
      <c r="AY91" s="259">
        <f>+AY38+SUM(AY89:AY90)</f>
        <v>15.981999999999983</v>
      </c>
      <c r="AZ91" s="547">
        <f>+AZ38+SUM(AZ89:AZ90)</f>
        <v>24.030999999999999</v>
      </c>
      <c r="BA91" s="259">
        <f>+BA38+SUM(BA89:BA90)</f>
        <v>21.475000000000005</v>
      </c>
      <c r="BB91" s="259">
        <f>+BB38+SUM(BB89:BB90)</f>
        <v>18.673926218980785</v>
      </c>
      <c r="BC91" s="260">
        <f>+BC38+SUM(BC89:BC90)</f>
        <v>80.161926218980796</v>
      </c>
      <c r="BD91" s="278"/>
      <c r="BE91" s="259">
        <f>+BE38+SUM(BE89:BE90)</f>
        <v>26.631383836686787</v>
      </c>
      <c r="BF91" s="259">
        <f>+BF38+SUM(BF89:BF90)</f>
        <v>30.289222028001337</v>
      </c>
      <c r="BG91" s="259">
        <f>+BG38+SUM(BG89:BG90)</f>
        <v>32.618020622574974</v>
      </c>
      <c r="BH91" s="259">
        <f>+BH38+SUM(BH89:BH90)</f>
        <v>22.300000000000026</v>
      </c>
      <c r="BI91" s="260">
        <f>+BI38+SUM(BI89:BI90)</f>
        <v>111.8386264872632</v>
      </c>
      <c r="BJ91" s="278"/>
      <c r="BK91" s="259">
        <f>+BK38+SUM(BK89:BK90)</f>
        <v>-1.1938014842498461</v>
      </c>
      <c r="BL91" s="259">
        <f>+BL38+SUM(BL89:BL90)</f>
        <v>5.9493528501193556</v>
      </c>
      <c r="BM91" s="259">
        <f>+BM38+SUM(BM89:BM90)</f>
        <v>4.2111250944161451</v>
      </c>
      <c r="BN91" s="259">
        <f>+BN38+SUM(BN89:BN90)</f>
        <v>12.559944350473707</v>
      </c>
      <c r="BO91" s="260">
        <f>+BO38+SUM(BO89:BO90)</f>
        <v>21.526620810759475</v>
      </c>
      <c r="BP91" s="278"/>
      <c r="BQ91" s="259">
        <f>+BQ38+SUM(BQ89:BQ90)</f>
        <v>81.073636020087008</v>
      </c>
      <c r="BR91" s="259">
        <f>+BR38+SUM(BR89:BR90)</f>
        <v>32.075384650316771</v>
      </c>
      <c r="BS91" s="259">
        <f>+BS38+SUM(BS89:BS90)</f>
        <v>30.03369463145982</v>
      </c>
      <c r="BT91" s="259">
        <f>+BT38+SUM(BT89:BT90)</f>
        <v>31.766476087307602</v>
      </c>
      <c r="BU91" s="260">
        <f>+BU38+SUM(BU89:BU90)</f>
        <v>174.94919138917129</v>
      </c>
      <c r="BV91" s="278"/>
      <c r="BW91" s="259">
        <f>+BW38+SUM(BW89:BW90)</f>
        <v>44.855085696652196</v>
      </c>
      <c r="BX91" s="259">
        <f>+BX38+SUM(BX89:BX90)</f>
        <v>48.560267265501857</v>
      </c>
      <c r="BY91" s="259">
        <f>+BY38+SUM(BY89:BY90)</f>
        <v>47.846597356380713</v>
      </c>
      <c r="BZ91" s="259">
        <f>+BZ38+SUM(BZ89:BZ90)</f>
        <v>50.531603271048212</v>
      </c>
      <c r="CA91" s="260">
        <f>+CA38+SUM(CA89:CA90)</f>
        <v>191.7935535895831</v>
      </c>
      <c r="CB91" s="278"/>
      <c r="CC91" s="259">
        <f>+CC38+SUM(CC89:CC90)</f>
        <v>47.148250314071916</v>
      </c>
      <c r="CD91" s="259">
        <f>+CD38+SUM(CD89:CD90)</f>
        <v>51.217493524826068</v>
      </c>
      <c r="CE91" s="259">
        <f>+CE38+SUM(CE89:CE90)</f>
        <v>50.16135282221024</v>
      </c>
      <c r="CF91" s="259">
        <f>+CF38+SUM(CF89:CF90)</f>
        <v>52.822636095558877</v>
      </c>
      <c r="CG91" s="260">
        <f>+CG38+SUM(CG89:CG90)</f>
        <v>201.34973275666715</v>
      </c>
      <c r="CH91" s="278"/>
      <c r="CI91" s="259">
        <f>+CI38+SUM(CI89:CI90)</f>
        <v>48.219886982448244</v>
      </c>
      <c r="CJ91" s="259">
        <f>+CJ38+SUM(CJ89:CJ90)</f>
        <v>52.154416476274932</v>
      </c>
      <c r="CK91" s="259">
        <f>+CK38+SUM(CK89:CK90)</f>
        <v>50.605857315397571</v>
      </c>
      <c r="CL91" s="259">
        <f>+CL38+SUM(CL89:CL90)</f>
        <v>53.004409894092277</v>
      </c>
      <c r="CM91" s="260">
        <f>+CM38+SUM(CM89:CM90)</f>
        <v>203.98457066821317</v>
      </c>
      <c r="CN91" s="278"/>
      <c r="CO91" s="259">
        <f>+CO38+SUM(CO89:CO90)</f>
        <v>50.086402160534121</v>
      </c>
      <c r="CP91" s="259">
        <f>+CP38+SUM(CP89:CP90)</f>
        <v>54.528390223655776</v>
      </c>
      <c r="CQ91" s="259">
        <f>+CQ38+SUM(CQ89:CQ90)</f>
        <v>52.694759780983233</v>
      </c>
      <c r="CR91" s="259">
        <f>+CR38+SUM(CR89:CR90)</f>
        <v>55.270580011232241</v>
      </c>
      <c r="CS91" s="260">
        <f>+CS38+SUM(CS89:CS90)</f>
        <v>212.58013217640536</v>
      </c>
      <c r="CT91" s="259"/>
      <c r="DA91" s="44"/>
      <c r="DB91" s="44"/>
      <c r="DC91" s="44"/>
      <c r="DD91" s="44"/>
    </row>
    <row r="92" spans="1:114" ht="12.75" hidden="1" customHeight="1" outlineLevel="1" x14ac:dyDescent="0.2">
      <c r="A92" s="44"/>
      <c r="B92" s="644" t="s">
        <v>75</v>
      </c>
      <c r="C92" s="645">
        <f>+C91/C42</f>
        <v>-0.15648614609571793</v>
      </c>
      <c r="D92" s="645">
        <f>+D91/D42</f>
        <v>-0.11048030546623798</v>
      </c>
      <c r="E92" s="645">
        <f>+E91/E42</f>
        <v>-7.1524950003614182E-2</v>
      </c>
      <c r="F92" s="645">
        <f>+F91/F42</f>
        <v>-9.023634429489838E-2</v>
      </c>
      <c r="G92" s="646">
        <f>+G91/G42</f>
        <v>-0.42579466569236413</v>
      </c>
      <c r="H92" s="489"/>
      <c r="I92" s="647">
        <f>+I91/I42</f>
        <v>-9.1799026808666917E-2</v>
      </c>
      <c r="J92" s="647">
        <f>+J91/J42</f>
        <v>-5.7456796843107873E-2</v>
      </c>
      <c r="K92" s="645">
        <f>+K91/K42</f>
        <v>-5.209458243340527E-2</v>
      </c>
      <c r="L92" s="645">
        <f>+L91/L42</f>
        <v>0.22881049202665579</v>
      </c>
      <c r="M92" s="646">
        <f>+M91/M42</f>
        <v>4.0649623158615839E-2</v>
      </c>
      <c r="N92" s="489"/>
      <c r="O92" s="647">
        <f>+O91/O42</f>
        <v>0.1495994535179781</v>
      </c>
      <c r="P92" s="647">
        <f>+P91/P42</f>
        <v>0.21698595931065526</v>
      </c>
      <c r="Q92" s="645">
        <f>+Q91/Q42</f>
        <v>0.25421210113059028</v>
      </c>
      <c r="R92" s="645">
        <f>+R91/R42</f>
        <v>0.23594698179495363</v>
      </c>
      <c r="S92" s="646">
        <f>+S91/S42</f>
        <v>0.85839935885080099</v>
      </c>
      <c r="T92" s="489"/>
      <c r="U92" s="647">
        <f>+U91/U42</f>
        <v>0.30597434969645804</v>
      </c>
      <c r="V92" s="647">
        <f>+V91/V42</f>
        <v>0.35563132379860407</v>
      </c>
      <c r="W92" s="645">
        <f>+W91/W42</f>
        <v>0.33359752794108799</v>
      </c>
      <c r="X92" s="645">
        <f>+X91/X42</f>
        <v>0.54194526710021518</v>
      </c>
      <c r="Y92" s="646">
        <f>+Y91/Y42</f>
        <v>1.5360557527836054</v>
      </c>
      <c r="Z92" s="489"/>
      <c r="AA92" s="647">
        <f>+AA91/AA42</f>
        <v>0.237908248358562</v>
      </c>
      <c r="AB92" s="647">
        <f>+AB91/AB42</f>
        <v>0.25832114216152152</v>
      </c>
      <c r="AC92" s="645">
        <f>+AC91/AC42</f>
        <v>0.31000699013614119</v>
      </c>
      <c r="AD92" s="645">
        <f>+AD91/AD42</f>
        <v>0.29571211192114649</v>
      </c>
      <c r="AE92" s="646">
        <f>+AE91/AE42</f>
        <v>1.0982072755823087</v>
      </c>
      <c r="AF92" s="489"/>
      <c r="AG92" s="645">
        <f>+AG91/AG42</f>
        <v>0.28837161207302631</v>
      </c>
      <c r="AH92" s="647">
        <f>+AH91/AH42</f>
        <v>0.32814185153830994</v>
      </c>
      <c r="AI92" s="647">
        <f>+AI91/AI42</f>
        <v>0.34252041359209795</v>
      </c>
      <c r="AJ92" s="645">
        <f>+AJ91/AJ42</f>
        <v>0.33758094598195154</v>
      </c>
      <c r="AK92" s="646">
        <f>+AK91/AK42</f>
        <v>1.2970681778754409</v>
      </c>
      <c r="AL92" s="489"/>
      <c r="AM92" s="645">
        <f>+AM91/AM42</f>
        <v>0.35912958505136222</v>
      </c>
      <c r="AN92" s="645">
        <f>+AN91/AN42</f>
        <v>0.41590693257359895</v>
      </c>
      <c r="AO92" s="645">
        <f>+AO91/AO42</f>
        <v>0.45966470145813615</v>
      </c>
      <c r="AP92" s="645">
        <f>+AP91/AP42</f>
        <v>0.53334382071419062</v>
      </c>
      <c r="AQ92" s="646">
        <f>+AQ91/AQ42</f>
        <v>1.765802200967274</v>
      </c>
      <c r="AR92" s="489"/>
      <c r="AS92" s="645">
        <f>+AS91/AS42</f>
        <v>0.67807281351622328</v>
      </c>
      <c r="AT92" s="645">
        <f>+AT91/AT42</f>
        <v>0.65551578262284405</v>
      </c>
      <c r="AU92" s="645">
        <f>+AU91/AU42</f>
        <v>0.48144656558514659</v>
      </c>
      <c r="AV92" s="645">
        <f>+AV91/AV42</f>
        <v>0.43292824223074799</v>
      </c>
      <c r="AW92" s="646">
        <f>+AW91/AW42</f>
        <v>2.2540226650635691</v>
      </c>
      <c r="AX92" s="489"/>
      <c r="AY92" s="645">
        <f>+AY91/AY42</f>
        <v>0.2100517835081353</v>
      </c>
      <c r="AZ92" s="645">
        <f>+AZ91/AZ42</f>
        <v>0.31870930093765337</v>
      </c>
      <c r="BA92" s="645">
        <f>+BA91/BA42</f>
        <v>0.29071341545959123</v>
      </c>
      <c r="BB92" s="645">
        <f>+BB91/BB42</f>
        <v>0.25792715772072905</v>
      </c>
      <c r="BC92" s="646">
        <f>+BC91/BC42</f>
        <v>1.075999009650749</v>
      </c>
      <c r="BD92" s="489"/>
      <c r="BE92" s="645">
        <f>+BE91/BE42</f>
        <v>0.36936732089718155</v>
      </c>
      <c r="BF92" s="645">
        <f>+BF91/BF42</f>
        <v>0.41042306271004525</v>
      </c>
      <c r="BG92" s="645">
        <f>+BG91/BG42</f>
        <v>0.4437825935044214</v>
      </c>
      <c r="BH92" s="645">
        <f>+BH91/BH42</f>
        <v>0.30801104972375726</v>
      </c>
      <c r="BI92" s="646">
        <f>+BI91/BI42</f>
        <v>1.5236870093632586</v>
      </c>
      <c r="BJ92" s="489"/>
      <c r="BK92" s="645">
        <f>+BK91/BK42</f>
        <v>-1.7176999773379081E-2</v>
      </c>
      <c r="BL92" s="645">
        <f>+BL91/BL42</f>
        <v>8.7106191070561584E-2</v>
      </c>
      <c r="BM92" s="645">
        <f>+BM91/BM42</f>
        <v>6.1656297136400369E-2</v>
      </c>
      <c r="BN92" s="645">
        <f>+BN91/BN42</f>
        <v>0.18229237083416119</v>
      </c>
      <c r="BO92" s="646">
        <f>+BO91/BO42</f>
        <v>0.31311448452013779</v>
      </c>
      <c r="BP92" s="489"/>
      <c r="BQ92" s="645">
        <f>+BQ91/BQ42</f>
        <v>1.1516141480125994</v>
      </c>
      <c r="BR92" s="645">
        <f>+BR91/BR42</f>
        <v>0.4461110521601776</v>
      </c>
      <c r="BS92" s="645">
        <f>+BS91/BS42</f>
        <v>0.41659667503657499</v>
      </c>
      <c r="BT92" s="645">
        <f>+BT91/BT42</f>
        <v>0.43951396418234967</v>
      </c>
      <c r="BU92" s="646">
        <f>+BU91/BU42</f>
        <v>2.4411286382869646</v>
      </c>
      <c r="BV92" s="489"/>
      <c r="BW92" s="645">
        <f>+BW91/BW42</f>
        <v>0.62241047982709863</v>
      </c>
      <c r="BX92" s="645">
        <f>+BX91/BX42</f>
        <v>0.68039454153181722</v>
      </c>
      <c r="BY92" s="645">
        <f>+BY91/BY42</f>
        <v>0.67793875909583001</v>
      </c>
      <c r="BZ92" s="645">
        <f>+BZ91/BZ42</f>
        <v>0.72417912499548487</v>
      </c>
      <c r="CA92" s="646">
        <f>+CA91/CA42</f>
        <v>2.7032992502793918</v>
      </c>
      <c r="CB92" s="489"/>
      <c r="CC92" s="645">
        <f>+CC91/CC42</f>
        <v>0.68228807079345477</v>
      </c>
      <c r="CD92" s="645">
        <f>+CD91/CD42</f>
        <v>0.74805121489906212</v>
      </c>
      <c r="CE92" s="645">
        <f>+CE91/CE42</f>
        <v>0.74046050254480389</v>
      </c>
      <c r="CF92" s="645">
        <f>+CF91/CF42</f>
        <v>0.78822268410367324</v>
      </c>
      <c r="CG92" s="646">
        <f>+CG91/CG42</f>
        <v>2.9574443695208972</v>
      </c>
      <c r="CH92" s="489"/>
      <c r="CI92" s="645">
        <f>+CI91/CI42</f>
        <v>0.72348410429226551</v>
      </c>
      <c r="CJ92" s="645">
        <f>+CJ91/CJ42</f>
        <v>0.78251720712157813</v>
      </c>
      <c r="CK92" s="645">
        <f>+CK91/CK42</f>
        <v>0.7592828528424248</v>
      </c>
      <c r="CL92" s="645">
        <f>+CL91/CL42</f>
        <v>0.79527038356033142</v>
      </c>
      <c r="CM92" s="646">
        <f>+CM91/CM42</f>
        <v>3.0605545478166021</v>
      </c>
      <c r="CN92" s="489"/>
      <c r="CO92" s="645">
        <f>+CO91/CO42</f>
        <v>0.75148902396901451</v>
      </c>
      <c r="CP92" s="645">
        <f>+CP91/CP42</f>
        <v>0.8181359606632933</v>
      </c>
      <c r="CQ92" s="645">
        <f>+CQ91/CQ42</f>
        <v>0.79062443872831134</v>
      </c>
      <c r="CR92" s="645">
        <f>+CR91/CR42</f>
        <v>0.82927166726242074</v>
      </c>
      <c r="CS92" s="646">
        <f>+CS91/CS42</f>
        <v>3.1895210906230398</v>
      </c>
      <c r="CT92" s="468"/>
      <c r="DA92" s="242"/>
      <c r="DB92" s="242"/>
      <c r="DC92" s="242"/>
      <c r="DD92" s="242"/>
    </row>
    <row r="93" spans="1:114" collapsed="1" x14ac:dyDescent="0.2">
      <c r="A93" s="44"/>
      <c r="B93" s="115"/>
      <c r="C93" s="258"/>
      <c r="D93" s="258"/>
      <c r="E93" s="258"/>
      <c r="F93" s="258"/>
      <c r="G93" s="322"/>
      <c r="H93" s="276"/>
      <c r="I93" s="258"/>
      <c r="J93" s="258"/>
      <c r="K93" s="258"/>
      <c r="L93" s="258"/>
      <c r="M93" s="322"/>
      <c r="N93" s="276"/>
      <c r="O93" s="258"/>
      <c r="P93" s="258"/>
      <c r="Q93" s="258"/>
      <c r="R93" s="258"/>
      <c r="S93" s="322"/>
      <c r="T93" s="276"/>
      <c r="U93" s="258"/>
      <c r="V93" s="258"/>
      <c r="W93" s="258"/>
      <c r="X93" s="258"/>
      <c r="Y93" s="322"/>
      <c r="Z93" s="276"/>
      <c r="AA93" s="258"/>
      <c r="AB93" s="258"/>
      <c r="AC93" s="259"/>
      <c r="AD93" s="259"/>
      <c r="AE93" s="322"/>
      <c r="AF93" s="276"/>
      <c r="AG93" s="259"/>
      <c r="AH93" s="258"/>
      <c r="AI93" s="258"/>
      <c r="AJ93" s="259"/>
      <c r="AK93" s="322"/>
      <c r="AL93" s="276"/>
      <c r="AM93" s="258"/>
      <c r="AN93" s="258"/>
      <c r="AO93" s="259"/>
      <c r="AP93" s="259"/>
      <c r="AQ93" s="322"/>
      <c r="AR93" s="276"/>
      <c r="AS93" s="258"/>
      <c r="AT93" s="648"/>
      <c r="AU93" s="648"/>
      <c r="AV93" s="259"/>
      <c r="AW93" s="322"/>
      <c r="AX93" s="276"/>
      <c r="AY93" s="258"/>
      <c r="AZ93" s="258"/>
      <c r="BA93" s="259"/>
      <c r="BB93" s="259"/>
      <c r="BC93" s="322"/>
      <c r="BD93" s="276"/>
      <c r="BE93" s="258"/>
      <c r="BF93" s="258"/>
      <c r="BG93" s="259"/>
      <c r="BH93" s="259"/>
      <c r="BI93" s="322"/>
      <c r="BJ93" s="276"/>
      <c r="BK93" s="258"/>
      <c r="BL93" s="258"/>
      <c r="BM93" s="259"/>
      <c r="BN93" s="259"/>
      <c r="BO93" s="322"/>
      <c r="BP93" s="276"/>
      <c r="BQ93" s="258"/>
      <c r="BR93" s="258"/>
      <c r="BS93" s="259"/>
      <c r="BT93" s="259"/>
      <c r="BU93" s="322"/>
      <c r="BV93" s="276"/>
      <c r="BW93" s="258"/>
      <c r="BX93" s="258"/>
      <c r="BY93" s="259"/>
      <c r="BZ93" s="259"/>
      <c r="CA93" s="322"/>
      <c r="CB93" s="276"/>
      <c r="CC93" s="258"/>
      <c r="CD93" s="258"/>
      <c r="CE93" s="259"/>
      <c r="CF93" s="259"/>
      <c r="CG93" s="322"/>
      <c r="CH93" s="276"/>
      <c r="CI93" s="258"/>
      <c r="CJ93" s="258"/>
      <c r="CK93" s="259"/>
      <c r="CL93" s="259"/>
      <c r="CM93" s="322"/>
      <c r="CN93" s="276"/>
      <c r="CO93" s="258"/>
      <c r="CP93" s="258"/>
      <c r="CQ93" s="259"/>
      <c r="CR93" s="259"/>
      <c r="CS93" s="322"/>
      <c r="CT93" s="259"/>
      <c r="DA93" s="44"/>
      <c r="DB93" s="44"/>
      <c r="DC93" s="44"/>
      <c r="DD93" s="44"/>
    </row>
    <row r="94" spans="1:114" ht="13.5" thickBot="1" x14ac:dyDescent="0.25">
      <c r="A94" s="43"/>
      <c r="B94" s="114" t="s">
        <v>227</v>
      </c>
      <c r="C94" s="114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43"/>
      <c r="AU94" s="43"/>
      <c r="AV94" s="114"/>
      <c r="AW94" s="114"/>
      <c r="AX94" s="114"/>
      <c r="AY94" s="114"/>
      <c r="AZ94" s="114"/>
      <c r="BA94" s="114"/>
      <c r="BB94" s="114"/>
      <c r="BC94" s="114"/>
      <c r="BD94" s="114"/>
      <c r="BE94" s="114"/>
      <c r="BF94" s="114"/>
      <c r="BG94" s="114"/>
      <c r="BH94" s="114"/>
      <c r="BI94" s="114"/>
      <c r="BJ94" s="114"/>
      <c r="BK94" s="114"/>
      <c r="BL94" s="114"/>
      <c r="BM94" s="114"/>
      <c r="BN94" s="114"/>
      <c r="BO94" s="114"/>
      <c r="BP94" s="114"/>
      <c r="BQ94" s="114"/>
      <c r="BR94" s="114"/>
      <c r="BS94" s="114"/>
      <c r="BT94" s="114"/>
      <c r="BU94" s="114"/>
      <c r="BV94" s="114"/>
      <c r="BW94" s="114"/>
      <c r="BX94" s="114"/>
      <c r="BY94" s="114"/>
      <c r="BZ94" s="114"/>
      <c r="CA94" s="114"/>
      <c r="CB94" s="114"/>
      <c r="CC94" s="114"/>
      <c r="CD94" s="114"/>
      <c r="CE94" s="114"/>
      <c r="CF94" s="114"/>
      <c r="CG94" s="114"/>
      <c r="CH94" s="114"/>
      <c r="CI94" s="114"/>
      <c r="CJ94" s="114"/>
      <c r="CK94" s="114"/>
      <c r="CL94" s="114"/>
      <c r="CM94" s="114"/>
      <c r="CN94" s="114"/>
      <c r="CO94" s="114"/>
      <c r="CP94" s="114"/>
      <c r="CQ94" s="114"/>
      <c r="CR94" s="114"/>
      <c r="CS94" s="114"/>
      <c r="CT94" s="114"/>
      <c r="DA94" s="114"/>
      <c r="DB94" s="114"/>
      <c r="DC94" s="114"/>
      <c r="DD94" s="114"/>
    </row>
    <row r="95" spans="1:114" ht="13.5" customHeight="1" outlineLevel="1" thickBot="1" x14ac:dyDescent="0.25">
      <c r="A95" s="43">
        <v>1</v>
      </c>
      <c r="B95" s="95">
        <v>1</v>
      </c>
      <c r="C95" s="96"/>
      <c r="D95" s="96"/>
      <c r="E95" s="96"/>
      <c r="F95" s="96"/>
      <c r="G95" s="96"/>
      <c r="H95" s="52"/>
      <c r="I95" s="96"/>
      <c r="J95" s="96"/>
      <c r="K95" s="96"/>
      <c r="L95" s="96"/>
      <c r="M95" s="96"/>
      <c r="N95" s="52"/>
      <c r="O95" s="96"/>
      <c r="P95" s="96"/>
      <c r="Q95" s="96"/>
      <c r="R95" s="96"/>
      <c r="S95" s="96"/>
      <c r="T95" s="52"/>
      <c r="U95" s="96"/>
      <c r="V95" s="96"/>
      <c r="W95" s="96"/>
      <c r="X95" s="96"/>
      <c r="Y95" s="96"/>
      <c r="Z95" s="52"/>
      <c r="AA95" s="96"/>
      <c r="AB95" s="96"/>
      <c r="AC95" s="96"/>
      <c r="AD95" s="96"/>
      <c r="AE95" s="96"/>
      <c r="AF95" s="52"/>
      <c r="AG95" s="96"/>
      <c r="AH95" s="96"/>
      <c r="AI95" s="96"/>
      <c r="AJ95" s="96"/>
      <c r="AK95" s="96"/>
      <c r="AL95" s="52"/>
      <c r="AM95" s="96"/>
      <c r="AN95" s="96"/>
      <c r="AO95" s="96"/>
      <c r="AP95" s="96"/>
      <c r="AQ95" s="96"/>
      <c r="AR95" s="52"/>
      <c r="AS95" s="96"/>
      <c r="AT95" s="96"/>
      <c r="AU95" s="96"/>
      <c r="AV95" s="96"/>
      <c r="AW95" s="96"/>
      <c r="AX95" s="52"/>
      <c r="AY95" s="96"/>
      <c r="AZ95" s="96"/>
      <c r="BA95" s="96"/>
      <c r="BB95" s="96"/>
      <c r="BC95" s="96"/>
      <c r="BD95" s="52"/>
      <c r="BE95" s="96"/>
      <c r="BF95" s="96"/>
      <c r="BG95" s="96"/>
      <c r="BH95" s="96"/>
      <c r="BI95" s="96"/>
      <c r="BJ95" s="52"/>
      <c r="BK95" s="96"/>
      <c r="BL95" s="96"/>
      <c r="BM95" s="96"/>
      <c r="BN95" s="96"/>
      <c r="BO95" s="96"/>
      <c r="BP95" s="52"/>
      <c r="BQ95" s="96"/>
      <c r="BR95" s="96"/>
      <c r="BS95" s="96"/>
      <c r="BT95" s="96"/>
      <c r="BU95" s="96"/>
      <c r="BV95" s="52"/>
      <c r="BW95" s="96"/>
      <c r="BX95" s="96"/>
      <c r="BY95" s="96"/>
      <c r="BZ95" s="96"/>
      <c r="CA95" s="96"/>
      <c r="CB95" s="52"/>
      <c r="CC95" s="96"/>
      <c r="CD95" s="96"/>
      <c r="CE95" s="96"/>
      <c r="CF95" s="96"/>
      <c r="CG95" s="96"/>
      <c r="CH95" s="52"/>
      <c r="CI95" s="96"/>
      <c r="CJ95" s="96"/>
      <c r="CK95" s="96"/>
      <c r="CL95" s="96"/>
      <c r="CM95" s="96"/>
      <c r="CN95" s="52"/>
      <c r="CO95" s="96"/>
      <c r="CP95" s="96"/>
      <c r="CQ95" s="96"/>
      <c r="CR95" s="96"/>
      <c r="CS95" s="96"/>
      <c r="CT95" s="52"/>
      <c r="DA95" s="52"/>
      <c r="DB95" s="52"/>
      <c r="DC95" s="52"/>
      <c r="DD95" s="52"/>
    </row>
    <row r="96" spans="1:114" ht="12.75" customHeight="1" outlineLevel="1" x14ac:dyDescent="0.2">
      <c r="A96" s="43"/>
      <c r="B96" s="99" t="s">
        <v>62</v>
      </c>
      <c r="C96" s="97"/>
      <c r="D96" s="97"/>
      <c r="E96" s="97"/>
      <c r="F96" s="97"/>
      <c r="G96" s="97"/>
      <c r="H96" s="282"/>
      <c r="I96" s="97">
        <f>+I72</f>
        <v>0.43892913573621906</v>
      </c>
      <c r="J96" s="97">
        <f>+J72</f>
        <v>0.52799245994344957</v>
      </c>
      <c r="K96" s="97">
        <f>+K72</f>
        <v>0.5075665120820112</v>
      </c>
      <c r="L96" s="97">
        <f>+L72</f>
        <v>0.42218215400853154</v>
      </c>
      <c r="M96" s="97">
        <f>+M72</f>
        <v>0.47302801573259678</v>
      </c>
      <c r="N96" s="282"/>
      <c r="O96" s="97">
        <f>+O72</f>
        <v>0.44957112667302046</v>
      </c>
      <c r="P96" s="97">
        <f>+P72</f>
        <v>0.47953896584540545</v>
      </c>
      <c r="Q96" s="97">
        <f>+Q72</f>
        <v>0.40097142394560037</v>
      </c>
      <c r="R96" s="97">
        <f>+R72</f>
        <v>0.3308853087603203</v>
      </c>
      <c r="S96" s="97">
        <f>+S72</f>
        <v>0.41078241182798947</v>
      </c>
      <c r="T96" s="282"/>
      <c r="U96" s="97">
        <f>+U72</f>
        <v>0.21663688987350804</v>
      </c>
      <c r="V96" s="97">
        <f>+V72</f>
        <v>0.1050123880312559</v>
      </c>
      <c r="W96" s="97">
        <f>+W72</f>
        <v>4.9681616992753863E-2</v>
      </c>
      <c r="X96" s="97">
        <f>+X72</f>
        <v>9.1183680107808529E-2</v>
      </c>
      <c r="Y96" s="97">
        <f>+Y72</f>
        <v>0.1106217862535106</v>
      </c>
      <c r="Z96" s="282"/>
      <c r="AA96" s="97">
        <f>+AA72</f>
        <v>7.9133479006602281E-2</v>
      </c>
      <c r="AB96" s="97">
        <f>+AB72</f>
        <v>8.2700931355639939E-2</v>
      </c>
      <c r="AC96" s="97">
        <f>+AC72</f>
        <v>0.12709457227788179</v>
      </c>
      <c r="AD96" s="97">
        <f>+AD72</f>
        <v>0.1435567668852733</v>
      </c>
      <c r="AE96" s="97">
        <f>+AE72</f>
        <v>0.10874456773510421</v>
      </c>
      <c r="AF96" s="282"/>
      <c r="AG96" s="97">
        <f>+AG72</f>
        <v>0.2024211282631887</v>
      </c>
      <c r="AH96" s="97">
        <f>+AH72</f>
        <v>0.22272998805256883</v>
      </c>
      <c r="AI96" s="97">
        <f>+AI72</f>
        <v>0.26767538632855992</v>
      </c>
      <c r="AJ96" s="97">
        <f>+AJ72</f>
        <v>0.23789706922876408</v>
      </c>
      <c r="AK96" s="97">
        <f>+AK72</f>
        <v>0.23358551944369821</v>
      </c>
      <c r="AL96" s="282"/>
      <c r="AM96" s="97">
        <f>+AM72</f>
        <v>0.20809944591315688</v>
      </c>
      <c r="AN96" s="97">
        <f>+AN72</f>
        <v>0.21438633347175728</v>
      </c>
      <c r="AO96" s="97">
        <f>+AO72</f>
        <v>0.20569900675774622</v>
      </c>
      <c r="AP96" s="97">
        <f>+AP72</f>
        <v>0.30948745910577968</v>
      </c>
      <c r="AQ96" s="97">
        <f>+AQ72</f>
        <v>0.23620729629741621</v>
      </c>
      <c r="AR96" s="282"/>
      <c r="AS96" s="97">
        <f>+AS72</f>
        <v>0.51732278153735467</v>
      </c>
      <c r="AT96" s="97">
        <f>+AT72</f>
        <v>0.36824460238701895</v>
      </c>
      <c r="AU96" s="97">
        <f>+AU72</f>
        <v>0.16905261005163852</v>
      </c>
      <c r="AV96" s="97">
        <f>+AV72</f>
        <v>8.413356612832823E-2</v>
      </c>
      <c r="AW96" s="97">
        <f>+AW72</f>
        <v>0.26917876917306116</v>
      </c>
      <c r="AX96" s="282"/>
      <c r="AY96" s="97">
        <f>+AY72</f>
        <v>-0.16610114240839258</v>
      </c>
      <c r="AZ96" s="97">
        <f>+AZ72</f>
        <v>-9.6378516122708979E-2</v>
      </c>
      <c r="BA96" s="97">
        <f>+BA72</f>
        <v>-1.6066781832892341E-2</v>
      </c>
      <c r="BB96" s="97">
        <f>+BB72</f>
        <v>5.8746389372010821E-3</v>
      </c>
      <c r="BC96" s="97">
        <f>+BC72</f>
        <v>-7.0837754275187459E-2</v>
      </c>
      <c r="BD96" s="282"/>
      <c r="BE96" s="97">
        <f>+BE72</f>
        <v>8.7032959817378908E-2</v>
      </c>
      <c r="BF96" s="97">
        <f>+BF72</f>
        <v>4.8245985628528887E-2</v>
      </c>
      <c r="BG96" s="97">
        <f>+BG72</f>
        <v>5.8521658041364333E-2</v>
      </c>
      <c r="BH96" s="97">
        <f>+BH72</f>
        <v>-1.7769297165581399E-2</v>
      </c>
      <c r="BI96" s="97">
        <f>+BI72</f>
        <v>4.2525475295372095E-2</v>
      </c>
      <c r="BJ96" s="282"/>
      <c r="BK96" s="97">
        <f>+BK72</f>
        <v>-3.2829182644305011E-2</v>
      </c>
      <c r="BL96" s="97">
        <f>+BL72</f>
        <v>1.6866593946173181E-2</v>
      </c>
      <c r="BM96" s="97">
        <f>+BM72</f>
        <v>3.3556429207850069E-2</v>
      </c>
      <c r="BN96" s="97">
        <f>+BN72</f>
        <v>7.485224852800898E-2</v>
      </c>
      <c r="BO96" s="97">
        <f>+BO72</f>
        <v>2.3331245846943016E-2</v>
      </c>
      <c r="BP96" s="282"/>
      <c r="BQ96" s="97">
        <f>+BQ72</f>
        <v>7.136335299982699E-2</v>
      </c>
      <c r="BR96" s="97">
        <f>+BR72</f>
        <v>-1.3095785676615179E-2</v>
      </c>
      <c r="BS96" s="97">
        <f>+BS72</f>
        <v>-3.5814295008648855E-2</v>
      </c>
      <c r="BT96" s="97">
        <f>+BT72</f>
        <v>-1.6286885628804204E-2</v>
      </c>
      <c r="BU96" s="97">
        <f>+BU72</f>
        <v>-2.8989407526491817E-4</v>
      </c>
      <c r="BV96" s="282"/>
      <c r="BW96" s="97">
        <f>+BW72</f>
        <v>1.2673769492597131E-3</v>
      </c>
      <c r="BX96" s="97">
        <f>+BX72</f>
        <v>3.0082834134282255E-2</v>
      </c>
      <c r="BY96" s="97">
        <f>+BY72</f>
        <v>4.7026938507782612E-2</v>
      </c>
      <c r="BZ96" s="97">
        <f>+BZ72</f>
        <v>5.7984268050797372E-2</v>
      </c>
      <c r="CA96" s="97">
        <f>+CA72</f>
        <v>3.4282861946134391E-2</v>
      </c>
      <c r="CB96" s="282"/>
      <c r="CC96" s="97">
        <f>+CC72</f>
        <v>4.7787880755302048E-2</v>
      </c>
      <c r="CD96" s="97">
        <f>+CD72</f>
        <v>5.9279505142453504E-2</v>
      </c>
      <c r="CE96" s="97">
        <f>+CE72</f>
        <v>5.996726519359119E-2</v>
      </c>
      <c r="CF96" s="97">
        <f>+CF72</f>
        <v>6.4426674815585727E-2</v>
      </c>
      <c r="CG96" s="97">
        <f>+CG72</f>
        <v>5.8053885978194719E-2</v>
      </c>
      <c r="CH96" s="282"/>
      <c r="CI96" s="97">
        <f>+CI72</f>
        <v>7.2100557138007559E-2</v>
      </c>
      <c r="CJ96" s="97">
        <f>+CJ72</f>
        <v>7.5701318294326692E-2</v>
      </c>
      <c r="CK96" s="97">
        <f>+CK72</f>
        <v>7.0025127814653088E-2</v>
      </c>
      <c r="CL96" s="97">
        <f>+CL72</f>
        <v>6.9926727632908747E-2</v>
      </c>
      <c r="CM96" s="97">
        <f>+CM72</f>
        <v>7.191342144009516E-2</v>
      </c>
      <c r="CN96" s="282"/>
      <c r="CO96" s="97">
        <f>+CO72</f>
        <v>7.1875718254417631E-2</v>
      </c>
      <c r="CP96" s="97">
        <f>+CP72</f>
        <v>8.0375559737687396E-2</v>
      </c>
      <c r="CQ96" s="97">
        <f>+CQ72</f>
        <v>6.9205412675996447E-2</v>
      </c>
      <c r="CR96" s="97">
        <f>+CR72</f>
        <v>7.4752394631578678E-2</v>
      </c>
      <c r="CS96" s="97">
        <f>+CS72</f>
        <v>7.410496868736316E-2</v>
      </c>
      <c r="CT96" s="282"/>
      <c r="DA96" s="52"/>
      <c r="DB96" s="52"/>
      <c r="DC96" s="52"/>
      <c r="DD96" s="52"/>
    </row>
    <row r="97" spans="1:108" ht="12.75" customHeight="1" outlineLevel="1" x14ac:dyDescent="0.2">
      <c r="A97" s="113"/>
      <c r="B97" s="239"/>
      <c r="C97" s="275"/>
      <c r="D97" s="275"/>
      <c r="E97" s="275"/>
      <c r="F97" s="275"/>
      <c r="G97" s="275"/>
      <c r="H97" s="316"/>
      <c r="I97" s="100"/>
      <c r="J97" s="100"/>
      <c r="K97" s="100"/>
      <c r="L97" s="100"/>
      <c r="M97" s="100"/>
      <c r="N97" s="316"/>
      <c r="O97" s="100"/>
      <c r="P97" s="100"/>
      <c r="Q97" s="100"/>
      <c r="R97" s="100"/>
      <c r="S97" s="100"/>
      <c r="T97" s="316"/>
      <c r="U97" s="100"/>
      <c r="V97" s="100"/>
      <c r="W97" s="100"/>
      <c r="X97" s="100"/>
      <c r="Y97" s="100"/>
      <c r="Z97" s="316"/>
      <c r="AA97" s="100"/>
      <c r="AB97" s="100"/>
      <c r="AC97" s="100"/>
      <c r="AD97" s="100"/>
      <c r="AE97" s="100"/>
      <c r="AF97" s="316"/>
      <c r="AG97" s="100"/>
      <c r="AH97" s="100"/>
      <c r="AI97" s="100"/>
      <c r="AJ97" s="100"/>
      <c r="AK97" s="100"/>
      <c r="AL97" s="316"/>
      <c r="AM97" s="100"/>
      <c r="AN97" s="100"/>
      <c r="AO97" s="100"/>
      <c r="AP97" s="100"/>
      <c r="AQ97" s="100"/>
      <c r="AR97" s="316"/>
      <c r="AS97" s="100"/>
      <c r="AT97" s="100"/>
      <c r="AU97" s="100"/>
      <c r="AV97" s="100"/>
      <c r="AW97" s="100"/>
      <c r="AX97" s="316"/>
      <c r="AY97" s="100"/>
      <c r="AZ97" s="100"/>
      <c r="BA97" s="100"/>
      <c r="BB97" s="100"/>
      <c r="BC97" s="100"/>
      <c r="BD97" s="316"/>
      <c r="BE97" s="100"/>
      <c r="BF97" s="100"/>
      <c r="BG97" s="100"/>
      <c r="BH97" s="100"/>
      <c r="BI97" s="100"/>
      <c r="BJ97" s="316"/>
      <c r="BK97" s="100"/>
      <c r="BL97" s="100"/>
      <c r="BM97" s="100"/>
      <c r="BN97" s="100"/>
      <c r="BO97" s="100"/>
      <c r="BP97" s="316"/>
      <c r="BQ97" s="100"/>
      <c r="BR97" s="100"/>
      <c r="BS97" s="100"/>
      <c r="BT97" s="100"/>
      <c r="BU97" s="100"/>
      <c r="BV97" s="316"/>
      <c r="BW97" s="100"/>
      <c r="BX97" s="100"/>
      <c r="BY97" s="100"/>
      <c r="BZ97" s="100"/>
      <c r="CA97" s="100"/>
      <c r="CB97" s="316"/>
      <c r="CC97" s="100"/>
      <c r="CD97" s="100"/>
      <c r="CE97" s="100"/>
      <c r="CF97" s="100"/>
      <c r="CG97" s="100"/>
      <c r="CH97" s="316"/>
      <c r="CI97" s="100"/>
      <c r="CJ97" s="100"/>
      <c r="CK97" s="100"/>
      <c r="CL97" s="100"/>
      <c r="CM97" s="100"/>
      <c r="CN97" s="316"/>
      <c r="CO97" s="100"/>
      <c r="CP97" s="100"/>
      <c r="CQ97" s="100"/>
      <c r="CR97" s="100"/>
      <c r="CS97" s="100"/>
      <c r="CT97" s="317"/>
      <c r="DA97" s="316"/>
      <c r="DB97" s="316"/>
      <c r="DC97" s="316"/>
      <c r="DD97" s="316"/>
    </row>
    <row r="98" spans="1:108" ht="12.75" customHeight="1" outlineLevel="1" x14ac:dyDescent="0.2">
      <c r="A98" s="113"/>
      <c r="B98" s="470" t="s">
        <v>219</v>
      </c>
      <c r="C98" s="471">
        <f t="shared" ref="C98:AQ98" si="269">+C50</f>
        <v>0.75836985362072562</v>
      </c>
      <c r="D98" s="471">
        <f t="shared" si="269"/>
        <v>0.79725326511377403</v>
      </c>
      <c r="E98" s="471">
        <f t="shared" si="269"/>
        <v>0.81505979985355137</v>
      </c>
      <c r="F98" s="471">
        <f t="shared" si="269"/>
        <v>0.83284225339724705</v>
      </c>
      <c r="G98" s="471">
        <f t="shared" si="269"/>
        <v>0.80389623614169514</v>
      </c>
      <c r="H98" s="282"/>
      <c r="I98" s="471">
        <f t="shared" si="269"/>
        <v>0.84802966891807896</v>
      </c>
      <c r="J98" s="471">
        <f t="shared" si="269"/>
        <v>0.86447428712417618</v>
      </c>
      <c r="K98" s="471">
        <f t="shared" si="269"/>
        <v>0.86621873229175106</v>
      </c>
      <c r="L98" s="471">
        <f t="shared" si="269"/>
        <v>0.86006060793469186</v>
      </c>
      <c r="M98" s="471">
        <f t="shared" si="269"/>
        <v>0.8602771212913316</v>
      </c>
      <c r="N98" s="282"/>
      <c r="O98" s="471">
        <f t="shared" si="269"/>
        <v>0.860072893589652</v>
      </c>
      <c r="P98" s="471">
        <f t="shared" si="269"/>
        <v>0.86825805222031638</v>
      </c>
      <c r="Q98" s="471">
        <f t="shared" si="269"/>
        <v>0.87019680808034117</v>
      </c>
      <c r="R98" s="471">
        <f t="shared" si="269"/>
        <v>0.87006122283019083</v>
      </c>
      <c r="S98" s="471">
        <f t="shared" si="269"/>
        <v>0.86749334664514732</v>
      </c>
      <c r="T98" s="316"/>
      <c r="U98" s="471">
        <f t="shared" si="269"/>
        <v>0.87004534667888445</v>
      </c>
      <c r="V98" s="471">
        <f t="shared" si="269"/>
        <v>0.88052992411176267</v>
      </c>
      <c r="W98" s="471">
        <f t="shared" si="269"/>
        <v>0.88021578773532982</v>
      </c>
      <c r="X98" s="471">
        <f t="shared" si="269"/>
        <v>0.88011029724895673</v>
      </c>
      <c r="Y98" s="471">
        <f t="shared" si="269"/>
        <v>0.87788158214025724</v>
      </c>
      <c r="Z98" s="316"/>
      <c r="AA98" s="471">
        <f t="shared" si="269"/>
        <v>0.88013020096235495</v>
      </c>
      <c r="AB98" s="471">
        <f>+AB50</f>
        <v>0.88006770211071295</v>
      </c>
      <c r="AC98" s="471">
        <f t="shared" si="269"/>
        <v>0.89125168499814411</v>
      </c>
      <c r="AD98" s="471">
        <f t="shared" si="269"/>
        <v>0.88340222693926196</v>
      </c>
      <c r="AE98" s="471">
        <f t="shared" si="269"/>
        <v>0.8838202962565036</v>
      </c>
      <c r="AF98" s="316"/>
      <c r="AG98" s="471">
        <f t="shared" ref="AG98:AI100" si="270">+AG50</f>
        <v>0.86997971969724397</v>
      </c>
      <c r="AH98" s="471">
        <f t="shared" si="270"/>
        <v>0.86876582716531903</v>
      </c>
      <c r="AI98" s="471">
        <f t="shared" si="270"/>
        <v>0.86724920440447839</v>
      </c>
      <c r="AJ98" s="471">
        <f t="shared" si="269"/>
        <v>0.87250028202910535</v>
      </c>
      <c r="AK98" s="471">
        <f t="shared" si="269"/>
        <v>0.86964042701182453</v>
      </c>
      <c r="AL98" s="282"/>
      <c r="AM98" s="471">
        <f t="shared" si="269"/>
        <v>0.87014845957268228</v>
      </c>
      <c r="AN98" s="471">
        <f t="shared" si="269"/>
        <v>0.86667560681239098</v>
      </c>
      <c r="AO98" s="471">
        <f t="shared" si="269"/>
        <v>0.87004703716958942</v>
      </c>
      <c r="AP98" s="471">
        <f t="shared" si="269"/>
        <v>0.87322819269912011</v>
      </c>
      <c r="AQ98" s="471">
        <f t="shared" si="269"/>
        <v>0.87015240595924437</v>
      </c>
      <c r="AR98" s="282"/>
      <c r="AS98" s="471">
        <f t="shared" ref="AS98:AW100" si="271">+AS50</f>
        <v>0.87414739192065871</v>
      </c>
      <c r="AT98" s="471">
        <f t="shared" si="271"/>
        <v>0.87194452611976869</v>
      </c>
      <c r="AU98" s="471">
        <f t="shared" si="271"/>
        <v>0.85684765257702644</v>
      </c>
      <c r="AV98" s="471">
        <f t="shared" si="271"/>
        <v>0.83588059227081302</v>
      </c>
      <c r="AW98" s="471">
        <f t="shared" si="271"/>
        <v>0.86022132672676987</v>
      </c>
      <c r="AX98" s="282"/>
      <c r="AY98" s="471">
        <f t="shared" ref="AY98:BC100" si="272">+AY50</f>
        <v>0.79349905530185916</v>
      </c>
      <c r="AZ98" s="471">
        <f t="shared" si="272"/>
        <v>0.79472105774080359</v>
      </c>
      <c r="BA98" s="471">
        <f t="shared" si="272"/>
        <v>0.79835541850709779</v>
      </c>
      <c r="BB98" s="471">
        <f t="shared" si="272"/>
        <v>0.80250052892069335</v>
      </c>
      <c r="BC98" s="471">
        <f t="shared" si="272"/>
        <v>0.79738315069199273</v>
      </c>
      <c r="BD98" s="282"/>
      <c r="BE98" s="471">
        <f t="shared" ref="BE98:BI100" si="273">+BE50</f>
        <v>0.80112393184765018</v>
      </c>
      <c r="BF98" s="471">
        <f t="shared" si="273"/>
        <v>0.78995207506128629</v>
      </c>
      <c r="BG98" s="471">
        <f t="shared" si="273"/>
        <v>0.7889963381488303</v>
      </c>
      <c r="BH98" s="471">
        <f t="shared" si="273"/>
        <v>0.78552278820375343</v>
      </c>
      <c r="BI98" s="471">
        <f t="shared" si="273"/>
        <v>0.79133465111361245</v>
      </c>
      <c r="BJ98" s="282"/>
      <c r="BK98" s="471">
        <f>+BK50</f>
        <v>0.77465575661882702</v>
      </c>
      <c r="BL98" s="471">
        <f>+BL50</f>
        <v>0.77410253782998883</v>
      </c>
      <c r="BM98" s="471">
        <f t="shared" ref="BM98:BO98" si="274">+BM50</f>
        <v>0.77502540814411192</v>
      </c>
      <c r="BN98" s="471">
        <f t="shared" si="274"/>
        <v>0.78798756959796812</v>
      </c>
      <c r="BO98" s="471">
        <f t="shared" si="274"/>
        <v>0.77807351291549809</v>
      </c>
      <c r="BP98" s="282"/>
      <c r="BQ98" s="471">
        <f>+BQ50</f>
        <v>0.77389084575604294</v>
      </c>
      <c r="BR98" s="471">
        <f>+BR50</f>
        <v>0.77110497767517894</v>
      </c>
      <c r="BS98" s="471">
        <f>+BS50</f>
        <v>0.77270445041568137</v>
      </c>
      <c r="BT98" s="471">
        <f>+BT50</f>
        <v>0.77754407800619518</v>
      </c>
      <c r="BU98" s="471">
        <f>+BU50</f>
        <v>0.77383218658825681</v>
      </c>
      <c r="BV98" s="282"/>
      <c r="BW98" s="471">
        <f>+BW50</f>
        <v>0.7674410695249978</v>
      </c>
      <c r="BX98" s="471">
        <f>+BX50</f>
        <v>0.76369148374390061</v>
      </c>
      <c r="BY98" s="471">
        <f>+BY50</f>
        <v>0.77349999020963844</v>
      </c>
      <c r="BZ98" s="471">
        <f>+BZ50</f>
        <v>0.78115869130791815</v>
      </c>
      <c r="CA98" s="471">
        <f>+CA50</f>
        <v>0.77159973600638354</v>
      </c>
      <c r="CB98" s="282"/>
      <c r="CC98" s="471">
        <f>+CC50</f>
        <v>0.77380781084262151</v>
      </c>
      <c r="CD98" s="471">
        <f>+CD50</f>
        <v>0.76877322677335369</v>
      </c>
      <c r="CE98" s="471">
        <f>+CE50</f>
        <v>0.77664309271070109</v>
      </c>
      <c r="CF98" s="471">
        <f>+CF50</f>
        <v>0.78274896617397771</v>
      </c>
      <c r="CG98" s="471">
        <f>+CG50</f>
        <v>0.77560577362806127</v>
      </c>
      <c r="CH98" s="282"/>
      <c r="CI98" s="471">
        <f>+CI50</f>
        <v>0.77682177337007374</v>
      </c>
      <c r="CJ98" s="471">
        <f>+CJ50</f>
        <v>0.77128249451174979</v>
      </c>
      <c r="CK98" s="471">
        <f>+CK50</f>
        <v>0.7783413547518222</v>
      </c>
      <c r="CL98" s="471">
        <f>+CL50</f>
        <v>0.78313404907680773</v>
      </c>
      <c r="CM98" s="471">
        <f>+CM50</f>
        <v>0.77746427180929234</v>
      </c>
      <c r="CN98" s="282"/>
      <c r="CO98" s="471">
        <f>+CO50</f>
        <v>0.77889678471950941</v>
      </c>
      <c r="CP98" s="471">
        <f>+CP50</f>
        <v>0.77354485352471125</v>
      </c>
      <c r="CQ98" s="471">
        <f>+CQ50</f>
        <v>0.78123046561336951</v>
      </c>
      <c r="CR98" s="471">
        <f>+CR50</f>
        <v>0.78530538000292005</v>
      </c>
      <c r="CS98" s="471">
        <f>+CS50</f>
        <v>0.77980512801924773</v>
      </c>
      <c r="CT98" s="282"/>
      <c r="DA98" s="90"/>
      <c r="DB98" s="90"/>
      <c r="DC98" s="90"/>
      <c r="DD98" s="90"/>
    </row>
    <row r="99" spans="1:108" ht="12.75" customHeight="1" outlineLevel="1" x14ac:dyDescent="0.2">
      <c r="A99" s="113"/>
      <c r="B99" s="349" t="s">
        <v>269</v>
      </c>
      <c r="C99" s="471">
        <f t="shared" ref="C99:G100" si="275">+C51</f>
        <v>0.75836985362072562</v>
      </c>
      <c r="D99" s="471">
        <f t="shared" si="275"/>
        <v>0.79725326511377403</v>
      </c>
      <c r="E99" s="471">
        <f t="shared" si="275"/>
        <v>0.81505979985355137</v>
      </c>
      <c r="F99" s="471">
        <f t="shared" si="275"/>
        <v>0.83284225339724705</v>
      </c>
      <c r="G99" s="471">
        <f t="shared" si="275"/>
        <v>0.80389623614169514</v>
      </c>
      <c r="H99" s="282"/>
      <c r="I99" s="471">
        <f t="shared" ref="I99:M100" si="276">+I51</f>
        <v>0.84802966891807896</v>
      </c>
      <c r="J99" s="471">
        <f t="shared" si="276"/>
        <v>0.86447428712417618</v>
      </c>
      <c r="K99" s="471">
        <f t="shared" si="276"/>
        <v>0.86621873229175106</v>
      </c>
      <c r="L99" s="471">
        <f t="shared" si="276"/>
        <v>0.86006060793469186</v>
      </c>
      <c r="M99" s="471">
        <f t="shared" si="276"/>
        <v>0.86027712129133171</v>
      </c>
      <c r="N99" s="282"/>
      <c r="O99" s="471">
        <f t="shared" ref="O99:S100" si="277">+O51</f>
        <v>0.860072893589652</v>
      </c>
      <c r="P99" s="471">
        <f t="shared" si="277"/>
        <v>0.86825805222031638</v>
      </c>
      <c r="Q99" s="471">
        <f t="shared" si="277"/>
        <v>0.87019680808034117</v>
      </c>
      <c r="R99" s="471">
        <f t="shared" si="277"/>
        <v>0.87006122283019083</v>
      </c>
      <c r="S99" s="471">
        <f t="shared" si="277"/>
        <v>0.86749334664514732</v>
      </c>
      <c r="T99" s="316"/>
      <c r="U99" s="471">
        <f t="shared" ref="U99:Y100" si="278">+U51</f>
        <v>0.87004534667888445</v>
      </c>
      <c r="V99" s="471">
        <f t="shared" si="278"/>
        <v>0.88052992411176267</v>
      </c>
      <c r="W99" s="471">
        <f t="shared" si="278"/>
        <v>0.88021578773532982</v>
      </c>
      <c r="X99" s="471">
        <f t="shared" si="278"/>
        <v>0.88011029724895673</v>
      </c>
      <c r="Y99" s="471">
        <f t="shared" si="278"/>
        <v>0.87788158214025724</v>
      </c>
      <c r="Z99" s="316"/>
      <c r="AA99" s="471">
        <f>+AA51</f>
        <v>0.88013020096235495</v>
      </c>
      <c r="AB99" s="471">
        <f>+AB51</f>
        <v>0.88006770211071284</v>
      </c>
      <c r="AC99" s="471">
        <f t="shared" ref="AC99:AE100" si="279">+AC51</f>
        <v>0.89125168499814411</v>
      </c>
      <c r="AD99" s="471">
        <f t="shared" si="279"/>
        <v>0.89136788961223823</v>
      </c>
      <c r="AE99" s="471">
        <f t="shared" si="279"/>
        <v>0.88592061912880005</v>
      </c>
      <c r="AF99" s="316"/>
      <c r="AG99" s="471">
        <f t="shared" si="270"/>
        <v>0.89131375698525528</v>
      </c>
      <c r="AH99" s="471">
        <f t="shared" si="270"/>
        <v>0.89103817702576316</v>
      </c>
      <c r="AI99" s="471">
        <f t="shared" si="270"/>
        <v>0.89080543661606326</v>
      </c>
      <c r="AJ99" s="471">
        <f>+AJ51</f>
        <v>0.8911991466599738</v>
      </c>
      <c r="AK99" s="471">
        <f>+AK51</f>
        <v>0.89108152162408183</v>
      </c>
      <c r="AL99" s="282"/>
      <c r="AM99" s="471">
        <f t="shared" ref="AM99:AQ100" si="280">+AM51</f>
        <v>0.89053021969387436</v>
      </c>
      <c r="AN99" s="471">
        <f t="shared" si="280"/>
        <v>0.88932890629999073</v>
      </c>
      <c r="AO99" s="471">
        <f t="shared" si="280"/>
        <v>0.88905811947379776</v>
      </c>
      <c r="AP99" s="471">
        <f t="shared" si="280"/>
        <v>0.8891196888415247</v>
      </c>
      <c r="AQ99" s="471">
        <f t="shared" si="280"/>
        <v>0.8894627673457054</v>
      </c>
      <c r="AR99" s="282"/>
      <c r="AS99" s="471">
        <f t="shared" si="271"/>
        <v>0.88890961567359461</v>
      </c>
      <c r="AT99" s="471">
        <f t="shared" si="271"/>
        <v>0.88399657419019362</v>
      </c>
      <c r="AU99" s="471">
        <f t="shared" si="271"/>
        <v>0.8681828243213332</v>
      </c>
      <c r="AV99" s="471">
        <f t="shared" si="271"/>
        <v>0.84524942306219997</v>
      </c>
      <c r="AW99" s="471">
        <f t="shared" si="271"/>
        <v>0.87206996009077797</v>
      </c>
      <c r="AX99" s="282"/>
      <c r="AY99" s="471">
        <f t="shared" si="272"/>
        <v>0.80063462345067382</v>
      </c>
      <c r="AZ99" s="471">
        <f t="shared" si="272"/>
        <v>0.80435389338543128</v>
      </c>
      <c r="BA99" s="471">
        <f t="shared" si="272"/>
        <v>0.80919379450661244</v>
      </c>
      <c r="BB99" s="471">
        <f t="shared" si="272"/>
        <v>0.8210340135662153</v>
      </c>
      <c r="BC99" s="471">
        <f t="shared" si="272"/>
        <v>0.80896657786153159</v>
      </c>
      <c r="BD99" s="282"/>
      <c r="BE99" s="495">
        <f t="shared" si="273"/>
        <v>0.82027191341759409</v>
      </c>
      <c r="BF99" s="495">
        <f t="shared" si="273"/>
        <v>0.81324198864941477</v>
      </c>
      <c r="BG99" s="495">
        <f t="shared" si="273"/>
        <v>0.81061675763208985</v>
      </c>
      <c r="BH99" s="471">
        <f t="shared" si="273"/>
        <v>0.80322209436133485</v>
      </c>
      <c r="BI99" s="471">
        <f t="shared" si="273"/>
        <v>0.81182701940815516</v>
      </c>
      <c r="BJ99" s="282"/>
      <c r="BK99" s="495">
        <f>+BK51</f>
        <v>0.79225492253867158</v>
      </c>
      <c r="BL99" s="495">
        <f t="shared" ref="BL99:BM99" si="281">+BL51</f>
        <v>0.79668316620568236</v>
      </c>
      <c r="BM99" s="495">
        <f t="shared" si="281"/>
        <v>0.79536866383874349</v>
      </c>
      <c r="BN99" s="495">
        <f t="shared" ref="BN99:BO99" si="282">+BN51</f>
        <v>0.81049712261393936</v>
      </c>
      <c r="BO99" s="471">
        <f t="shared" si="282"/>
        <v>0.79892722991297804</v>
      </c>
      <c r="BP99" s="282"/>
      <c r="BQ99" s="495">
        <f>+BQ51</f>
        <v>0.7975092927240538</v>
      </c>
      <c r="BR99" s="495">
        <f>+BR51</f>
        <v>0.78959163350715678</v>
      </c>
      <c r="BS99" s="495">
        <f t="shared" ref="BS99:BU100" si="283">CHOOSE($B$95,BS111,BS120,BS129)</f>
        <v>0.78672115598978942</v>
      </c>
      <c r="BT99" s="495">
        <f t="shared" si="283"/>
        <v>0.79242356420843074</v>
      </c>
      <c r="BU99" s="495">
        <f t="shared" si="283"/>
        <v>0.79156821949846101</v>
      </c>
      <c r="BV99" s="282"/>
      <c r="BW99" s="495">
        <f t="shared" ref="BW99:CA100" si="284">CHOOSE($B$95,BW111,BW120,BW129)</f>
        <v>0.78296100327716223</v>
      </c>
      <c r="BX99" s="495">
        <f t="shared" si="284"/>
        <v>0.78288662159898015</v>
      </c>
      <c r="BY99" s="495">
        <f t="shared" si="284"/>
        <v>0.78832446631522313</v>
      </c>
      <c r="BZ99" s="495">
        <f t="shared" si="284"/>
        <v>0.79691238477703474</v>
      </c>
      <c r="CA99" s="495">
        <f t="shared" si="284"/>
        <v>0.78795668183002587</v>
      </c>
      <c r="CB99" s="282"/>
      <c r="CC99" s="495">
        <f t="shared" ref="CC99:CG99" si="285">CHOOSE($B$95,CC111,CC120,CC129)</f>
        <v>0.79063143324591689</v>
      </c>
      <c r="CD99" s="495">
        <f t="shared" si="285"/>
        <v>0.78924416503313088</v>
      </c>
      <c r="CE99" s="495">
        <f t="shared" si="285"/>
        <v>0.7922799287284279</v>
      </c>
      <c r="CF99" s="495">
        <f t="shared" si="285"/>
        <v>0.79917684130041178</v>
      </c>
      <c r="CG99" s="495">
        <f t="shared" si="285"/>
        <v>0.79296508645916552</v>
      </c>
      <c r="CH99" s="282"/>
      <c r="CI99" s="495">
        <f t="shared" ref="CI99:CM99" si="286">CHOOSE($B$95,CI111,CI120,CI129)</f>
        <v>0.79434675375659713</v>
      </c>
      <c r="CJ99" s="495">
        <f t="shared" si="286"/>
        <v>0.79249730775973959</v>
      </c>
      <c r="CK99" s="495">
        <f t="shared" si="286"/>
        <v>0.79456624932187925</v>
      </c>
      <c r="CL99" s="495">
        <f t="shared" si="286"/>
        <v>0.80008454062970624</v>
      </c>
      <c r="CM99" s="495">
        <f t="shared" si="286"/>
        <v>0.79545930189718672</v>
      </c>
      <c r="CN99" s="282"/>
      <c r="CO99" s="495">
        <f t="shared" ref="CO99:CS99" si="287">CHOOSE($B$95,CO111,CO120,CO129)</f>
        <v>0.79708061277834719</v>
      </c>
      <c r="CP99" s="495">
        <f t="shared" si="287"/>
        <v>0.79540079669170316</v>
      </c>
      <c r="CQ99" s="495">
        <f t="shared" si="287"/>
        <v>0.79816564081267749</v>
      </c>
      <c r="CR99" s="495">
        <f t="shared" si="287"/>
        <v>0.80284340467577986</v>
      </c>
      <c r="CS99" s="495">
        <f t="shared" si="287"/>
        <v>0.79845657237674017</v>
      </c>
      <c r="CT99" s="282"/>
      <c r="DA99" s="90"/>
      <c r="DB99" s="90"/>
      <c r="DC99" s="90"/>
      <c r="DD99" s="90"/>
    </row>
    <row r="100" spans="1:108" ht="12.75" customHeight="1" outlineLevel="1" x14ac:dyDescent="0.2">
      <c r="A100" s="113"/>
      <c r="B100" s="349" t="s">
        <v>270</v>
      </c>
      <c r="C100" s="471">
        <f t="shared" si="275"/>
        <v>0</v>
      </c>
      <c r="D100" s="471">
        <f t="shared" si="275"/>
        <v>0</v>
      </c>
      <c r="E100" s="471">
        <f t="shared" si="275"/>
        <v>0</v>
      </c>
      <c r="F100" s="471">
        <f t="shared" si="275"/>
        <v>0</v>
      </c>
      <c r="G100" s="471">
        <f t="shared" si="275"/>
        <v>0</v>
      </c>
      <c r="H100" s="282"/>
      <c r="I100" s="471">
        <f t="shared" si="276"/>
        <v>0</v>
      </c>
      <c r="J100" s="471">
        <f t="shared" si="276"/>
        <v>0</v>
      </c>
      <c r="K100" s="471">
        <f t="shared" si="276"/>
        <v>0</v>
      </c>
      <c r="L100" s="471">
        <f t="shared" si="276"/>
        <v>0</v>
      </c>
      <c r="M100" s="471">
        <f t="shared" si="276"/>
        <v>0</v>
      </c>
      <c r="N100" s="282"/>
      <c r="O100" s="471">
        <f t="shared" si="277"/>
        <v>0</v>
      </c>
      <c r="P100" s="471">
        <f t="shared" si="277"/>
        <v>0</v>
      </c>
      <c r="Q100" s="471">
        <f t="shared" si="277"/>
        <v>0</v>
      </c>
      <c r="R100" s="471">
        <f t="shared" si="277"/>
        <v>0</v>
      </c>
      <c r="S100" s="471">
        <f t="shared" si="277"/>
        <v>0</v>
      </c>
      <c r="T100" s="316"/>
      <c r="U100" s="471">
        <f t="shared" si="278"/>
        <v>0</v>
      </c>
      <c r="V100" s="471">
        <f t="shared" si="278"/>
        <v>0</v>
      </c>
      <c r="W100" s="471">
        <f t="shared" si="278"/>
        <v>0</v>
      </c>
      <c r="X100" s="471">
        <f t="shared" si="278"/>
        <v>0</v>
      </c>
      <c r="Y100" s="471">
        <f t="shared" si="278"/>
        <v>0</v>
      </c>
      <c r="Z100" s="316"/>
      <c r="AA100" s="471">
        <f>+AA52</f>
        <v>0</v>
      </c>
      <c r="AB100" s="471">
        <f>+AB52</f>
        <v>0</v>
      </c>
      <c r="AC100" s="471">
        <f t="shared" si="279"/>
        <v>0</v>
      </c>
      <c r="AD100" s="471">
        <f t="shared" si="279"/>
        <v>0.47154072620215898</v>
      </c>
      <c r="AE100" s="471">
        <f t="shared" si="279"/>
        <v>0.47154072620215898</v>
      </c>
      <c r="AF100" s="316"/>
      <c r="AG100" s="471">
        <f t="shared" si="270"/>
        <v>0.52784204843436677</v>
      </c>
      <c r="AH100" s="471">
        <f t="shared" si="270"/>
        <v>0.36512209190540273</v>
      </c>
      <c r="AI100" s="471">
        <f t="shared" si="270"/>
        <v>0.41794276875483372</v>
      </c>
      <c r="AJ100" s="471">
        <f>+AJ52</f>
        <v>0.43633369923161347</v>
      </c>
      <c r="AK100" s="471">
        <f>+AK52</f>
        <v>0.4407368198179123</v>
      </c>
      <c r="AL100" s="282"/>
      <c r="AM100" s="471">
        <f t="shared" si="280"/>
        <v>0.44966769330523582</v>
      </c>
      <c r="AN100" s="471">
        <f t="shared" si="280"/>
        <v>0.49134173636470735</v>
      </c>
      <c r="AO100" s="471">
        <f t="shared" si="280"/>
        <v>0.52126607319485652</v>
      </c>
      <c r="AP100" s="471">
        <f t="shared" si="280"/>
        <v>0.54441260744985676</v>
      </c>
      <c r="AQ100" s="471">
        <f t="shared" si="280"/>
        <v>0.50469567477983945</v>
      </c>
      <c r="AR100" s="282"/>
      <c r="AS100" s="471">
        <f t="shared" si="271"/>
        <v>0.57362869198312239</v>
      </c>
      <c r="AT100" s="471">
        <f t="shared" si="271"/>
        <v>0.57276638825613768</v>
      </c>
      <c r="AU100" s="471">
        <f t="shared" si="271"/>
        <v>0.56022575375018568</v>
      </c>
      <c r="AV100" s="471">
        <f t="shared" si="271"/>
        <v>0.54565475182110779</v>
      </c>
      <c r="AW100" s="471">
        <f t="shared" si="271"/>
        <v>0.56489439669531616</v>
      </c>
      <c r="AX100" s="282"/>
      <c r="AY100" s="471">
        <f t="shared" si="272"/>
        <v>0.52251212191179874</v>
      </c>
      <c r="AZ100" s="471">
        <f t="shared" si="272"/>
        <v>0.46557314514590886</v>
      </c>
      <c r="BA100" s="471">
        <f t="shared" si="272"/>
        <v>0.53167808219178081</v>
      </c>
      <c r="BB100" s="471">
        <f t="shared" si="272"/>
        <v>0.50311681272020958</v>
      </c>
      <c r="BC100" s="471">
        <f t="shared" si="272"/>
        <v>0.50627463744530032</v>
      </c>
      <c r="BD100" s="282"/>
      <c r="BE100" s="495">
        <f t="shared" si="273"/>
        <v>0.51744937526928048</v>
      </c>
      <c r="BF100" s="495">
        <f t="shared" si="273"/>
        <v>0.39252336448598124</v>
      </c>
      <c r="BG100" s="495">
        <f t="shared" si="273"/>
        <v>0.49618320610687022</v>
      </c>
      <c r="BH100" s="471">
        <f t="shared" si="273"/>
        <v>0.54330708661417326</v>
      </c>
      <c r="BI100" s="471">
        <f t="shared" si="273"/>
        <v>0.49069743269930366</v>
      </c>
      <c r="BJ100" s="282"/>
      <c r="BK100" s="495">
        <f>+BK52</f>
        <v>0.54032258064516125</v>
      </c>
      <c r="BL100" s="495">
        <f t="shared" ref="BL100:BM100" si="288">+BL52</f>
        <v>0.44444444444444442</v>
      </c>
      <c r="BM100" s="495">
        <f t="shared" si="288"/>
        <v>0.45299145299145294</v>
      </c>
      <c r="BN100" s="495">
        <f t="shared" ref="BN100:BO100" si="289">+BN52</f>
        <v>0.45238095238095233</v>
      </c>
      <c r="BO100" s="471">
        <f t="shared" si="289"/>
        <v>0.47261663286004063</v>
      </c>
      <c r="BP100" s="282"/>
      <c r="BQ100" s="495">
        <f>+BQ52</f>
        <v>0.40350877192982459</v>
      </c>
      <c r="BR100" s="495">
        <f>+BR52</f>
        <v>0.54729729729729737</v>
      </c>
      <c r="BS100" s="495">
        <f t="shared" si="283"/>
        <v>0.54729729729729737</v>
      </c>
      <c r="BT100" s="495">
        <f t="shared" si="283"/>
        <v>0.54729729729729737</v>
      </c>
      <c r="BU100" s="495">
        <f t="shared" si="283"/>
        <v>0.51403790419210926</v>
      </c>
      <c r="BV100" s="282"/>
      <c r="BW100" s="495">
        <f t="shared" si="284"/>
        <v>0.54729729729729737</v>
      </c>
      <c r="BX100" s="495">
        <f t="shared" si="284"/>
        <v>0.54729729729729737</v>
      </c>
      <c r="BY100" s="495">
        <f t="shared" si="284"/>
        <v>0.54729729729729737</v>
      </c>
      <c r="BZ100" s="495">
        <f t="shared" si="284"/>
        <v>0.54729729729729737</v>
      </c>
      <c r="CA100" s="495">
        <f t="shared" si="284"/>
        <v>0.54729729729729737</v>
      </c>
      <c r="CB100" s="282"/>
      <c r="CC100" s="495">
        <f t="shared" ref="CC100:CG100" si="290">CHOOSE($B$95,CC112,CC121,CC130)</f>
        <v>0.54729729729729737</v>
      </c>
      <c r="CD100" s="495">
        <f t="shared" si="290"/>
        <v>0.54729729729729737</v>
      </c>
      <c r="CE100" s="495">
        <f t="shared" si="290"/>
        <v>0.54729729729729737</v>
      </c>
      <c r="CF100" s="495">
        <f t="shared" si="290"/>
        <v>0.54729729729729737</v>
      </c>
      <c r="CG100" s="495">
        <f t="shared" si="290"/>
        <v>0.54729729729729737</v>
      </c>
      <c r="CH100" s="282"/>
      <c r="CI100" s="495">
        <f t="shared" ref="CI100:CM100" si="291">CHOOSE($B$95,CI112,CI121,CI130)</f>
        <v>0.54729729729729737</v>
      </c>
      <c r="CJ100" s="495">
        <f t="shared" si="291"/>
        <v>0.54729729729729737</v>
      </c>
      <c r="CK100" s="495">
        <f t="shared" si="291"/>
        <v>0.54729729729729737</v>
      </c>
      <c r="CL100" s="495">
        <f t="shared" si="291"/>
        <v>0.54729729729729737</v>
      </c>
      <c r="CM100" s="495">
        <f t="shared" si="291"/>
        <v>0.54729729729729737</v>
      </c>
      <c r="CN100" s="282"/>
      <c r="CO100" s="495">
        <f t="shared" ref="CO100:CS100" si="292">CHOOSE($B$95,CO112,CO121,CO130)</f>
        <v>0.54729729729729737</v>
      </c>
      <c r="CP100" s="495">
        <f t="shared" si="292"/>
        <v>0.54729729729729737</v>
      </c>
      <c r="CQ100" s="495">
        <f t="shared" si="292"/>
        <v>0.54729729729729737</v>
      </c>
      <c r="CR100" s="495">
        <f t="shared" si="292"/>
        <v>0.54729729729729737</v>
      </c>
      <c r="CS100" s="495">
        <f t="shared" si="292"/>
        <v>0.54729729729729737</v>
      </c>
      <c r="CT100" s="282"/>
      <c r="DA100" s="90"/>
      <c r="DB100" s="90"/>
      <c r="DC100" s="90"/>
      <c r="DD100" s="90"/>
    </row>
    <row r="101" spans="1:108" ht="12.75" customHeight="1" outlineLevel="1" x14ac:dyDescent="0.2">
      <c r="A101" s="113"/>
      <c r="B101" s="349"/>
      <c r="C101" s="471"/>
      <c r="D101" s="471"/>
      <c r="E101" s="471"/>
      <c r="F101" s="471"/>
      <c r="G101" s="471"/>
      <c r="H101" s="282"/>
      <c r="I101" s="471"/>
      <c r="J101" s="471"/>
      <c r="K101" s="471"/>
      <c r="L101" s="471"/>
      <c r="M101" s="471"/>
      <c r="N101" s="282"/>
      <c r="O101" s="471"/>
      <c r="P101" s="471"/>
      <c r="Q101" s="471"/>
      <c r="R101" s="471"/>
      <c r="S101" s="471"/>
      <c r="T101" s="90"/>
      <c r="U101" s="471"/>
      <c r="V101" s="471"/>
      <c r="W101" s="471"/>
      <c r="X101" s="471"/>
      <c r="Y101" s="471"/>
      <c r="Z101" s="90"/>
      <c r="AA101" s="471"/>
      <c r="AB101" s="471"/>
      <c r="AC101" s="471"/>
      <c r="AD101" s="471"/>
      <c r="AE101" s="471"/>
      <c r="AF101" s="90"/>
      <c r="AG101" s="471"/>
      <c r="AH101" s="471"/>
      <c r="AI101" s="471"/>
      <c r="AJ101" s="471"/>
      <c r="AK101" s="471"/>
      <c r="AL101" s="282"/>
      <c r="AM101" s="471"/>
      <c r="AN101" s="471"/>
      <c r="AO101" s="471"/>
      <c r="AP101" s="471"/>
      <c r="AQ101" s="471"/>
      <c r="AR101" s="282"/>
      <c r="AS101" s="471"/>
      <c r="AT101" s="471"/>
      <c r="AU101" s="471"/>
      <c r="AV101" s="471"/>
      <c r="AW101" s="471"/>
      <c r="AX101" s="282"/>
      <c r="AY101" s="471"/>
      <c r="AZ101" s="471"/>
      <c r="BA101" s="471"/>
      <c r="BB101" s="471"/>
      <c r="BC101" s="471"/>
      <c r="BD101" s="282"/>
      <c r="BE101" s="471"/>
      <c r="BF101" s="471"/>
      <c r="BG101" s="471"/>
      <c r="BH101" s="471"/>
      <c r="BI101" s="471"/>
      <c r="BJ101" s="282"/>
      <c r="BK101" s="471"/>
      <c r="BL101" s="471"/>
      <c r="BM101" s="471"/>
      <c r="BN101" s="471"/>
      <c r="BO101" s="471"/>
      <c r="BP101" s="282"/>
      <c r="BQ101" s="471"/>
      <c r="BR101" s="471"/>
      <c r="BS101" s="471"/>
      <c r="BT101" s="471"/>
      <c r="BU101" s="471"/>
      <c r="BV101" s="282"/>
      <c r="BW101" s="471"/>
      <c r="BX101" s="471"/>
      <c r="BY101" s="471"/>
      <c r="BZ101" s="471"/>
      <c r="CA101" s="471"/>
      <c r="CB101" s="282"/>
      <c r="CC101" s="471"/>
      <c r="CD101" s="471"/>
      <c r="CE101" s="471"/>
      <c r="CF101" s="471"/>
      <c r="CG101" s="471"/>
      <c r="CH101" s="282"/>
      <c r="CI101" s="471"/>
      <c r="CJ101" s="471"/>
      <c r="CK101" s="471"/>
      <c r="CL101" s="471"/>
      <c r="CM101" s="471"/>
      <c r="CN101" s="282"/>
      <c r="CO101" s="471"/>
      <c r="CP101" s="471"/>
      <c r="CQ101" s="471"/>
      <c r="CR101" s="471"/>
      <c r="CS101" s="471"/>
      <c r="CT101" s="282"/>
      <c r="DA101" s="90"/>
      <c r="DB101" s="90"/>
      <c r="DC101" s="90"/>
      <c r="DD101" s="90"/>
    </row>
    <row r="102" spans="1:108" ht="12.75" customHeight="1" outlineLevel="1" x14ac:dyDescent="0.2">
      <c r="A102" s="113"/>
      <c r="B102" s="349" t="s">
        <v>84</v>
      </c>
      <c r="C102" s="471">
        <f t="shared" ref="C102:G103" si="293">CHOOSE($B$95,C114,C123,C132)</f>
        <v>0.78242852458038936</v>
      </c>
      <c r="D102" s="471">
        <f t="shared" si="293"/>
        <v>0.66689107311161977</v>
      </c>
      <c r="E102" s="471">
        <f t="shared" si="293"/>
        <v>0.55870148889431293</v>
      </c>
      <c r="F102" s="471">
        <f t="shared" si="293"/>
        <v>0.54468094463256955</v>
      </c>
      <c r="G102" s="471">
        <f t="shared" si="293"/>
        <v>0.62797372809083163</v>
      </c>
      <c r="H102" s="282"/>
      <c r="I102" s="471">
        <f t="shared" ref="I102:M103" si="294">CHOOSE($B$95,I114,I123,I132)</f>
        <v>0.53919943645630464</v>
      </c>
      <c r="J102" s="471">
        <f t="shared" si="294"/>
        <v>0.48123083430263303</v>
      </c>
      <c r="K102" s="471">
        <f t="shared" si="294"/>
        <v>0.5045090261474946</v>
      </c>
      <c r="L102" s="471">
        <f t="shared" si="294"/>
        <v>7.4569405361946881E-2</v>
      </c>
      <c r="M102" s="471">
        <f t="shared" si="294"/>
        <v>0.38589161420775886</v>
      </c>
      <c r="N102" s="282"/>
      <c r="O102" s="471">
        <f t="shared" ref="O102:S103" si="295">CHOOSE($B$95,O114,O123,O132)</f>
        <v>6.2531265632816399E-2</v>
      </c>
      <c r="P102" s="471">
        <f t="shared" si="295"/>
        <v>5.4971888698303793E-2</v>
      </c>
      <c r="Q102" s="471">
        <f t="shared" si="295"/>
        <v>5.2501415677618422E-2</v>
      </c>
      <c r="R102" s="471">
        <f t="shared" si="295"/>
        <v>5.0895107982202405E-2</v>
      </c>
      <c r="S102" s="471">
        <f t="shared" si="295"/>
        <v>5.486223191344055E-2</v>
      </c>
      <c r="T102" s="90"/>
      <c r="U102" s="471">
        <f t="shared" ref="U102:Y103" si="296">CHOOSE($B$95,U114,U123,U132)</f>
        <v>6.6680764079791358E-2</v>
      </c>
      <c r="V102" s="471">
        <f t="shared" si="296"/>
        <v>5.4533890996895484E-2</v>
      </c>
      <c r="W102" s="471">
        <f t="shared" si="296"/>
        <v>6.4791368490586809E-2</v>
      </c>
      <c r="X102" s="471">
        <f t="shared" si="296"/>
        <v>5.5925815518269306E-2</v>
      </c>
      <c r="Y102" s="471">
        <f t="shared" si="296"/>
        <v>6.0314685314685305E-2</v>
      </c>
      <c r="Z102" s="90"/>
      <c r="AA102" s="471">
        <f t="shared" ref="AA102:AE103" si="297">CHOOSE($B$95,AA114,AA123,AA132)</f>
        <v>6.2727252933876196E-2</v>
      </c>
      <c r="AB102" s="471">
        <f t="shared" si="297"/>
        <v>6.065312624452409E-2</v>
      </c>
      <c r="AC102" s="471">
        <f t="shared" si="297"/>
        <v>6.5123957254771714E-2</v>
      </c>
      <c r="AD102" s="471">
        <f t="shared" si="297"/>
        <v>8.5930808475775514E-2</v>
      </c>
      <c r="AE102" s="471">
        <f t="shared" si="297"/>
        <v>6.9017916654231432E-2</v>
      </c>
      <c r="AF102" s="90"/>
      <c r="AG102" s="471">
        <f t="shared" ref="AG102:AK103" si="298">CHOOSE($B$95,AG114,AG123,AG132)</f>
        <v>7.7001774526491151E-2</v>
      </c>
      <c r="AH102" s="471">
        <f t="shared" si="298"/>
        <v>8.3404581022872543E-2</v>
      </c>
      <c r="AI102" s="471">
        <f t="shared" si="298"/>
        <v>9.0563042757961745E-2</v>
      </c>
      <c r="AJ102" s="471">
        <f t="shared" si="298"/>
        <v>9.1332305493926971E-2</v>
      </c>
      <c r="AK102" s="471">
        <f t="shared" si="298"/>
        <v>8.5976955877460917E-2</v>
      </c>
      <c r="AL102" s="282"/>
      <c r="AM102" s="471">
        <f t="shared" ref="AM102:AQ103" si="299">CHOOSE($B$95,AM114,AM123,AM132)</f>
        <v>8.5433575395130287E-2</v>
      </c>
      <c r="AN102" s="471">
        <f t="shared" si="299"/>
        <v>9.4588976800321856E-2</v>
      </c>
      <c r="AO102" s="471">
        <f t="shared" si="299"/>
        <v>8.6533053837108243E-2</v>
      </c>
      <c r="AP102" s="471">
        <f t="shared" si="299"/>
        <v>8.3743021893450328E-2</v>
      </c>
      <c r="AQ102" s="471">
        <f t="shared" si="299"/>
        <v>8.7460960752815314E-2</v>
      </c>
      <c r="AR102" s="282"/>
      <c r="AS102" s="471">
        <f t="shared" ref="AS102:AW103" si="300">CHOOSE($B$95,AS114,AS123,AS132)</f>
        <v>8.2991302286298502E-2</v>
      </c>
      <c r="AT102" s="471">
        <f t="shared" si="300"/>
        <v>8.2980495932568857E-2</v>
      </c>
      <c r="AU102" s="471">
        <f t="shared" si="300"/>
        <v>5.2120006122761374E-2</v>
      </c>
      <c r="AV102" s="471">
        <f t="shared" si="300"/>
        <v>0.10652928244113051</v>
      </c>
      <c r="AW102" s="471">
        <f t="shared" si="300"/>
        <v>8.1441399303021286E-2</v>
      </c>
      <c r="AX102" s="282"/>
      <c r="AY102" s="471">
        <f>CHOOSE($B$95,AY114,AY123,AY132)</f>
        <v>0.13346600567411171</v>
      </c>
      <c r="AZ102" s="471">
        <f>CHOOSE($B$95,AZ114,AZ123,AZ132)</f>
        <v>9.4504672086250574E-2</v>
      </c>
      <c r="BA102" s="471">
        <f t="shared" ref="BA102:BC103" si="301">CHOOSE($B$95,BA114,BA123,BA132)</f>
        <v>8.900186126621662E-2</v>
      </c>
      <c r="BB102" s="471">
        <f t="shared" si="301"/>
        <v>9.743307239912459E-2</v>
      </c>
      <c r="BC102" s="471">
        <f t="shared" si="301"/>
        <v>0.10300116251184951</v>
      </c>
      <c r="BD102" s="282"/>
      <c r="BE102" s="471">
        <f t="shared" ref="BE102:BI103" si="302">CHOOSE($B$95,BE114,BE123,BE132)</f>
        <v>9.371694170466896E-2</v>
      </c>
      <c r="BF102" s="471">
        <f t="shared" si="302"/>
        <v>8.5881663891198237E-2</v>
      </c>
      <c r="BG102" s="471">
        <f t="shared" si="302"/>
        <v>8.9755288996393109E-2</v>
      </c>
      <c r="BH102" s="471">
        <f t="shared" si="302"/>
        <v>0.10402144772117961</v>
      </c>
      <c r="BI102" s="471">
        <f t="shared" si="302"/>
        <v>9.3256033227673521E-2</v>
      </c>
      <c r="BJ102" s="282"/>
      <c r="BK102" s="471">
        <f>CHOOSE($B$95,BK114,BK123,BK132)</f>
        <v>0.108165236822963</v>
      </c>
      <c r="BL102" s="471">
        <f t="shared" ref="BL102:BM102" si="303">CHOOSE($B$95,BL114,BL123,BL132)</f>
        <v>9.4123942570837948E-2</v>
      </c>
      <c r="BM102" s="471">
        <f t="shared" si="303"/>
        <v>8.887258143291292E-2</v>
      </c>
      <c r="BN102" s="471">
        <f t="shared" ref="BN102:BO102" si="304">CHOOSE($B$95,BN114,BN123,BN132)</f>
        <v>9.2786616599477512E-2</v>
      </c>
      <c r="BO102" s="471">
        <f t="shared" si="304"/>
        <v>9.566690856796875E-2</v>
      </c>
      <c r="BP102" s="282"/>
      <c r="BQ102" s="471">
        <f>CHOOSE($B$95,BQ114,BQ123,BQ132)</f>
        <v>9.2547002667294057E-2</v>
      </c>
      <c r="BR102" s="471">
        <f t="shared" ref="BR102:BU103" si="305">CHOOSE($B$95,BR114,BR123,BR132)</f>
        <v>8.5577868707027674E-2</v>
      </c>
      <c r="BS102" s="471">
        <f t="shared" si="305"/>
        <v>0.09</v>
      </c>
      <c r="BT102" s="471">
        <f t="shared" si="305"/>
        <v>0.09</v>
      </c>
      <c r="BU102" s="471">
        <f t="shared" si="305"/>
        <v>8.9515805999513184E-2</v>
      </c>
      <c r="BV102" s="282"/>
      <c r="BW102" s="471">
        <f t="shared" ref="BW102:CA103" si="306">CHOOSE($B$95,BW114,BW123,BW132)</f>
        <v>9.1547002667294056E-2</v>
      </c>
      <c r="BX102" s="471">
        <f t="shared" si="306"/>
        <v>8.4577868707027673E-2</v>
      </c>
      <c r="BY102" s="471">
        <f t="shared" si="306"/>
        <v>8.8999999999999996E-2</v>
      </c>
      <c r="BZ102" s="471">
        <f t="shared" si="306"/>
        <v>8.8999999999999996E-2</v>
      </c>
      <c r="CA102" s="471">
        <f t="shared" si="306"/>
        <v>8.8500273866372922E-2</v>
      </c>
      <c r="CB102" s="282"/>
      <c r="CC102" s="471">
        <f t="shared" ref="CC102:CG102" si="307">CHOOSE($B$95,CC114,CC123,CC132)</f>
        <v>9.0547002667294055E-2</v>
      </c>
      <c r="CD102" s="471">
        <f t="shared" si="307"/>
        <v>8.3577868707027672E-2</v>
      </c>
      <c r="CE102" s="471">
        <f t="shared" si="307"/>
        <v>8.7999999999999995E-2</v>
      </c>
      <c r="CF102" s="471">
        <f t="shared" si="307"/>
        <v>8.7999999999999995E-2</v>
      </c>
      <c r="CG102" s="471">
        <f t="shared" si="307"/>
        <v>8.7493091175691554E-2</v>
      </c>
      <c r="CH102" s="282"/>
      <c r="CI102" s="471">
        <f t="shared" ref="CI102:CM102" si="308">CHOOSE($B$95,CI114,CI123,CI132)</f>
        <v>8.9547002667294054E-2</v>
      </c>
      <c r="CJ102" s="471">
        <f t="shared" si="308"/>
        <v>8.2577868707027671E-2</v>
      </c>
      <c r="CK102" s="471">
        <f t="shared" si="308"/>
        <v>8.6999999999999994E-2</v>
      </c>
      <c r="CL102" s="471">
        <f t="shared" si="308"/>
        <v>8.6999999999999994E-2</v>
      </c>
      <c r="CM102" s="471">
        <f t="shared" si="308"/>
        <v>8.6489277220284072E-2</v>
      </c>
      <c r="CN102" s="282"/>
      <c r="CO102" s="471">
        <f t="shared" ref="CO102:CS102" si="309">CHOOSE($B$95,CO114,CO123,CO132)</f>
        <v>8.8547002667294053E-2</v>
      </c>
      <c r="CP102" s="471">
        <f t="shared" si="309"/>
        <v>8.157786870702767E-2</v>
      </c>
      <c r="CQ102" s="471">
        <f t="shared" si="309"/>
        <v>8.5999999999999993E-2</v>
      </c>
      <c r="CR102" s="471">
        <f t="shared" si="309"/>
        <v>8.5999999999999993E-2</v>
      </c>
      <c r="CS102" s="471">
        <f t="shared" si="309"/>
        <v>8.5481529930803407E-2</v>
      </c>
      <c r="CT102" s="282"/>
      <c r="DA102" s="90"/>
      <c r="DB102" s="90"/>
      <c r="DC102" s="90"/>
      <c r="DD102" s="90"/>
    </row>
    <row r="103" spans="1:108" ht="12.75" customHeight="1" outlineLevel="1" x14ac:dyDescent="0.2">
      <c r="A103" s="113"/>
      <c r="B103" s="349" t="s">
        <v>272</v>
      </c>
      <c r="C103" s="471">
        <f t="shared" si="293"/>
        <v>0.42312852159914138</v>
      </c>
      <c r="D103" s="471">
        <f t="shared" si="293"/>
        <v>0.43651541672276833</v>
      </c>
      <c r="E103" s="471">
        <f t="shared" si="293"/>
        <v>0.47827678789358063</v>
      </c>
      <c r="F103" s="471">
        <f t="shared" si="293"/>
        <v>0.55787413694533616</v>
      </c>
      <c r="G103" s="471">
        <f t="shared" si="293"/>
        <v>0.47967236485368431</v>
      </c>
      <c r="H103" s="282"/>
      <c r="I103" s="471">
        <f t="shared" si="294"/>
        <v>0.54879211038826503</v>
      </c>
      <c r="J103" s="471">
        <f t="shared" si="294"/>
        <v>0.5372034824292411</v>
      </c>
      <c r="K103" s="471">
        <f t="shared" si="294"/>
        <v>0.48825386545778354</v>
      </c>
      <c r="L103" s="471">
        <f t="shared" si="294"/>
        <v>0.48914623210365199</v>
      </c>
      <c r="M103" s="471">
        <f t="shared" si="294"/>
        <v>0.51312804870145301</v>
      </c>
      <c r="N103" s="282"/>
      <c r="O103" s="471">
        <f t="shared" si="295"/>
        <v>0.46324590866862003</v>
      </c>
      <c r="P103" s="471">
        <f t="shared" si="295"/>
        <v>0.41642843529635987</v>
      </c>
      <c r="Q103" s="471">
        <f t="shared" si="295"/>
        <v>0.41021136933584496</v>
      </c>
      <c r="R103" s="471">
        <f t="shared" si="295"/>
        <v>0.41841796489271488</v>
      </c>
      <c r="S103" s="471">
        <f t="shared" si="295"/>
        <v>0.42533695529006793</v>
      </c>
      <c r="T103" s="90"/>
      <c r="U103" s="471">
        <f t="shared" si="296"/>
        <v>0.45431263363172852</v>
      </c>
      <c r="V103" s="471">
        <f t="shared" si="296"/>
        <v>0.4538634011728182</v>
      </c>
      <c r="W103" s="471">
        <f t="shared" si="296"/>
        <v>0.44963117912583955</v>
      </c>
      <c r="X103" s="471">
        <f t="shared" si="296"/>
        <v>0.42370752065411788</v>
      </c>
      <c r="Y103" s="471">
        <f t="shared" si="296"/>
        <v>0.44509827711720451</v>
      </c>
      <c r="Z103" s="90"/>
      <c r="AA103" s="471">
        <f t="shared" si="297"/>
        <v>0.42994622134163596</v>
      </c>
      <c r="AB103" s="471">
        <f t="shared" si="297"/>
        <v>0.43524492234169654</v>
      </c>
      <c r="AC103" s="471">
        <f t="shared" si="297"/>
        <v>0.41758649657139513</v>
      </c>
      <c r="AD103" s="471">
        <f t="shared" si="297"/>
        <v>0.40852977320969724</v>
      </c>
      <c r="AE103" s="471">
        <f t="shared" si="297"/>
        <v>0.4224017866913381</v>
      </c>
      <c r="AF103" s="90"/>
      <c r="AG103" s="471">
        <f t="shared" si="298"/>
        <v>0.41750262557491036</v>
      </c>
      <c r="AH103" s="471">
        <f t="shared" si="298"/>
        <v>0.41515825129670791</v>
      </c>
      <c r="AI103" s="471">
        <f t="shared" si="298"/>
        <v>0.42149225209397667</v>
      </c>
      <c r="AJ103" s="471">
        <f t="shared" si="298"/>
        <v>0.42554807656150112</v>
      </c>
      <c r="AK103" s="471">
        <f t="shared" si="298"/>
        <v>0.42012278102035266</v>
      </c>
      <c r="AL103" s="282"/>
      <c r="AM103" s="471">
        <f t="shared" si="299"/>
        <v>0.42063295787525196</v>
      </c>
      <c r="AN103" s="471">
        <f t="shared" si="299"/>
        <v>0.39937642483572489</v>
      </c>
      <c r="AO103" s="471">
        <f t="shared" si="299"/>
        <v>0.41212485300884505</v>
      </c>
      <c r="AP103" s="471">
        <f t="shared" si="299"/>
        <v>0.41090996806726549</v>
      </c>
      <c r="AQ103" s="471">
        <f t="shared" si="299"/>
        <v>0.41053060758523402</v>
      </c>
      <c r="AR103" s="282"/>
      <c r="AS103" s="471">
        <f t="shared" si="300"/>
        <v>0.38168689218489921</v>
      </c>
      <c r="AT103" s="471">
        <f t="shared" si="300"/>
        <v>0.37982456140350879</v>
      </c>
      <c r="AU103" s="471">
        <f t="shared" si="300"/>
        <v>0.4272156742690954</v>
      </c>
      <c r="AV103" s="471">
        <f t="shared" si="300"/>
        <v>0.43144120997006852</v>
      </c>
      <c r="AW103" s="471">
        <f t="shared" si="300"/>
        <v>0.4039688209957133</v>
      </c>
      <c r="AX103" s="282"/>
      <c r="AY103" s="471">
        <f>CHOOSE($B$95,AY115,AY124,AY133)</f>
        <v>0.48667057576242179</v>
      </c>
      <c r="AZ103" s="471">
        <f>CHOOSE($B$95,AZ115,AZ124,AZ133)</f>
        <v>0.46273990878178667</v>
      </c>
      <c r="BA103" s="471">
        <f t="shared" si="301"/>
        <v>0.45244881517904267</v>
      </c>
      <c r="BB103" s="471">
        <f t="shared" si="301"/>
        <v>0.45135212457324214</v>
      </c>
      <c r="BC103" s="471">
        <f t="shared" si="301"/>
        <v>0.46277572213664492</v>
      </c>
      <c r="BD103" s="282"/>
      <c r="BE103" s="471">
        <f t="shared" si="302"/>
        <v>0.45441819407961587</v>
      </c>
      <c r="BF103" s="471">
        <f t="shared" si="302"/>
        <v>0.45372421224446291</v>
      </c>
      <c r="BG103" s="471">
        <f t="shared" si="302"/>
        <v>0.45874925487045376</v>
      </c>
      <c r="BH103" s="471">
        <f t="shared" si="302"/>
        <v>0.47238605898123315</v>
      </c>
      <c r="BI103" s="471">
        <f t="shared" si="302"/>
        <v>0.4597801012334517</v>
      </c>
      <c r="BJ103" s="282"/>
      <c r="BK103" s="471">
        <f>CHOOSE($B$95,BK115,BK124,BK133)</f>
        <v>0.54476970837398553</v>
      </c>
      <c r="BL103" s="471">
        <f t="shared" ref="BL103:BM103" si="310">CHOOSE($B$95,BL115,BL124,BL133)</f>
        <v>0.55965587474552292</v>
      </c>
      <c r="BM103" s="471">
        <f t="shared" si="310"/>
        <v>0.5642139312683786</v>
      </c>
      <c r="BN103" s="471">
        <f t="shared" ref="BN103:BO103" si="311">CHOOSE($B$95,BN115,BN124,BN133)</f>
        <v>0.55572199404203193</v>
      </c>
      <c r="BO103" s="471">
        <f t="shared" si="311"/>
        <v>0.55637177720016495</v>
      </c>
      <c r="BP103" s="282"/>
      <c r="BQ103" s="471">
        <f>CHOOSE($B$95,BQ115,BQ124,BQ133)</f>
        <v>0.55160116930676972</v>
      </c>
      <c r="BR103" s="471">
        <f t="shared" si="305"/>
        <v>0.5402747373793072</v>
      </c>
      <c r="BS103" s="471">
        <f t="shared" si="305"/>
        <v>0.55000000000000004</v>
      </c>
      <c r="BT103" s="471">
        <f t="shared" si="305"/>
        <v>0.55000000000000004</v>
      </c>
      <c r="BU103" s="471">
        <f t="shared" si="305"/>
        <v>0.54794870949453178</v>
      </c>
      <c r="BV103" s="282"/>
      <c r="BW103" s="471">
        <f t="shared" si="306"/>
        <v>0.53860116930676971</v>
      </c>
      <c r="BX103" s="471">
        <f t="shared" si="306"/>
        <v>0.52727473737930719</v>
      </c>
      <c r="BY103" s="471">
        <f t="shared" si="306"/>
        <v>0.53700000000000003</v>
      </c>
      <c r="BZ103" s="471">
        <f t="shared" si="306"/>
        <v>0.53700000000000003</v>
      </c>
      <c r="CA103" s="471">
        <f t="shared" si="306"/>
        <v>0.53494603908560168</v>
      </c>
      <c r="CB103" s="282"/>
      <c r="CC103" s="471">
        <f t="shared" ref="CC103:CG103" si="312">CHOOSE($B$95,CC115,CC124,CC133)</f>
        <v>0.53760116930676971</v>
      </c>
      <c r="CD103" s="471">
        <f t="shared" si="312"/>
        <v>0.52627473737930719</v>
      </c>
      <c r="CE103" s="471">
        <f t="shared" si="312"/>
        <v>0.53600000000000003</v>
      </c>
      <c r="CF103" s="471">
        <f t="shared" si="312"/>
        <v>0.53600000000000003</v>
      </c>
      <c r="CG103" s="471">
        <f t="shared" si="312"/>
        <v>0.53393950835367054</v>
      </c>
      <c r="CH103" s="282"/>
      <c r="CI103" s="471">
        <f t="shared" ref="CI103:CM103" si="313">CHOOSE($B$95,CI115,CI124,CI133)</f>
        <v>0.53660116930676971</v>
      </c>
      <c r="CJ103" s="471">
        <f t="shared" si="313"/>
        <v>0.52527473737930719</v>
      </c>
      <c r="CK103" s="471">
        <f t="shared" si="313"/>
        <v>0.53500000000000003</v>
      </c>
      <c r="CL103" s="471">
        <f t="shared" si="313"/>
        <v>0.53500000000000003</v>
      </c>
      <c r="CM103" s="471">
        <f t="shared" si="313"/>
        <v>0.53293095550817648</v>
      </c>
      <c r="CN103" s="282"/>
      <c r="CO103" s="471">
        <f t="shared" ref="CO103:CS103" si="314">CHOOSE($B$95,CO115,CO124,CO133)</f>
        <v>0.53560116930676971</v>
      </c>
      <c r="CP103" s="471">
        <f t="shared" si="314"/>
        <v>0.52427473737930719</v>
      </c>
      <c r="CQ103" s="471">
        <f t="shared" si="314"/>
        <v>0.53400000000000003</v>
      </c>
      <c r="CR103" s="471">
        <f t="shared" si="314"/>
        <v>0.53400000000000003</v>
      </c>
      <c r="CS103" s="471">
        <f t="shared" si="314"/>
        <v>0.53191588053775218</v>
      </c>
      <c r="CT103" s="282"/>
      <c r="DA103" s="90"/>
      <c r="DB103" s="90"/>
      <c r="DC103" s="90"/>
      <c r="DD103" s="90"/>
    </row>
    <row r="104" spans="1:108" ht="12.75" customHeight="1" outlineLevel="1" x14ac:dyDescent="0.2">
      <c r="A104" s="43"/>
      <c r="B104" s="98"/>
      <c r="C104" s="98"/>
      <c r="D104" s="98"/>
      <c r="E104" s="98"/>
      <c r="F104" s="98"/>
      <c r="G104" s="98"/>
      <c r="H104" s="90"/>
      <c r="I104" s="98"/>
      <c r="J104" s="98"/>
      <c r="K104" s="98"/>
      <c r="L104" s="98"/>
      <c r="M104" s="98"/>
      <c r="N104" s="90"/>
      <c r="O104" s="98"/>
      <c r="P104" s="98"/>
      <c r="Q104" s="98"/>
      <c r="R104" s="98"/>
      <c r="S104" s="98"/>
      <c r="T104" s="90"/>
      <c r="U104" s="98"/>
      <c r="V104" s="98"/>
      <c r="W104" s="98"/>
      <c r="X104" s="98"/>
      <c r="Y104" s="98"/>
      <c r="Z104" s="90"/>
      <c r="AA104" s="98"/>
      <c r="AB104" s="98"/>
      <c r="AC104" s="98"/>
      <c r="AD104" s="98"/>
      <c r="AE104" s="98"/>
      <c r="AF104" s="90"/>
      <c r="AG104" s="98"/>
      <c r="AH104" s="98"/>
      <c r="AI104" s="98"/>
      <c r="AJ104" s="98"/>
      <c r="AK104" s="98"/>
      <c r="AL104" s="90"/>
      <c r="AM104" s="98"/>
      <c r="AN104" s="98"/>
      <c r="AO104" s="98"/>
      <c r="AP104" s="98"/>
      <c r="AQ104" s="98"/>
      <c r="AR104" s="90"/>
      <c r="AS104" s="98"/>
      <c r="AT104" s="98"/>
      <c r="AU104" s="98"/>
      <c r="AV104" s="98"/>
      <c r="AW104" s="98"/>
      <c r="AX104" s="90"/>
      <c r="AY104" s="98"/>
      <c r="AZ104" s="98"/>
      <c r="BA104" s="98"/>
      <c r="BB104" s="98"/>
      <c r="BC104" s="98"/>
      <c r="BD104" s="90"/>
      <c r="BE104" s="98"/>
      <c r="BF104" s="98"/>
      <c r="BG104" s="98"/>
      <c r="BH104" s="98"/>
      <c r="BI104" s="98"/>
      <c r="BJ104" s="90"/>
      <c r="BK104" s="98"/>
      <c r="BL104" s="98"/>
      <c r="BM104" s="98"/>
      <c r="BN104" s="98"/>
      <c r="BO104" s="98"/>
      <c r="BP104" s="90"/>
      <c r="BQ104" s="98"/>
      <c r="BR104" s="98"/>
      <c r="BS104" s="98"/>
      <c r="BT104" s="98"/>
      <c r="BU104" s="98"/>
      <c r="BV104" s="90"/>
      <c r="BW104" s="98"/>
      <c r="BX104" s="98"/>
      <c r="BY104" s="98"/>
      <c r="BZ104" s="98"/>
      <c r="CA104" s="98"/>
      <c r="CB104" s="90"/>
      <c r="CC104" s="98"/>
      <c r="CD104" s="98"/>
      <c r="CE104" s="98"/>
      <c r="CF104" s="98"/>
      <c r="CG104" s="98"/>
      <c r="CH104" s="90"/>
      <c r="CI104" s="98"/>
      <c r="CJ104" s="98"/>
      <c r="CK104" s="98"/>
      <c r="CL104" s="98"/>
      <c r="CM104" s="98"/>
      <c r="CN104" s="90"/>
      <c r="CO104" s="98"/>
      <c r="CP104" s="98"/>
      <c r="CQ104" s="98"/>
      <c r="CR104" s="98"/>
      <c r="CS104" s="98"/>
      <c r="CT104" s="90"/>
      <c r="DA104" s="90"/>
      <c r="DB104" s="90"/>
      <c r="DC104" s="90"/>
      <c r="DD104" s="90"/>
    </row>
    <row r="105" spans="1:108" ht="12.75" customHeight="1" outlineLevel="1" x14ac:dyDescent="0.2">
      <c r="A105" s="43"/>
      <c r="B105" s="117" t="s">
        <v>228</v>
      </c>
      <c r="C105" s="469"/>
      <c r="D105" s="469"/>
      <c r="E105" s="469"/>
      <c r="F105" s="469"/>
      <c r="G105" s="469"/>
      <c r="H105" s="282"/>
      <c r="I105" s="469">
        <f>I98-C98</f>
        <v>8.965981529735334E-2</v>
      </c>
      <c r="J105" s="469">
        <f>J98-D98</f>
        <v>6.7221022010402143E-2</v>
      </c>
      <c r="K105" s="469">
        <f>K98-E98</f>
        <v>5.1158932438199689E-2</v>
      </c>
      <c r="L105" s="469">
        <f>L98-F98</f>
        <v>2.7218354537444811E-2</v>
      </c>
      <c r="M105" s="469">
        <f>M98-G98</f>
        <v>5.6380885149636462E-2</v>
      </c>
      <c r="N105" s="282"/>
      <c r="O105" s="469">
        <f>O98-I98</f>
        <v>1.2043224671573038E-2</v>
      </c>
      <c r="P105" s="469">
        <f>P98-J98</f>
        <v>3.7837650961402014E-3</v>
      </c>
      <c r="Q105" s="469">
        <f>Q98-K98</f>
        <v>3.9780757885901075E-3</v>
      </c>
      <c r="R105" s="469">
        <f>R98-L98</f>
        <v>1.0000614895498972E-2</v>
      </c>
      <c r="S105" s="469">
        <f>S98-M98</f>
        <v>7.2162253538157195E-3</v>
      </c>
      <c r="T105" s="90"/>
      <c r="U105" s="469">
        <f>U98-O98</f>
        <v>9.972453089232447E-3</v>
      </c>
      <c r="V105" s="469">
        <f>V98-P98</f>
        <v>1.2271871891446295E-2</v>
      </c>
      <c r="W105" s="469">
        <f>W98-Q98</f>
        <v>1.0018979654988658E-2</v>
      </c>
      <c r="X105" s="469">
        <f>X98-R98</f>
        <v>1.0049074418765902E-2</v>
      </c>
      <c r="Y105" s="469">
        <f>Y98-S98</f>
        <v>1.0388235495109921E-2</v>
      </c>
      <c r="Z105" s="90"/>
      <c r="AA105" s="469">
        <f>AA98-U98</f>
        <v>1.0084854283470501E-2</v>
      </c>
      <c r="AB105" s="469">
        <f>AB98-V98</f>
        <v>-4.6222200104972799E-4</v>
      </c>
      <c r="AC105" s="469">
        <f>AC98-W98</f>
        <v>1.1035897262814287E-2</v>
      </c>
      <c r="AD105" s="469">
        <f>AD98-X98</f>
        <v>3.2919296903052286E-3</v>
      </c>
      <c r="AE105" s="469">
        <f>AE98-Y98</f>
        <v>5.9387141162463575E-3</v>
      </c>
      <c r="AF105" s="90"/>
      <c r="AG105" s="469">
        <f>AG98-AA98</f>
        <v>-1.0150481265110978E-2</v>
      </c>
      <c r="AH105" s="469">
        <f>AH98-AB98</f>
        <v>-1.1301874945393919E-2</v>
      </c>
      <c r="AI105" s="469">
        <f>AI98-AC98</f>
        <v>-2.400248059366572E-2</v>
      </c>
      <c r="AJ105" s="469">
        <f>AJ98-AD98</f>
        <v>-1.0901944910156613E-2</v>
      </c>
      <c r="AK105" s="469">
        <f>AK98-AE98</f>
        <v>-1.4179869244679066E-2</v>
      </c>
      <c r="AL105" s="282"/>
      <c r="AM105" s="469">
        <f>AM98-AG98</f>
        <v>1.6873987543830626E-4</v>
      </c>
      <c r="AN105" s="469">
        <f>AN98-AH98</f>
        <v>-2.0902203529280516E-3</v>
      </c>
      <c r="AO105" s="469">
        <f>AO98-AI98</f>
        <v>2.7978327651110302E-3</v>
      </c>
      <c r="AP105" s="469">
        <f>AP98-AJ98</f>
        <v>7.2791067001476417E-4</v>
      </c>
      <c r="AQ105" s="469">
        <f>AQ98-AK98</f>
        <v>5.119789474198333E-4</v>
      </c>
      <c r="AR105" s="282"/>
      <c r="AS105" s="469">
        <f>AS98-AM98</f>
        <v>3.998932347976436E-3</v>
      </c>
      <c r="AT105" s="469">
        <f>AT98-AN98</f>
        <v>5.2689193073777174E-3</v>
      </c>
      <c r="AU105" s="469">
        <f>AU98-AO98</f>
        <v>-1.3199384592562979E-2</v>
      </c>
      <c r="AV105" s="469">
        <f>AV98-AP98</f>
        <v>-3.7347600428307093E-2</v>
      </c>
      <c r="AW105" s="469">
        <f>AW98-AQ98</f>
        <v>-9.9310792324744934E-3</v>
      </c>
      <c r="AX105" s="282"/>
      <c r="AY105" s="469">
        <f>AY98-AS98</f>
        <v>-8.0648336618799554E-2</v>
      </c>
      <c r="AZ105" s="469">
        <f>AZ98-AT98</f>
        <v>-7.7223468378965099E-2</v>
      </c>
      <c r="BA105" s="469">
        <f>BA98-AU98</f>
        <v>-5.849223406992865E-2</v>
      </c>
      <c r="BB105" s="469">
        <f>BB98-AV98</f>
        <v>-3.3380063350119671E-2</v>
      </c>
      <c r="BC105" s="469">
        <f>BC98-AW98</f>
        <v>-6.2838176034777149E-2</v>
      </c>
      <c r="BD105" s="282"/>
      <c r="BE105" s="469">
        <f>BE98-AY98</f>
        <v>7.6248765457910261E-3</v>
      </c>
      <c r="BF105" s="469">
        <f>BF98-AZ98</f>
        <v>-4.7689826795173085E-3</v>
      </c>
      <c r="BG105" s="469">
        <f>BG98-BA98</f>
        <v>-9.3590803582674909E-3</v>
      </c>
      <c r="BH105" s="469">
        <f>BH98-BB98</f>
        <v>-1.6977740716939915E-2</v>
      </c>
      <c r="BI105" s="469">
        <f>BI98-BC98</f>
        <v>-6.0484995783802731E-3</v>
      </c>
      <c r="BJ105" s="282"/>
      <c r="BK105" s="469">
        <f>BK98-BE98</f>
        <v>-2.6468175228823165E-2</v>
      </c>
      <c r="BL105" s="469">
        <f>BL98-BF98</f>
        <v>-1.584953723129745E-2</v>
      </c>
      <c r="BM105" s="469">
        <f>BM98-BG98</f>
        <v>-1.3970930004718385E-2</v>
      </c>
      <c r="BN105" s="469">
        <f>BN98-BH98</f>
        <v>2.4647813942146879E-3</v>
      </c>
      <c r="BO105" s="469">
        <f>BO98-BI98</f>
        <v>-1.3261138198114364E-2</v>
      </c>
      <c r="BP105" s="282"/>
      <c r="BQ105" s="469">
        <f>BQ98-BK98</f>
        <v>-7.6491086278407394E-4</v>
      </c>
      <c r="BR105" s="469">
        <f>BR98-BL98</f>
        <v>-2.9975601548098973E-3</v>
      </c>
      <c r="BS105" s="469">
        <f>BS98-BM98</f>
        <v>-2.3209577284305505E-3</v>
      </c>
      <c r="BT105" s="469">
        <f>BT98-BN98</f>
        <v>-1.0443491591772935E-2</v>
      </c>
      <c r="BU105" s="469">
        <f>BU98-BO98</f>
        <v>-4.2413263272412793E-3</v>
      </c>
      <c r="BV105" s="282"/>
      <c r="BW105" s="469">
        <f>BW98-BQ98</f>
        <v>-6.4497762310451456E-3</v>
      </c>
      <c r="BX105" s="469">
        <f>BX98-BR98</f>
        <v>-7.4134939312783255E-3</v>
      </c>
      <c r="BY105" s="469">
        <f>BY98-BS98</f>
        <v>7.9553979395707852E-4</v>
      </c>
      <c r="BZ105" s="469">
        <f>BZ98-BT98</f>
        <v>3.6146133017229687E-3</v>
      </c>
      <c r="CA105" s="469">
        <f>CA98-BU98</f>
        <v>-2.2324505818732687E-3</v>
      </c>
      <c r="CB105" s="282"/>
      <c r="CC105" s="469">
        <f>CC98-BW98</f>
        <v>6.3667413176237142E-3</v>
      </c>
      <c r="CD105" s="469">
        <f>CD98-BX98</f>
        <v>5.0817430294530785E-3</v>
      </c>
      <c r="CE105" s="469">
        <f>CE98-BY98</f>
        <v>3.1431025010626445E-3</v>
      </c>
      <c r="CF105" s="469">
        <f>CF98-BZ98</f>
        <v>1.59027486605956E-3</v>
      </c>
      <c r="CG105" s="469">
        <f>CG98-CA98</f>
        <v>4.0060376216777271E-3</v>
      </c>
      <c r="CH105" s="282"/>
      <c r="CI105" s="469">
        <f>CI98-CC98</f>
        <v>3.0139625274522297E-3</v>
      </c>
      <c r="CJ105" s="469">
        <f>CJ98-CD98</f>
        <v>2.5092677383961037E-3</v>
      </c>
      <c r="CK105" s="469">
        <f>CK98-CE98</f>
        <v>1.6982620411211125E-3</v>
      </c>
      <c r="CL105" s="469">
        <f>CL98-CF98</f>
        <v>3.8508290283001401E-4</v>
      </c>
      <c r="CM105" s="469">
        <f>CM98-CG98</f>
        <v>1.8584981812310719E-3</v>
      </c>
      <c r="CN105" s="282"/>
      <c r="CO105" s="469">
        <f>CO98-CI98</f>
        <v>2.0750113494356626E-3</v>
      </c>
      <c r="CP105" s="469">
        <f>CP98-CJ98</f>
        <v>2.2623590129614568E-3</v>
      </c>
      <c r="CQ105" s="469">
        <f>CQ98-CK98</f>
        <v>2.889110861547306E-3</v>
      </c>
      <c r="CR105" s="469">
        <f>CR98-CL98</f>
        <v>2.1713309261123248E-3</v>
      </c>
      <c r="CS105" s="469">
        <f>CS98-CM98</f>
        <v>2.3408562099553887E-3</v>
      </c>
      <c r="CT105" s="282"/>
      <c r="DA105" s="90"/>
      <c r="DB105" s="90"/>
      <c r="DC105" s="90"/>
      <c r="DD105" s="90"/>
    </row>
    <row r="106" spans="1:108" ht="12.75" customHeight="1" outlineLevel="1" x14ac:dyDescent="0.2">
      <c r="A106" s="43"/>
      <c r="B106" s="117" t="s">
        <v>235</v>
      </c>
      <c r="C106" s="469"/>
      <c r="D106" s="469"/>
      <c r="E106" s="469"/>
      <c r="F106" s="469"/>
      <c r="G106" s="469"/>
      <c r="H106" s="282"/>
      <c r="I106" s="469">
        <f>I66-C66</f>
        <v>0.20722531463231453</v>
      </c>
      <c r="J106" s="469">
        <f>J66-D66</f>
        <v>0.15219319511291612</v>
      </c>
      <c r="K106" s="469">
        <f>K66-E66</f>
        <v>9.5374317620815191E-2</v>
      </c>
      <c r="L106" s="469">
        <f>L66-F66</f>
        <v>0.56605779864975148</v>
      </c>
      <c r="M106" s="469">
        <f>M66-G66</f>
        <v>0.26500731518494047</v>
      </c>
      <c r="N106" s="282"/>
      <c r="O106" s="469">
        <f>O66-I66</f>
        <v>0.57425759721470626</v>
      </c>
      <c r="P106" s="469">
        <f>P66-J66</f>
        <v>0.55081775783335063</v>
      </c>
      <c r="Q106" s="469">
        <f>Q66-K66</f>
        <v>0.53402818238040484</v>
      </c>
      <c r="R106" s="469">
        <f>R66-L66</f>
        <v>0.10440317948618055</v>
      </c>
      <c r="S106" s="469">
        <f>S66-M66</f>
        <v>0.42603670105951913</v>
      </c>
      <c r="T106" s="90"/>
      <c r="U106" s="469">
        <f>U66-O66</f>
        <v>1.4756229679148969E-2</v>
      </c>
      <c r="V106" s="469">
        <f>V66-P66</f>
        <v>-2.4725096283603643E-2</v>
      </c>
      <c r="W106" s="469">
        <f>W66-Q66</f>
        <v>-4.1690782947974347E-2</v>
      </c>
      <c r="X106" s="469">
        <f>X66-R66</f>
        <v>-2.7118887870397623E-4</v>
      </c>
      <c r="Y106" s="469">
        <f>Y66-S66</f>
        <v>-1.4825539733271387E-2</v>
      </c>
      <c r="Z106" s="90"/>
      <c r="AA106" s="469">
        <f>AA66-U66</f>
        <v>3.8404777719478311E-2</v>
      </c>
      <c r="AB106" s="469">
        <f>AB66-V66</f>
        <v>1.2037021582443241E-2</v>
      </c>
      <c r="AC106" s="469">
        <f>AC66-W66</f>
        <v>4.2747991053073808E-2</v>
      </c>
      <c r="AD106" s="469">
        <f>AD66-X66</f>
        <v>-1.153531582278039E-2</v>
      </c>
      <c r="AE106" s="469">
        <f>AE66-Y66</f>
        <v>1.9931973202566677E-2</v>
      </c>
      <c r="AF106" s="90"/>
      <c r="AG106" s="469">
        <f>AG66-AA66</f>
        <v>-1.1981407091000318E-2</v>
      </c>
      <c r="AH106" s="469">
        <f>AH66-AB66</f>
        <v>-1.3966658678753685E-2</v>
      </c>
      <c r="AI106" s="469">
        <f>AI66-AC66</f>
        <v>-5.3347321619437282E-2</v>
      </c>
      <c r="AJ106" s="469">
        <f>AJ66-AD66</f>
        <v>-3.3321745280111892E-2</v>
      </c>
      <c r="AK106" s="469">
        <f>AK66-AE66</f>
        <v>-2.8859902796923187E-2</v>
      </c>
      <c r="AL106" s="282"/>
      <c r="AM106" s="469">
        <f>AM66-AG66</f>
        <v>-1.1393393293542553E-2</v>
      </c>
      <c r="AN106" s="469">
        <f>AN66-AH66</f>
        <v>2.5072103306056359E-3</v>
      </c>
      <c r="AO106" s="469">
        <f>AO66-AI66</f>
        <v>1.6195220771096142E-2</v>
      </c>
      <c r="AP106" s="469">
        <f>AP66-AJ66</f>
        <v>2.2955302764726959E-2</v>
      </c>
      <c r="AQ106" s="469">
        <f>AQ66-AK66</f>
        <v>8.6201475071840949E-3</v>
      </c>
      <c r="AR106" s="282"/>
      <c r="AS106" s="469">
        <f>AS66-AM66</f>
        <v>4.5387271147161012E-2</v>
      </c>
      <c r="AT106" s="469">
        <f>AT66-AN66</f>
        <v>3.6429263607346829E-2</v>
      </c>
      <c r="AU106" s="469">
        <f>AU66-AO66</f>
        <v>6.1228418615335567E-3</v>
      </c>
      <c r="AV106" s="469">
        <f>AV66-AP66</f>
        <v>-8.0665102878790196E-2</v>
      </c>
      <c r="AW106" s="469">
        <f>AW66-AQ66</f>
        <v>2.650268806840328E-3</v>
      </c>
      <c r="AX106" s="282"/>
      <c r="AY106" s="469">
        <f>AY66-AS66</f>
        <v>-0.23610672358413534</v>
      </c>
      <c r="AZ106" s="469">
        <f>AZ66-AT66</f>
        <v>-0.17166299191092474</v>
      </c>
      <c r="BA106" s="469">
        <f>BA66-AU66</f>
        <v>-0.12060723012333119</v>
      </c>
      <c r="BB106" s="469">
        <f>BB66-AV66</f>
        <v>-4.4194767911287458E-2</v>
      </c>
      <c r="BC106" s="469">
        <f>BC66-AW66</f>
        <v>-0.14320484038453699</v>
      </c>
      <c r="BD106" s="282"/>
      <c r="BE106" s="469">
        <f>BE66-AY66</f>
        <v>7.9626322198039695E-2</v>
      </c>
      <c r="BF106" s="469">
        <f>BF66-AZ66</f>
        <v>1.2869722052858773E-2</v>
      </c>
      <c r="BG106" s="469">
        <f>BG66-BA66</f>
        <v>-1.6412947779855053E-2</v>
      </c>
      <c r="BH106" s="469">
        <f>BH66-BB66</f>
        <v>-4.4600050446985978E-2</v>
      </c>
      <c r="BI106" s="469">
        <f>BI66-BC66</f>
        <v>6.6922506089888978E-3</v>
      </c>
      <c r="BJ106" s="282"/>
      <c r="BK106" s="469">
        <f>BK66-BE66</f>
        <v>-0.13126798464148684</v>
      </c>
      <c r="BL106" s="469">
        <f>BL66-BF66</f>
        <v>-0.13002347841199713</v>
      </c>
      <c r="BM106" s="469">
        <f>BM66-BG66</f>
        <v>-0.11855289883916301</v>
      </c>
      <c r="BN106" s="469">
        <f>BN66-BH66</f>
        <v>-6.9636322544881946E-2</v>
      </c>
      <c r="BO106" s="469">
        <f>BO66-BI66</f>
        <v>-0.11226368950512286</v>
      </c>
      <c r="BP106" s="282"/>
      <c r="BQ106" s="469">
        <f>BQ66-BK66</f>
        <v>8.0218623601007455E-3</v>
      </c>
      <c r="BR106" s="469">
        <f>BR66-BL66</f>
        <v>2.4929651075216122E-2</v>
      </c>
      <c r="BS106" s="469">
        <f>BS66-BM66</f>
        <v>1.0765554972860913E-2</v>
      </c>
      <c r="BT106" s="469">
        <f>BT66-BN66</f>
        <v>-1.9348809502635067E-3</v>
      </c>
      <c r="BU106" s="469">
        <f>BU66-BO66</f>
        <v>1.033284394684747E-2</v>
      </c>
      <c r="BV106" s="282"/>
      <c r="BW106" s="469">
        <f>BW66-BQ66</f>
        <v>7.550223768954839E-3</v>
      </c>
      <c r="BX106" s="469">
        <f>BX66-BR66</f>
        <v>6.5865060687217147E-3</v>
      </c>
      <c r="BY106" s="469">
        <f>BY66-BS66</f>
        <v>1.4795539793957035E-2</v>
      </c>
      <c r="BZ106" s="469">
        <f>BZ66-BT66</f>
        <v>1.761461330172287E-2</v>
      </c>
      <c r="CA106" s="469">
        <f>CA66-BU66</f>
        <v>1.1785751960197044E-2</v>
      </c>
      <c r="CB106" s="282"/>
      <c r="CC106" s="469">
        <f>CC66-BW66</f>
        <v>8.3667413176235772E-3</v>
      </c>
      <c r="CD106" s="469">
        <f>CD66-BX66</f>
        <v>7.0817430294530526E-3</v>
      </c>
      <c r="CE106" s="469">
        <f>CE66-BY66</f>
        <v>5.1431025010627573E-3</v>
      </c>
      <c r="CF106" s="469">
        <f>CF66-BZ66</f>
        <v>3.5902748660596451E-3</v>
      </c>
      <c r="CG106" s="469">
        <f>CG66-CA66</f>
        <v>6.0197510442901725E-3</v>
      </c>
      <c r="CH106" s="282"/>
      <c r="CI106" s="469">
        <f>CI66-CC66</f>
        <v>5.0139625274523147E-3</v>
      </c>
      <c r="CJ106" s="469">
        <f>CJ66-CD66</f>
        <v>4.5092677383960778E-3</v>
      </c>
      <c r="CK106" s="469">
        <f>CK66-CE66</f>
        <v>3.698262041121031E-3</v>
      </c>
      <c r="CL106" s="469">
        <f>CL66-CF66</f>
        <v>2.3850829028300435E-3</v>
      </c>
      <c r="CM106" s="469">
        <f>CM66-CG66</f>
        <v>3.8708649821327656E-3</v>
      </c>
      <c r="CN106" s="282"/>
      <c r="CO106" s="469">
        <f>CO66-CI66</f>
        <v>4.0750113494356643E-3</v>
      </c>
      <c r="CP106" s="469">
        <f>CP66-CJ66</f>
        <v>4.2623590129615141E-3</v>
      </c>
      <c r="CQ106" s="469">
        <f>CQ66-CK66</f>
        <v>4.8891108615473355E-3</v>
      </c>
      <c r="CR106" s="469">
        <f>CR66-CL66</f>
        <v>4.1713309261124376E-3</v>
      </c>
      <c r="CS106" s="469">
        <f>CS66-CM66</f>
        <v>4.3636784698603548E-3</v>
      </c>
      <c r="CT106" s="282"/>
      <c r="DA106" s="90"/>
      <c r="DB106" s="90"/>
      <c r="DC106" s="90"/>
      <c r="DD106" s="90"/>
    </row>
    <row r="107" spans="1:108" ht="12.75" customHeight="1" outlineLevel="1" x14ac:dyDescent="0.2">
      <c r="A107" s="43"/>
      <c r="B107" s="115"/>
      <c r="C107" s="282"/>
      <c r="D107" s="282"/>
      <c r="E107" s="282"/>
      <c r="F107" s="282"/>
      <c r="G107" s="282"/>
      <c r="H107" s="282"/>
      <c r="I107" s="282"/>
      <c r="J107" s="282"/>
      <c r="K107" s="282"/>
      <c r="L107" s="282"/>
      <c r="M107" s="282"/>
      <c r="N107" s="282"/>
      <c r="O107" s="282"/>
      <c r="P107" s="282"/>
      <c r="Q107" s="282"/>
      <c r="R107" s="282"/>
      <c r="S107" s="282"/>
      <c r="T107" s="90"/>
      <c r="U107" s="282"/>
      <c r="V107" s="282"/>
      <c r="W107" s="282"/>
      <c r="X107" s="282"/>
      <c r="Y107" s="282"/>
      <c r="Z107" s="90"/>
      <c r="AA107" s="282"/>
      <c r="AB107" s="282"/>
      <c r="AC107" s="282"/>
      <c r="AD107" s="282"/>
      <c r="AE107" s="282"/>
      <c r="AF107" s="90"/>
      <c r="AG107" s="282"/>
      <c r="AH107" s="282"/>
      <c r="AI107" s="282"/>
      <c r="AJ107" s="282"/>
      <c r="AK107" s="282"/>
      <c r="AL107" s="282"/>
      <c r="AM107" s="282"/>
      <c r="AN107" s="282"/>
      <c r="AO107" s="282"/>
      <c r="AP107" s="282"/>
      <c r="AQ107" s="282"/>
      <c r="AR107" s="282"/>
      <c r="AS107" s="282"/>
      <c r="AT107" s="282"/>
      <c r="AU107" s="282"/>
      <c r="AV107" s="282"/>
      <c r="AW107" s="282"/>
      <c r="AX107" s="282"/>
      <c r="AY107" s="282"/>
      <c r="AZ107" s="282"/>
      <c r="BA107" s="282"/>
      <c r="BB107" s="282"/>
      <c r="BC107" s="282"/>
      <c r="BD107" s="282"/>
      <c r="BE107" s="282"/>
      <c r="BF107" s="282"/>
      <c r="BG107" s="282"/>
      <c r="BH107" s="282"/>
      <c r="BI107" s="282"/>
      <c r="BJ107" s="282"/>
      <c r="BK107" s="282"/>
      <c r="BL107" s="282"/>
      <c r="BM107" s="282"/>
      <c r="BN107" s="282"/>
      <c r="BO107" s="282"/>
      <c r="BP107" s="282"/>
      <c r="BQ107" s="282"/>
      <c r="BR107" s="282"/>
      <c r="BS107" s="282"/>
      <c r="BT107" s="282"/>
      <c r="BU107" s="282"/>
      <c r="BV107" s="282"/>
      <c r="BW107" s="282"/>
      <c r="BX107" s="282"/>
      <c r="BY107" s="282"/>
      <c r="BZ107" s="282"/>
      <c r="CA107" s="282"/>
      <c r="CB107" s="282"/>
      <c r="CC107" s="282"/>
      <c r="CD107" s="282"/>
      <c r="CE107" s="282"/>
      <c r="CF107" s="282"/>
      <c r="CG107" s="282"/>
      <c r="CH107" s="282"/>
      <c r="CI107" s="282"/>
      <c r="CJ107" s="282"/>
      <c r="CK107" s="282"/>
      <c r="CL107" s="282"/>
      <c r="CM107" s="282"/>
      <c r="CN107" s="282"/>
      <c r="CO107" s="282"/>
      <c r="CP107" s="282"/>
      <c r="CQ107" s="282"/>
      <c r="CR107" s="282"/>
      <c r="CS107" s="282"/>
      <c r="CT107" s="282"/>
      <c r="DA107" s="115"/>
      <c r="DB107" s="115"/>
      <c r="DC107" s="115"/>
      <c r="DD107" s="115"/>
    </row>
    <row r="108" spans="1:108" ht="12.75" customHeight="1" outlineLevel="1" x14ac:dyDescent="0.2">
      <c r="A108" s="43"/>
      <c r="B108" s="99" t="s">
        <v>229</v>
      </c>
      <c r="C108" s="97"/>
      <c r="D108" s="97"/>
      <c r="E108" s="97"/>
      <c r="F108" s="97"/>
      <c r="G108" s="97"/>
      <c r="H108" s="282"/>
      <c r="I108" s="97"/>
      <c r="J108" s="97"/>
      <c r="K108" s="97"/>
      <c r="L108" s="97"/>
      <c r="M108" s="97"/>
      <c r="N108" s="282"/>
      <c r="O108" s="97"/>
      <c r="P108" s="97"/>
      <c r="Q108" s="97"/>
      <c r="R108" s="97"/>
      <c r="S108" s="97"/>
      <c r="T108" s="90"/>
      <c r="U108" s="97"/>
      <c r="V108" s="97"/>
      <c r="W108" s="97"/>
      <c r="X108" s="97"/>
      <c r="Y108" s="97"/>
      <c r="Z108" s="90"/>
      <c r="AA108" s="97"/>
      <c r="AB108" s="97"/>
      <c r="AC108" s="97"/>
      <c r="AD108" s="97"/>
      <c r="AE108" s="97"/>
      <c r="AF108" s="90"/>
      <c r="AG108" s="97"/>
      <c r="AH108" s="97"/>
      <c r="AI108" s="97"/>
      <c r="AJ108" s="97"/>
      <c r="AK108" s="97"/>
      <c r="AL108" s="282"/>
      <c r="AM108" s="97"/>
      <c r="AN108" s="97"/>
      <c r="AO108" s="97"/>
      <c r="AP108" s="97"/>
      <c r="AQ108" s="97"/>
      <c r="AR108" s="282"/>
      <c r="AS108" s="97"/>
      <c r="AT108" s="97"/>
      <c r="AU108" s="97"/>
      <c r="AV108" s="97"/>
      <c r="AW108" s="97"/>
      <c r="AX108" s="282"/>
      <c r="AY108" s="97"/>
      <c r="AZ108" s="97"/>
      <c r="BA108" s="97"/>
      <c r="BB108" s="97"/>
      <c r="BC108" s="97"/>
      <c r="BD108" s="282"/>
      <c r="BE108" s="97"/>
      <c r="BF108" s="97"/>
      <c r="BG108" s="97"/>
      <c r="BH108" s="97"/>
      <c r="BI108" s="97"/>
      <c r="BJ108" s="282"/>
      <c r="BK108" s="97"/>
      <c r="BL108" s="97"/>
      <c r="BM108" s="97"/>
      <c r="BN108" s="97"/>
      <c r="BO108" s="97"/>
      <c r="BP108" s="282"/>
      <c r="BQ108" s="97"/>
      <c r="BR108" s="97"/>
      <c r="BS108" s="97"/>
      <c r="BT108" s="97"/>
      <c r="BU108" s="97"/>
      <c r="BV108" s="282"/>
      <c r="BW108" s="97"/>
      <c r="BX108" s="97"/>
      <c r="BY108" s="97"/>
      <c r="BZ108" s="97"/>
      <c r="CA108" s="97"/>
      <c r="CB108" s="282"/>
      <c r="CC108" s="97"/>
      <c r="CD108" s="97"/>
      <c r="CE108" s="97"/>
      <c r="CF108" s="97"/>
      <c r="CG108" s="97"/>
      <c r="CH108" s="282"/>
      <c r="CI108" s="97"/>
      <c r="CJ108" s="97"/>
      <c r="CK108" s="97"/>
      <c r="CL108" s="97"/>
      <c r="CM108" s="97"/>
      <c r="CN108" s="282"/>
      <c r="CO108" s="97"/>
      <c r="CP108" s="97"/>
      <c r="CQ108" s="97"/>
      <c r="CR108" s="97"/>
      <c r="CS108" s="97"/>
      <c r="CT108" s="282"/>
      <c r="DA108" s="115"/>
      <c r="DB108" s="115"/>
      <c r="DC108" s="115"/>
      <c r="DD108" s="115"/>
    </row>
    <row r="109" spans="1:108" ht="12.75" customHeight="1" outlineLevel="1" x14ac:dyDescent="0.2">
      <c r="A109" s="43"/>
      <c r="B109" s="472"/>
      <c r="C109" s="473"/>
      <c r="D109" s="473"/>
      <c r="E109" s="473"/>
      <c r="F109" s="473"/>
      <c r="G109" s="473"/>
      <c r="H109" s="115"/>
      <c r="I109" s="474"/>
      <c r="J109" s="474"/>
      <c r="K109" s="474"/>
      <c r="L109" s="474"/>
      <c r="M109" s="474"/>
      <c r="N109" s="115"/>
      <c r="O109" s="474"/>
      <c r="P109" s="474"/>
      <c r="Q109" s="474"/>
      <c r="R109" s="474"/>
      <c r="S109" s="474"/>
      <c r="T109" s="115"/>
      <c r="U109" s="474"/>
      <c r="V109" s="474"/>
      <c r="W109" s="474"/>
      <c r="X109" s="474"/>
      <c r="Y109" s="474"/>
      <c r="Z109" s="115"/>
      <c r="AA109" s="471"/>
      <c r="AB109" s="471"/>
      <c r="AC109" s="471"/>
      <c r="AD109" s="471"/>
      <c r="AE109" s="471"/>
      <c r="AF109" s="115"/>
      <c r="AG109" s="471"/>
      <c r="AH109" s="471"/>
      <c r="AI109" s="471"/>
      <c r="AJ109" s="471"/>
      <c r="AK109" s="471"/>
      <c r="AL109" s="115"/>
      <c r="AM109" s="471"/>
      <c r="AN109" s="471"/>
      <c r="AO109" s="471"/>
      <c r="AP109" s="471"/>
      <c r="AQ109" s="471"/>
      <c r="AR109" s="115"/>
      <c r="AS109" s="471"/>
      <c r="AT109" s="471"/>
      <c r="AU109" s="471"/>
      <c r="AV109" s="471"/>
      <c r="AW109" s="471"/>
      <c r="AX109" s="115"/>
      <c r="AY109" s="471"/>
      <c r="AZ109" s="471"/>
      <c r="BA109" s="471"/>
      <c r="BB109" s="471"/>
      <c r="BC109" s="471"/>
      <c r="BD109" s="282"/>
      <c r="BE109" s="471"/>
      <c r="BF109" s="471"/>
      <c r="BG109" s="471"/>
      <c r="BH109" s="471"/>
      <c r="BI109" s="471"/>
      <c r="BJ109" s="115"/>
      <c r="BK109" s="471"/>
      <c r="BL109" s="471"/>
      <c r="BM109" s="471"/>
      <c r="BN109" s="471"/>
      <c r="BO109" s="471"/>
      <c r="BP109" s="115"/>
      <c r="BQ109" s="471"/>
      <c r="BR109" s="471"/>
      <c r="BS109" s="471"/>
      <c r="BT109" s="471"/>
      <c r="BU109" s="471"/>
      <c r="BV109" s="115"/>
      <c r="BW109" s="471"/>
      <c r="BX109" s="471"/>
      <c r="BY109" s="471"/>
      <c r="BZ109" s="471"/>
      <c r="CA109" s="471"/>
      <c r="CB109" s="115"/>
      <c r="CC109" s="471"/>
      <c r="CD109" s="471"/>
      <c r="CE109" s="471"/>
      <c r="CF109" s="471"/>
      <c r="CG109" s="471"/>
      <c r="CH109" s="115"/>
      <c r="CI109" s="471"/>
      <c r="CJ109" s="471"/>
      <c r="CK109" s="471"/>
      <c r="CL109" s="471"/>
      <c r="CM109" s="471"/>
      <c r="CN109" s="115"/>
      <c r="CO109" s="471"/>
      <c r="CP109" s="471"/>
      <c r="CQ109" s="471"/>
      <c r="CR109" s="471"/>
      <c r="CS109" s="471"/>
      <c r="CT109" s="282"/>
      <c r="DA109" s="115"/>
      <c r="DB109" s="115"/>
      <c r="DC109" s="115"/>
      <c r="DD109" s="115"/>
    </row>
    <row r="110" spans="1:108" ht="12.75" customHeight="1" outlineLevel="1" x14ac:dyDescent="0.2">
      <c r="A110" s="43"/>
      <c r="B110" s="470" t="s">
        <v>219</v>
      </c>
      <c r="C110" s="471">
        <f>+C$50</f>
        <v>0.75836985362072562</v>
      </c>
      <c r="D110" s="471">
        <f>+D$50</f>
        <v>0.79725326511377403</v>
      </c>
      <c r="E110" s="471">
        <f>+E$50</f>
        <v>0.81505979985355137</v>
      </c>
      <c r="F110" s="471">
        <f>+F$50</f>
        <v>0.83284225339724705</v>
      </c>
      <c r="G110" s="471">
        <f>+G$50</f>
        <v>0.80389623614169514</v>
      </c>
      <c r="H110" s="282"/>
      <c r="I110" s="471">
        <f>+I$50</f>
        <v>0.84802966891807896</v>
      </c>
      <c r="J110" s="471">
        <f>+J$50</f>
        <v>0.86447428712417618</v>
      </c>
      <c r="K110" s="471">
        <f>+K$50</f>
        <v>0.86621873229175106</v>
      </c>
      <c r="L110" s="471">
        <f>+L$50</f>
        <v>0.86006060793469186</v>
      </c>
      <c r="M110" s="471">
        <f>+M$50</f>
        <v>0.8602771212913316</v>
      </c>
      <c r="N110" s="282"/>
      <c r="O110" s="471">
        <f>+O$50</f>
        <v>0.860072893589652</v>
      </c>
      <c r="P110" s="471">
        <f>+P$50</f>
        <v>0.86825805222031638</v>
      </c>
      <c r="Q110" s="471">
        <f>+Q$50</f>
        <v>0.87019680808034117</v>
      </c>
      <c r="R110" s="471">
        <f>+R$50</f>
        <v>0.87006122283019083</v>
      </c>
      <c r="S110" s="471">
        <f>+S$50</f>
        <v>0.86749334664514732</v>
      </c>
      <c r="T110" s="115"/>
      <c r="U110" s="471">
        <f>+U$50</f>
        <v>0.87004534667888445</v>
      </c>
      <c r="V110" s="471">
        <f>+V$50</f>
        <v>0.88052992411176267</v>
      </c>
      <c r="W110" s="471">
        <f>+W$50</f>
        <v>0.88021578773532982</v>
      </c>
      <c r="X110" s="471">
        <f>+X$50</f>
        <v>0.88011029724895673</v>
      </c>
      <c r="Y110" s="471">
        <f>+Y$50</f>
        <v>0.87788158214025724</v>
      </c>
      <c r="Z110" s="115"/>
      <c r="AA110" s="471">
        <f>+AA$50</f>
        <v>0.88013020096235495</v>
      </c>
      <c r="AB110" s="471">
        <f>+AB$50</f>
        <v>0.88006770211071295</v>
      </c>
      <c r="AC110" s="471">
        <f>+AC$50</f>
        <v>0.89125168499814411</v>
      </c>
      <c r="AD110" s="471">
        <f>+AD$50</f>
        <v>0.88340222693926196</v>
      </c>
      <c r="AE110" s="471">
        <f>SUMPRODUCT(AA110:AD110,AA$8:AD$8)/AE$8</f>
        <v>0.88382029625650349</v>
      </c>
      <c r="AF110" s="282"/>
      <c r="AG110" s="471">
        <f>+AG$50</f>
        <v>0.86997971969724397</v>
      </c>
      <c r="AH110" s="471">
        <f>+AH$50</f>
        <v>0.86876582716531903</v>
      </c>
      <c r="AI110" s="471">
        <f>+AI$50</f>
        <v>0.86724920440447839</v>
      </c>
      <c r="AJ110" s="471">
        <f>+AJ$50</f>
        <v>0.87250028202910535</v>
      </c>
      <c r="AK110" s="471">
        <f>+AK$50</f>
        <v>0.86964042701182453</v>
      </c>
      <c r="AL110" s="282"/>
      <c r="AM110" s="471">
        <f>+AM$50</f>
        <v>0.87014845957268228</v>
      </c>
      <c r="AN110" s="471">
        <f>+AN$50</f>
        <v>0.86667560681239098</v>
      </c>
      <c r="AO110" s="471">
        <f>+AO$50</f>
        <v>0.87004703716958942</v>
      </c>
      <c r="AP110" s="471">
        <f>+AP$50</f>
        <v>0.87322819269912011</v>
      </c>
      <c r="AQ110" s="471">
        <f>+AQ$50</f>
        <v>0.87015240595924437</v>
      </c>
      <c r="AR110" s="282"/>
      <c r="AS110" s="471">
        <f>+AS$50</f>
        <v>0.87414739192065871</v>
      </c>
      <c r="AT110" s="471">
        <f>+AT$50</f>
        <v>0.87194452611976869</v>
      </c>
      <c r="AU110" s="471">
        <f>+AU$50</f>
        <v>0.85684765257702644</v>
      </c>
      <c r="AV110" s="471">
        <f>+AV$50</f>
        <v>0.83588059227081302</v>
      </c>
      <c r="AW110" s="471">
        <f>+AW$50</f>
        <v>0.86022132672676987</v>
      </c>
      <c r="AX110" s="282"/>
      <c r="AY110" s="471">
        <f>+AY$50</f>
        <v>0.79349905530185916</v>
      </c>
      <c r="AZ110" s="471">
        <f>+AZ$50</f>
        <v>0.79472105774080359</v>
      </c>
      <c r="BA110" s="471">
        <f>+BA$50</f>
        <v>0.79835541850709779</v>
      </c>
      <c r="BB110" s="471">
        <f>+BB$50</f>
        <v>0.80250052892069335</v>
      </c>
      <c r="BC110" s="471">
        <f>+BC$50</f>
        <v>0.79738315069199273</v>
      </c>
      <c r="BD110" s="282"/>
      <c r="BE110" s="471">
        <f>+BE$50</f>
        <v>0.80112393184765018</v>
      </c>
      <c r="BF110" s="471">
        <f>+BF$50</f>
        <v>0.78995207506128629</v>
      </c>
      <c r="BG110" s="471">
        <f>+BG$50</f>
        <v>0.7889963381488303</v>
      </c>
      <c r="BH110" s="471">
        <f>+BH$50</f>
        <v>0.78552278820375343</v>
      </c>
      <c r="BI110" s="471">
        <f>+BI$50</f>
        <v>0.79133465111361245</v>
      </c>
      <c r="BJ110" s="282"/>
      <c r="BK110" s="471">
        <f>+BK$50</f>
        <v>0.77465575661882702</v>
      </c>
      <c r="BL110" s="471">
        <f>+BL$50</f>
        <v>0.77410253782998883</v>
      </c>
      <c r="BM110" s="471">
        <f>+BM$50</f>
        <v>0.77502540814411192</v>
      </c>
      <c r="BN110" s="471">
        <f>+BN$50</f>
        <v>0.78798756959796812</v>
      </c>
      <c r="BO110" s="471">
        <f>+BO$50</f>
        <v>0.77807351291549809</v>
      </c>
      <c r="BP110" s="282"/>
      <c r="BQ110" s="471">
        <f>+BQ$50</f>
        <v>0.77389084575604294</v>
      </c>
      <c r="BR110" s="471">
        <f>+BR$50</f>
        <v>0.77110497767517894</v>
      </c>
      <c r="BS110" s="471">
        <f t="shared" ref="BS110:BT110" si="315">+BS$50</f>
        <v>0.77270445041568137</v>
      </c>
      <c r="BT110" s="471">
        <f t="shared" si="315"/>
        <v>0.77754407800619518</v>
      </c>
      <c r="BU110" s="471">
        <f>+BU$50</f>
        <v>0.77383218658825681</v>
      </c>
      <c r="BV110" s="282"/>
      <c r="BW110" s="471">
        <f>+BW$50</f>
        <v>0.7674410695249978</v>
      </c>
      <c r="BX110" s="471">
        <f>+BX$50</f>
        <v>0.76369148374390061</v>
      </c>
      <c r="BY110" s="471">
        <f t="shared" ref="BY110:BZ110" si="316">+BY$50</f>
        <v>0.77349999020963844</v>
      </c>
      <c r="BZ110" s="471">
        <f t="shared" si="316"/>
        <v>0.78115869130791815</v>
      </c>
      <c r="CA110" s="471">
        <f>+CA$50</f>
        <v>0.77159973600638354</v>
      </c>
      <c r="CB110" s="282"/>
      <c r="CC110" s="471">
        <f t="shared" ref="CC110:CS110" si="317">+CC$50</f>
        <v>0.77380781084262151</v>
      </c>
      <c r="CD110" s="471">
        <f t="shared" si="317"/>
        <v>0.76877322677335369</v>
      </c>
      <c r="CE110" s="471">
        <f t="shared" si="317"/>
        <v>0.77664309271070109</v>
      </c>
      <c r="CF110" s="471">
        <f t="shared" si="317"/>
        <v>0.78274896617397771</v>
      </c>
      <c r="CG110" s="471">
        <f t="shared" si="317"/>
        <v>0.77560577362806127</v>
      </c>
      <c r="CH110" s="282"/>
      <c r="CI110" s="471">
        <f t="shared" si="317"/>
        <v>0.77682177337007374</v>
      </c>
      <c r="CJ110" s="471">
        <f t="shared" si="317"/>
        <v>0.77128249451174979</v>
      </c>
      <c r="CK110" s="471">
        <f t="shared" si="317"/>
        <v>0.7783413547518222</v>
      </c>
      <c r="CL110" s="471">
        <f t="shared" si="317"/>
        <v>0.78313404907680773</v>
      </c>
      <c r="CM110" s="471">
        <f t="shared" si="317"/>
        <v>0.77746427180929234</v>
      </c>
      <c r="CN110" s="282"/>
      <c r="CO110" s="471">
        <f t="shared" si="317"/>
        <v>0.77889678471950941</v>
      </c>
      <c r="CP110" s="471">
        <f t="shared" si="317"/>
        <v>0.77354485352471125</v>
      </c>
      <c r="CQ110" s="471">
        <f t="shared" si="317"/>
        <v>0.78123046561336951</v>
      </c>
      <c r="CR110" s="471">
        <f t="shared" si="317"/>
        <v>0.78530538000292005</v>
      </c>
      <c r="CS110" s="471">
        <f t="shared" si="317"/>
        <v>0.77980512801924773</v>
      </c>
      <c r="CT110" s="282"/>
      <c r="DA110" s="115"/>
      <c r="DB110" s="115"/>
      <c r="DC110" s="115"/>
      <c r="DD110" s="115"/>
    </row>
    <row r="111" spans="1:108" ht="12.75" customHeight="1" outlineLevel="1" x14ac:dyDescent="0.2">
      <c r="A111" s="43"/>
      <c r="B111" s="349" t="s">
        <v>269</v>
      </c>
      <c r="C111" s="471">
        <f>+C$51</f>
        <v>0.75836985362072562</v>
      </c>
      <c r="D111" s="471">
        <f>+D$51</f>
        <v>0.79725326511377403</v>
      </c>
      <c r="E111" s="471">
        <f>+E$51</f>
        <v>0.81505979985355137</v>
      </c>
      <c r="F111" s="471">
        <f>+F$51</f>
        <v>0.83284225339724705</v>
      </c>
      <c r="G111" s="471">
        <f>+G$51</f>
        <v>0.80389623614169514</v>
      </c>
      <c r="H111" s="282"/>
      <c r="I111" s="471">
        <f>+I$51</f>
        <v>0.84802966891807896</v>
      </c>
      <c r="J111" s="471">
        <f>+J$51</f>
        <v>0.86447428712417618</v>
      </c>
      <c r="K111" s="471">
        <f>+K$51</f>
        <v>0.86621873229175106</v>
      </c>
      <c r="L111" s="471">
        <f>+L$51</f>
        <v>0.86006060793469186</v>
      </c>
      <c r="M111" s="471">
        <f>+M$51</f>
        <v>0.86027712129133171</v>
      </c>
      <c r="N111" s="282"/>
      <c r="O111" s="471">
        <f>+O$51</f>
        <v>0.860072893589652</v>
      </c>
      <c r="P111" s="471">
        <f>+P$51</f>
        <v>0.86825805222031638</v>
      </c>
      <c r="Q111" s="471">
        <f>+Q$51</f>
        <v>0.87019680808034117</v>
      </c>
      <c r="R111" s="471">
        <f>+R$51</f>
        <v>0.87006122283019083</v>
      </c>
      <c r="S111" s="471">
        <f>+S$51</f>
        <v>0.86749334664514732</v>
      </c>
      <c r="T111" s="115"/>
      <c r="U111" s="471">
        <f>+U$51</f>
        <v>0.87004534667888445</v>
      </c>
      <c r="V111" s="471">
        <f>+V$51</f>
        <v>0.88052992411176267</v>
      </c>
      <c r="W111" s="471">
        <f>+W$51</f>
        <v>0.88021578773532982</v>
      </c>
      <c r="X111" s="471">
        <f>+X$51</f>
        <v>0.88011029724895673</v>
      </c>
      <c r="Y111" s="471">
        <f>+Y$51</f>
        <v>0.87788158214025724</v>
      </c>
      <c r="Z111" s="115"/>
      <c r="AA111" s="471">
        <f>+AA$51</f>
        <v>0.88013020096235495</v>
      </c>
      <c r="AB111" s="471">
        <f>+AB$51</f>
        <v>0.88006770211071284</v>
      </c>
      <c r="AC111" s="471">
        <f>+AC$51</f>
        <v>0.89125168499814411</v>
      </c>
      <c r="AD111" s="471">
        <f>+AD$51</f>
        <v>0.89136788961223823</v>
      </c>
      <c r="AE111" s="471">
        <f>+AE$51</f>
        <v>0.88592061912880005</v>
      </c>
      <c r="AF111" s="282"/>
      <c r="AG111" s="471">
        <f>+AG$51</f>
        <v>0.89131375698525528</v>
      </c>
      <c r="AH111" s="471">
        <f>+AH$51</f>
        <v>0.89103817702576316</v>
      </c>
      <c r="AI111" s="471">
        <f>+AI$51</f>
        <v>0.89080543661606326</v>
      </c>
      <c r="AJ111" s="471">
        <f>+AJ$51</f>
        <v>0.8911991466599738</v>
      </c>
      <c r="AK111" s="471">
        <f>+AK$51</f>
        <v>0.89108152162408183</v>
      </c>
      <c r="AL111" s="282"/>
      <c r="AM111" s="471">
        <f>+AM$51</f>
        <v>0.89053021969387436</v>
      </c>
      <c r="AN111" s="471">
        <f>+AN$51</f>
        <v>0.88932890629999073</v>
      </c>
      <c r="AO111" s="471">
        <f>+AO$51</f>
        <v>0.88905811947379776</v>
      </c>
      <c r="AP111" s="471">
        <f>+AP$51</f>
        <v>0.8891196888415247</v>
      </c>
      <c r="AQ111" s="471">
        <f>+AQ$51</f>
        <v>0.8894627673457054</v>
      </c>
      <c r="AR111" s="282"/>
      <c r="AS111" s="471">
        <f>+AS$51</f>
        <v>0.88890961567359461</v>
      </c>
      <c r="AT111" s="471">
        <f>+AT$51</f>
        <v>0.88399657419019362</v>
      </c>
      <c r="AU111" s="471">
        <f>+AU$51</f>
        <v>0.8681828243213332</v>
      </c>
      <c r="AV111" s="471">
        <f>+AV$51</f>
        <v>0.84524942306219997</v>
      </c>
      <c r="AW111" s="471">
        <f>+AW$51</f>
        <v>0.87206996009077797</v>
      </c>
      <c r="AX111" s="282"/>
      <c r="AY111" s="471">
        <f>+AY$51</f>
        <v>0.80063462345067382</v>
      </c>
      <c r="AZ111" s="471">
        <f>+AZ$51</f>
        <v>0.80435389338543128</v>
      </c>
      <c r="BA111" s="471">
        <f>+BA$51</f>
        <v>0.80919379450661244</v>
      </c>
      <c r="BB111" s="471">
        <f>+BB$51</f>
        <v>0.8210340135662153</v>
      </c>
      <c r="BC111" s="471">
        <f>+BC$51</f>
        <v>0.80896657786153159</v>
      </c>
      <c r="BD111" s="282"/>
      <c r="BE111" s="471">
        <f>+BE$51</f>
        <v>0.82027191341759409</v>
      </c>
      <c r="BF111" s="471">
        <f>+BF$51</f>
        <v>0.81324198864941477</v>
      </c>
      <c r="BG111" s="471">
        <f>+BG$51</f>
        <v>0.81061675763208985</v>
      </c>
      <c r="BH111" s="471">
        <f>+BH$51</f>
        <v>0.80322209436133485</v>
      </c>
      <c r="BI111" s="471">
        <f>+BI$51</f>
        <v>0.81182701940815516</v>
      </c>
      <c r="BJ111" s="282"/>
      <c r="BK111" s="471">
        <f>+BK$51</f>
        <v>0.79225492253867158</v>
      </c>
      <c r="BL111" s="471">
        <f>+BL$51</f>
        <v>0.79668316620568236</v>
      </c>
      <c r="BM111" s="471">
        <f>+BM$51</f>
        <v>0.79536866383874349</v>
      </c>
      <c r="BN111" s="471">
        <f>+BN$51</f>
        <v>0.81049712261393936</v>
      </c>
      <c r="BO111" s="471">
        <f>+BO$51</f>
        <v>0.79892722991297804</v>
      </c>
      <c r="BP111" s="282"/>
      <c r="BQ111" s="471">
        <f>+BQ$51</f>
        <v>0.7975092927240538</v>
      </c>
      <c r="BR111" s="471">
        <f>+BR$51</f>
        <v>0.78959163350715678</v>
      </c>
      <c r="BS111" s="471">
        <f t="shared" ref="BS111:BT111" si="318">+BS$51</f>
        <v>0.78672115598978942</v>
      </c>
      <c r="BT111" s="471">
        <f t="shared" si="318"/>
        <v>0.79242356420843074</v>
      </c>
      <c r="BU111" s="471">
        <f>+BU$51</f>
        <v>0.79156821949846101</v>
      </c>
      <c r="BV111" s="282"/>
      <c r="BW111" s="471">
        <f>+BW$51</f>
        <v>0.78296100327716223</v>
      </c>
      <c r="BX111" s="471">
        <f>+BX$51</f>
        <v>0.78288662159898015</v>
      </c>
      <c r="BY111" s="471">
        <f t="shared" ref="BY111:BZ111" si="319">+BY$51</f>
        <v>0.78832446631522313</v>
      </c>
      <c r="BZ111" s="471">
        <f t="shared" si="319"/>
        <v>0.79691238477703474</v>
      </c>
      <c r="CA111" s="471">
        <f>+CA$51</f>
        <v>0.78795668183002587</v>
      </c>
      <c r="CB111" s="282"/>
      <c r="CC111" s="471">
        <f t="shared" ref="CC111:CS111" si="320">+CC$51</f>
        <v>0.79063143324591689</v>
      </c>
      <c r="CD111" s="471">
        <f t="shared" si="320"/>
        <v>0.78924416503313088</v>
      </c>
      <c r="CE111" s="471">
        <f t="shared" si="320"/>
        <v>0.7922799287284279</v>
      </c>
      <c r="CF111" s="471">
        <f t="shared" si="320"/>
        <v>0.79917684130041178</v>
      </c>
      <c r="CG111" s="471">
        <f t="shared" si="320"/>
        <v>0.79296508645916552</v>
      </c>
      <c r="CH111" s="282"/>
      <c r="CI111" s="471">
        <f t="shared" si="320"/>
        <v>0.79434675375659713</v>
      </c>
      <c r="CJ111" s="471">
        <f t="shared" si="320"/>
        <v>0.79249730775973959</v>
      </c>
      <c r="CK111" s="471">
        <f t="shared" si="320"/>
        <v>0.79456624932187925</v>
      </c>
      <c r="CL111" s="471">
        <f t="shared" si="320"/>
        <v>0.80008454062970624</v>
      </c>
      <c r="CM111" s="471">
        <f t="shared" si="320"/>
        <v>0.79545930189718672</v>
      </c>
      <c r="CN111" s="282"/>
      <c r="CO111" s="471">
        <f t="shared" si="320"/>
        <v>0.79708061277834719</v>
      </c>
      <c r="CP111" s="471">
        <f t="shared" si="320"/>
        <v>0.79540079669170316</v>
      </c>
      <c r="CQ111" s="471">
        <f t="shared" si="320"/>
        <v>0.79816564081267749</v>
      </c>
      <c r="CR111" s="471">
        <f t="shared" si="320"/>
        <v>0.80284340467577986</v>
      </c>
      <c r="CS111" s="471">
        <f t="shared" si="320"/>
        <v>0.79845657237674017</v>
      </c>
      <c r="CT111" s="282"/>
      <c r="DA111" s="115"/>
      <c r="DB111" s="115"/>
      <c r="DC111" s="115"/>
      <c r="DD111" s="115"/>
    </row>
    <row r="112" spans="1:108" ht="12.75" customHeight="1" outlineLevel="1" x14ac:dyDescent="0.2">
      <c r="A112" s="43"/>
      <c r="B112" s="349" t="s">
        <v>270</v>
      </c>
      <c r="C112" s="471">
        <f>+C$52</f>
        <v>0</v>
      </c>
      <c r="D112" s="471">
        <f>+D$52</f>
        <v>0</v>
      </c>
      <c r="E112" s="471">
        <f>+E$52</f>
        <v>0</v>
      </c>
      <c r="F112" s="471">
        <f>+F$52</f>
        <v>0</v>
      </c>
      <c r="G112" s="471">
        <f>+G$52</f>
        <v>0</v>
      </c>
      <c r="H112" s="282"/>
      <c r="I112" s="471">
        <f>+I$52</f>
        <v>0</v>
      </c>
      <c r="J112" s="471">
        <f>+J$52</f>
        <v>0</v>
      </c>
      <c r="K112" s="471">
        <f>+K$52</f>
        <v>0</v>
      </c>
      <c r="L112" s="471">
        <f>+L$52</f>
        <v>0</v>
      </c>
      <c r="M112" s="471">
        <f>+M$52</f>
        <v>0</v>
      </c>
      <c r="N112" s="282"/>
      <c r="O112" s="471">
        <f>+O$52</f>
        <v>0</v>
      </c>
      <c r="P112" s="471">
        <f>+P$52</f>
        <v>0</v>
      </c>
      <c r="Q112" s="471">
        <f>+Q$52</f>
        <v>0</v>
      </c>
      <c r="R112" s="471">
        <f>+R$52</f>
        <v>0</v>
      </c>
      <c r="S112" s="471">
        <f>+S$52</f>
        <v>0</v>
      </c>
      <c r="T112" s="115"/>
      <c r="U112" s="471">
        <f>+U$52</f>
        <v>0</v>
      </c>
      <c r="V112" s="471">
        <f>+V$52</f>
        <v>0</v>
      </c>
      <c r="W112" s="471">
        <f>+W$52</f>
        <v>0</v>
      </c>
      <c r="X112" s="471">
        <f>+X$52</f>
        <v>0</v>
      </c>
      <c r="Y112" s="471">
        <f>+Y$52</f>
        <v>0</v>
      </c>
      <c r="Z112" s="115"/>
      <c r="AA112" s="471">
        <f>+AA$52</f>
        <v>0</v>
      </c>
      <c r="AB112" s="471">
        <f>+AB$52</f>
        <v>0</v>
      </c>
      <c r="AC112" s="471">
        <f>+AC$52</f>
        <v>0</v>
      </c>
      <c r="AD112" s="471">
        <f>+AD$52</f>
        <v>0.47154072620215898</v>
      </c>
      <c r="AE112" s="471">
        <f>+AE$52</f>
        <v>0.47154072620215898</v>
      </c>
      <c r="AF112" s="282"/>
      <c r="AG112" s="471">
        <f>+AG$52</f>
        <v>0.52784204843436677</v>
      </c>
      <c r="AH112" s="471">
        <f>+AH$52</f>
        <v>0.36512209190540273</v>
      </c>
      <c r="AI112" s="471">
        <f>+AI$52</f>
        <v>0.41794276875483372</v>
      </c>
      <c r="AJ112" s="471">
        <f>+AJ$52</f>
        <v>0.43633369923161347</v>
      </c>
      <c r="AK112" s="471">
        <f>+AK$52</f>
        <v>0.4407368198179123</v>
      </c>
      <c r="AL112" s="282"/>
      <c r="AM112" s="471">
        <f>+AM$52</f>
        <v>0.44966769330523582</v>
      </c>
      <c r="AN112" s="471">
        <f>+AN$52</f>
        <v>0.49134173636470735</v>
      </c>
      <c r="AO112" s="471">
        <f>+AO$52</f>
        <v>0.52126607319485652</v>
      </c>
      <c r="AP112" s="471">
        <f>+AP$52</f>
        <v>0.54441260744985676</v>
      </c>
      <c r="AQ112" s="471">
        <f>+AQ$52</f>
        <v>0.50469567477983945</v>
      </c>
      <c r="AR112" s="282"/>
      <c r="AS112" s="471">
        <f>+AS$52</f>
        <v>0.57362869198312239</v>
      </c>
      <c r="AT112" s="471">
        <f>+AT$52</f>
        <v>0.57276638825613768</v>
      </c>
      <c r="AU112" s="471">
        <f>+AU$52</f>
        <v>0.56022575375018568</v>
      </c>
      <c r="AV112" s="471">
        <f>+AV$52</f>
        <v>0.54565475182110779</v>
      </c>
      <c r="AW112" s="471">
        <f>+AW$52</f>
        <v>0.56489439669531616</v>
      </c>
      <c r="AX112" s="282"/>
      <c r="AY112" s="471">
        <f>+AY$52</f>
        <v>0.52251212191179874</v>
      </c>
      <c r="AZ112" s="471">
        <f>+AZ$52</f>
        <v>0.46557314514590886</v>
      </c>
      <c r="BA112" s="471">
        <f>+BA$52</f>
        <v>0.53167808219178081</v>
      </c>
      <c r="BB112" s="471">
        <f>+BB$52</f>
        <v>0.50311681272020958</v>
      </c>
      <c r="BC112" s="471">
        <f>+BC$52</f>
        <v>0.50627463744530032</v>
      </c>
      <c r="BD112" s="282"/>
      <c r="BE112" s="471">
        <f>+BE$52</f>
        <v>0.51744937526928048</v>
      </c>
      <c r="BF112" s="471">
        <f>+BF$52</f>
        <v>0.39252336448598124</v>
      </c>
      <c r="BG112" s="471">
        <f>+BG$52</f>
        <v>0.49618320610687022</v>
      </c>
      <c r="BH112" s="471">
        <f>+BH$52</f>
        <v>0.54330708661417326</v>
      </c>
      <c r="BI112" s="471">
        <f>+BI$52</f>
        <v>0.49069743269930366</v>
      </c>
      <c r="BJ112" s="282"/>
      <c r="BK112" s="471">
        <f>+BK$52</f>
        <v>0.54032258064516125</v>
      </c>
      <c r="BL112" s="471">
        <f>+BL$52</f>
        <v>0.44444444444444442</v>
      </c>
      <c r="BM112" s="471">
        <f>+BM$52</f>
        <v>0.45299145299145294</v>
      </c>
      <c r="BN112" s="471">
        <f>+BN$52</f>
        <v>0.45238095238095233</v>
      </c>
      <c r="BO112" s="471">
        <f>+BO$52</f>
        <v>0.47261663286004063</v>
      </c>
      <c r="BP112" s="282"/>
      <c r="BQ112" s="471">
        <f>+BQ$52</f>
        <v>0.40350877192982459</v>
      </c>
      <c r="BR112" s="471">
        <f>+BR$52</f>
        <v>0.54729729729729737</v>
      </c>
      <c r="BS112" s="471">
        <f t="shared" ref="BS112:BT112" si="321">+BS$52</f>
        <v>0.54729729729729737</v>
      </c>
      <c r="BT112" s="471">
        <f t="shared" si="321"/>
        <v>0.54729729729729737</v>
      </c>
      <c r="BU112" s="471">
        <f>+BU$52</f>
        <v>0.51403790419210926</v>
      </c>
      <c r="BV112" s="282"/>
      <c r="BW112" s="471">
        <f>+BW$52</f>
        <v>0.54729729729729737</v>
      </c>
      <c r="BX112" s="471">
        <f>+BX$52</f>
        <v>0.54729729729729737</v>
      </c>
      <c r="BY112" s="471">
        <f t="shared" ref="BY112:BZ112" si="322">+BY$52</f>
        <v>0.54729729729729737</v>
      </c>
      <c r="BZ112" s="471">
        <f t="shared" si="322"/>
        <v>0.54729729729729737</v>
      </c>
      <c r="CA112" s="471">
        <f>+CA$52</f>
        <v>0.54729729729729737</v>
      </c>
      <c r="CB112" s="282"/>
      <c r="CC112" s="471">
        <f t="shared" ref="CC112:CS112" si="323">+CC$52</f>
        <v>0.54729729729729737</v>
      </c>
      <c r="CD112" s="471">
        <f t="shared" si="323"/>
        <v>0.54729729729729737</v>
      </c>
      <c r="CE112" s="471">
        <f t="shared" si="323"/>
        <v>0.54729729729729737</v>
      </c>
      <c r="CF112" s="471">
        <f t="shared" si="323"/>
        <v>0.54729729729729737</v>
      </c>
      <c r="CG112" s="471">
        <f t="shared" si="323"/>
        <v>0.54729729729729737</v>
      </c>
      <c r="CH112" s="282"/>
      <c r="CI112" s="471">
        <f t="shared" si="323"/>
        <v>0.54729729729729737</v>
      </c>
      <c r="CJ112" s="471">
        <f t="shared" si="323"/>
        <v>0.54729729729729737</v>
      </c>
      <c r="CK112" s="471">
        <f t="shared" si="323"/>
        <v>0.54729729729729737</v>
      </c>
      <c r="CL112" s="471">
        <f t="shared" si="323"/>
        <v>0.54729729729729737</v>
      </c>
      <c r="CM112" s="471">
        <f t="shared" si="323"/>
        <v>0.54729729729729737</v>
      </c>
      <c r="CN112" s="282"/>
      <c r="CO112" s="471">
        <f t="shared" si="323"/>
        <v>0.54729729729729737</v>
      </c>
      <c r="CP112" s="471">
        <f t="shared" si="323"/>
        <v>0.54729729729729737</v>
      </c>
      <c r="CQ112" s="471">
        <f t="shared" si="323"/>
        <v>0.54729729729729737</v>
      </c>
      <c r="CR112" s="471">
        <f t="shared" si="323"/>
        <v>0.54729729729729737</v>
      </c>
      <c r="CS112" s="471">
        <f t="shared" si="323"/>
        <v>0.54729729729729737</v>
      </c>
      <c r="CT112" s="282"/>
      <c r="DA112" s="115"/>
      <c r="DB112" s="115"/>
      <c r="DC112" s="115"/>
      <c r="DD112" s="115"/>
    </row>
    <row r="113" spans="1:108" ht="12.75" customHeight="1" outlineLevel="1" x14ac:dyDescent="0.2">
      <c r="A113" s="43"/>
      <c r="B113" s="349"/>
      <c r="C113" s="473"/>
      <c r="D113" s="473"/>
      <c r="E113" s="473"/>
      <c r="F113" s="473"/>
      <c r="G113" s="473"/>
      <c r="H113" s="115"/>
      <c r="I113" s="471"/>
      <c r="J113" s="471"/>
      <c r="K113" s="471"/>
      <c r="L113" s="471"/>
      <c r="M113" s="471"/>
      <c r="N113" s="282"/>
      <c r="O113" s="471"/>
      <c r="P113" s="471"/>
      <c r="Q113" s="471"/>
      <c r="R113" s="471"/>
      <c r="S113" s="471"/>
      <c r="T113" s="115"/>
      <c r="U113" s="471"/>
      <c r="V113" s="471"/>
      <c r="W113" s="471"/>
      <c r="X113" s="471"/>
      <c r="Y113" s="471"/>
      <c r="Z113" s="115"/>
      <c r="AA113" s="471"/>
      <c r="AB113" s="471"/>
      <c r="AC113" s="471"/>
      <c r="AD113" s="471"/>
      <c r="AE113" s="471"/>
      <c r="AF113" s="282"/>
      <c r="AG113" s="471"/>
      <c r="AH113" s="471"/>
      <c r="AI113" s="471"/>
      <c r="AJ113" s="471"/>
      <c r="AK113" s="471"/>
      <c r="AL113" s="282"/>
      <c r="AM113" s="471"/>
      <c r="AN113" s="471"/>
      <c r="AO113" s="471"/>
      <c r="AP113" s="471"/>
      <c r="AQ113" s="471"/>
      <c r="AR113" s="282"/>
      <c r="AS113" s="471"/>
      <c r="AT113" s="471"/>
      <c r="AU113" s="471"/>
      <c r="AV113" s="471"/>
      <c r="AW113" s="471"/>
      <c r="AX113" s="282"/>
      <c r="AY113" s="471"/>
      <c r="AZ113" s="471"/>
      <c r="BA113" s="471"/>
      <c r="BB113" s="471"/>
      <c r="BC113" s="471"/>
      <c r="BD113" s="282"/>
      <c r="BE113" s="471"/>
      <c r="BF113" s="471"/>
      <c r="BG113" s="471"/>
      <c r="BH113" s="471"/>
      <c r="BI113" s="471"/>
      <c r="BJ113" s="282"/>
      <c r="BK113" s="471"/>
      <c r="BL113" s="471"/>
      <c r="BM113" s="471"/>
      <c r="BN113" s="471"/>
      <c r="BO113" s="471"/>
      <c r="BP113" s="282"/>
      <c r="BQ113" s="471"/>
      <c r="BR113" s="471"/>
      <c r="BS113" s="471"/>
      <c r="BT113" s="471"/>
      <c r="BU113" s="471"/>
      <c r="BV113" s="282"/>
      <c r="BW113" s="471"/>
      <c r="BX113" s="471"/>
      <c r="BY113" s="471"/>
      <c r="BZ113" s="471"/>
      <c r="CA113" s="471"/>
      <c r="CB113" s="282"/>
      <c r="CC113" s="471"/>
      <c r="CD113" s="471"/>
      <c r="CE113" s="471"/>
      <c r="CF113" s="471"/>
      <c r="CG113" s="471"/>
      <c r="CH113" s="282"/>
      <c r="CI113" s="471"/>
      <c r="CJ113" s="471"/>
      <c r="CK113" s="471"/>
      <c r="CL113" s="471"/>
      <c r="CM113" s="471"/>
      <c r="CN113" s="282"/>
      <c r="CO113" s="471"/>
      <c r="CP113" s="471"/>
      <c r="CQ113" s="471"/>
      <c r="CR113" s="471"/>
      <c r="CS113" s="471"/>
      <c r="CT113" s="282"/>
      <c r="DA113" s="115"/>
      <c r="DB113" s="115"/>
      <c r="DC113" s="115"/>
      <c r="DD113" s="115"/>
    </row>
    <row r="114" spans="1:108" ht="12.75" customHeight="1" outlineLevel="1" x14ac:dyDescent="0.2">
      <c r="A114" s="113"/>
      <c r="B114" s="475" t="s">
        <v>84</v>
      </c>
      <c r="C114" s="469">
        <f t="shared" ref="C114:G115" si="324">+C53</f>
        <v>0.78242852458038936</v>
      </c>
      <c r="D114" s="469">
        <f t="shared" si="324"/>
        <v>0.66689107311161977</v>
      </c>
      <c r="E114" s="469">
        <f t="shared" si="324"/>
        <v>0.55870148889431293</v>
      </c>
      <c r="F114" s="469">
        <f t="shared" si="324"/>
        <v>0.54468094463256955</v>
      </c>
      <c r="G114" s="469">
        <f t="shared" si="324"/>
        <v>0.62797372809083163</v>
      </c>
      <c r="H114" s="282"/>
      <c r="I114" s="469">
        <f t="shared" ref="I114:M115" si="325">+I53</f>
        <v>0.53919943645630464</v>
      </c>
      <c r="J114" s="469">
        <f t="shared" si="325"/>
        <v>0.48123083430263303</v>
      </c>
      <c r="K114" s="469">
        <f t="shared" si="325"/>
        <v>0.5045090261474946</v>
      </c>
      <c r="L114" s="469">
        <f t="shared" si="325"/>
        <v>7.4569405361946881E-2</v>
      </c>
      <c r="M114" s="469">
        <f t="shared" si="325"/>
        <v>0.38589161420775886</v>
      </c>
      <c r="N114" s="282"/>
      <c r="O114" s="469">
        <f t="shared" ref="O114:S115" si="326">+O53</f>
        <v>6.2531265632816399E-2</v>
      </c>
      <c r="P114" s="469">
        <f t="shared" si="326"/>
        <v>5.4971888698303793E-2</v>
      </c>
      <c r="Q114" s="469">
        <f t="shared" si="326"/>
        <v>5.2501415677618422E-2</v>
      </c>
      <c r="R114" s="469">
        <f t="shared" si="326"/>
        <v>5.0895107982202405E-2</v>
      </c>
      <c r="S114" s="469">
        <f t="shared" si="326"/>
        <v>5.486223191344055E-2</v>
      </c>
      <c r="T114" s="90"/>
      <c r="U114" s="469">
        <f t="shared" ref="U114:Y115" si="327">+U53</f>
        <v>6.6680764079791358E-2</v>
      </c>
      <c r="V114" s="469">
        <f t="shared" si="327"/>
        <v>5.4533890996895484E-2</v>
      </c>
      <c r="W114" s="469">
        <f t="shared" si="327"/>
        <v>6.4791368490586809E-2</v>
      </c>
      <c r="X114" s="469">
        <f t="shared" si="327"/>
        <v>5.5925815518269306E-2</v>
      </c>
      <c r="Y114" s="469">
        <f t="shared" si="327"/>
        <v>6.0314685314685305E-2</v>
      </c>
      <c r="Z114" s="90"/>
      <c r="AA114" s="469">
        <f t="shared" ref="AA114:AD115" si="328">+AA53</f>
        <v>6.2727252933876196E-2</v>
      </c>
      <c r="AB114" s="469">
        <f t="shared" si="328"/>
        <v>6.065312624452409E-2</v>
      </c>
      <c r="AC114" s="469">
        <f t="shared" si="328"/>
        <v>6.5123957254771714E-2</v>
      </c>
      <c r="AD114" s="469">
        <f t="shared" si="328"/>
        <v>8.5930808475775514E-2</v>
      </c>
      <c r="AE114" s="469">
        <f>SUMPRODUCT(AA114:AD114,AA$8:AD$8)/AE$8</f>
        <v>6.9017916654231432E-2</v>
      </c>
      <c r="AF114" s="90"/>
      <c r="AG114" s="469">
        <f t="shared" ref="AG114:AK115" si="329">+AG53</f>
        <v>7.7001774526491151E-2</v>
      </c>
      <c r="AH114" s="469">
        <f t="shared" si="329"/>
        <v>8.3404581022872543E-2</v>
      </c>
      <c r="AI114" s="469">
        <f t="shared" si="329"/>
        <v>9.0563042757961745E-2</v>
      </c>
      <c r="AJ114" s="469">
        <f t="shared" si="329"/>
        <v>9.1332305493926971E-2</v>
      </c>
      <c r="AK114" s="469">
        <f t="shared" si="329"/>
        <v>8.5976955877460917E-2</v>
      </c>
      <c r="AL114" s="90"/>
      <c r="AM114" s="469">
        <f t="shared" ref="AM114:AQ115" si="330">+AM53</f>
        <v>8.5433575395130287E-2</v>
      </c>
      <c r="AN114" s="469">
        <f t="shared" si="330"/>
        <v>9.4588976800321856E-2</v>
      </c>
      <c r="AO114" s="469">
        <f t="shared" si="330"/>
        <v>8.6533053837108243E-2</v>
      </c>
      <c r="AP114" s="469">
        <f t="shared" si="330"/>
        <v>8.3743021893450328E-2</v>
      </c>
      <c r="AQ114" s="469">
        <f t="shared" si="330"/>
        <v>8.7460960752815314E-2</v>
      </c>
      <c r="AR114" s="90"/>
      <c r="AS114" s="469">
        <f t="shared" ref="AS114:AW115" si="331">+AS53</f>
        <v>8.2991302286298502E-2</v>
      </c>
      <c r="AT114" s="469">
        <f t="shared" si="331"/>
        <v>8.2980495932568857E-2</v>
      </c>
      <c r="AU114" s="469">
        <f t="shared" si="331"/>
        <v>5.2120006122761374E-2</v>
      </c>
      <c r="AV114" s="469">
        <f t="shared" si="331"/>
        <v>0.10652928244113051</v>
      </c>
      <c r="AW114" s="469">
        <f t="shared" si="331"/>
        <v>8.1441399303021286E-2</v>
      </c>
      <c r="AX114" s="90"/>
      <c r="AY114" s="469">
        <f t="shared" ref="AY114:BC115" si="332">+AY53</f>
        <v>0.13346600567411171</v>
      </c>
      <c r="AZ114" s="469">
        <f t="shared" si="332"/>
        <v>9.4504672086250574E-2</v>
      </c>
      <c r="BA114" s="469">
        <f t="shared" si="332"/>
        <v>8.900186126621662E-2</v>
      </c>
      <c r="BB114" s="469">
        <f t="shared" si="332"/>
        <v>9.743307239912459E-2</v>
      </c>
      <c r="BC114" s="469">
        <f t="shared" si="332"/>
        <v>0.10300116251184951</v>
      </c>
      <c r="BD114" s="90"/>
      <c r="BE114" s="469">
        <f t="shared" ref="BE114:BI115" si="333">+BE53</f>
        <v>9.371694170466896E-2</v>
      </c>
      <c r="BF114" s="469">
        <f t="shared" si="333"/>
        <v>8.5881663891198237E-2</v>
      </c>
      <c r="BG114" s="469">
        <f t="shared" si="333"/>
        <v>8.9755288996393109E-2</v>
      </c>
      <c r="BH114" s="469">
        <f t="shared" si="333"/>
        <v>0.10402144772117961</v>
      </c>
      <c r="BI114" s="469">
        <f t="shared" si="333"/>
        <v>9.3256033227673521E-2</v>
      </c>
      <c r="BJ114" s="90"/>
      <c r="BK114" s="469">
        <f>+BK53</f>
        <v>0.108165236822963</v>
      </c>
      <c r="BL114" s="469">
        <f t="shared" ref="BL114:BM114" si="334">+BL53</f>
        <v>9.4123942570837948E-2</v>
      </c>
      <c r="BM114" s="469">
        <f t="shared" si="334"/>
        <v>8.887258143291292E-2</v>
      </c>
      <c r="BN114" s="469">
        <f t="shared" ref="BN114:BO114" si="335">+BN53</f>
        <v>9.2786616599477512E-2</v>
      </c>
      <c r="BO114" s="469">
        <f t="shared" si="335"/>
        <v>9.566690856796875E-2</v>
      </c>
      <c r="BP114" s="90"/>
      <c r="BQ114" s="469">
        <f>+BQ53</f>
        <v>9.2547002667294057E-2</v>
      </c>
      <c r="BR114" s="469">
        <f t="shared" ref="BR114" si="336">+BR53</f>
        <v>8.5577868707027674E-2</v>
      </c>
      <c r="BS114" s="496">
        <v>0.09</v>
      </c>
      <c r="BT114" s="496">
        <f>+BS114</f>
        <v>0.09</v>
      </c>
      <c r="BU114" s="469">
        <f>+BU53</f>
        <v>8.9515805999513184E-2</v>
      </c>
      <c r="BV114" s="90"/>
      <c r="BW114" s="496">
        <f>+BQ114-0.001</f>
        <v>9.1547002667294056E-2</v>
      </c>
      <c r="BX114" s="496">
        <f t="shared" ref="BX114:BZ114" si="337">+BR114-0.001</f>
        <v>8.4577868707027673E-2</v>
      </c>
      <c r="BY114" s="496">
        <f t="shared" si="337"/>
        <v>8.8999999999999996E-2</v>
      </c>
      <c r="BZ114" s="496">
        <f t="shared" si="337"/>
        <v>8.8999999999999996E-2</v>
      </c>
      <c r="CA114" s="469">
        <f>+CA53</f>
        <v>8.8500273866372922E-2</v>
      </c>
      <c r="CB114" s="90"/>
      <c r="CC114" s="496">
        <f t="shared" ref="CC114:CC115" si="338">+BW114-0.001</f>
        <v>9.0547002667294055E-2</v>
      </c>
      <c r="CD114" s="496">
        <f t="shared" ref="CD114:CD115" si="339">+BX114-0.001</f>
        <v>8.3577868707027672E-2</v>
      </c>
      <c r="CE114" s="496">
        <f t="shared" ref="CE114:CE115" si="340">+BY114-0.001</f>
        <v>8.7999999999999995E-2</v>
      </c>
      <c r="CF114" s="496">
        <f t="shared" ref="CF114:CF115" si="341">+BZ114-0.001</f>
        <v>8.7999999999999995E-2</v>
      </c>
      <c r="CG114" s="469">
        <f t="shared" ref="CG114:CG115" si="342">+CG53</f>
        <v>8.7493091175691554E-2</v>
      </c>
      <c r="CH114" s="90"/>
      <c r="CI114" s="496">
        <f t="shared" ref="CI114:CI115" si="343">+CC114-0.001</f>
        <v>8.9547002667294054E-2</v>
      </c>
      <c r="CJ114" s="496">
        <f t="shared" ref="CJ114:CJ115" si="344">+CD114-0.001</f>
        <v>8.2577868707027671E-2</v>
      </c>
      <c r="CK114" s="496">
        <f t="shared" ref="CK114:CK115" si="345">+CE114-0.001</f>
        <v>8.6999999999999994E-2</v>
      </c>
      <c r="CL114" s="496">
        <f t="shared" ref="CL114:CL115" si="346">+CF114-0.001</f>
        <v>8.6999999999999994E-2</v>
      </c>
      <c r="CM114" s="469">
        <f t="shared" ref="CM114:CM115" si="347">+CM53</f>
        <v>8.6489277220284072E-2</v>
      </c>
      <c r="CN114" s="90"/>
      <c r="CO114" s="496">
        <f t="shared" ref="CO114:CO115" si="348">+CI114-0.001</f>
        <v>8.8547002667294053E-2</v>
      </c>
      <c r="CP114" s="496">
        <f t="shared" ref="CP114:CP115" si="349">+CJ114-0.001</f>
        <v>8.157786870702767E-2</v>
      </c>
      <c r="CQ114" s="496">
        <f t="shared" ref="CQ114:CQ115" si="350">+CK114-0.001</f>
        <v>8.5999999999999993E-2</v>
      </c>
      <c r="CR114" s="496">
        <f t="shared" ref="CR114:CR115" si="351">+CL114-0.001</f>
        <v>8.5999999999999993E-2</v>
      </c>
      <c r="CS114" s="469">
        <f t="shared" ref="CS114:CS115" si="352">+CS53</f>
        <v>8.5481529930803407E-2</v>
      </c>
      <c r="CT114" s="282"/>
      <c r="DA114" s="90"/>
      <c r="DB114" s="90"/>
      <c r="DC114" s="90"/>
      <c r="DD114" s="90"/>
    </row>
    <row r="115" spans="1:108" ht="12.75" customHeight="1" outlineLevel="1" x14ac:dyDescent="0.2">
      <c r="A115" s="113"/>
      <c r="B115" s="475" t="s">
        <v>272</v>
      </c>
      <c r="C115" s="469">
        <f t="shared" si="324"/>
        <v>0.42312852159914138</v>
      </c>
      <c r="D115" s="469">
        <f t="shared" si="324"/>
        <v>0.43651541672276833</v>
      </c>
      <c r="E115" s="469">
        <f t="shared" si="324"/>
        <v>0.47827678789358063</v>
      </c>
      <c r="F115" s="469">
        <f t="shared" si="324"/>
        <v>0.55787413694533616</v>
      </c>
      <c r="G115" s="469">
        <f t="shared" si="324"/>
        <v>0.47967236485368431</v>
      </c>
      <c r="H115" s="282"/>
      <c r="I115" s="469">
        <f t="shared" si="325"/>
        <v>0.54879211038826503</v>
      </c>
      <c r="J115" s="469">
        <f t="shared" si="325"/>
        <v>0.5372034824292411</v>
      </c>
      <c r="K115" s="469">
        <f t="shared" si="325"/>
        <v>0.48825386545778354</v>
      </c>
      <c r="L115" s="469">
        <f t="shared" si="325"/>
        <v>0.48914623210365199</v>
      </c>
      <c r="M115" s="469">
        <f t="shared" si="325"/>
        <v>0.51312804870145301</v>
      </c>
      <c r="N115" s="282"/>
      <c r="O115" s="469">
        <f t="shared" si="326"/>
        <v>0.46324590866862003</v>
      </c>
      <c r="P115" s="469">
        <f t="shared" si="326"/>
        <v>0.41642843529635987</v>
      </c>
      <c r="Q115" s="469">
        <f t="shared" si="326"/>
        <v>0.41021136933584496</v>
      </c>
      <c r="R115" s="469">
        <f t="shared" si="326"/>
        <v>0.41841796489271488</v>
      </c>
      <c r="S115" s="469">
        <f t="shared" si="326"/>
        <v>0.42533695529006793</v>
      </c>
      <c r="T115" s="90"/>
      <c r="U115" s="469">
        <f t="shared" si="327"/>
        <v>0.45431263363172852</v>
      </c>
      <c r="V115" s="469">
        <f t="shared" si="327"/>
        <v>0.4538634011728182</v>
      </c>
      <c r="W115" s="469">
        <f t="shared" si="327"/>
        <v>0.44963117912583955</v>
      </c>
      <c r="X115" s="469">
        <f t="shared" si="327"/>
        <v>0.42370752065411788</v>
      </c>
      <c r="Y115" s="469">
        <f t="shared" si="327"/>
        <v>0.44509827711720451</v>
      </c>
      <c r="Z115" s="90"/>
      <c r="AA115" s="469">
        <f t="shared" si="328"/>
        <v>0.42994622134163596</v>
      </c>
      <c r="AB115" s="469">
        <f t="shared" si="328"/>
        <v>0.43524492234169654</v>
      </c>
      <c r="AC115" s="469">
        <f t="shared" si="328"/>
        <v>0.41758649657139513</v>
      </c>
      <c r="AD115" s="469">
        <f t="shared" si="328"/>
        <v>0.40852977320969724</v>
      </c>
      <c r="AE115" s="469">
        <f>SUMPRODUCT(AA115:AD115,AA$8:AD$8)/AE$8</f>
        <v>0.4224017866913381</v>
      </c>
      <c r="AF115" s="90"/>
      <c r="AG115" s="469">
        <f t="shared" si="329"/>
        <v>0.41750262557491036</v>
      </c>
      <c r="AH115" s="469">
        <f t="shared" si="329"/>
        <v>0.41515825129670791</v>
      </c>
      <c r="AI115" s="469">
        <f t="shared" si="329"/>
        <v>0.42149225209397667</v>
      </c>
      <c r="AJ115" s="469">
        <f t="shared" si="329"/>
        <v>0.42554807656150112</v>
      </c>
      <c r="AK115" s="469">
        <f t="shared" si="329"/>
        <v>0.42012278102035266</v>
      </c>
      <c r="AL115" s="90"/>
      <c r="AM115" s="469">
        <f t="shared" si="330"/>
        <v>0.42063295787525196</v>
      </c>
      <c r="AN115" s="469">
        <f t="shared" si="330"/>
        <v>0.39937642483572489</v>
      </c>
      <c r="AO115" s="469">
        <f t="shared" si="330"/>
        <v>0.41212485300884505</v>
      </c>
      <c r="AP115" s="469">
        <f t="shared" si="330"/>
        <v>0.41090996806726549</v>
      </c>
      <c r="AQ115" s="469">
        <f t="shared" si="330"/>
        <v>0.41053060758523402</v>
      </c>
      <c r="AR115" s="90"/>
      <c r="AS115" s="469">
        <f t="shared" si="331"/>
        <v>0.38168689218489921</v>
      </c>
      <c r="AT115" s="469">
        <f t="shared" si="331"/>
        <v>0.37982456140350879</v>
      </c>
      <c r="AU115" s="469">
        <f t="shared" si="331"/>
        <v>0.4272156742690954</v>
      </c>
      <c r="AV115" s="469">
        <f t="shared" si="331"/>
        <v>0.43144120997006852</v>
      </c>
      <c r="AW115" s="469">
        <f t="shared" si="331"/>
        <v>0.4039688209957133</v>
      </c>
      <c r="AX115" s="90"/>
      <c r="AY115" s="469">
        <f t="shared" si="332"/>
        <v>0.48667057576242179</v>
      </c>
      <c r="AZ115" s="469">
        <f t="shared" si="332"/>
        <v>0.46273990878178667</v>
      </c>
      <c r="BA115" s="469">
        <f t="shared" si="332"/>
        <v>0.45244881517904267</v>
      </c>
      <c r="BB115" s="469">
        <f t="shared" si="332"/>
        <v>0.45135212457324214</v>
      </c>
      <c r="BC115" s="469">
        <f t="shared" si="332"/>
        <v>0.46277572213664492</v>
      </c>
      <c r="BD115" s="90"/>
      <c r="BE115" s="469">
        <f t="shared" si="333"/>
        <v>0.45441819407961587</v>
      </c>
      <c r="BF115" s="469">
        <f t="shared" si="333"/>
        <v>0.45372421224446291</v>
      </c>
      <c r="BG115" s="469">
        <f t="shared" si="333"/>
        <v>0.45874925487045376</v>
      </c>
      <c r="BH115" s="469">
        <f t="shared" si="333"/>
        <v>0.47238605898123315</v>
      </c>
      <c r="BI115" s="469">
        <f t="shared" si="333"/>
        <v>0.4597801012334517</v>
      </c>
      <c r="BJ115" s="241"/>
      <c r="BK115" s="469">
        <f>+BK54</f>
        <v>0.54476970837398553</v>
      </c>
      <c r="BL115" s="469">
        <f t="shared" ref="BL115:BM115" si="353">+BL54</f>
        <v>0.55965587474552292</v>
      </c>
      <c r="BM115" s="469">
        <f t="shared" si="353"/>
        <v>0.5642139312683786</v>
      </c>
      <c r="BN115" s="469">
        <f t="shared" ref="BN115:BO115" si="354">+BN54</f>
        <v>0.55572199404203193</v>
      </c>
      <c r="BO115" s="469">
        <f t="shared" si="354"/>
        <v>0.55637177720016495</v>
      </c>
      <c r="BP115" s="241"/>
      <c r="BQ115" s="469">
        <f>+BQ54</f>
        <v>0.55160116930676972</v>
      </c>
      <c r="BR115" s="469">
        <f t="shared" ref="BR115" si="355">+BR54</f>
        <v>0.5402747373793072</v>
      </c>
      <c r="BS115" s="496">
        <v>0.55000000000000004</v>
      </c>
      <c r="BT115" s="496">
        <v>0.55000000000000004</v>
      </c>
      <c r="BU115" s="469">
        <f>+BU54</f>
        <v>0.54794870949453178</v>
      </c>
      <c r="BV115" s="241"/>
      <c r="BW115" s="496">
        <f>+BQ115-0.013</f>
        <v>0.53860116930676971</v>
      </c>
      <c r="BX115" s="496">
        <f t="shared" ref="BX115:BZ115" si="356">+BR115-0.013</f>
        <v>0.52727473737930719</v>
      </c>
      <c r="BY115" s="496">
        <f t="shared" si="356"/>
        <v>0.53700000000000003</v>
      </c>
      <c r="BZ115" s="496">
        <f t="shared" si="356"/>
        <v>0.53700000000000003</v>
      </c>
      <c r="CA115" s="469">
        <f>+CA54</f>
        <v>0.53494603908560168</v>
      </c>
      <c r="CB115" s="241"/>
      <c r="CC115" s="496">
        <f t="shared" si="338"/>
        <v>0.53760116930676971</v>
      </c>
      <c r="CD115" s="496">
        <f t="shared" si="339"/>
        <v>0.52627473737930719</v>
      </c>
      <c r="CE115" s="496">
        <f t="shared" si="340"/>
        <v>0.53600000000000003</v>
      </c>
      <c r="CF115" s="496">
        <f t="shared" si="341"/>
        <v>0.53600000000000003</v>
      </c>
      <c r="CG115" s="469">
        <f t="shared" si="342"/>
        <v>0.53393950835367054</v>
      </c>
      <c r="CH115" s="241"/>
      <c r="CI115" s="496">
        <f t="shared" si="343"/>
        <v>0.53660116930676971</v>
      </c>
      <c r="CJ115" s="496">
        <f t="shared" si="344"/>
        <v>0.52527473737930719</v>
      </c>
      <c r="CK115" s="496">
        <f t="shared" si="345"/>
        <v>0.53500000000000003</v>
      </c>
      <c r="CL115" s="496">
        <f t="shared" si="346"/>
        <v>0.53500000000000003</v>
      </c>
      <c r="CM115" s="469">
        <f t="shared" si="347"/>
        <v>0.53293095550817648</v>
      </c>
      <c r="CN115" s="241"/>
      <c r="CO115" s="496">
        <f t="shared" si="348"/>
        <v>0.53560116930676971</v>
      </c>
      <c r="CP115" s="496">
        <f t="shared" si="349"/>
        <v>0.52427473737930719</v>
      </c>
      <c r="CQ115" s="496">
        <f t="shared" si="350"/>
        <v>0.53400000000000003</v>
      </c>
      <c r="CR115" s="496">
        <f t="shared" si="351"/>
        <v>0.53400000000000003</v>
      </c>
      <c r="CS115" s="469">
        <f t="shared" si="352"/>
        <v>0.53191588053775218</v>
      </c>
      <c r="CT115" s="282"/>
      <c r="DA115" s="90"/>
      <c r="DB115" s="90"/>
      <c r="DC115" s="90"/>
      <c r="DD115" s="90"/>
    </row>
    <row r="116" spans="1:108" ht="12.75" customHeight="1" outlineLevel="1" x14ac:dyDescent="0.2">
      <c r="A116" s="43"/>
      <c r="B116" s="90"/>
      <c r="C116" s="90"/>
      <c r="D116" s="90"/>
      <c r="E116" s="90"/>
      <c r="F116" s="90"/>
      <c r="G116" s="90"/>
      <c r="H116" s="90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  <c r="AI116" s="90"/>
      <c r="AJ116" s="90"/>
      <c r="AK116" s="90"/>
      <c r="AL116" s="90"/>
      <c r="AM116" s="90"/>
      <c r="AN116" s="90"/>
      <c r="AO116" s="90"/>
      <c r="AP116" s="90"/>
      <c r="AQ116" s="90"/>
      <c r="AR116" s="90"/>
      <c r="AS116" s="90"/>
      <c r="AT116" s="90"/>
      <c r="AU116" s="90"/>
      <c r="AV116" s="90"/>
      <c r="AW116" s="90"/>
      <c r="AX116" s="90"/>
      <c r="AY116" s="90"/>
      <c r="AZ116" s="90"/>
      <c r="BA116" s="90"/>
      <c r="BB116" s="90"/>
      <c r="BC116" s="90"/>
      <c r="BD116" s="90"/>
      <c r="BE116" s="90"/>
      <c r="BF116" s="90"/>
      <c r="BG116" s="90"/>
      <c r="BH116" s="90"/>
      <c r="BI116" s="90"/>
      <c r="BJ116" s="90"/>
      <c r="BK116" s="90"/>
      <c r="BL116" s="90"/>
      <c r="BM116" s="90"/>
      <c r="BN116" s="90"/>
      <c r="BO116" s="90"/>
      <c r="BP116" s="90"/>
      <c r="BQ116" s="90"/>
      <c r="BR116" s="90"/>
      <c r="BS116" s="90"/>
      <c r="BT116" s="90"/>
      <c r="BU116" s="90"/>
      <c r="BV116" s="90"/>
      <c r="BW116" s="90"/>
      <c r="BX116" s="90"/>
      <c r="BY116" s="90"/>
      <c r="BZ116" s="90"/>
      <c r="CA116" s="90"/>
      <c r="CB116" s="90"/>
      <c r="CC116" s="90"/>
      <c r="CD116" s="90"/>
      <c r="CE116" s="90"/>
      <c r="CF116" s="90"/>
      <c r="CG116" s="90"/>
      <c r="CH116" s="90"/>
      <c r="CI116" s="90"/>
      <c r="CJ116" s="90"/>
      <c r="CK116" s="90"/>
      <c r="CL116" s="90"/>
      <c r="CM116" s="90"/>
      <c r="CN116" s="90"/>
      <c r="CO116" s="90"/>
      <c r="CP116" s="90"/>
      <c r="CQ116" s="90"/>
      <c r="CR116" s="90"/>
      <c r="CS116" s="90"/>
      <c r="CT116" s="90"/>
      <c r="DA116" s="90"/>
      <c r="DB116" s="90"/>
      <c r="DC116" s="90"/>
      <c r="DD116" s="90"/>
    </row>
    <row r="117" spans="1:108" ht="12.75" customHeight="1" outlineLevel="1" x14ac:dyDescent="0.2">
      <c r="A117" s="43"/>
      <c r="B117" s="99" t="s">
        <v>230</v>
      </c>
      <c r="C117" s="99"/>
      <c r="D117" s="99"/>
      <c r="E117" s="99"/>
      <c r="F117" s="99"/>
      <c r="G117" s="99"/>
      <c r="H117" s="115"/>
      <c r="I117" s="99"/>
      <c r="J117" s="99"/>
      <c r="K117" s="99"/>
      <c r="L117" s="99"/>
      <c r="M117" s="99"/>
      <c r="N117" s="115"/>
      <c r="O117" s="99"/>
      <c r="P117" s="99"/>
      <c r="Q117" s="99"/>
      <c r="R117" s="99"/>
      <c r="S117" s="99"/>
      <c r="T117" s="115"/>
      <c r="U117" s="99"/>
      <c r="V117" s="99"/>
      <c r="W117" s="99"/>
      <c r="X117" s="99"/>
      <c r="Y117" s="99"/>
      <c r="Z117" s="115"/>
      <c r="AA117" s="99"/>
      <c r="AB117" s="99"/>
      <c r="AC117" s="99"/>
      <c r="AD117" s="99"/>
      <c r="AE117" s="99"/>
      <c r="AF117" s="115"/>
      <c r="AG117" s="99"/>
      <c r="AH117" s="99"/>
      <c r="AI117" s="99"/>
      <c r="AJ117" s="99"/>
      <c r="AK117" s="99"/>
      <c r="AL117" s="115"/>
      <c r="AM117" s="99"/>
      <c r="AN117" s="99"/>
      <c r="AO117" s="99"/>
      <c r="AP117" s="99"/>
      <c r="AQ117" s="99"/>
      <c r="AR117" s="115"/>
      <c r="AS117" s="99"/>
      <c r="AT117" s="99"/>
      <c r="AU117" s="99"/>
      <c r="AV117" s="99"/>
      <c r="AW117" s="99"/>
      <c r="AX117" s="115"/>
      <c r="AY117" s="99"/>
      <c r="AZ117" s="99"/>
      <c r="BA117" s="99"/>
      <c r="BB117" s="99"/>
      <c r="BC117" s="99"/>
      <c r="BD117" s="115"/>
      <c r="BE117" s="99"/>
      <c r="BF117" s="99"/>
      <c r="BG117" s="99"/>
      <c r="BH117" s="99"/>
      <c r="BI117" s="99"/>
      <c r="BJ117" s="115"/>
      <c r="BK117" s="99"/>
      <c r="BL117" s="99"/>
      <c r="BM117" s="99"/>
      <c r="BN117" s="99"/>
      <c r="BO117" s="99"/>
      <c r="BP117" s="115"/>
      <c r="BQ117" s="99"/>
      <c r="BR117" s="99"/>
      <c r="BS117" s="99"/>
      <c r="BT117" s="99"/>
      <c r="BU117" s="99"/>
      <c r="BV117" s="115"/>
      <c r="BW117" s="99"/>
      <c r="BX117" s="99"/>
      <c r="BY117" s="99"/>
      <c r="BZ117" s="99"/>
      <c r="CA117" s="99"/>
      <c r="CB117" s="115"/>
      <c r="CC117" s="99"/>
      <c r="CD117" s="99"/>
      <c r="CE117" s="99"/>
      <c r="CF117" s="99"/>
      <c r="CG117" s="99"/>
      <c r="CH117" s="115"/>
      <c r="CI117" s="99"/>
      <c r="CJ117" s="99"/>
      <c r="CK117" s="99"/>
      <c r="CL117" s="99"/>
      <c r="CM117" s="99"/>
      <c r="CN117" s="115"/>
      <c r="CO117" s="99"/>
      <c r="CP117" s="99"/>
      <c r="CQ117" s="99"/>
      <c r="CR117" s="99"/>
      <c r="CS117" s="99"/>
      <c r="CT117" s="115"/>
      <c r="DA117" s="115"/>
      <c r="DB117" s="115"/>
      <c r="DC117" s="115"/>
      <c r="DD117" s="115"/>
    </row>
    <row r="118" spans="1:108" ht="12.75" customHeight="1" outlineLevel="1" x14ac:dyDescent="0.2">
      <c r="A118" s="43"/>
      <c r="B118" s="472"/>
      <c r="C118" s="473"/>
      <c r="D118" s="473"/>
      <c r="E118" s="473"/>
      <c r="F118" s="473"/>
      <c r="G118" s="473"/>
      <c r="H118" s="115"/>
      <c r="I118" s="474"/>
      <c r="J118" s="474"/>
      <c r="K118" s="474"/>
      <c r="L118" s="474"/>
      <c r="M118" s="474"/>
      <c r="N118" s="115"/>
      <c r="O118" s="474"/>
      <c r="P118" s="474"/>
      <c r="Q118" s="474"/>
      <c r="R118" s="474"/>
      <c r="S118" s="474"/>
      <c r="T118" s="115"/>
      <c r="U118" s="474"/>
      <c r="V118" s="474"/>
      <c r="W118" s="474"/>
      <c r="X118" s="474"/>
      <c r="Y118" s="474"/>
      <c r="Z118" s="115"/>
      <c r="AA118" s="471"/>
      <c r="AB118" s="471"/>
      <c r="AC118" s="471"/>
      <c r="AD118" s="471"/>
      <c r="AE118" s="471"/>
      <c r="AF118" s="115"/>
      <c r="AG118" s="471"/>
      <c r="AH118" s="471"/>
      <c r="AI118" s="471"/>
      <c r="AJ118" s="471"/>
      <c r="AK118" s="471"/>
      <c r="AL118" s="115"/>
      <c r="AM118" s="471"/>
      <c r="AN118" s="471"/>
      <c r="AO118" s="471"/>
      <c r="AP118" s="471"/>
      <c r="AQ118" s="471"/>
      <c r="AR118" s="115"/>
      <c r="AS118" s="471"/>
      <c r="AT118" s="471"/>
      <c r="AU118" s="471"/>
      <c r="AV118" s="471"/>
      <c r="AW118" s="471"/>
      <c r="AX118" s="115"/>
      <c r="AY118" s="476"/>
      <c r="AZ118" s="476"/>
      <c r="BA118" s="476"/>
      <c r="BB118" s="476"/>
      <c r="BC118" s="471"/>
      <c r="BD118" s="115"/>
      <c r="BE118" s="476"/>
      <c r="BF118" s="476"/>
      <c r="BG118" s="476"/>
      <c r="BH118" s="476"/>
      <c r="BI118" s="471"/>
      <c r="BJ118" s="115"/>
      <c r="BK118" s="476"/>
      <c r="BL118" s="476"/>
      <c r="BM118" s="476"/>
      <c r="BN118" s="476"/>
      <c r="BO118" s="471"/>
      <c r="BP118" s="115"/>
      <c r="BQ118" s="476"/>
      <c r="BR118" s="476"/>
      <c r="BS118" s="476"/>
      <c r="BT118" s="476"/>
      <c r="BU118" s="471"/>
      <c r="BV118" s="115"/>
      <c r="BW118" s="476"/>
      <c r="BX118" s="476"/>
      <c r="BY118" s="476"/>
      <c r="BZ118" s="476"/>
      <c r="CA118" s="471"/>
      <c r="CB118" s="115"/>
      <c r="CC118" s="476"/>
      <c r="CD118" s="476"/>
      <c r="CE118" s="476"/>
      <c r="CF118" s="476"/>
      <c r="CG118" s="471"/>
      <c r="CH118" s="115"/>
      <c r="CI118" s="476"/>
      <c r="CJ118" s="476"/>
      <c r="CK118" s="476"/>
      <c r="CL118" s="476"/>
      <c r="CM118" s="471"/>
      <c r="CN118" s="115"/>
      <c r="CO118" s="476"/>
      <c r="CP118" s="476"/>
      <c r="CQ118" s="476"/>
      <c r="CR118" s="476"/>
      <c r="CS118" s="471"/>
      <c r="CT118" s="282"/>
      <c r="DA118" s="115"/>
      <c r="DB118" s="115"/>
      <c r="DC118" s="115"/>
      <c r="DD118" s="115"/>
    </row>
    <row r="119" spans="1:108" ht="12.75" customHeight="1" outlineLevel="1" x14ac:dyDescent="0.2">
      <c r="A119" s="43"/>
      <c r="B119" s="470" t="s">
        <v>219</v>
      </c>
      <c r="C119" s="471">
        <f>+C$50</f>
        <v>0.75836985362072562</v>
      </c>
      <c r="D119" s="471">
        <f>+D$50</f>
        <v>0.79725326511377403</v>
      </c>
      <c r="E119" s="471">
        <f>+E$50</f>
        <v>0.81505979985355137</v>
      </c>
      <c r="F119" s="471">
        <f>+F$50</f>
        <v>0.83284225339724705</v>
      </c>
      <c r="G119" s="471">
        <f>+G$50</f>
        <v>0.80389623614169514</v>
      </c>
      <c r="H119" s="282"/>
      <c r="I119" s="471">
        <f>+I$50</f>
        <v>0.84802966891807896</v>
      </c>
      <c r="J119" s="471">
        <f>+J$50</f>
        <v>0.86447428712417618</v>
      </c>
      <c r="K119" s="471">
        <f>+K$50</f>
        <v>0.86621873229175106</v>
      </c>
      <c r="L119" s="471">
        <f>+L$50</f>
        <v>0.86006060793469186</v>
      </c>
      <c r="M119" s="471">
        <f>+M$50</f>
        <v>0.8602771212913316</v>
      </c>
      <c r="N119" s="282"/>
      <c r="O119" s="471">
        <f>+O$50</f>
        <v>0.860072893589652</v>
      </c>
      <c r="P119" s="471">
        <f>+P$50</f>
        <v>0.86825805222031638</v>
      </c>
      <c r="Q119" s="471">
        <f>+Q$50</f>
        <v>0.87019680808034117</v>
      </c>
      <c r="R119" s="471">
        <f>+R$50</f>
        <v>0.87006122283019083</v>
      </c>
      <c r="S119" s="471">
        <f>+S$50</f>
        <v>0.86749334664514732</v>
      </c>
      <c r="T119" s="115"/>
      <c r="U119" s="471">
        <f>+U$50</f>
        <v>0.87004534667888445</v>
      </c>
      <c r="V119" s="471">
        <f>+V$50</f>
        <v>0.88052992411176267</v>
      </c>
      <c r="W119" s="471">
        <f>+W$50</f>
        <v>0.88021578773532982</v>
      </c>
      <c r="X119" s="471">
        <f>+X$50</f>
        <v>0.88011029724895673</v>
      </c>
      <c r="Y119" s="471">
        <f>+Y$50</f>
        <v>0.87788158214025724</v>
      </c>
      <c r="Z119" s="115"/>
      <c r="AA119" s="471">
        <f>+AA$50</f>
        <v>0.88013020096235495</v>
      </c>
      <c r="AB119" s="471">
        <f>+AB$50</f>
        <v>0.88006770211071295</v>
      </c>
      <c r="AC119" s="471">
        <f>+AC$50</f>
        <v>0.89125168499814411</v>
      </c>
      <c r="AD119" s="471">
        <f>+AD$50</f>
        <v>0.88340222693926196</v>
      </c>
      <c r="AE119" s="471">
        <f>+AE$50</f>
        <v>0.8838202962565036</v>
      </c>
      <c r="AF119" s="282"/>
      <c r="AG119" s="471">
        <f>+AG$50</f>
        <v>0.86997971969724397</v>
      </c>
      <c r="AH119" s="471">
        <f>+AH$50</f>
        <v>0.86876582716531903</v>
      </c>
      <c r="AI119" s="471">
        <f>+AI$50</f>
        <v>0.86724920440447839</v>
      </c>
      <c r="AJ119" s="471">
        <f>+AJ$50</f>
        <v>0.87250028202910535</v>
      </c>
      <c r="AK119" s="471">
        <f>+AK$50</f>
        <v>0.86964042701182453</v>
      </c>
      <c r="AL119" s="282"/>
      <c r="AM119" s="471">
        <f>+AM$50</f>
        <v>0.87014845957268228</v>
      </c>
      <c r="AN119" s="471">
        <f>+AN$50</f>
        <v>0.86667560681239098</v>
      </c>
      <c r="AO119" s="471">
        <f>+AO$50</f>
        <v>0.87004703716958942</v>
      </c>
      <c r="AP119" s="471">
        <f>+AP$50</f>
        <v>0.87322819269912011</v>
      </c>
      <c r="AQ119" s="471">
        <f>+AQ$50</f>
        <v>0.87015240595924437</v>
      </c>
      <c r="AR119" s="282"/>
      <c r="AS119" s="471">
        <f>+AS$50</f>
        <v>0.87414739192065871</v>
      </c>
      <c r="AT119" s="471">
        <f>+AT$50</f>
        <v>0.87194452611976869</v>
      </c>
      <c r="AU119" s="471">
        <f>+AU$50</f>
        <v>0.85684765257702644</v>
      </c>
      <c r="AV119" s="471">
        <f>+AV$50</f>
        <v>0.83588059227081302</v>
      </c>
      <c r="AW119" s="471">
        <f>+AW$50</f>
        <v>0.86022132672676987</v>
      </c>
      <c r="AX119" s="282"/>
      <c r="AY119" s="471">
        <f>+AY$50</f>
        <v>0.79349905530185916</v>
      </c>
      <c r="AZ119" s="471">
        <f>+AZ$50</f>
        <v>0.79472105774080359</v>
      </c>
      <c r="BA119" s="471">
        <f>+BA$50</f>
        <v>0.79835541850709779</v>
      </c>
      <c r="BB119" s="471">
        <f>+BB$50</f>
        <v>0.80250052892069335</v>
      </c>
      <c r="BC119" s="471">
        <f>+BC$50</f>
        <v>0.79738315069199273</v>
      </c>
      <c r="BD119" s="282"/>
      <c r="BE119" s="471">
        <f>+BE$50</f>
        <v>0.80112393184765018</v>
      </c>
      <c r="BF119" s="471">
        <f>+BF$50</f>
        <v>0.78995207506128629</v>
      </c>
      <c r="BG119" s="471">
        <f>+BG$50</f>
        <v>0.7889963381488303</v>
      </c>
      <c r="BH119" s="471">
        <f>+BH$50</f>
        <v>0.78552278820375343</v>
      </c>
      <c r="BI119" s="471">
        <f>+BI$50</f>
        <v>0.79133465111361245</v>
      </c>
      <c r="BJ119" s="282"/>
      <c r="BK119" s="471">
        <f>+BK$50</f>
        <v>0.77465575661882702</v>
      </c>
      <c r="BL119" s="471">
        <f>+BL$50</f>
        <v>0.77410253782998883</v>
      </c>
      <c r="BM119" s="471">
        <f>+BM$50</f>
        <v>0.77502540814411192</v>
      </c>
      <c r="BN119" s="471">
        <f>+BN$50</f>
        <v>0.78798756959796812</v>
      </c>
      <c r="BO119" s="471">
        <f>+BO$50</f>
        <v>0.77807351291549809</v>
      </c>
      <c r="BP119" s="282"/>
      <c r="BQ119" s="471">
        <f>+BQ$50</f>
        <v>0.77389084575604294</v>
      </c>
      <c r="BR119" s="471">
        <f>+BR$50</f>
        <v>0.77110497767517894</v>
      </c>
      <c r="BS119" s="471"/>
      <c r="BT119" s="471"/>
      <c r="BU119" s="471"/>
      <c r="BV119" s="282"/>
      <c r="BW119" s="471"/>
      <c r="BX119" s="471"/>
      <c r="BY119" s="471"/>
      <c r="BZ119" s="471"/>
      <c r="CA119" s="471"/>
      <c r="CB119" s="282"/>
      <c r="CC119" s="471"/>
      <c r="CD119" s="471"/>
      <c r="CE119" s="471"/>
      <c r="CF119" s="471"/>
      <c r="CG119" s="471"/>
      <c r="CH119" s="282"/>
      <c r="CI119" s="471"/>
      <c r="CJ119" s="471"/>
      <c r="CK119" s="471"/>
      <c r="CL119" s="471"/>
      <c r="CM119" s="471"/>
      <c r="CN119" s="282"/>
      <c r="CO119" s="471"/>
      <c r="CP119" s="471"/>
      <c r="CQ119" s="471"/>
      <c r="CR119" s="471"/>
      <c r="CS119" s="471"/>
      <c r="CT119" s="282"/>
      <c r="DA119" s="115"/>
      <c r="DB119" s="115"/>
      <c r="DC119" s="115"/>
      <c r="DD119" s="115"/>
    </row>
    <row r="120" spans="1:108" ht="12.75" customHeight="1" outlineLevel="1" x14ac:dyDescent="0.2">
      <c r="A120" s="43"/>
      <c r="B120" s="349" t="s">
        <v>269</v>
      </c>
      <c r="C120" s="471">
        <f>+C$51</f>
        <v>0.75836985362072562</v>
      </c>
      <c r="D120" s="471">
        <f>+D$51</f>
        <v>0.79725326511377403</v>
      </c>
      <c r="E120" s="471">
        <f>+E$51</f>
        <v>0.81505979985355137</v>
      </c>
      <c r="F120" s="471">
        <f>+F$51</f>
        <v>0.83284225339724705</v>
      </c>
      <c r="G120" s="471">
        <f>+G$51</f>
        <v>0.80389623614169514</v>
      </c>
      <c r="H120" s="282"/>
      <c r="I120" s="471">
        <f>+I$51</f>
        <v>0.84802966891807896</v>
      </c>
      <c r="J120" s="471">
        <f>+J$51</f>
        <v>0.86447428712417618</v>
      </c>
      <c r="K120" s="471">
        <f>+K$51</f>
        <v>0.86621873229175106</v>
      </c>
      <c r="L120" s="471">
        <f>+L$51</f>
        <v>0.86006060793469186</v>
      </c>
      <c r="M120" s="471">
        <f>+M$51</f>
        <v>0.86027712129133171</v>
      </c>
      <c r="N120" s="282"/>
      <c r="O120" s="471">
        <f>+O$51</f>
        <v>0.860072893589652</v>
      </c>
      <c r="P120" s="471">
        <f>+P$51</f>
        <v>0.86825805222031638</v>
      </c>
      <c r="Q120" s="471">
        <f>+Q$51</f>
        <v>0.87019680808034117</v>
      </c>
      <c r="R120" s="471">
        <f>+R$51</f>
        <v>0.87006122283019083</v>
      </c>
      <c r="S120" s="471">
        <f>+S$51</f>
        <v>0.86749334664514732</v>
      </c>
      <c r="T120" s="115"/>
      <c r="U120" s="471">
        <f>+U$51</f>
        <v>0.87004534667888445</v>
      </c>
      <c r="V120" s="471">
        <f>+V$51</f>
        <v>0.88052992411176267</v>
      </c>
      <c r="W120" s="471">
        <f>+W$51</f>
        <v>0.88021578773532982</v>
      </c>
      <c r="X120" s="471">
        <f>+X$51</f>
        <v>0.88011029724895673</v>
      </c>
      <c r="Y120" s="471">
        <f>+Y$51</f>
        <v>0.87788158214025724</v>
      </c>
      <c r="Z120" s="115"/>
      <c r="AA120" s="471">
        <f>+AA$51</f>
        <v>0.88013020096235495</v>
      </c>
      <c r="AB120" s="471">
        <f>+AB$51</f>
        <v>0.88006770211071284</v>
      </c>
      <c r="AC120" s="471">
        <f>+AC$51</f>
        <v>0.89125168499814411</v>
      </c>
      <c r="AD120" s="471">
        <f>+AD$51</f>
        <v>0.89136788961223823</v>
      </c>
      <c r="AE120" s="471">
        <f>+AE$51</f>
        <v>0.88592061912880005</v>
      </c>
      <c r="AF120" s="282"/>
      <c r="AG120" s="471">
        <f>+AG$51</f>
        <v>0.89131375698525528</v>
      </c>
      <c r="AH120" s="471">
        <f>+AH$51</f>
        <v>0.89103817702576316</v>
      </c>
      <c r="AI120" s="471">
        <f>+AI$51</f>
        <v>0.89080543661606326</v>
      </c>
      <c r="AJ120" s="471">
        <f>+AJ$51</f>
        <v>0.8911991466599738</v>
      </c>
      <c r="AK120" s="471">
        <f>+AK$51</f>
        <v>0.89108152162408183</v>
      </c>
      <c r="AL120" s="282"/>
      <c r="AM120" s="471">
        <f>+AM$51</f>
        <v>0.89053021969387436</v>
      </c>
      <c r="AN120" s="471">
        <f>+AN$51</f>
        <v>0.88932890629999073</v>
      </c>
      <c r="AO120" s="471">
        <f>+AO$51</f>
        <v>0.88905811947379776</v>
      </c>
      <c r="AP120" s="471">
        <f>+AP$51</f>
        <v>0.8891196888415247</v>
      </c>
      <c r="AQ120" s="471">
        <f>+AQ$51</f>
        <v>0.8894627673457054</v>
      </c>
      <c r="AR120" s="282"/>
      <c r="AS120" s="471">
        <f>+AS$51</f>
        <v>0.88890961567359461</v>
      </c>
      <c r="AT120" s="471">
        <f>+AT$51</f>
        <v>0.88399657419019362</v>
      </c>
      <c r="AU120" s="471">
        <f>+AU$51</f>
        <v>0.8681828243213332</v>
      </c>
      <c r="AV120" s="471">
        <f>+AV$51</f>
        <v>0.84524942306219997</v>
      </c>
      <c r="AW120" s="471">
        <f>+AW$51</f>
        <v>0.87206996009077797</v>
      </c>
      <c r="AX120" s="282"/>
      <c r="AY120" s="471">
        <f>+AY$51</f>
        <v>0.80063462345067382</v>
      </c>
      <c r="AZ120" s="471">
        <f>+AZ$51</f>
        <v>0.80435389338543128</v>
      </c>
      <c r="BA120" s="471">
        <f>+BA$51</f>
        <v>0.80919379450661244</v>
      </c>
      <c r="BB120" s="471">
        <f>+BB$51</f>
        <v>0.8210340135662153</v>
      </c>
      <c r="BC120" s="471">
        <f>+BC$51</f>
        <v>0.80896657786153159</v>
      </c>
      <c r="BD120" s="282"/>
      <c r="BE120" s="471">
        <f>+BE$51</f>
        <v>0.82027191341759409</v>
      </c>
      <c r="BF120" s="471">
        <f>+BF$51</f>
        <v>0.81324198864941477</v>
      </c>
      <c r="BG120" s="471">
        <f>+BG$51</f>
        <v>0.81061675763208985</v>
      </c>
      <c r="BH120" s="471">
        <f>+BH$51</f>
        <v>0.80322209436133485</v>
      </c>
      <c r="BI120" s="471">
        <f>+BI$51</f>
        <v>0.81182701940815516</v>
      </c>
      <c r="BJ120" s="282"/>
      <c r="BK120" s="471">
        <f>+BK$51</f>
        <v>0.79225492253867158</v>
      </c>
      <c r="BL120" s="471">
        <f>+BL$51</f>
        <v>0.79668316620568236</v>
      </c>
      <c r="BM120" s="471">
        <f>+BM$51</f>
        <v>0.79536866383874349</v>
      </c>
      <c r="BN120" s="471">
        <f>+BN$51</f>
        <v>0.81049712261393936</v>
      </c>
      <c r="BO120" s="471">
        <f>+BO$51</f>
        <v>0.79892722991297804</v>
      </c>
      <c r="BP120" s="282"/>
      <c r="BQ120" s="471">
        <f>+BQ$51</f>
        <v>0.7975092927240538</v>
      </c>
      <c r="BR120" s="471">
        <f>+BR$51</f>
        <v>0.78959163350715678</v>
      </c>
      <c r="BS120" s="476">
        <f t="shared" ref="BS120:BT121" si="357">BS111+0.05</f>
        <v>0.83672115598978947</v>
      </c>
      <c r="BT120" s="476">
        <f t="shared" si="357"/>
        <v>0.84242356420843079</v>
      </c>
      <c r="BU120" s="471">
        <f>+BU$51</f>
        <v>0.79156821949846101</v>
      </c>
      <c r="BV120" s="282"/>
      <c r="BW120" s="476">
        <f t="shared" ref="BW120:BZ121" si="358">BW111+0.05</f>
        <v>0.83296100327716227</v>
      </c>
      <c r="BX120" s="476">
        <f t="shared" si="358"/>
        <v>0.83288662159898019</v>
      </c>
      <c r="BY120" s="476">
        <f t="shared" si="358"/>
        <v>0.83832446631522317</v>
      </c>
      <c r="BZ120" s="476">
        <f t="shared" si="358"/>
        <v>0.84691238477703479</v>
      </c>
      <c r="CA120" s="471">
        <f>+CA$51</f>
        <v>0.78795668183002587</v>
      </c>
      <c r="CB120" s="282"/>
      <c r="CC120" s="476">
        <f t="shared" ref="CC120:CF120" si="359">CC111+0.05</f>
        <v>0.84063143324591694</v>
      </c>
      <c r="CD120" s="476">
        <f t="shared" si="359"/>
        <v>0.83924416503313093</v>
      </c>
      <c r="CE120" s="476">
        <f t="shared" si="359"/>
        <v>0.84227992872842794</v>
      </c>
      <c r="CF120" s="476">
        <f t="shared" si="359"/>
        <v>0.84917684130041182</v>
      </c>
      <c r="CG120" s="471">
        <f>+CG$51</f>
        <v>0.79296508645916552</v>
      </c>
      <c r="CH120" s="282"/>
      <c r="CI120" s="476">
        <f t="shared" ref="CI120:CL120" si="360">CI111+0.05</f>
        <v>0.84434675375659718</v>
      </c>
      <c r="CJ120" s="476">
        <f t="shared" si="360"/>
        <v>0.84249730775973963</v>
      </c>
      <c r="CK120" s="476">
        <f t="shared" si="360"/>
        <v>0.84456624932187929</v>
      </c>
      <c r="CL120" s="476">
        <f t="shared" si="360"/>
        <v>0.85008454062970629</v>
      </c>
      <c r="CM120" s="471">
        <f>+CM$51</f>
        <v>0.79545930189718672</v>
      </c>
      <c r="CN120" s="282"/>
      <c r="CO120" s="476">
        <f t="shared" ref="CO120:CR120" si="361">CO111+0.05</f>
        <v>0.84708061277834723</v>
      </c>
      <c r="CP120" s="476">
        <f t="shared" si="361"/>
        <v>0.8454007966917032</v>
      </c>
      <c r="CQ120" s="476">
        <f t="shared" si="361"/>
        <v>0.84816564081267753</v>
      </c>
      <c r="CR120" s="476">
        <f t="shared" si="361"/>
        <v>0.8528434046757799</v>
      </c>
      <c r="CS120" s="471">
        <f>+CS$51</f>
        <v>0.79845657237674017</v>
      </c>
      <c r="CT120" s="282"/>
      <c r="DA120" s="115"/>
      <c r="DB120" s="115"/>
      <c r="DC120" s="115"/>
      <c r="DD120" s="115"/>
    </row>
    <row r="121" spans="1:108" ht="12.75" customHeight="1" outlineLevel="1" x14ac:dyDescent="0.2">
      <c r="A121" s="43"/>
      <c r="B121" s="349" t="s">
        <v>270</v>
      </c>
      <c r="C121" s="471">
        <f>+C$52</f>
        <v>0</v>
      </c>
      <c r="D121" s="471">
        <f>+D$52</f>
        <v>0</v>
      </c>
      <c r="E121" s="471">
        <f>+E$52</f>
        <v>0</v>
      </c>
      <c r="F121" s="471">
        <f>+F$52</f>
        <v>0</v>
      </c>
      <c r="G121" s="471">
        <f>+G$52</f>
        <v>0</v>
      </c>
      <c r="H121" s="282"/>
      <c r="I121" s="471">
        <f>+I$52</f>
        <v>0</v>
      </c>
      <c r="J121" s="471">
        <f>+J$52</f>
        <v>0</v>
      </c>
      <c r="K121" s="471">
        <f>+K$52</f>
        <v>0</v>
      </c>
      <c r="L121" s="471">
        <f>+L$52</f>
        <v>0</v>
      </c>
      <c r="M121" s="471">
        <f>+M$52</f>
        <v>0</v>
      </c>
      <c r="N121" s="282"/>
      <c r="O121" s="471">
        <f>+O$52</f>
        <v>0</v>
      </c>
      <c r="P121" s="471">
        <f>+P$52</f>
        <v>0</v>
      </c>
      <c r="Q121" s="471">
        <f>+Q$52</f>
        <v>0</v>
      </c>
      <c r="R121" s="471">
        <f>+R$52</f>
        <v>0</v>
      </c>
      <c r="S121" s="471">
        <f>+S$52</f>
        <v>0</v>
      </c>
      <c r="T121" s="115"/>
      <c r="U121" s="471">
        <f>+U$52</f>
        <v>0</v>
      </c>
      <c r="V121" s="471">
        <f>+V$52</f>
        <v>0</v>
      </c>
      <c r="W121" s="471">
        <f>+W$52</f>
        <v>0</v>
      </c>
      <c r="X121" s="471">
        <f>+X$52</f>
        <v>0</v>
      </c>
      <c r="Y121" s="471">
        <f>+Y$52</f>
        <v>0</v>
      </c>
      <c r="Z121" s="115"/>
      <c r="AA121" s="471">
        <f>+AA$52</f>
        <v>0</v>
      </c>
      <c r="AB121" s="471">
        <f>+AB$52</f>
        <v>0</v>
      </c>
      <c r="AC121" s="471">
        <f>+AC$52</f>
        <v>0</v>
      </c>
      <c r="AD121" s="471">
        <f>+AD$52</f>
        <v>0.47154072620215898</v>
      </c>
      <c r="AE121" s="471">
        <f>+AE$52</f>
        <v>0.47154072620215898</v>
      </c>
      <c r="AF121" s="282"/>
      <c r="AG121" s="471">
        <f>+AG$52</f>
        <v>0.52784204843436677</v>
      </c>
      <c r="AH121" s="471">
        <f>+AH$52</f>
        <v>0.36512209190540273</v>
      </c>
      <c r="AI121" s="471">
        <f>+AI$52</f>
        <v>0.41794276875483372</v>
      </c>
      <c r="AJ121" s="471">
        <f>+AJ$52</f>
        <v>0.43633369923161347</v>
      </c>
      <c r="AK121" s="471">
        <f>+AK$52</f>
        <v>0.4407368198179123</v>
      </c>
      <c r="AL121" s="282"/>
      <c r="AM121" s="471">
        <f>+AM$52</f>
        <v>0.44966769330523582</v>
      </c>
      <c r="AN121" s="471">
        <f>+AN$52</f>
        <v>0.49134173636470735</v>
      </c>
      <c r="AO121" s="471">
        <f>+AO$52</f>
        <v>0.52126607319485652</v>
      </c>
      <c r="AP121" s="471">
        <f>+AP$52</f>
        <v>0.54441260744985676</v>
      </c>
      <c r="AQ121" s="471">
        <f>+AQ$52</f>
        <v>0.50469567477983945</v>
      </c>
      <c r="AR121" s="282"/>
      <c r="AS121" s="471">
        <f>+AS$52</f>
        <v>0.57362869198312239</v>
      </c>
      <c r="AT121" s="471">
        <f>+AT$52</f>
        <v>0.57276638825613768</v>
      </c>
      <c r="AU121" s="471">
        <f>+AU$52</f>
        <v>0.56022575375018568</v>
      </c>
      <c r="AV121" s="471">
        <f>+AV$52</f>
        <v>0.54565475182110779</v>
      </c>
      <c r="AW121" s="471">
        <f>+AW$52</f>
        <v>0.56489439669531616</v>
      </c>
      <c r="AX121" s="282"/>
      <c r="AY121" s="471">
        <f>+AY$52</f>
        <v>0.52251212191179874</v>
      </c>
      <c r="AZ121" s="471">
        <f>+AZ$52</f>
        <v>0.46557314514590886</v>
      </c>
      <c r="BA121" s="471">
        <f>+BA$52</f>
        <v>0.53167808219178081</v>
      </c>
      <c r="BB121" s="471">
        <f>+BB$52</f>
        <v>0.50311681272020958</v>
      </c>
      <c r="BC121" s="471">
        <f>+BC$52</f>
        <v>0.50627463744530032</v>
      </c>
      <c r="BD121" s="282"/>
      <c r="BE121" s="471">
        <f>+BE$52</f>
        <v>0.51744937526928048</v>
      </c>
      <c r="BF121" s="471">
        <f>+BF$52</f>
        <v>0.39252336448598124</v>
      </c>
      <c r="BG121" s="471">
        <f>+BG$52</f>
        <v>0.49618320610687022</v>
      </c>
      <c r="BH121" s="471">
        <f>+BH$52</f>
        <v>0.54330708661417326</v>
      </c>
      <c r="BI121" s="471">
        <f>+BI$52</f>
        <v>0.49069743269930366</v>
      </c>
      <c r="BJ121" s="282"/>
      <c r="BK121" s="471">
        <f>+BK$52</f>
        <v>0.54032258064516125</v>
      </c>
      <c r="BL121" s="471">
        <f>+BL$52</f>
        <v>0.44444444444444442</v>
      </c>
      <c r="BM121" s="471">
        <f>+BM$52</f>
        <v>0.45299145299145294</v>
      </c>
      <c r="BN121" s="471">
        <f>+BN$52</f>
        <v>0.45238095238095233</v>
      </c>
      <c r="BO121" s="471">
        <f>+BO$52</f>
        <v>0.47261663286004063</v>
      </c>
      <c r="BP121" s="282"/>
      <c r="BQ121" s="471">
        <f>+BQ$52</f>
        <v>0.40350877192982459</v>
      </c>
      <c r="BR121" s="471">
        <f>+BR$52</f>
        <v>0.54729729729729737</v>
      </c>
      <c r="BS121" s="476">
        <f t="shared" si="357"/>
        <v>0.59729729729729741</v>
      </c>
      <c r="BT121" s="476">
        <f t="shared" si="357"/>
        <v>0.59729729729729741</v>
      </c>
      <c r="BU121" s="471">
        <f>+BU$52</f>
        <v>0.51403790419210926</v>
      </c>
      <c r="BV121" s="282"/>
      <c r="BW121" s="476">
        <f t="shared" si="358"/>
        <v>0.59729729729729741</v>
      </c>
      <c r="BX121" s="476">
        <f t="shared" si="358"/>
        <v>0.59729729729729741</v>
      </c>
      <c r="BY121" s="476">
        <f t="shared" si="358"/>
        <v>0.59729729729729741</v>
      </c>
      <c r="BZ121" s="476">
        <f t="shared" si="358"/>
        <v>0.59729729729729741</v>
      </c>
      <c r="CA121" s="471">
        <f>+CA$52</f>
        <v>0.54729729729729737</v>
      </c>
      <c r="CB121" s="282"/>
      <c r="CC121" s="476">
        <f t="shared" ref="CC121:CF121" si="362">CC112+0.05</f>
        <v>0.59729729729729741</v>
      </c>
      <c r="CD121" s="476">
        <f t="shared" si="362"/>
        <v>0.59729729729729741</v>
      </c>
      <c r="CE121" s="476">
        <f t="shared" si="362"/>
        <v>0.59729729729729741</v>
      </c>
      <c r="CF121" s="476">
        <f t="shared" si="362"/>
        <v>0.59729729729729741</v>
      </c>
      <c r="CG121" s="471">
        <f>+CG$52</f>
        <v>0.54729729729729737</v>
      </c>
      <c r="CH121" s="282"/>
      <c r="CI121" s="476">
        <f t="shared" ref="CI121:CL121" si="363">CI112+0.05</f>
        <v>0.59729729729729741</v>
      </c>
      <c r="CJ121" s="476">
        <f t="shared" si="363"/>
        <v>0.59729729729729741</v>
      </c>
      <c r="CK121" s="476">
        <f t="shared" si="363"/>
        <v>0.59729729729729741</v>
      </c>
      <c r="CL121" s="476">
        <f t="shared" si="363"/>
        <v>0.59729729729729741</v>
      </c>
      <c r="CM121" s="471">
        <f>+CM$52</f>
        <v>0.54729729729729737</v>
      </c>
      <c r="CN121" s="282"/>
      <c r="CO121" s="476">
        <f t="shared" ref="CO121:CR121" si="364">CO112+0.05</f>
        <v>0.59729729729729741</v>
      </c>
      <c r="CP121" s="476">
        <f t="shared" si="364"/>
        <v>0.59729729729729741</v>
      </c>
      <c r="CQ121" s="476">
        <f t="shared" si="364"/>
        <v>0.59729729729729741</v>
      </c>
      <c r="CR121" s="476">
        <f t="shared" si="364"/>
        <v>0.59729729729729741</v>
      </c>
      <c r="CS121" s="471">
        <f>+CS$52</f>
        <v>0.54729729729729737</v>
      </c>
      <c r="CT121" s="282"/>
      <c r="DA121" s="115"/>
      <c r="DB121" s="115"/>
      <c r="DC121" s="115"/>
      <c r="DD121" s="115"/>
    </row>
    <row r="122" spans="1:108" ht="12.75" customHeight="1" outlineLevel="1" x14ac:dyDescent="0.2">
      <c r="A122" s="43"/>
      <c r="B122" s="349"/>
      <c r="C122" s="473"/>
      <c r="D122" s="473"/>
      <c r="E122" s="473"/>
      <c r="F122" s="473"/>
      <c r="G122" s="473"/>
      <c r="H122" s="115"/>
      <c r="I122" s="471"/>
      <c r="J122" s="471"/>
      <c r="K122" s="471"/>
      <c r="L122" s="471"/>
      <c r="M122" s="471"/>
      <c r="N122" s="282"/>
      <c r="O122" s="471"/>
      <c r="P122" s="471"/>
      <c r="Q122" s="471"/>
      <c r="R122" s="471"/>
      <c r="S122" s="471"/>
      <c r="T122" s="115"/>
      <c r="U122" s="471"/>
      <c r="V122" s="471"/>
      <c r="W122" s="471"/>
      <c r="X122" s="471"/>
      <c r="Y122" s="471"/>
      <c r="Z122" s="115"/>
      <c r="AA122" s="471"/>
      <c r="AB122" s="471"/>
      <c r="AC122" s="471"/>
      <c r="AD122" s="471"/>
      <c r="AE122" s="471"/>
      <c r="AF122" s="282"/>
      <c r="AG122" s="471"/>
      <c r="AH122" s="471"/>
      <c r="AI122" s="471"/>
      <c r="AJ122" s="476"/>
      <c r="AK122" s="471"/>
      <c r="AL122" s="282"/>
      <c r="AM122" s="471"/>
      <c r="AN122" s="471"/>
      <c r="AO122" s="471"/>
      <c r="AP122" s="471"/>
      <c r="AQ122" s="471"/>
      <c r="AR122" s="282"/>
      <c r="AS122" s="471"/>
      <c r="AT122" s="471"/>
      <c r="AU122" s="471"/>
      <c r="AV122" s="471"/>
      <c r="AW122" s="471"/>
      <c r="AX122" s="282"/>
      <c r="AY122" s="471"/>
      <c r="AZ122" s="471"/>
      <c r="BA122" s="471"/>
      <c r="BB122" s="471"/>
      <c r="BC122" s="471"/>
      <c r="BD122" s="282"/>
      <c r="BE122" s="471"/>
      <c r="BF122" s="471"/>
      <c r="BG122" s="471"/>
      <c r="BH122" s="471"/>
      <c r="BI122" s="471"/>
      <c r="BJ122" s="282"/>
      <c r="BK122" s="471"/>
      <c r="BL122" s="471"/>
      <c r="BM122" s="471"/>
      <c r="BN122" s="471"/>
      <c r="BO122" s="471"/>
      <c r="BP122" s="282"/>
      <c r="BQ122" s="471"/>
      <c r="BR122" s="471"/>
      <c r="BS122" s="476"/>
      <c r="BT122" s="476"/>
      <c r="BU122" s="471"/>
      <c r="BV122" s="282"/>
      <c r="BW122" s="476"/>
      <c r="BX122" s="476"/>
      <c r="BY122" s="476"/>
      <c r="BZ122" s="476"/>
      <c r="CA122" s="471"/>
      <c r="CB122" s="282"/>
      <c r="CC122" s="476"/>
      <c r="CD122" s="476"/>
      <c r="CE122" s="476"/>
      <c r="CF122" s="476"/>
      <c r="CG122" s="471"/>
      <c r="CH122" s="282"/>
      <c r="CI122" s="476"/>
      <c r="CJ122" s="476"/>
      <c r="CK122" s="476"/>
      <c r="CL122" s="476"/>
      <c r="CM122" s="471"/>
      <c r="CN122" s="282"/>
      <c r="CO122" s="476"/>
      <c r="CP122" s="476"/>
      <c r="CQ122" s="476"/>
      <c r="CR122" s="476"/>
      <c r="CS122" s="471"/>
      <c r="CT122" s="282"/>
      <c r="DA122" s="115"/>
      <c r="DB122" s="115"/>
      <c r="DC122" s="115"/>
      <c r="DD122" s="115"/>
    </row>
    <row r="123" spans="1:108" ht="12.75" customHeight="1" outlineLevel="1" x14ac:dyDescent="0.2">
      <c r="A123" s="113"/>
      <c r="B123" s="475" t="s">
        <v>84</v>
      </c>
      <c r="C123" s="469">
        <f t="shared" ref="C123:G124" si="365">+C53</f>
        <v>0.78242852458038936</v>
      </c>
      <c r="D123" s="469">
        <f t="shared" si="365"/>
        <v>0.66689107311161977</v>
      </c>
      <c r="E123" s="469">
        <f t="shared" si="365"/>
        <v>0.55870148889431293</v>
      </c>
      <c r="F123" s="469">
        <f t="shared" si="365"/>
        <v>0.54468094463256955</v>
      </c>
      <c r="G123" s="469">
        <f t="shared" si="365"/>
        <v>0.62797372809083163</v>
      </c>
      <c r="H123" s="282"/>
      <c r="I123" s="469">
        <f t="shared" ref="I123:M124" si="366">+I53</f>
        <v>0.53919943645630464</v>
      </c>
      <c r="J123" s="469">
        <f t="shared" si="366"/>
        <v>0.48123083430263303</v>
      </c>
      <c r="K123" s="469">
        <f t="shared" si="366"/>
        <v>0.5045090261474946</v>
      </c>
      <c r="L123" s="469">
        <f t="shared" si="366"/>
        <v>7.4569405361946881E-2</v>
      </c>
      <c r="M123" s="469">
        <f t="shared" si="366"/>
        <v>0.38589161420775886</v>
      </c>
      <c r="N123" s="282"/>
      <c r="O123" s="469">
        <f t="shared" ref="O123:S124" si="367">+O53</f>
        <v>6.2531265632816399E-2</v>
      </c>
      <c r="P123" s="469">
        <f t="shared" si="367"/>
        <v>5.4971888698303793E-2</v>
      </c>
      <c r="Q123" s="469">
        <f t="shared" si="367"/>
        <v>5.2501415677618422E-2</v>
      </c>
      <c r="R123" s="469">
        <f t="shared" si="367"/>
        <v>5.0895107982202405E-2</v>
      </c>
      <c r="S123" s="469">
        <f t="shared" si="367"/>
        <v>5.486223191344055E-2</v>
      </c>
      <c r="T123" s="90"/>
      <c r="U123" s="469">
        <f t="shared" ref="U123:Y124" si="368">+U53</f>
        <v>6.6680764079791358E-2</v>
      </c>
      <c r="V123" s="469">
        <f t="shared" si="368"/>
        <v>5.4533890996895484E-2</v>
      </c>
      <c r="W123" s="469">
        <f t="shared" si="368"/>
        <v>6.4791368490586809E-2</v>
      </c>
      <c r="X123" s="469">
        <f t="shared" si="368"/>
        <v>5.5925815518269306E-2</v>
      </c>
      <c r="Y123" s="469">
        <f t="shared" si="368"/>
        <v>6.0314685314685305E-2</v>
      </c>
      <c r="Z123" s="90"/>
      <c r="AA123" s="469">
        <f t="shared" ref="AA123:AD124" si="369">+AA53</f>
        <v>6.2727252933876196E-2</v>
      </c>
      <c r="AB123" s="469">
        <f t="shared" si="369"/>
        <v>6.065312624452409E-2</v>
      </c>
      <c r="AC123" s="469">
        <f t="shared" si="369"/>
        <v>6.5123957254771714E-2</v>
      </c>
      <c r="AD123" s="469">
        <f t="shared" si="369"/>
        <v>8.5930808475775514E-2</v>
      </c>
      <c r="AE123" s="469">
        <f>SUMPRODUCT(AA123:AD123,AA$8:AD$8)/AE$8</f>
        <v>6.9017916654231432E-2</v>
      </c>
      <c r="AF123" s="90"/>
      <c r="AG123" s="469">
        <f t="shared" ref="AG123:AK124" si="370">+AG53</f>
        <v>7.7001774526491151E-2</v>
      </c>
      <c r="AH123" s="469">
        <f t="shared" si="370"/>
        <v>8.3404581022872543E-2</v>
      </c>
      <c r="AI123" s="469">
        <f t="shared" si="370"/>
        <v>9.0563042757961745E-2</v>
      </c>
      <c r="AJ123" s="469">
        <f t="shared" si="370"/>
        <v>9.1332305493926971E-2</v>
      </c>
      <c r="AK123" s="469">
        <f t="shared" si="370"/>
        <v>8.5976955877460917E-2</v>
      </c>
      <c r="AL123" s="282"/>
      <c r="AM123" s="469">
        <f t="shared" ref="AM123:AQ124" si="371">+AM53</f>
        <v>8.5433575395130287E-2</v>
      </c>
      <c r="AN123" s="469">
        <f t="shared" si="371"/>
        <v>9.4588976800321856E-2</v>
      </c>
      <c r="AO123" s="469">
        <f t="shared" si="371"/>
        <v>8.6533053837108243E-2</v>
      </c>
      <c r="AP123" s="469">
        <f t="shared" si="371"/>
        <v>8.3743021893450328E-2</v>
      </c>
      <c r="AQ123" s="469">
        <f t="shared" si="371"/>
        <v>8.7460960752815314E-2</v>
      </c>
      <c r="AR123" s="282"/>
      <c r="AS123" s="469">
        <f t="shared" ref="AS123:AV124" si="372">+AS53</f>
        <v>8.2991302286298502E-2</v>
      </c>
      <c r="AT123" s="469">
        <f t="shared" si="372"/>
        <v>8.2980495932568857E-2</v>
      </c>
      <c r="AU123" s="469">
        <f t="shared" si="372"/>
        <v>5.2120006122761374E-2</v>
      </c>
      <c r="AV123" s="469">
        <f t="shared" si="372"/>
        <v>0.10652928244113051</v>
      </c>
      <c r="AW123" s="469">
        <f>SUMPRODUCT(AS123:AV123,AS$8:AV$8)/AW$8</f>
        <v>8.1441399303021286E-2</v>
      </c>
      <c r="AX123" s="282"/>
      <c r="AY123" s="469">
        <f t="shared" ref="AY123:BB124" si="373">+AY53</f>
        <v>0.13346600567411171</v>
      </c>
      <c r="AZ123" s="469">
        <f t="shared" si="373"/>
        <v>9.4504672086250574E-2</v>
      </c>
      <c r="BA123" s="469">
        <f t="shared" si="373"/>
        <v>8.900186126621662E-2</v>
      </c>
      <c r="BB123" s="469">
        <f t="shared" si="373"/>
        <v>9.743307239912459E-2</v>
      </c>
      <c r="BC123" s="469">
        <f>SUMPRODUCT(AY123:BB123,AY$8:BB$8)/BC$8</f>
        <v>0.10300116251184951</v>
      </c>
      <c r="BD123" s="282"/>
      <c r="BE123" s="469">
        <f t="shared" ref="BE123:BH124" si="374">+BE53</f>
        <v>9.371694170466896E-2</v>
      </c>
      <c r="BF123" s="469">
        <f t="shared" si="374"/>
        <v>8.5881663891198237E-2</v>
      </c>
      <c r="BG123" s="469">
        <f t="shared" si="374"/>
        <v>8.9755288996393109E-2</v>
      </c>
      <c r="BH123" s="469">
        <f t="shared" si="374"/>
        <v>0.10402144772117961</v>
      </c>
      <c r="BI123" s="469">
        <f>SUMPRODUCT(BE123:BH123,BE$8:BH$8)/BI$8</f>
        <v>9.3256033227673521E-2</v>
      </c>
      <c r="BJ123" s="282"/>
      <c r="BK123" s="469">
        <f>+BK53</f>
        <v>0.108165236822963</v>
      </c>
      <c r="BL123" s="469">
        <f t="shared" ref="BL123:BM123" si="375">+BL53</f>
        <v>9.4123942570837948E-2</v>
      </c>
      <c r="BM123" s="469">
        <f t="shared" si="375"/>
        <v>8.887258143291292E-2</v>
      </c>
      <c r="BN123" s="469">
        <f t="shared" ref="BN123" si="376">+BN53</f>
        <v>9.2786616599477512E-2</v>
      </c>
      <c r="BO123" s="469">
        <f>SUMPRODUCT(BK123:BN123,BK$8:BN$8)/BO$8</f>
        <v>9.566690856796875E-2</v>
      </c>
      <c r="BP123" s="282"/>
      <c r="BQ123" s="469">
        <f>+BQ53</f>
        <v>9.2547002667294057E-2</v>
      </c>
      <c r="BR123" s="469">
        <f t="shared" ref="BR123" si="377">+BR53</f>
        <v>8.5577868707027674E-2</v>
      </c>
      <c r="BS123" s="477">
        <f t="shared" ref="BS123:BT124" si="378">+BS114-0.005</f>
        <v>8.4999999999999992E-2</v>
      </c>
      <c r="BT123" s="477">
        <f t="shared" si="378"/>
        <v>8.4999999999999992E-2</v>
      </c>
      <c r="BU123" s="469">
        <f>SUMPRODUCT(BQ123:BT123,BQ$8:BT$8)/BU$8</f>
        <v>8.7006389064201564E-2</v>
      </c>
      <c r="BV123" s="282"/>
      <c r="BW123" s="477">
        <f t="shared" ref="BW123:BZ124" si="379">+BW114-0.005</f>
        <v>8.6547002667294051E-2</v>
      </c>
      <c r="BX123" s="477">
        <f t="shared" si="379"/>
        <v>7.9577868707027669E-2</v>
      </c>
      <c r="BY123" s="477">
        <f t="shared" si="379"/>
        <v>8.3999999999999991E-2</v>
      </c>
      <c r="BZ123" s="477">
        <f t="shared" si="379"/>
        <v>8.3999999999999991E-2</v>
      </c>
      <c r="CA123" s="469">
        <f>SUMPRODUCT(BW123:BZ123,BW$8:BZ$8)/CA$8</f>
        <v>8.3500273866372904E-2</v>
      </c>
      <c r="CB123" s="282"/>
      <c r="CC123" s="477">
        <f t="shared" ref="CC123:CF123" si="380">+CC114-0.005</f>
        <v>8.554700266729405E-2</v>
      </c>
      <c r="CD123" s="477">
        <f t="shared" si="380"/>
        <v>7.8577868707027668E-2</v>
      </c>
      <c r="CE123" s="477">
        <f t="shared" si="380"/>
        <v>8.299999999999999E-2</v>
      </c>
      <c r="CF123" s="477">
        <f t="shared" si="380"/>
        <v>8.299999999999999E-2</v>
      </c>
      <c r="CG123" s="469">
        <f>SUMPRODUCT(CC123:CF123,CC$8:CF$8)/CG$8</f>
        <v>8.2493091175691535E-2</v>
      </c>
      <c r="CH123" s="282"/>
      <c r="CI123" s="477">
        <f t="shared" ref="CI123:CL123" si="381">+CI114-0.005</f>
        <v>8.4547002667294049E-2</v>
      </c>
      <c r="CJ123" s="477">
        <f t="shared" si="381"/>
        <v>7.7577868707027667E-2</v>
      </c>
      <c r="CK123" s="477">
        <f t="shared" si="381"/>
        <v>8.199999999999999E-2</v>
      </c>
      <c r="CL123" s="477">
        <f t="shared" si="381"/>
        <v>8.199999999999999E-2</v>
      </c>
      <c r="CM123" s="469">
        <f>SUMPRODUCT(CI123:CL123,CI$8:CL$8)/CM$8</f>
        <v>8.1489277220284068E-2</v>
      </c>
      <c r="CN123" s="282"/>
      <c r="CO123" s="477">
        <f t="shared" ref="CO123:CR123" si="382">+CO114-0.005</f>
        <v>8.3547002667294049E-2</v>
      </c>
      <c r="CP123" s="477">
        <f t="shared" si="382"/>
        <v>7.6577868707027666E-2</v>
      </c>
      <c r="CQ123" s="477">
        <f t="shared" si="382"/>
        <v>8.0999999999999989E-2</v>
      </c>
      <c r="CR123" s="477">
        <f t="shared" si="382"/>
        <v>8.0999999999999989E-2</v>
      </c>
      <c r="CS123" s="469">
        <f>SUMPRODUCT(CO123:CR123,CO$8:CR$8)/CS$8</f>
        <v>8.0481529930803403E-2</v>
      </c>
      <c r="CT123" s="282"/>
      <c r="DA123" s="90"/>
      <c r="DB123" s="90"/>
      <c r="DC123" s="90"/>
      <c r="DD123" s="90"/>
    </row>
    <row r="124" spans="1:108" ht="12.75" customHeight="1" outlineLevel="1" x14ac:dyDescent="0.2">
      <c r="A124" s="113"/>
      <c r="B124" s="475" t="s">
        <v>272</v>
      </c>
      <c r="C124" s="469">
        <f t="shared" si="365"/>
        <v>0.42312852159914138</v>
      </c>
      <c r="D124" s="469">
        <f t="shared" si="365"/>
        <v>0.43651541672276833</v>
      </c>
      <c r="E124" s="469">
        <f t="shared" si="365"/>
        <v>0.47827678789358063</v>
      </c>
      <c r="F124" s="469">
        <f t="shared" si="365"/>
        <v>0.55787413694533616</v>
      </c>
      <c r="G124" s="469">
        <f t="shared" si="365"/>
        <v>0.47967236485368431</v>
      </c>
      <c r="H124" s="282"/>
      <c r="I124" s="469">
        <f t="shared" si="366"/>
        <v>0.54879211038826503</v>
      </c>
      <c r="J124" s="469">
        <f t="shared" si="366"/>
        <v>0.5372034824292411</v>
      </c>
      <c r="K124" s="469">
        <f t="shared" si="366"/>
        <v>0.48825386545778354</v>
      </c>
      <c r="L124" s="469">
        <f t="shared" si="366"/>
        <v>0.48914623210365199</v>
      </c>
      <c r="M124" s="469">
        <f t="shared" si="366"/>
        <v>0.51312804870145301</v>
      </c>
      <c r="N124" s="282"/>
      <c r="O124" s="469">
        <f t="shared" si="367"/>
        <v>0.46324590866862003</v>
      </c>
      <c r="P124" s="469">
        <f t="shared" si="367"/>
        <v>0.41642843529635987</v>
      </c>
      <c r="Q124" s="469">
        <f t="shared" si="367"/>
        <v>0.41021136933584496</v>
      </c>
      <c r="R124" s="469">
        <f t="shared" si="367"/>
        <v>0.41841796489271488</v>
      </c>
      <c r="S124" s="469">
        <f t="shared" si="367"/>
        <v>0.42533695529006793</v>
      </c>
      <c r="T124" s="90"/>
      <c r="U124" s="469">
        <f t="shared" si="368"/>
        <v>0.45431263363172852</v>
      </c>
      <c r="V124" s="469">
        <f t="shared" si="368"/>
        <v>0.4538634011728182</v>
      </c>
      <c r="W124" s="469">
        <f t="shared" si="368"/>
        <v>0.44963117912583955</v>
      </c>
      <c r="X124" s="469">
        <f t="shared" si="368"/>
        <v>0.42370752065411788</v>
      </c>
      <c r="Y124" s="469">
        <f t="shared" si="368"/>
        <v>0.44509827711720451</v>
      </c>
      <c r="Z124" s="90"/>
      <c r="AA124" s="469">
        <f t="shared" si="369"/>
        <v>0.42994622134163596</v>
      </c>
      <c r="AB124" s="469">
        <f t="shared" si="369"/>
        <v>0.43524492234169654</v>
      </c>
      <c r="AC124" s="469">
        <f t="shared" si="369"/>
        <v>0.41758649657139513</v>
      </c>
      <c r="AD124" s="469">
        <f t="shared" si="369"/>
        <v>0.40852977320969724</v>
      </c>
      <c r="AE124" s="469">
        <f>SUMPRODUCT(AA124:AD124,AA$8:AD$8)/AE$8</f>
        <v>0.4224017866913381</v>
      </c>
      <c r="AF124" s="90"/>
      <c r="AG124" s="469">
        <f t="shared" si="370"/>
        <v>0.41750262557491036</v>
      </c>
      <c r="AH124" s="469">
        <f t="shared" si="370"/>
        <v>0.41515825129670791</v>
      </c>
      <c r="AI124" s="469">
        <f t="shared" si="370"/>
        <v>0.42149225209397667</v>
      </c>
      <c r="AJ124" s="469">
        <f t="shared" si="370"/>
        <v>0.42554807656150112</v>
      </c>
      <c r="AK124" s="469">
        <f t="shared" si="370"/>
        <v>0.42012278102035266</v>
      </c>
      <c r="AL124" s="282"/>
      <c r="AM124" s="469">
        <f t="shared" si="371"/>
        <v>0.42063295787525196</v>
      </c>
      <c r="AN124" s="469">
        <f t="shared" si="371"/>
        <v>0.39937642483572489</v>
      </c>
      <c r="AO124" s="469">
        <f t="shared" si="371"/>
        <v>0.41212485300884505</v>
      </c>
      <c r="AP124" s="469">
        <f t="shared" si="371"/>
        <v>0.41090996806726549</v>
      </c>
      <c r="AQ124" s="469">
        <f t="shared" si="371"/>
        <v>0.41053060758523402</v>
      </c>
      <c r="AR124" s="282"/>
      <c r="AS124" s="469">
        <f t="shared" si="372"/>
        <v>0.38168689218489921</v>
      </c>
      <c r="AT124" s="469">
        <f t="shared" si="372"/>
        <v>0.37982456140350879</v>
      </c>
      <c r="AU124" s="469">
        <f t="shared" si="372"/>
        <v>0.4272156742690954</v>
      </c>
      <c r="AV124" s="469">
        <f t="shared" si="372"/>
        <v>0.43144120997006852</v>
      </c>
      <c r="AW124" s="469">
        <f>SUMPRODUCT(AS124:AV124,AS$8:AV$8)/AW$8</f>
        <v>0.4039688209957133</v>
      </c>
      <c r="AX124" s="282"/>
      <c r="AY124" s="469">
        <f t="shared" si="373"/>
        <v>0.48667057576242179</v>
      </c>
      <c r="AZ124" s="469">
        <f t="shared" si="373"/>
        <v>0.46273990878178667</v>
      </c>
      <c r="BA124" s="469">
        <f t="shared" si="373"/>
        <v>0.45244881517904267</v>
      </c>
      <c r="BB124" s="469">
        <f t="shared" si="373"/>
        <v>0.45135212457324214</v>
      </c>
      <c r="BC124" s="469">
        <f>SUMPRODUCT(AY124:BB124,AY$8:BB$8)/BC$8</f>
        <v>0.46277572213664492</v>
      </c>
      <c r="BD124" s="282"/>
      <c r="BE124" s="469">
        <f t="shared" si="374"/>
        <v>0.45441819407961587</v>
      </c>
      <c r="BF124" s="469">
        <f t="shared" si="374"/>
        <v>0.45372421224446291</v>
      </c>
      <c r="BG124" s="469">
        <f t="shared" si="374"/>
        <v>0.45874925487045376</v>
      </c>
      <c r="BH124" s="469">
        <f t="shared" si="374"/>
        <v>0.47238605898123315</v>
      </c>
      <c r="BI124" s="469">
        <f>SUMPRODUCT(BE124:BH124,BE$8:BH$8)/BI$8</f>
        <v>0.4597801012334517</v>
      </c>
      <c r="BJ124" s="282"/>
      <c r="BK124" s="469">
        <f>+BK54</f>
        <v>0.54476970837398553</v>
      </c>
      <c r="BL124" s="469">
        <f t="shared" ref="BL124:BM124" si="383">+BL54</f>
        <v>0.55965587474552292</v>
      </c>
      <c r="BM124" s="469">
        <f t="shared" si="383"/>
        <v>0.5642139312683786</v>
      </c>
      <c r="BN124" s="469">
        <f t="shared" ref="BN124" si="384">+BN54</f>
        <v>0.55572199404203193</v>
      </c>
      <c r="BO124" s="469">
        <f>SUMPRODUCT(BK124:BN124,BK$8:BN$8)/BO$8</f>
        <v>0.55637177720016495</v>
      </c>
      <c r="BP124" s="282"/>
      <c r="BQ124" s="469">
        <f>+BQ54</f>
        <v>0.55160116930676972</v>
      </c>
      <c r="BR124" s="469">
        <f t="shared" ref="BR124" si="385">+BR54</f>
        <v>0.5402747373793072</v>
      </c>
      <c r="BS124" s="477">
        <f t="shared" si="378"/>
        <v>0.54500000000000004</v>
      </c>
      <c r="BT124" s="477">
        <f t="shared" si="378"/>
        <v>0.54500000000000004</v>
      </c>
      <c r="BU124" s="469">
        <f>SUMPRODUCT(BQ124:BT124,BQ$8:BT$8)/BU$8</f>
        <v>0.54543929255922019</v>
      </c>
      <c r="BV124" s="282"/>
      <c r="BW124" s="477">
        <f t="shared" si="379"/>
        <v>0.53360116930676971</v>
      </c>
      <c r="BX124" s="477">
        <f t="shared" si="379"/>
        <v>0.52227473737930719</v>
      </c>
      <c r="BY124" s="477">
        <f t="shared" si="379"/>
        <v>0.53200000000000003</v>
      </c>
      <c r="BZ124" s="477">
        <f t="shared" si="379"/>
        <v>0.53200000000000003</v>
      </c>
      <c r="CA124" s="469">
        <f>SUMPRODUCT(BW124:BZ124,BW$8:BZ$8)/CA$8</f>
        <v>0.52994603908560167</v>
      </c>
      <c r="CB124" s="282"/>
      <c r="CC124" s="477">
        <f t="shared" ref="CC124:CF124" si="386">+CC115-0.005</f>
        <v>0.53260116930676971</v>
      </c>
      <c r="CD124" s="477">
        <f t="shared" si="386"/>
        <v>0.52127473737930718</v>
      </c>
      <c r="CE124" s="477">
        <f t="shared" si="386"/>
        <v>0.53100000000000003</v>
      </c>
      <c r="CF124" s="477">
        <f t="shared" si="386"/>
        <v>0.53100000000000003</v>
      </c>
      <c r="CG124" s="469">
        <f>SUMPRODUCT(CC124:CF124,CC$8:CF$8)/CG$8</f>
        <v>0.52893950835367054</v>
      </c>
      <c r="CH124" s="282"/>
      <c r="CI124" s="477">
        <f t="shared" ref="CI124:CL124" si="387">+CI115-0.005</f>
        <v>0.53160116930676971</v>
      </c>
      <c r="CJ124" s="477">
        <f t="shared" si="387"/>
        <v>0.52027473737930718</v>
      </c>
      <c r="CK124" s="477">
        <f t="shared" si="387"/>
        <v>0.53</v>
      </c>
      <c r="CL124" s="477">
        <f t="shared" si="387"/>
        <v>0.53</v>
      </c>
      <c r="CM124" s="469">
        <f>SUMPRODUCT(CI124:CL124,CI$8:CL$8)/CM$8</f>
        <v>0.52793095550817648</v>
      </c>
      <c r="CN124" s="282"/>
      <c r="CO124" s="477">
        <f t="shared" ref="CO124:CR124" si="388">+CO115-0.005</f>
        <v>0.5306011693067697</v>
      </c>
      <c r="CP124" s="477">
        <f t="shared" si="388"/>
        <v>0.51927473737930718</v>
      </c>
      <c r="CQ124" s="477">
        <f t="shared" si="388"/>
        <v>0.52900000000000003</v>
      </c>
      <c r="CR124" s="477">
        <f t="shared" si="388"/>
        <v>0.52900000000000003</v>
      </c>
      <c r="CS124" s="469">
        <f>SUMPRODUCT(CO124:CR124,CO$8:CR$8)/CS$8</f>
        <v>0.52691588053775229</v>
      </c>
      <c r="CT124" s="282"/>
      <c r="DA124" s="90"/>
      <c r="DB124" s="90"/>
      <c r="DC124" s="90"/>
      <c r="DD124" s="90"/>
    </row>
    <row r="125" spans="1:108" ht="12.75" customHeight="1" outlineLevel="1" x14ac:dyDescent="0.2">
      <c r="A125" s="43"/>
      <c r="B125" s="90"/>
      <c r="C125" s="282"/>
      <c r="D125" s="282"/>
      <c r="E125" s="282"/>
      <c r="F125" s="282"/>
      <c r="G125" s="282"/>
      <c r="H125" s="90"/>
      <c r="I125" s="90"/>
      <c r="J125" s="90"/>
      <c r="K125" s="90"/>
      <c r="L125" s="90"/>
      <c r="M125" s="90"/>
      <c r="N125" s="90"/>
      <c r="O125" s="90"/>
      <c r="P125" s="90"/>
      <c r="Q125" s="90"/>
      <c r="R125" s="90"/>
      <c r="S125" s="90"/>
      <c r="T125" s="90"/>
      <c r="U125" s="90"/>
      <c r="V125" s="90"/>
      <c r="W125" s="90"/>
      <c r="X125" s="90"/>
      <c r="Y125" s="90"/>
      <c r="Z125" s="90"/>
      <c r="AA125" s="90"/>
      <c r="AB125" s="90"/>
      <c r="AC125" s="90"/>
      <c r="AD125" s="90"/>
      <c r="AE125" s="90"/>
      <c r="AF125" s="90"/>
      <c r="AG125" s="90"/>
      <c r="AH125" s="90"/>
      <c r="AI125" s="90"/>
      <c r="AJ125" s="90"/>
      <c r="AK125" s="90"/>
      <c r="AL125" s="90"/>
      <c r="AM125" s="90"/>
      <c r="AN125" s="90"/>
      <c r="AO125" s="90"/>
      <c r="AP125" s="90"/>
      <c r="AQ125" s="90"/>
      <c r="AR125" s="90"/>
      <c r="AS125" s="90"/>
      <c r="AT125" s="90"/>
      <c r="AU125" s="90"/>
      <c r="AV125" s="90"/>
      <c r="AW125" s="90"/>
      <c r="AX125" s="90"/>
      <c r="AY125" s="90"/>
      <c r="AZ125" s="90"/>
      <c r="BA125" s="90"/>
      <c r="BB125" s="90"/>
      <c r="BC125" s="90"/>
      <c r="BD125" s="90"/>
      <c r="BE125" s="90"/>
      <c r="BF125" s="90"/>
      <c r="BG125" s="90"/>
      <c r="BH125" s="90"/>
      <c r="BI125" s="90"/>
      <c r="BJ125" s="90"/>
      <c r="BK125" s="90"/>
      <c r="BL125" s="90"/>
      <c r="BM125" s="90"/>
      <c r="BN125" s="90"/>
      <c r="BO125" s="90"/>
      <c r="BP125" s="90"/>
      <c r="BQ125" s="90"/>
      <c r="BR125" s="90"/>
      <c r="BS125" s="90"/>
      <c r="BT125" s="90"/>
      <c r="BU125" s="90"/>
      <c r="BV125" s="90"/>
      <c r="BW125" s="90"/>
      <c r="BX125" s="90"/>
      <c r="BY125" s="90"/>
      <c r="BZ125" s="90"/>
      <c r="CA125" s="90"/>
      <c r="CB125" s="90"/>
      <c r="CC125" s="90"/>
      <c r="CD125" s="90"/>
      <c r="CE125" s="90"/>
      <c r="CF125" s="90"/>
      <c r="CG125" s="90"/>
      <c r="CH125" s="90"/>
      <c r="CI125" s="90"/>
      <c r="CJ125" s="90"/>
      <c r="CK125" s="90"/>
      <c r="CL125" s="90"/>
      <c r="CM125" s="90"/>
      <c r="CN125" s="90"/>
      <c r="CO125" s="90"/>
      <c r="CP125" s="90"/>
      <c r="CQ125" s="90"/>
      <c r="CR125" s="90"/>
      <c r="CS125" s="90"/>
      <c r="CT125" s="90"/>
      <c r="DA125" s="90"/>
      <c r="DB125" s="90"/>
      <c r="DC125" s="90"/>
      <c r="DD125" s="90"/>
    </row>
    <row r="126" spans="1:108" ht="12.75" customHeight="1" outlineLevel="1" x14ac:dyDescent="0.2">
      <c r="A126" s="43"/>
      <c r="B126" s="99" t="s">
        <v>231</v>
      </c>
      <c r="C126" s="97"/>
      <c r="D126" s="97"/>
      <c r="E126" s="97"/>
      <c r="F126" s="97"/>
      <c r="G126" s="97"/>
      <c r="H126" s="115"/>
      <c r="I126" s="99"/>
      <c r="J126" s="99"/>
      <c r="K126" s="99"/>
      <c r="L126" s="99"/>
      <c r="M126" s="99"/>
      <c r="N126" s="115"/>
      <c r="O126" s="99"/>
      <c r="P126" s="99"/>
      <c r="Q126" s="99"/>
      <c r="R126" s="99"/>
      <c r="S126" s="99"/>
      <c r="T126" s="115"/>
      <c r="U126" s="99"/>
      <c r="V126" s="99"/>
      <c r="W126" s="99"/>
      <c r="X126" s="99"/>
      <c r="Y126" s="99"/>
      <c r="Z126" s="115"/>
      <c r="AA126" s="99"/>
      <c r="AB126" s="99"/>
      <c r="AC126" s="99"/>
      <c r="AD126" s="99"/>
      <c r="AE126" s="99"/>
      <c r="AF126" s="115"/>
      <c r="AG126" s="99"/>
      <c r="AH126" s="99"/>
      <c r="AI126" s="99"/>
      <c r="AJ126" s="99"/>
      <c r="AK126" s="99"/>
      <c r="AL126" s="115"/>
      <c r="AM126" s="99"/>
      <c r="AN126" s="99"/>
      <c r="AO126" s="99"/>
      <c r="AP126" s="99"/>
      <c r="AQ126" s="99"/>
      <c r="AR126" s="115"/>
      <c r="AS126" s="99"/>
      <c r="AT126" s="99"/>
      <c r="AU126" s="99"/>
      <c r="AV126" s="99"/>
      <c r="AW126" s="99"/>
      <c r="AX126" s="115"/>
      <c r="AY126" s="99"/>
      <c r="AZ126" s="99"/>
      <c r="BA126" s="99"/>
      <c r="BB126" s="99"/>
      <c r="BC126" s="99"/>
      <c r="BD126" s="115"/>
      <c r="BE126" s="99"/>
      <c r="BF126" s="99"/>
      <c r="BG126" s="99"/>
      <c r="BH126" s="99"/>
      <c r="BI126" s="99"/>
      <c r="BJ126" s="115"/>
      <c r="BK126" s="99"/>
      <c r="BL126" s="99"/>
      <c r="BM126" s="99"/>
      <c r="BN126" s="99"/>
      <c r="BO126" s="99"/>
      <c r="BP126" s="115"/>
      <c r="BQ126" s="99"/>
      <c r="BR126" s="99"/>
      <c r="BS126" s="99"/>
      <c r="BT126" s="99"/>
      <c r="BU126" s="99"/>
      <c r="BV126" s="115"/>
      <c r="BW126" s="99"/>
      <c r="BX126" s="99"/>
      <c r="BY126" s="99"/>
      <c r="BZ126" s="99"/>
      <c r="CA126" s="99"/>
      <c r="CB126" s="115"/>
      <c r="CC126" s="99"/>
      <c r="CD126" s="99"/>
      <c r="CE126" s="99"/>
      <c r="CF126" s="99"/>
      <c r="CG126" s="99"/>
      <c r="CH126" s="115"/>
      <c r="CI126" s="99"/>
      <c r="CJ126" s="99"/>
      <c r="CK126" s="99"/>
      <c r="CL126" s="99"/>
      <c r="CM126" s="99"/>
      <c r="CN126" s="115"/>
      <c r="CO126" s="99"/>
      <c r="CP126" s="99"/>
      <c r="CQ126" s="99"/>
      <c r="CR126" s="99"/>
      <c r="CS126" s="99"/>
      <c r="CT126" s="115"/>
      <c r="DA126" s="115"/>
      <c r="DB126" s="115"/>
      <c r="DC126" s="115"/>
      <c r="DD126" s="115"/>
    </row>
    <row r="127" spans="1:108" ht="12.75" customHeight="1" outlineLevel="1" x14ac:dyDescent="0.2">
      <c r="A127" s="43"/>
      <c r="B127" s="472"/>
      <c r="C127" s="471"/>
      <c r="D127" s="471"/>
      <c r="E127" s="471"/>
      <c r="F127" s="471"/>
      <c r="G127" s="471"/>
      <c r="H127" s="115"/>
      <c r="I127" s="474"/>
      <c r="J127" s="474"/>
      <c r="K127" s="474"/>
      <c r="L127" s="474"/>
      <c r="M127" s="474"/>
      <c r="N127" s="115"/>
      <c r="O127" s="474"/>
      <c r="P127" s="474"/>
      <c r="Q127" s="474"/>
      <c r="R127" s="474"/>
      <c r="S127" s="474"/>
      <c r="T127" s="115"/>
      <c r="U127" s="474"/>
      <c r="V127" s="474"/>
      <c r="W127" s="474"/>
      <c r="X127" s="474"/>
      <c r="Y127" s="474"/>
      <c r="Z127" s="115"/>
      <c r="AA127" s="474"/>
      <c r="AB127" s="474"/>
      <c r="AC127" s="474"/>
      <c r="AD127" s="474"/>
      <c r="AE127" s="471"/>
      <c r="AF127" s="115"/>
      <c r="AG127" s="474"/>
      <c r="AH127" s="474"/>
      <c r="AI127" s="474"/>
      <c r="AJ127" s="474"/>
      <c r="AK127" s="474"/>
      <c r="AL127" s="115"/>
      <c r="AM127" s="474"/>
      <c r="AN127" s="474"/>
      <c r="AO127" s="474"/>
      <c r="AP127" s="474"/>
      <c r="AQ127" s="474"/>
      <c r="AR127" s="115"/>
      <c r="AS127" s="474"/>
      <c r="AT127" s="474"/>
      <c r="AU127" s="474"/>
      <c r="AV127" s="474"/>
      <c r="AW127" s="471"/>
      <c r="AX127" s="115"/>
      <c r="AY127" s="478"/>
      <c r="AZ127" s="478"/>
      <c r="BA127" s="478"/>
      <c r="BB127" s="478"/>
      <c r="BC127" s="471"/>
      <c r="BD127" s="115"/>
      <c r="BE127" s="478"/>
      <c r="BF127" s="478"/>
      <c r="BG127" s="478"/>
      <c r="BH127" s="478"/>
      <c r="BI127" s="471"/>
      <c r="BJ127" s="115"/>
      <c r="BK127" s="478"/>
      <c r="BL127" s="478"/>
      <c r="BM127" s="478"/>
      <c r="BN127" s="478"/>
      <c r="BO127" s="471"/>
      <c r="BP127" s="115"/>
      <c r="BQ127" s="478"/>
      <c r="BR127" s="478"/>
      <c r="BS127" s="478"/>
      <c r="BT127" s="478"/>
      <c r="BU127" s="471"/>
      <c r="BV127" s="115"/>
      <c r="BW127" s="478"/>
      <c r="BX127" s="478"/>
      <c r="BY127" s="478"/>
      <c r="BZ127" s="478"/>
      <c r="CA127" s="471"/>
      <c r="CB127" s="115"/>
      <c r="CC127" s="478"/>
      <c r="CD127" s="478"/>
      <c r="CE127" s="478"/>
      <c r="CF127" s="478"/>
      <c r="CG127" s="471"/>
      <c r="CH127" s="115"/>
      <c r="CI127" s="478"/>
      <c r="CJ127" s="478"/>
      <c r="CK127" s="478"/>
      <c r="CL127" s="478"/>
      <c r="CM127" s="471"/>
      <c r="CN127" s="115"/>
      <c r="CO127" s="478"/>
      <c r="CP127" s="478"/>
      <c r="CQ127" s="478"/>
      <c r="CR127" s="478"/>
      <c r="CS127" s="471"/>
      <c r="CT127" s="282"/>
      <c r="DA127" s="115"/>
      <c r="DB127" s="115"/>
      <c r="DC127" s="115"/>
      <c r="DD127" s="115"/>
    </row>
    <row r="128" spans="1:108" ht="12.75" customHeight="1" outlineLevel="1" x14ac:dyDescent="0.2">
      <c r="A128" s="43"/>
      <c r="B128" s="470" t="s">
        <v>219</v>
      </c>
      <c r="C128" s="471">
        <f>+C$50</f>
        <v>0.75836985362072562</v>
      </c>
      <c r="D128" s="471">
        <f>+D$50</f>
        <v>0.79725326511377403</v>
      </c>
      <c r="E128" s="471">
        <f>+E$50</f>
        <v>0.81505979985355137</v>
      </c>
      <c r="F128" s="471">
        <f>+F$50</f>
        <v>0.83284225339724705</v>
      </c>
      <c r="G128" s="471">
        <f>+G$50</f>
        <v>0.80389623614169514</v>
      </c>
      <c r="H128" s="282"/>
      <c r="I128" s="471">
        <f>+I$50</f>
        <v>0.84802966891807896</v>
      </c>
      <c r="J128" s="471">
        <f>+J$50</f>
        <v>0.86447428712417618</v>
      </c>
      <c r="K128" s="471">
        <f>+K$50</f>
        <v>0.86621873229175106</v>
      </c>
      <c r="L128" s="471">
        <f>+L$50</f>
        <v>0.86006060793469186</v>
      </c>
      <c r="M128" s="471">
        <f>+M$50</f>
        <v>0.8602771212913316</v>
      </c>
      <c r="N128" s="282"/>
      <c r="O128" s="471">
        <f>+O$50</f>
        <v>0.860072893589652</v>
      </c>
      <c r="P128" s="471">
        <f>+P$50</f>
        <v>0.86825805222031638</v>
      </c>
      <c r="Q128" s="471">
        <f>+Q$50</f>
        <v>0.87019680808034117</v>
      </c>
      <c r="R128" s="471">
        <f>+R$50</f>
        <v>0.87006122283019083</v>
      </c>
      <c r="S128" s="471">
        <f>+S$50</f>
        <v>0.86749334664514732</v>
      </c>
      <c r="T128" s="115"/>
      <c r="U128" s="471">
        <f>+U$50</f>
        <v>0.87004534667888445</v>
      </c>
      <c r="V128" s="471">
        <f>+V$50</f>
        <v>0.88052992411176267</v>
      </c>
      <c r="W128" s="471">
        <f>+W$50</f>
        <v>0.88021578773532982</v>
      </c>
      <c r="X128" s="471">
        <f>+X$50</f>
        <v>0.88011029724895673</v>
      </c>
      <c r="Y128" s="471">
        <f>+Y$50</f>
        <v>0.87788158214025724</v>
      </c>
      <c r="Z128" s="115"/>
      <c r="AA128" s="471">
        <f>+AA$50</f>
        <v>0.88013020096235495</v>
      </c>
      <c r="AB128" s="471">
        <f>+AB$50</f>
        <v>0.88006770211071295</v>
      </c>
      <c r="AC128" s="471">
        <f>+AC$50</f>
        <v>0.89125168499814411</v>
      </c>
      <c r="AD128" s="471">
        <f>+AD$50</f>
        <v>0.88340222693926196</v>
      </c>
      <c r="AE128" s="471">
        <f>SUMPRODUCT(AA128:AD128,AA$8:AD$8)/AE$8</f>
        <v>0.88382029625650349</v>
      </c>
      <c r="AF128" s="282"/>
      <c r="AG128" s="471">
        <f>+AG$50</f>
        <v>0.86997971969724397</v>
      </c>
      <c r="AH128" s="471">
        <f>+AH$50</f>
        <v>0.86876582716531903</v>
      </c>
      <c r="AI128" s="471">
        <f>+AI$50</f>
        <v>0.86724920440447839</v>
      </c>
      <c r="AJ128" s="471">
        <f>+AJ$50</f>
        <v>0.87250028202910535</v>
      </c>
      <c r="AK128" s="471">
        <f>+AK$50</f>
        <v>0.86964042701182453</v>
      </c>
      <c r="AL128" s="282"/>
      <c r="AM128" s="471">
        <f>+AM$50</f>
        <v>0.87014845957268228</v>
      </c>
      <c r="AN128" s="471">
        <f>+AN$50</f>
        <v>0.86667560681239098</v>
      </c>
      <c r="AO128" s="471">
        <f>+AO$50</f>
        <v>0.87004703716958942</v>
      </c>
      <c r="AP128" s="471">
        <f>+AP$50</f>
        <v>0.87322819269912011</v>
      </c>
      <c r="AQ128" s="471">
        <f>+AQ$50</f>
        <v>0.87015240595924437</v>
      </c>
      <c r="AR128" s="282"/>
      <c r="AS128" s="471">
        <f>+AS$50</f>
        <v>0.87414739192065871</v>
      </c>
      <c r="AT128" s="471">
        <f>+AT$50</f>
        <v>0.87194452611976869</v>
      </c>
      <c r="AU128" s="471">
        <f>+AU$50</f>
        <v>0.85684765257702644</v>
      </c>
      <c r="AV128" s="471">
        <f>+AV$50</f>
        <v>0.83588059227081302</v>
      </c>
      <c r="AW128" s="471">
        <f>+AW$50</f>
        <v>0.86022132672676987</v>
      </c>
      <c r="AX128" s="282"/>
      <c r="AY128" s="471">
        <f>+AY$50</f>
        <v>0.79349905530185916</v>
      </c>
      <c r="AZ128" s="471">
        <f>+AZ$50</f>
        <v>0.79472105774080359</v>
      </c>
      <c r="BA128" s="471">
        <f>+BA$50</f>
        <v>0.79835541850709779</v>
      </c>
      <c r="BB128" s="471">
        <f>+BB$50</f>
        <v>0.80250052892069335</v>
      </c>
      <c r="BC128" s="471">
        <f>+BC$50</f>
        <v>0.79738315069199273</v>
      </c>
      <c r="BD128" s="282"/>
      <c r="BE128" s="471">
        <f>+BE$50</f>
        <v>0.80112393184765018</v>
      </c>
      <c r="BF128" s="471">
        <f>+BF$50</f>
        <v>0.78995207506128629</v>
      </c>
      <c r="BG128" s="471">
        <f>+BG$50</f>
        <v>0.7889963381488303</v>
      </c>
      <c r="BH128" s="471">
        <f>+BH$50</f>
        <v>0.78552278820375343</v>
      </c>
      <c r="BI128" s="471">
        <f>+BI$50</f>
        <v>0.79133465111361245</v>
      </c>
      <c r="BJ128" s="282"/>
      <c r="BK128" s="471">
        <f>+BK$50</f>
        <v>0.77465575661882702</v>
      </c>
      <c r="BL128" s="471">
        <f>+BL$50</f>
        <v>0.77410253782998883</v>
      </c>
      <c r="BM128" s="471">
        <f>+BM$50</f>
        <v>0.77502540814411192</v>
      </c>
      <c r="BN128" s="471">
        <f>+BN$50</f>
        <v>0.78798756959796812</v>
      </c>
      <c r="BO128" s="471">
        <f>+BO$50</f>
        <v>0.77807351291549809</v>
      </c>
      <c r="BP128" s="282"/>
      <c r="BQ128" s="471">
        <f>+BQ$50</f>
        <v>0.77389084575604294</v>
      </c>
      <c r="BR128" s="471">
        <f>+BR$50</f>
        <v>0.77110497767517894</v>
      </c>
      <c r="BS128" s="471"/>
      <c r="BT128" s="471"/>
      <c r="BU128" s="471"/>
      <c r="BV128" s="282"/>
      <c r="BW128" s="471"/>
      <c r="BX128" s="471"/>
      <c r="BY128" s="471"/>
      <c r="BZ128" s="471"/>
      <c r="CA128" s="471"/>
      <c r="CB128" s="282"/>
      <c r="CC128" s="471"/>
      <c r="CD128" s="471"/>
      <c r="CE128" s="471"/>
      <c r="CF128" s="471"/>
      <c r="CG128" s="471"/>
      <c r="CH128" s="282"/>
      <c r="CI128" s="471"/>
      <c r="CJ128" s="471"/>
      <c r="CK128" s="471"/>
      <c r="CL128" s="471"/>
      <c r="CM128" s="471"/>
      <c r="CN128" s="282"/>
      <c r="CO128" s="471"/>
      <c r="CP128" s="471"/>
      <c r="CQ128" s="471"/>
      <c r="CR128" s="471"/>
      <c r="CS128" s="471"/>
      <c r="CT128" s="282"/>
      <c r="DA128" s="115"/>
      <c r="DB128" s="115"/>
      <c r="DC128" s="115"/>
      <c r="DD128" s="115"/>
    </row>
    <row r="129" spans="1:112" ht="12.75" customHeight="1" outlineLevel="1" x14ac:dyDescent="0.2">
      <c r="A129" s="43"/>
      <c r="B129" s="349" t="s">
        <v>269</v>
      </c>
      <c r="C129" s="471">
        <f t="shared" ref="C129:AK129" si="389">+C$51</f>
        <v>0.75836985362072562</v>
      </c>
      <c r="D129" s="471">
        <f t="shared" si="389"/>
        <v>0.79725326511377403</v>
      </c>
      <c r="E129" s="471">
        <f t="shared" si="389"/>
        <v>0.81505979985355137</v>
      </c>
      <c r="F129" s="471">
        <f t="shared" si="389"/>
        <v>0.83284225339724705</v>
      </c>
      <c r="G129" s="471">
        <f t="shared" si="389"/>
        <v>0.80389623614169514</v>
      </c>
      <c r="H129" s="282"/>
      <c r="I129" s="471">
        <f t="shared" si="389"/>
        <v>0.84802966891807896</v>
      </c>
      <c r="J129" s="471">
        <f t="shared" si="389"/>
        <v>0.86447428712417618</v>
      </c>
      <c r="K129" s="471">
        <f t="shared" si="389"/>
        <v>0.86621873229175106</v>
      </c>
      <c r="L129" s="471">
        <f t="shared" si="389"/>
        <v>0.86006060793469186</v>
      </c>
      <c r="M129" s="471">
        <f t="shared" si="389"/>
        <v>0.86027712129133171</v>
      </c>
      <c r="N129" s="282"/>
      <c r="O129" s="471">
        <f t="shared" si="389"/>
        <v>0.860072893589652</v>
      </c>
      <c r="P129" s="471">
        <f t="shared" si="389"/>
        <v>0.86825805222031638</v>
      </c>
      <c r="Q129" s="471">
        <f t="shared" si="389"/>
        <v>0.87019680808034117</v>
      </c>
      <c r="R129" s="471">
        <f t="shared" si="389"/>
        <v>0.87006122283019083</v>
      </c>
      <c r="S129" s="471">
        <f t="shared" si="389"/>
        <v>0.86749334664514732</v>
      </c>
      <c r="T129" s="115"/>
      <c r="U129" s="471">
        <f t="shared" si="389"/>
        <v>0.87004534667888445</v>
      </c>
      <c r="V129" s="471">
        <f t="shared" si="389"/>
        <v>0.88052992411176267</v>
      </c>
      <c r="W129" s="471">
        <f t="shared" si="389"/>
        <v>0.88021578773532982</v>
      </c>
      <c r="X129" s="471">
        <f t="shared" si="389"/>
        <v>0.88011029724895673</v>
      </c>
      <c r="Y129" s="471">
        <f t="shared" si="389"/>
        <v>0.87788158214025724</v>
      </c>
      <c r="Z129" s="115"/>
      <c r="AA129" s="471">
        <f t="shared" si="389"/>
        <v>0.88013020096235495</v>
      </c>
      <c r="AB129" s="471">
        <f t="shared" si="389"/>
        <v>0.88006770211071284</v>
      </c>
      <c r="AC129" s="471">
        <f t="shared" si="389"/>
        <v>0.89125168499814411</v>
      </c>
      <c r="AD129" s="471">
        <f t="shared" si="389"/>
        <v>0.89136788961223823</v>
      </c>
      <c r="AE129" s="471">
        <f t="shared" si="389"/>
        <v>0.88592061912880005</v>
      </c>
      <c r="AF129" s="282"/>
      <c r="AG129" s="471">
        <f t="shared" si="389"/>
        <v>0.89131375698525528</v>
      </c>
      <c r="AH129" s="471">
        <f t="shared" si="389"/>
        <v>0.89103817702576316</v>
      </c>
      <c r="AI129" s="471">
        <f t="shared" si="389"/>
        <v>0.89080543661606326</v>
      </c>
      <c r="AJ129" s="471">
        <f t="shared" si="389"/>
        <v>0.8911991466599738</v>
      </c>
      <c r="AK129" s="471">
        <f t="shared" si="389"/>
        <v>0.89108152162408183</v>
      </c>
      <c r="AL129" s="282"/>
      <c r="AM129" s="471">
        <f>+AM$51</f>
        <v>0.89053021969387436</v>
      </c>
      <c r="AN129" s="471">
        <f>+AN$51</f>
        <v>0.88932890629999073</v>
      </c>
      <c r="AO129" s="471">
        <f>+AO$51</f>
        <v>0.88905811947379776</v>
      </c>
      <c r="AP129" s="471">
        <f>+AP$51</f>
        <v>0.8891196888415247</v>
      </c>
      <c r="AQ129" s="471">
        <f>+AQ$51</f>
        <v>0.8894627673457054</v>
      </c>
      <c r="AR129" s="282"/>
      <c r="AS129" s="471">
        <f>+AS$51</f>
        <v>0.88890961567359461</v>
      </c>
      <c r="AT129" s="471">
        <f>+AT$51</f>
        <v>0.88399657419019362</v>
      </c>
      <c r="AU129" s="471">
        <f>+AU$51</f>
        <v>0.8681828243213332</v>
      </c>
      <c r="AV129" s="471">
        <f>+AV$51</f>
        <v>0.84524942306219997</v>
      </c>
      <c r="AW129" s="471">
        <f>+AW$51</f>
        <v>0.87206996009077797</v>
      </c>
      <c r="AX129" s="282"/>
      <c r="AY129" s="471">
        <f>+AY$51</f>
        <v>0.80063462345067382</v>
      </c>
      <c r="AZ129" s="471">
        <f>+AZ$51</f>
        <v>0.80435389338543128</v>
      </c>
      <c r="BA129" s="471">
        <f>+BA$51</f>
        <v>0.80919379450661244</v>
      </c>
      <c r="BB129" s="471">
        <f>+BB$51</f>
        <v>0.8210340135662153</v>
      </c>
      <c r="BC129" s="471">
        <f>+BC$51</f>
        <v>0.80896657786153159</v>
      </c>
      <c r="BD129" s="282"/>
      <c r="BE129" s="471">
        <f>+BE$51</f>
        <v>0.82027191341759409</v>
      </c>
      <c r="BF129" s="471">
        <f>+BF$51</f>
        <v>0.81324198864941477</v>
      </c>
      <c r="BG129" s="471">
        <f>+BG$51</f>
        <v>0.81061675763208985</v>
      </c>
      <c r="BH129" s="471">
        <f>+BH$51</f>
        <v>0.80322209436133485</v>
      </c>
      <c r="BI129" s="471">
        <f>+BI$51</f>
        <v>0.81182701940815516</v>
      </c>
      <c r="BJ129" s="282"/>
      <c r="BK129" s="471">
        <f>+BK$51</f>
        <v>0.79225492253867158</v>
      </c>
      <c r="BL129" s="471">
        <f>+BL$51</f>
        <v>0.79668316620568236</v>
      </c>
      <c r="BM129" s="471">
        <f>+BM$51</f>
        <v>0.79536866383874349</v>
      </c>
      <c r="BN129" s="471">
        <f>+BN$51</f>
        <v>0.81049712261393936</v>
      </c>
      <c r="BO129" s="471">
        <f>+BO$51</f>
        <v>0.79892722991297804</v>
      </c>
      <c r="BP129" s="282"/>
      <c r="BQ129" s="471">
        <f>+BQ$51</f>
        <v>0.7975092927240538</v>
      </c>
      <c r="BR129" s="471">
        <f>+BR$51</f>
        <v>0.78959163350715678</v>
      </c>
      <c r="BS129" s="476">
        <f t="shared" ref="BS129:BT130" si="390">BS111-0.05</f>
        <v>0.73672115598978938</v>
      </c>
      <c r="BT129" s="476">
        <f t="shared" si="390"/>
        <v>0.7424235642084307</v>
      </c>
      <c r="BU129" s="471">
        <f>+BU$51</f>
        <v>0.79156821949846101</v>
      </c>
      <c r="BV129" s="282"/>
      <c r="BW129" s="476">
        <f t="shared" ref="BW129:BZ130" si="391">BW111-0.05</f>
        <v>0.73296100327716218</v>
      </c>
      <c r="BX129" s="476">
        <f t="shared" si="391"/>
        <v>0.7328866215989801</v>
      </c>
      <c r="BY129" s="476">
        <f t="shared" si="391"/>
        <v>0.73832446631522308</v>
      </c>
      <c r="BZ129" s="476">
        <f t="shared" si="391"/>
        <v>0.7469123847770347</v>
      </c>
      <c r="CA129" s="471">
        <f>+CA$51</f>
        <v>0.78795668183002587</v>
      </c>
      <c r="CB129" s="282"/>
      <c r="CC129" s="476">
        <f t="shared" ref="CC129:CF129" si="392">CC111-0.05</f>
        <v>0.74063143324591685</v>
      </c>
      <c r="CD129" s="476">
        <f t="shared" si="392"/>
        <v>0.73924416503313084</v>
      </c>
      <c r="CE129" s="476">
        <f t="shared" si="392"/>
        <v>0.74227992872842785</v>
      </c>
      <c r="CF129" s="476">
        <f t="shared" si="392"/>
        <v>0.74917684130041173</v>
      </c>
      <c r="CG129" s="471">
        <f>+CG$51</f>
        <v>0.79296508645916552</v>
      </c>
      <c r="CH129" s="282"/>
      <c r="CI129" s="476">
        <f t="shared" ref="CI129:CL129" si="393">CI111-0.05</f>
        <v>0.74434675375659709</v>
      </c>
      <c r="CJ129" s="476">
        <f t="shared" si="393"/>
        <v>0.74249730775973954</v>
      </c>
      <c r="CK129" s="476">
        <f t="shared" si="393"/>
        <v>0.7445662493218792</v>
      </c>
      <c r="CL129" s="476">
        <f t="shared" si="393"/>
        <v>0.7500845406297062</v>
      </c>
      <c r="CM129" s="471">
        <f>+CM$51</f>
        <v>0.79545930189718672</v>
      </c>
      <c r="CN129" s="282"/>
      <c r="CO129" s="476">
        <f t="shared" ref="CO129:CR129" si="394">CO111-0.05</f>
        <v>0.74708061277834714</v>
      </c>
      <c r="CP129" s="476">
        <f t="shared" si="394"/>
        <v>0.74540079669170312</v>
      </c>
      <c r="CQ129" s="476">
        <f t="shared" si="394"/>
        <v>0.74816564081267745</v>
      </c>
      <c r="CR129" s="476">
        <f t="shared" si="394"/>
        <v>0.75284340467577981</v>
      </c>
      <c r="CS129" s="471">
        <f>+CS$51</f>
        <v>0.79845657237674017</v>
      </c>
      <c r="CT129" s="282"/>
      <c r="DA129" s="115"/>
      <c r="DB129" s="115"/>
      <c r="DC129" s="115"/>
      <c r="DD129" s="115"/>
    </row>
    <row r="130" spans="1:112" ht="12.75" customHeight="1" outlineLevel="1" x14ac:dyDescent="0.2">
      <c r="A130" s="43"/>
      <c r="B130" s="349" t="s">
        <v>270</v>
      </c>
      <c r="C130" s="471">
        <f t="shared" ref="C130:AK130" si="395">+C$52</f>
        <v>0</v>
      </c>
      <c r="D130" s="471">
        <f t="shared" si="395"/>
        <v>0</v>
      </c>
      <c r="E130" s="471">
        <f t="shared" si="395"/>
        <v>0</v>
      </c>
      <c r="F130" s="471">
        <f t="shared" si="395"/>
        <v>0</v>
      </c>
      <c r="G130" s="471">
        <f t="shared" si="395"/>
        <v>0</v>
      </c>
      <c r="H130" s="115"/>
      <c r="I130" s="471">
        <f t="shared" si="395"/>
        <v>0</v>
      </c>
      <c r="J130" s="471">
        <f t="shared" si="395"/>
        <v>0</v>
      </c>
      <c r="K130" s="471">
        <f t="shared" si="395"/>
        <v>0</v>
      </c>
      <c r="L130" s="471">
        <f t="shared" si="395"/>
        <v>0</v>
      </c>
      <c r="M130" s="471">
        <f t="shared" si="395"/>
        <v>0</v>
      </c>
      <c r="N130" s="282"/>
      <c r="O130" s="471">
        <f t="shared" si="395"/>
        <v>0</v>
      </c>
      <c r="P130" s="471">
        <f t="shared" si="395"/>
        <v>0</v>
      </c>
      <c r="Q130" s="471">
        <f t="shared" si="395"/>
        <v>0</v>
      </c>
      <c r="R130" s="471">
        <f t="shared" si="395"/>
        <v>0</v>
      </c>
      <c r="S130" s="471">
        <f t="shared" si="395"/>
        <v>0</v>
      </c>
      <c r="T130" s="115"/>
      <c r="U130" s="471">
        <f t="shared" si="395"/>
        <v>0</v>
      </c>
      <c r="V130" s="471">
        <f t="shared" si="395"/>
        <v>0</v>
      </c>
      <c r="W130" s="471">
        <f t="shared" si="395"/>
        <v>0</v>
      </c>
      <c r="X130" s="471">
        <f t="shared" si="395"/>
        <v>0</v>
      </c>
      <c r="Y130" s="471">
        <f t="shared" si="395"/>
        <v>0</v>
      </c>
      <c r="Z130" s="115"/>
      <c r="AA130" s="471">
        <f t="shared" si="395"/>
        <v>0</v>
      </c>
      <c r="AB130" s="471">
        <f t="shared" si="395"/>
        <v>0</v>
      </c>
      <c r="AC130" s="471">
        <f t="shared" si="395"/>
        <v>0</v>
      </c>
      <c r="AD130" s="471">
        <f t="shared" si="395"/>
        <v>0.47154072620215898</v>
      </c>
      <c r="AE130" s="471">
        <f t="shared" si="395"/>
        <v>0.47154072620215898</v>
      </c>
      <c r="AF130" s="282"/>
      <c r="AG130" s="471">
        <f t="shared" si="395"/>
        <v>0.52784204843436677</v>
      </c>
      <c r="AH130" s="471">
        <f t="shared" si="395"/>
        <v>0.36512209190540273</v>
      </c>
      <c r="AI130" s="471">
        <f t="shared" si="395"/>
        <v>0.41794276875483372</v>
      </c>
      <c r="AJ130" s="471">
        <f t="shared" si="395"/>
        <v>0.43633369923161347</v>
      </c>
      <c r="AK130" s="471">
        <f t="shared" si="395"/>
        <v>0.4407368198179123</v>
      </c>
      <c r="AL130" s="282"/>
      <c r="AM130" s="471">
        <f>+AM$52</f>
        <v>0.44966769330523582</v>
      </c>
      <c r="AN130" s="471">
        <f>+AN$52</f>
        <v>0.49134173636470735</v>
      </c>
      <c r="AO130" s="471">
        <f>+AO$52</f>
        <v>0.52126607319485652</v>
      </c>
      <c r="AP130" s="471">
        <f>+AP$52</f>
        <v>0.54441260744985676</v>
      </c>
      <c r="AQ130" s="471">
        <f>+AQ$52</f>
        <v>0.50469567477983945</v>
      </c>
      <c r="AR130" s="282"/>
      <c r="AS130" s="471">
        <f>+AS$52</f>
        <v>0.57362869198312239</v>
      </c>
      <c r="AT130" s="471">
        <f>+AT$52</f>
        <v>0.57276638825613768</v>
      </c>
      <c r="AU130" s="471">
        <f>+AU$52</f>
        <v>0.56022575375018568</v>
      </c>
      <c r="AV130" s="471">
        <f>+AV$52</f>
        <v>0.54565475182110779</v>
      </c>
      <c r="AW130" s="471">
        <f>+AW$52</f>
        <v>0.56489439669531616</v>
      </c>
      <c r="AX130" s="282"/>
      <c r="AY130" s="471">
        <f>+AY$52</f>
        <v>0.52251212191179874</v>
      </c>
      <c r="AZ130" s="471">
        <f>+AZ$52</f>
        <v>0.46557314514590886</v>
      </c>
      <c r="BA130" s="471">
        <f>+BA$52</f>
        <v>0.53167808219178081</v>
      </c>
      <c r="BB130" s="471">
        <f>+BB$52</f>
        <v>0.50311681272020958</v>
      </c>
      <c r="BC130" s="471">
        <f>+BC$52</f>
        <v>0.50627463744530032</v>
      </c>
      <c r="BD130" s="282"/>
      <c r="BE130" s="471">
        <f>+BE$52</f>
        <v>0.51744937526928048</v>
      </c>
      <c r="BF130" s="471">
        <f>+BF$52</f>
        <v>0.39252336448598124</v>
      </c>
      <c r="BG130" s="471">
        <f>+BG$52</f>
        <v>0.49618320610687022</v>
      </c>
      <c r="BH130" s="471">
        <f>+BH$52</f>
        <v>0.54330708661417326</v>
      </c>
      <c r="BI130" s="471">
        <f>+BI$52</f>
        <v>0.49069743269930366</v>
      </c>
      <c r="BJ130" s="282"/>
      <c r="BK130" s="471">
        <f>+BK$52</f>
        <v>0.54032258064516125</v>
      </c>
      <c r="BL130" s="471">
        <f>+BL$52</f>
        <v>0.44444444444444442</v>
      </c>
      <c r="BM130" s="471">
        <f>+BM$52</f>
        <v>0.45299145299145294</v>
      </c>
      <c r="BN130" s="471">
        <f>+BN$52</f>
        <v>0.45238095238095233</v>
      </c>
      <c r="BO130" s="471">
        <f>+BO$52</f>
        <v>0.47261663286004063</v>
      </c>
      <c r="BP130" s="282"/>
      <c r="BQ130" s="471">
        <f>+BQ$52</f>
        <v>0.40350877192982459</v>
      </c>
      <c r="BR130" s="471">
        <f>+BR$52</f>
        <v>0.54729729729729737</v>
      </c>
      <c r="BS130" s="476">
        <f t="shared" si="390"/>
        <v>0.49729729729729738</v>
      </c>
      <c r="BT130" s="476">
        <f t="shared" si="390"/>
        <v>0.49729729729729738</v>
      </c>
      <c r="BU130" s="471">
        <f>+BU$52</f>
        <v>0.51403790419210926</v>
      </c>
      <c r="BV130" s="282"/>
      <c r="BW130" s="476">
        <f t="shared" si="391"/>
        <v>0.49729729729729738</v>
      </c>
      <c r="BX130" s="476">
        <f t="shared" si="391"/>
        <v>0.49729729729729738</v>
      </c>
      <c r="BY130" s="476">
        <f t="shared" si="391"/>
        <v>0.49729729729729738</v>
      </c>
      <c r="BZ130" s="476">
        <f t="shared" si="391"/>
        <v>0.49729729729729738</v>
      </c>
      <c r="CA130" s="471">
        <f>+CA$52</f>
        <v>0.54729729729729737</v>
      </c>
      <c r="CB130" s="282"/>
      <c r="CC130" s="476">
        <f t="shared" ref="CC130:CF130" si="396">CC112-0.05</f>
        <v>0.49729729729729738</v>
      </c>
      <c r="CD130" s="476">
        <f t="shared" si="396"/>
        <v>0.49729729729729738</v>
      </c>
      <c r="CE130" s="476">
        <f t="shared" si="396"/>
        <v>0.49729729729729738</v>
      </c>
      <c r="CF130" s="476">
        <f t="shared" si="396"/>
        <v>0.49729729729729738</v>
      </c>
      <c r="CG130" s="471">
        <f>+CG$52</f>
        <v>0.54729729729729737</v>
      </c>
      <c r="CH130" s="282"/>
      <c r="CI130" s="476">
        <f t="shared" ref="CI130:CL130" si="397">CI112-0.05</f>
        <v>0.49729729729729738</v>
      </c>
      <c r="CJ130" s="476">
        <f t="shared" si="397"/>
        <v>0.49729729729729738</v>
      </c>
      <c r="CK130" s="476">
        <f t="shared" si="397"/>
        <v>0.49729729729729738</v>
      </c>
      <c r="CL130" s="476">
        <f t="shared" si="397"/>
        <v>0.49729729729729738</v>
      </c>
      <c r="CM130" s="471">
        <f>+CM$52</f>
        <v>0.54729729729729737</v>
      </c>
      <c r="CN130" s="282"/>
      <c r="CO130" s="476">
        <f t="shared" ref="CO130:CR130" si="398">CO112-0.05</f>
        <v>0.49729729729729738</v>
      </c>
      <c r="CP130" s="476">
        <f t="shared" si="398"/>
        <v>0.49729729729729738</v>
      </c>
      <c r="CQ130" s="476">
        <f t="shared" si="398"/>
        <v>0.49729729729729738</v>
      </c>
      <c r="CR130" s="476">
        <f t="shared" si="398"/>
        <v>0.49729729729729738</v>
      </c>
      <c r="CS130" s="471">
        <f>+CS$52</f>
        <v>0.54729729729729737</v>
      </c>
      <c r="CT130" s="282"/>
      <c r="DA130" s="115"/>
      <c r="DB130" s="115"/>
      <c r="DC130" s="115"/>
      <c r="DD130" s="115"/>
    </row>
    <row r="131" spans="1:112" ht="12.75" customHeight="1" outlineLevel="1" x14ac:dyDescent="0.2">
      <c r="A131" s="43"/>
      <c r="B131" s="349"/>
      <c r="C131" s="473"/>
      <c r="D131" s="473"/>
      <c r="E131" s="473"/>
      <c r="F131" s="473"/>
      <c r="G131" s="473"/>
      <c r="H131" s="115"/>
      <c r="I131" s="471"/>
      <c r="J131" s="471"/>
      <c r="K131" s="471"/>
      <c r="L131" s="471"/>
      <c r="M131" s="471"/>
      <c r="N131" s="282"/>
      <c r="O131" s="471"/>
      <c r="P131" s="471"/>
      <c r="Q131" s="471"/>
      <c r="R131" s="471"/>
      <c r="S131" s="471"/>
      <c r="T131" s="115"/>
      <c r="U131" s="471"/>
      <c r="V131" s="471"/>
      <c r="W131" s="471"/>
      <c r="X131" s="471"/>
      <c r="Y131" s="471"/>
      <c r="Z131" s="115"/>
      <c r="AA131" s="471"/>
      <c r="AB131" s="471"/>
      <c r="AC131" s="471"/>
      <c r="AD131" s="471"/>
      <c r="AE131" s="471"/>
      <c r="AF131" s="282"/>
      <c r="AG131" s="471"/>
      <c r="AH131" s="471"/>
      <c r="AI131" s="471"/>
      <c r="AJ131" s="471"/>
      <c r="AK131" s="471"/>
      <c r="AL131" s="282"/>
      <c r="AM131" s="471"/>
      <c r="AN131" s="471"/>
      <c r="AO131" s="471"/>
      <c r="AP131" s="471"/>
      <c r="AQ131" s="471"/>
      <c r="AR131" s="282"/>
      <c r="AS131" s="471"/>
      <c r="AT131" s="471"/>
      <c r="AU131" s="471"/>
      <c r="AV131" s="471"/>
      <c r="AW131" s="471"/>
      <c r="AX131" s="282"/>
      <c r="AY131" s="471"/>
      <c r="AZ131" s="471"/>
      <c r="BA131" s="471"/>
      <c r="BB131" s="476"/>
      <c r="BC131" s="471"/>
      <c r="BD131" s="282"/>
      <c r="BE131" s="471"/>
      <c r="BF131" s="471"/>
      <c r="BG131" s="471"/>
      <c r="BH131" s="476"/>
      <c r="BI131" s="471"/>
      <c r="BJ131" s="282"/>
      <c r="BK131" s="471"/>
      <c r="BL131" s="471"/>
      <c r="BM131" s="471"/>
      <c r="BN131" s="471"/>
      <c r="BO131" s="471"/>
      <c r="BP131" s="282"/>
      <c r="BQ131" s="471"/>
      <c r="BR131" s="471"/>
      <c r="BS131" s="476"/>
      <c r="BT131" s="476"/>
      <c r="BU131" s="471"/>
      <c r="BV131" s="282"/>
      <c r="BW131" s="476"/>
      <c r="BX131" s="476"/>
      <c r="BY131" s="476"/>
      <c r="BZ131" s="476"/>
      <c r="CA131" s="471"/>
      <c r="CB131" s="282"/>
      <c r="CC131" s="476"/>
      <c r="CD131" s="476"/>
      <c r="CE131" s="476"/>
      <c r="CF131" s="476"/>
      <c r="CG131" s="471"/>
      <c r="CH131" s="282"/>
      <c r="CI131" s="476"/>
      <c r="CJ131" s="476"/>
      <c r="CK131" s="476"/>
      <c r="CL131" s="476"/>
      <c r="CM131" s="471"/>
      <c r="CN131" s="282"/>
      <c r="CO131" s="476"/>
      <c r="CP131" s="476"/>
      <c r="CQ131" s="476"/>
      <c r="CR131" s="476"/>
      <c r="CS131" s="471"/>
      <c r="CT131" s="282"/>
      <c r="DA131" s="115"/>
      <c r="DB131" s="115"/>
      <c r="DC131" s="115"/>
      <c r="DD131" s="115"/>
    </row>
    <row r="132" spans="1:112" ht="12.75" customHeight="1" outlineLevel="1" x14ac:dyDescent="0.2">
      <c r="A132" s="113"/>
      <c r="B132" s="475" t="s">
        <v>84</v>
      </c>
      <c r="C132" s="469">
        <f t="shared" ref="C132:G133" si="399">+C53</f>
        <v>0.78242852458038936</v>
      </c>
      <c r="D132" s="469">
        <f t="shared" si="399"/>
        <v>0.66689107311161977</v>
      </c>
      <c r="E132" s="469">
        <f t="shared" si="399"/>
        <v>0.55870148889431293</v>
      </c>
      <c r="F132" s="469">
        <f t="shared" si="399"/>
        <v>0.54468094463256955</v>
      </c>
      <c r="G132" s="469">
        <f t="shared" si="399"/>
        <v>0.62797372809083163</v>
      </c>
      <c r="H132" s="282"/>
      <c r="I132" s="469">
        <f t="shared" ref="I132:M133" si="400">+I53</f>
        <v>0.53919943645630464</v>
      </c>
      <c r="J132" s="469">
        <f t="shared" si="400"/>
        <v>0.48123083430263303</v>
      </c>
      <c r="K132" s="469">
        <f t="shared" si="400"/>
        <v>0.5045090261474946</v>
      </c>
      <c r="L132" s="469">
        <f t="shared" si="400"/>
        <v>7.4569405361946881E-2</v>
      </c>
      <c r="M132" s="469">
        <f t="shared" si="400"/>
        <v>0.38589161420775886</v>
      </c>
      <c r="N132" s="282"/>
      <c r="O132" s="469">
        <f t="shared" ref="O132:S133" si="401">+O53</f>
        <v>6.2531265632816399E-2</v>
      </c>
      <c r="P132" s="469">
        <f t="shared" si="401"/>
        <v>5.4971888698303793E-2</v>
      </c>
      <c r="Q132" s="469">
        <f t="shared" si="401"/>
        <v>5.2501415677618422E-2</v>
      </c>
      <c r="R132" s="469">
        <f t="shared" si="401"/>
        <v>5.0895107982202405E-2</v>
      </c>
      <c r="S132" s="469">
        <f t="shared" si="401"/>
        <v>5.486223191344055E-2</v>
      </c>
      <c r="T132" s="90"/>
      <c r="U132" s="469">
        <f t="shared" ref="U132:Y133" si="402">+U53</f>
        <v>6.6680764079791358E-2</v>
      </c>
      <c r="V132" s="469">
        <f t="shared" si="402"/>
        <v>5.4533890996895484E-2</v>
      </c>
      <c r="W132" s="469">
        <f t="shared" si="402"/>
        <v>6.4791368490586809E-2</v>
      </c>
      <c r="X132" s="469">
        <f t="shared" si="402"/>
        <v>5.5925815518269306E-2</v>
      </c>
      <c r="Y132" s="469">
        <f t="shared" si="402"/>
        <v>6.0314685314685305E-2</v>
      </c>
      <c r="Z132" s="90"/>
      <c r="AA132" s="469">
        <f t="shared" ref="AA132:AD133" si="403">+AA53</f>
        <v>6.2727252933876196E-2</v>
      </c>
      <c r="AB132" s="469">
        <f t="shared" si="403"/>
        <v>6.065312624452409E-2</v>
      </c>
      <c r="AC132" s="469">
        <f t="shared" si="403"/>
        <v>6.5123957254771714E-2</v>
      </c>
      <c r="AD132" s="469">
        <f t="shared" si="403"/>
        <v>8.5930808475775514E-2</v>
      </c>
      <c r="AE132" s="469">
        <f>SUMPRODUCT(AA132:AD132,AA$8:AD$8)/AE$8</f>
        <v>6.9017916654231432E-2</v>
      </c>
      <c r="AF132" s="90"/>
      <c r="AG132" s="469">
        <f t="shared" ref="AG132:AK133" si="404">+AG53</f>
        <v>7.7001774526491151E-2</v>
      </c>
      <c r="AH132" s="469">
        <f t="shared" si="404"/>
        <v>8.3404581022872543E-2</v>
      </c>
      <c r="AI132" s="469">
        <f t="shared" si="404"/>
        <v>9.0563042757961745E-2</v>
      </c>
      <c r="AJ132" s="469">
        <f t="shared" si="404"/>
        <v>9.1332305493926971E-2</v>
      </c>
      <c r="AK132" s="469">
        <f t="shared" si="404"/>
        <v>8.5976955877460917E-2</v>
      </c>
      <c r="AL132" s="282"/>
      <c r="AM132" s="469">
        <f t="shared" ref="AM132:AQ133" si="405">+AM53</f>
        <v>8.5433575395130287E-2</v>
      </c>
      <c r="AN132" s="469">
        <f t="shared" si="405"/>
        <v>9.4588976800321856E-2</v>
      </c>
      <c r="AO132" s="469">
        <f t="shared" si="405"/>
        <v>8.6533053837108243E-2</v>
      </c>
      <c r="AP132" s="469">
        <f t="shared" si="405"/>
        <v>8.3743021893450328E-2</v>
      </c>
      <c r="AQ132" s="469">
        <f t="shared" si="405"/>
        <v>8.7460960752815314E-2</v>
      </c>
      <c r="AR132" s="282"/>
      <c r="AS132" s="469">
        <f t="shared" ref="AS132:AW133" si="406">+AS53</f>
        <v>8.2991302286298502E-2</v>
      </c>
      <c r="AT132" s="469">
        <f t="shared" si="406"/>
        <v>8.2980495932568857E-2</v>
      </c>
      <c r="AU132" s="469">
        <f t="shared" si="406"/>
        <v>5.2120006122761374E-2</v>
      </c>
      <c r="AV132" s="469">
        <f t="shared" si="406"/>
        <v>0.10652928244113051</v>
      </c>
      <c r="AW132" s="469">
        <f t="shared" si="406"/>
        <v>8.1441399303021286E-2</v>
      </c>
      <c r="AX132" s="282"/>
      <c r="AY132" s="469">
        <f t="shared" ref="AY132:BB133" si="407">+AY53</f>
        <v>0.13346600567411171</v>
      </c>
      <c r="AZ132" s="469">
        <f t="shared" si="407"/>
        <v>9.4504672086250574E-2</v>
      </c>
      <c r="BA132" s="469">
        <f t="shared" si="407"/>
        <v>8.900186126621662E-2</v>
      </c>
      <c r="BB132" s="469">
        <f t="shared" si="407"/>
        <v>9.743307239912459E-2</v>
      </c>
      <c r="BC132" s="469">
        <f>SUMPRODUCT(AY132:BB132,AY$8:BB$8)/BC$8</f>
        <v>0.10300116251184951</v>
      </c>
      <c r="BD132" s="282"/>
      <c r="BE132" s="469">
        <f t="shared" ref="BE132:BH133" si="408">+BE53</f>
        <v>9.371694170466896E-2</v>
      </c>
      <c r="BF132" s="469">
        <f t="shared" si="408"/>
        <v>8.5881663891198237E-2</v>
      </c>
      <c r="BG132" s="469">
        <f t="shared" si="408"/>
        <v>8.9755288996393109E-2</v>
      </c>
      <c r="BH132" s="469">
        <f t="shared" si="408"/>
        <v>0.10402144772117961</v>
      </c>
      <c r="BI132" s="469">
        <f>SUMPRODUCT(BE132:BH132,BE$8:BH$8)/BI$8</f>
        <v>9.3256033227673521E-2</v>
      </c>
      <c r="BJ132" s="282"/>
      <c r="BK132" s="469">
        <f>+BK53</f>
        <v>0.108165236822963</v>
      </c>
      <c r="BL132" s="469">
        <f t="shared" ref="BL132:BM132" si="409">+BL53</f>
        <v>9.4123942570837948E-2</v>
      </c>
      <c r="BM132" s="469">
        <f t="shared" si="409"/>
        <v>8.887258143291292E-2</v>
      </c>
      <c r="BN132" s="469">
        <f t="shared" ref="BN132" si="410">+BN53</f>
        <v>9.2786616599477512E-2</v>
      </c>
      <c r="BO132" s="469">
        <f>SUMPRODUCT(BK132:BN132,BK$8:BN$8)/BO$8</f>
        <v>9.566690856796875E-2</v>
      </c>
      <c r="BP132" s="282"/>
      <c r="BQ132" s="469">
        <f>+BQ53</f>
        <v>9.2547002667294057E-2</v>
      </c>
      <c r="BR132" s="469">
        <f t="shared" ref="BR132" si="411">+BR53</f>
        <v>8.5577868707027674E-2</v>
      </c>
      <c r="BS132" s="477">
        <f t="shared" ref="BS132:BT133" si="412">+BS114+0.005</f>
        <v>9.5000000000000001E-2</v>
      </c>
      <c r="BT132" s="477">
        <f t="shared" si="412"/>
        <v>9.5000000000000001E-2</v>
      </c>
      <c r="BU132" s="469">
        <f>SUMPRODUCT(BQ132:BT132,BQ$8:BT$8)/BU$8</f>
        <v>9.2025222934824791E-2</v>
      </c>
      <c r="BV132" s="282"/>
      <c r="BW132" s="477">
        <f t="shared" ref="BW132:BZ133" si="413">+BW114+0.005</f>
        <v>9.654700266729406E-2</v>
      </c>
      <c r="BX132" s="477">
        <f t="shared" si="413"/>
        <v>8.9577868707027677E-2</v>
      </c>
      <c r="BY132" s="477">
        <f t="shared" si="413"/>
        <v>9.4E-2</v>
      </c>
      <c r="BZ132" s="477">
        <f t="shared" si="413"/>
        <v>9.4E-2</v>
      </c>
      <c r="CA132" s="469">
        <f>SUMPRODUCT(BW132:BZ132,BW$8:BZ$8)/CA$8</f>
        <v>9.3500273866372899E-2</v>
      </c>
      <c r="CB132" s="282"/>
      <c r="CC132" s="477">
        <f t="shared" ref="CC132:CF132" si="414">+CC114+0.005</f>
        <v>9.5547002667294059E-2</v>
      </c>
      <c r="CD132" s="477">
        <f t="shared" si="414"/>
        <v>8.8577868707027677E-2</v>
      </c>
      <c r="CE132" s="477">
        <f t="shared" si="414"/>
        <v>9.2999999999999999E-2</v>
      </c>
      <c r="CF132" s="477">
        <f t="shared" si="414"/>
        <v>9.2999999999999999E-2</v>
      </c>
      <c r="CG132" s="469">
        <f>SUMPRODUCT(CC132:CF132,CC$8:CF$8)/CG$8</f>
        <v>9.2493091175691558E-2</v>
      </c>
      <c r="CH132" s="282"/>
      <c r="CI132" s="477">
        <f t="shared" ref="CI132:CL132" si="415">+CI114+0.005</f>
        <v>9.4547002667294058E-2</v>
      </c>
      <c r="CJ132" s="477">
        <f t="shared" si="415"/>
        <v>8.7577868707027676E-2</v>
      </c>
      <c r="CK132" s="477">
        <f t="shared" si="415"/>
        <v>9.1999999999999998E-2</v>
      </c>
      <c r="CL132" s="477">
        <f t="shared" si="415"/>
        <v>9.1999999999999998E-2</v>
      </c>
      <c r="CM132" s="469">
        <f>SUMPRODUCT(CI132:CL132,CI$8:CL$8)/CM$8</f>
        <v>9.148927722028409E-2</v>
      </c>
      <c r="CN132" s="282"/>
      <c r="CO132" s="477">
        <f t="shared" ref="CO132:CR132" si="416">+CO114+0.005</f>
        <v>9.3547002667294057E-2</v>
      </c>
      <c r="CP132" s="477">
        <f t="shared" si="416"/>
        <v>8.6577868707027675E-2</v>
      </c>
      <c r="CQ132" s="477">
        <f t="shared" si="416"/>
        <v>9.0999999999999998E-2</v>
      </c>
      <c r="CR132" s="477">
        <f t="shared" si="416"/>
        <v>9.0999999999999998E-2</v>
      </c>
      <c r="CS132" s="469">
        <f>SUMPRODUCT(CO132:CR132,CO$8:CR$8)/CS$8</f>
        <v>9.0481529930803412E-2</v>
      </c>
      <c r="CT132" s="282"/>
      <c r="DA132" s="90"/>
      <c r="DB132" s="90"/>
      <c r="DC132" s="90"/>
      <c r="DD132" s="90"/>
    </row>
    <row r="133" spans="1:112" ht="12.75" customHeight="1" outlineLevel="1" x14ac:dyDescent="0.2">
      <c r="A133" s="113"/>
      <c r="B133" s="475" t="s">
        <v>272</v>
      </c>
      <c r="C133" s="469">
        <f t="shared" si="399"/>
        <v>0.42312852159914138</v>
      </c>
      <c r="D133" s="469">
        <f t="shared" si="399"/>
        <v>0.43651541672276833</v>
      </c>
      <c r="E133" s="469">
        <f t="shared" si="399"/>
        <v>0.47827678789358063</v>
      </c>
      <c r="F133" s="469">
        <f t="shared" si="399"/>
        <v>0.55787413694533616</v>
      </c>
      <c r="G133" s="469">
        <f t="shared" si="399"/>
        <v>0.47967236485368431</v>
      </c>
      <c r="H133" s="282"/>
      <c r="I133" s="469">
        <f t="shared" si="400"/>
        <v>0.54879211038826503</v>
      </c>
      <c r="J133" s="469">
        <f t="shared" si="400"/>
        <v>0.5372034824292411</v>
      </c>
      <c r="K133" s="469">
        <f t="shared" si="400"/>
        <v>0.48825386545778354</v>
      </c>
      <c r="L133" s="469">
        <f t="shared" si="400"/>
        <v>0.48914623210365199</v>
      </c>
      <c r="M133" s="469">
        <f t="shared" si="400"/>
        <v>0.51312804870145301</v>
      </c>
      <c r="N133" s="282"/>
      <c r="O133" s="469">
        <f t="shared" si="401"/>
        <v>0.46324590866862003</v>
      </c>
      <c r="P133" s="469">
        <f t="shared" si="401"/>
        <v>0.41642843529635987</v>
      </c>
      <c r="Q133" s="469">
        <f t="shared" si="401"/>
        <v>0.41021136933584496</v>
      </c>
      <c r="R133" s="469">
        <f t="shared" si="401"/>
        <v>0.41841796489271488</v>
      </c>
      <c r="S133" s="469">
        <f t="shared" si="401"/>
        <v>0.42533695529006793</v>
      </c>
      <c r="T133" s="90"/>
      <c r="U133" s="469">
        <f t="shared" si="402"/>
        <v>0.45431263363172852</v>
      </c>
      <c r="V133" s="469">
        <f t="shared" si="402"/>
        <v>0.4538634011728182</v>
      </c>
      <c r="W133" s="469">
        <f t="shared" si="402"/>
        <v>0.44963117912583955</v>
      </c>
      <c r="X133" s="469">
        <f t="shared" si="402"/>
        <v>0.42370752065411788</v>
      </c>
      <c r="Y133" s="469">
        <f t="shared" si="402"/>
        <v>0.44509827711720451</v>
      </c>
      <c r="Z133" s="90"/>
      <c r="AA133" s="469">
        <f t="shared" si="403"/>
        <v>0.42994622134163596</v>
      </c>
      <c r="AB133" s="469">
        <f t="shared" si="403"/>
        <v>0.43524492234169654</v>
      </c>
      <c r="AC133" s="469">
        <f t="shared" si="403"/>
        <v>0.41758649657139513</v>
      </c>
      <c r="AD133" s="469">
        <f t="shared" si="403"/>
        <v>0.40852977320969724</v>
      </c>
      <c r="AE133" s="469">
        <f>SUMPRODUCT(AA133:AD133,AA$8:AD$8)/AE$8</f>
        <v>0.4224017866913381</v>
      </c>
      <c r="AF133" s="90"/>
      <c r="AG133" s="469">
        <f t="shared" si="404"/>
        <v>0.41750262557491036</v>
      </c>
      <c r="AH133" s="469">
        <f t="shared" si="404"/>
        <v>0.41515825129670791</v>
      </c>
      <c r="AI133" s="469">
        <f t="shared" si="404"/>
        <v>0.42149225209397667</v>
      </c>
      <c r="AJ133" s="469">
        <f t="shared" si="404"/>
        <v>0.42554807656150112</v>
      </c>
      <c r="AK133" s="469">
        <f t="shared" si="404"/>
        <v>0.42012278102035266</v>
      </c>
      <c r="AL133" s="282"/>
      <c r="AM133" s="469">
        <f t="shared" si="405"/>
        <v>0.42063295787525196</v>
      </c>
      <c r="AN133" s="469">
        <f t="shared" si="405"/>
        <v>0.39937642483572489</v>
      </c>
      <c r="AO133" s="469">
        <f t="shared" si="405"/>
        <v>0.41212485300884505</v>
      </c>
      <c r="AP133" s="469">
        <f t="shared" si="405"/>
        <v>0.41090996806726549</v>
      </c>
      <c r="AQ133" s="469">
        <f t="shared" si="405"/>
        <v>0.41053060758523402</v>
      </c>
      <c r="AR133" s="282"/>
      <c r="AS133" s="469">
        <f t="shared" si="406"/>
        <v>0.38168689218489921</v>
      </c>
      <c r="AT133" s="469">
        <f t="shared" si="406"/>
        <v>0.37982456140350879</v>
      </c>
      <c r="AU133" s="469">
        <f t="shared" si="406"/>
        <v>0.4272156742690954</v>
      </c>
      <c r="AV133" s="469">
        <f t="shared" si="406"/>
        <v>0.43144120997006852</v>
      </c>
      <c r="AW133" s="469">
        <f t="shared" si="406"/>
        <v>0.4039688209957133</v>
      </c>
      <c r="AX133" s="282"/>
      <c r="AY133" s="469">
        <f t="shared" si="407"/>
        <v>0.48667057576242179</v>
      </c>
      <c r="AZ133" s="469">
        <f t="shared" si="407"/>
        <v>0.46273990878178667</v>
      </c>
      <c r="BA133" s="469">
        <f t="shared" si="407"/>
        <v>0.45244881517904267</v>
      </c>
      <c r="BB133" s="469">
        <f t="shared" si="407"/>
        <v>0.45135212457324214</v>
      </c>
      <c r="BC133" s="469">
        <f>SUMPRODUCT(AY133:BB133,AY$8:BB$8)/BC$8</f>
        <v>0.46277572213664492</v>
      </c>
      <c r="BD133" s="282"/>
      <c r="BE133" s="469">
        <f t="shared" si="408"/>
        <v>0.45441819407961587</v>
      </c>
      <c r="BF133" s="469">
        <f t="shared" si="408"/>
        <v>0.45372421224446291</v>
      </c>
      <c r="BG133" s="469">
        <f t="shared" si="408"/>
        <v>0.45874925487045376</v>
      </c>
      <c r="BH133" s="469">
        <f t="shared" si="408"/>
        <v>0.47238605898123315</v>
      </c>
      <c r="BI133" s="469">
        <f>SUMPRODUCT(BE133:BH133,BE$8:BH$8)/BI$8</f>
        <v>0.4597801012334517</v>
      </c>
      <c r="BJ133" s="282"/>
      <c r="BK133" s="469">
        <f>+BK54</f>
        <v>0.54476970837398553</v>
      </c>
      <c r="BL133" s="469">
        <f t="shared" ref="BL133:BM133" si="417">+BL54</f>
        <v>0.55965587474552292</v>
      </c>
      <c r="BM133" s="469">
        <f t="shared" si="417"/>
        <v>0.5642139312683786</v>
      </c>
      <c r="BN133" s="469">
        <f t="shared" ref="BN133" si="418">+BN54</f>
        <v>0.55572199404203193</v>
      </c>
      <c r="BO133" s="469">
        <f>SUMPRODUCT(BK133:BN133,BK$8:BN$8)/BO$8</f>
        <v>0.55637177720016495</v>
      </c>
      <c r="BP133" s="282"/>
      <c r="BQ133" s="469">
        <f>+BQ54</f>
        <v>0.55160116930676972</v>
      </c>
      <c r="BR133" s="469">
        <f t="shared" ref="BR133" si="419">+BR54</f>
        <v>0.5402747373793072</v>
      </c>
      <c r="BS133" s="477">
        <f t="shared" si="412"/>
        <v>0.55500000000000005</v>
      </c>
      <c r="BT133" s="477">
        <f t="shared" si="412"/>
        <v>0.55500000000000005</v>
      </c>
      <c r="BU133" s="469">
        <f>SUMPRODUCT(BQ133:BT133,BQ$8:BT$8)/BU$8</f>
        <v>0.55045812642984349</v>
      </c>
      <c r="BV133" s="282"/>
      <c r="BW133" s="477">
        <f t="shared" si="413"/>
        <v>0.54360116930676972</v>
      </c>
      <c r="BX133" s="477">
        <f t="shared" si="413"/>
        <v>0.53227473737930719</v>
      </c>
      <c r="BY133" s="477">
        <f t="shared" si="413"/>
        <v>0.54200000000000004</v>
      </c>
      <c r="BZ133" s="477">
        <f t="shared" si="413"/>
        <v>0.54200000000000004</v>
      </c>
      <c r="CA133" s="469">
        <f>SUMPRODUCT(BW133:BZ133,BW$8:BZ$8)/CA$8</f>
        <v>0.53994603908560168</v>
      </c>
      <c r="CB133" s="282"/>
      <c r="CC133" s="477">
        <f t="shared" ref="CC133:CF133" si="420">+CC115+0.005</f>
        <v>0.54260116930676972</v>
      </c>
      <c r="CD133" s="477">
        <f t="shared" si="420"/>
        <v>0.53127473737930719</v>
      </c>
      <c r="CE133" s="477">
        <f t="shared" si="420"/>
        <v>0.54100000000000004</v>
      </c>
      <c r="CF133" s="477">
        <f t="shared" si="420"/>
        <v>0.54100000000000004</v>
      </c>
      <c r="CG133" s="469">
        <f>SUMPRODUCT(CC133:CF133,CC$8:CF$8)/CG$8</f>
        <v>0.53893950835367055</v>
      </c>
      <c r="CH133" s="282"/>
      <c r="CI133" s="477">
        <f t="shared" ref="CI133:CL133" si="421">+CI115+0.005</f>
        <v>0.54160116930676971</v>
      </c>
      <c r="CJ133" s="477">
        <f t="shared" si="421"/>
        <v>0.53027473737930719</v>
      </c>
      <c r="CK133" s="477">
        <f t="shared" si="421"/>
        <v>0.54</v>
      </c>
      <c r="CL133" s="477">
        <f t="shared" si="421"/>
        <v>0.54</v>
      </c>
      <c r="CM133" s="469">
        <f>SUMPRODUCT(CI133:CL133,CI$8:CL$8)/CM$8</f>
        <v>0.53793095550817649</v>
      </c>
      <c r="CN133" s="282"/>
      <c r="CO133" s="477">
        <f t="shared" ref="CO133:CR133" si="422">+CO115+0.005</f>
        <v>0.54060116930676971</v>
      </c>
      <c r="CP133" s="477">
        <f t="shared" si="422"/>
        <v>0.52927473737930719</v>
      </c>
      <c r="CQ133" s="477">
        <f t="shared" si="422"/>
        <v>0.53900000000000003</v>
      </c>
      <c r="CR133" s="477">
        <f t="shared" si="422"/>
        <v>0.53900000000000003</v>
      </c>
      <c r="CS133" s="469">
        <f>SUMPRODUCT(CO133:CR133,CO$8:CR$8)/CS$8</f>
        <v>0.5369158805377523</v>
      </c>
      <c r="CT133" s="282"/>
      <c r="DA133" s="90"/>
      <c r="DB133" s="90"/>
      <c r="DC133" s="90"/>
      <c r="DD133" s="90"/>
    </row>
    <row r="134" spans="1:112" x14ac:dyDescent="0.2">
      <c r="A134" s="43"/>
      <c r="D134" s="31"/>
      <c r="E134" s="31"/>
      <c r="F134" s="31"/>
      <c r="G134" s="31"/>
      <c r="H134" s="109"/>
      <c r="I134" s="31"/>
      <c r="J134" s="31"/>
      <c r="K134" s="31"/>
      <c r="L134" s="31"/>
      <c r="M134" s="31"/>
      <c r="N134" s="109"/>
      <c r="T134" s="109"/>
      <c r="Y134" s="36"/>
      <c r="Z134" s="109"/>
      <c r="AF134" s="109"/>
      <c r="AL134" s="109"/>
      <c r="AR134" s="109"/>
      <c r="AX134" s="109"/>
      <c r="BD134" s="109"/>
      <c r="BJ134" s="109"/>
      <c r="BP134" s="109"/>
      <c r="BV134" s="109"/>
      <c r="CB134" s="109"/>
      <c r="CH134" s="109"/>
      <c r="CN134" s="109"/>
      <c r="CT134" s="43"/>
      <c r="DA134" s="43"/>
      <c r="DB134" s="43"/>
      <c r="DC134" s="43"/>
      <c r="DD134" s="43"/>
    </row>
    <row r="135" spans="1:112" x14ac:dyDescent="0.2">
      <c r="A135" s="43"/>
      <c r="B135" s="94" t="s">
        <v>67</v>
      </c>
      <c r="D135" s="31"/>
      <c r="E135" s="31"/>
      <c r="F135" s="31"/>
      <c r="G135" s="31"/>
      <c r="H135" s="109"/>
      <c r="I135" s="31"/>
      <c r="J135" s="31"/>
      <c r="K135" s="31"/>
      <c r="L135" s="31"/>
      <c r="M135" s="31"/>
      <c r="N135" s="109"/>
      <c r="T135" s="109"/>
      <c r="Y135" s="36"/>
      <c r="Z135" s="109"/>
      <c r="AF135" s="109"/>
      <c r="AL135" s="109"/>
      <c r="AR135" s="109"/>
      <c r="AX135" s="109"/>
      <c r="BD135" s="109"/>
      <c r="BJ135" s="109"/>
      <c r="BP135" s="109"/>
      <c r="BV135" s="109"/>
      <c r="CB135" s="109"/>
      <c r="CH135" s="109"/>
      <c r="CN135" s="109"/>
      <c r="CT135" s="43"/>
      <c r="DA135" s="43"/>
      <c r="DB135" s="43"/>
      <c r="DC135" s="43"/>
      <c r="DD135" s="43"/>
    </row>
    <row r="136" spans="1:112" ht="12.75" hidden="1" customHeight="1" outlineLevel="1" x14ac:dyDescent="0.2">
      <c r="A136" s="43"/>
      <c r="B136" s="90" t="s">
        <v>232</v>
      </c>
      <c r="C136" s="443">
        <f>39.683*2</f>
        <v>79.366</v>
      </c>
      <c r="D136" s="314">
        <f>+C137</f>
        <v>79.47</v>
      </c>
      <c r="E136" s="314">
        <f>+D137</f>
        <v>79.793999999999997</v>
      </c>
      <c r="F136" s="314">
        <f>+E137</f>
        <v>86.067999999999998</v>
      </c>
      <c r="G136" s="314">
        <f>+C136</f>
        <v>79.366</v>
      </c>
      <c r="H136" s="109"/>
      <c r="I136" s="314">
        <f>+G137</f>
        <v>86.88</v>
      </c>
      <c r="J136" s="314">
        <f>+I137</f>
        <v>87.79</v>
      </c>
      <c r="K136" s="314">
        <f>+J137</f>
        <v>88.721999999999994</v>
      </c>
      <c r="L136" s="314">
        <f>+K137</f>
        <v>89.248000000000005</v>
      </c>
      <c r="M136" s="314">
        <f>+I136</f>
        <v>86.88</v>
      </c>
      <c r="N136" s="109"/>
      <c r="O136" s="314">
        <f>+M137</f>
        <v>89.488</v>
      </c>
      <c r="P136" s="314">
        <f>+O137</f>
        <v>92.885999999999996</v>
      </c>
      <c r="Q136" s="314">
        <f>+P137</f>
        <v>93.486000000000004</v>
      </c>
      <c r="R136" s="314">
        <f>+Q137</f>
        <v>95.451999999999998</v>
      </c>
      <c r="S136" s="314">
        <f>+O136</f>
        <v>89.488</v>
      </c>
      <c r="T136" s="109"/>
      <c r="U136" s="314">
        <f>+S137</f>
        <v>95.896000000000001</v>
      </c>
      <c r="V136" s="314">
        <f>+U137</f>
        <v>96.174000000000007</v>
      </c>
      <c r="W136" s="314">
        <f>+V137</f>
        <v>96.37</v>
      </c>
      <c r="X136" s="314">
        <f>+W137</f>
        <v>97.65</v>
      </c>
      <c r="Y136" s="314">
        <f>+U136</f>
        <v>95.896000000000001</v>
      </c>
      <c r="Z136" s="109"/>
      <c r="AA136" s="314">
        <f>+Y137</f>
        <v>94.046000000000006</v>
      </c>
      <c r="AB136" s="314">
        <f>+AA137</f>
        <v>92.355000000000004</v>
      </c>
      <c r="AC136" s="314">
        <f>+AB137</f>
        <v>90.138000000000005</v>
      </c>
      <c r="AD136" s="314">
        <f>+AC137</f>
        <v>85.715999999999994</v>
      </c>
      <c r="AE136" s="314">
        <f>+AA136</f>
        <v>94.046000000000006</v>
      </c>
      <c r="AF136" s="109"/>
      <c r="AG136" s="314">
        <f>+AE137</f>
        <v>86.244</v>
      </c>
      <c r="AH136" s="314">
        <f>+AG137</f>
        <v>84.63</v>
      </c>
      <c r="AI136" s="314">
        <f>+AH137</f>
        <v>84.231999999999999</v>
      </c>
      <c r="AJ136" s="314">
        <f>+AI137</f>
        <v>84.543999999999997</v>
      </c>
      <c r="AK136" s="314">
        <f>+AG136</f>
        <v>86.244</v>
      </c>
      <c r="AL136" s="109"/>
      <c r="AM136" s="314">
        <f>+AK137</f>
        <v>82.569000000000003</v>
      </c>
      <c r="AN136" s="314">
        <f>+AM137</f>
        <v>81.397000000000006</v>
      </c>
      <c r="AO136" s="314">
        <f>+AN137</f>
        <v>81.305000000000007</v>
      </c>
      <c r="AP136" s="314">
        <f>+AO137</f>
        <v>79.816000000000003</v>
      </c>
      <c r="AQ136" s="314">
        <f>+AM136</f>
        <v>82.569000000000003</v>
      </c>
      <c r="AR136" s="109"/>
      <c r="AS136" s="314">
        <f>+AQ137</f>
        <v>80.576999999999998</v>
      </c>
      <c r="AT136" s="314">
        <f>+AS137</f>
        <v>76.814999999999998</v>
      </c>
      <c r="AU136" s="314">
        <f>+AT137</f>
        <v>73.974000000000004</v>
      </c>
      <c r="AV136" s="314">
        <f>+AU137</f>
        <v>74.513000000000005</v>
      </c>
      <c r="AW136" s="314">
        <f>+AS136</f>
        <v>80.576999999999998</v>
      </c>
      <c r="AX136" s="109"/>
      <c r="AY136" s="314">
        <f>+AW137</f>
        <v>73.497</v>
      </c>
      <c r="AZ136" s="314">
        <f>+AY137</f>
        <v>72.984999999999999</v>
      </c>
      <c r="BA136" s="314">
        <f>+AZ137</f>
        <v>71.518000000000001</v>
      </c>
      <c r="BB136" s="314">
        <f>+BA137</f>
        <v>70.022000000000006</v>
      </c>
      <c r="BC136" s="314">
        <f>+AY136</f>
        <v>73.497</v>
      </c>
      <c r="BD136" s="109"/>
      <c r="BE136" s="314">
        <f>+BC137</f>
        <v>68.900000000000006</v>
      </c>
      <c r="BF136" s="314">
        <f>+BE137</f>
        <v>69.400000000000006</v>
      </c>
      <c r="BG136" s="314">
        <f>+BF137</f>
        <v>69.400000000000006</v>
      </c>
      <c r="BH136" s="314">
        <f>+BG137</f>
        <v>70.400000000000006</v>
      </c>
      <c r="BI136" s="314">
        <f>+BE136</f>
        <v>68.900000000000006</v>
      </c>
      <c r="BJ136" s="109"/>
      <c r="BK136" s="314">
        <f>+BI137</f>
        <v>69.099999999999994</v>
      </c>
      <c r="BL136" s="314">
        <f>+BK137</f>
        <v>68.8</v>
      </c>
      <c r="BM136" s="314">
        <f>+BL137</f>
        <v>68.3</v>
      </c>
      <c r="BN136" s="314">
        <f>+BM137</f>
        <v>68.099999999999994</v>
      </c>
      <c r="BO136" s="314">
        <f>+BK136</f>
        <v>69.099999999999994</v>
      </c>
      <c r="BP136" s="109"/>
      <c r="BQ136" s="314">
        <f>+BO137</f>
        <v>68.2</v>
      </c>
      <c r="BR136" s="314">
        <f>+BQ137</f>
        <v>68.599999999999994</v>
      </c>
      <c r="BS136" s="314">
        <f>+BR137</f>
        <v>69.400000000000006</v>
      </c>
      <c r="BT136" s="314">
        <f>+BS137</f>
        <v>69.585954575000002</v>
      </c>
      <c r="BU136" s="314">
        <f>+BQ136</f>
        <v>68.2</v>
      </c>
      <c r="BV136" s="109"/>
      <c r="BW136" s="314">
        <f>+BU137</f>
        <v>69.766795399187501</v>
      </c>
      <c r="BX136" s="314">
        <f>+BW137</f>
        <v>69.166657203065029</v>
      </c>
      <c r="BY136" s="314">
        <f>+BX137</f>
        <v>68.374838506688633</v>
      </c>
      <c r="BZ136" s="314">
        <f>+BY137</f>
        <v>67.57831644846965</v>
      </c>
      <c r="CA136" s="314">
        <f>+BW136</f>
        <v>69.766795399187501</v>
      </c>
      <c r="CB136" s="109"/>
      <c r="CC136" s="314">
        <f>+CA137</f>
        <v>66.777220370858757</v>
      </c>
      <c r="CD136" s="314">
        <f>+CC137</f>
        <v>66.229066188546255</v>
      </c>
      <c r="CE136" s="314">
        <f>+CD137</f>
        <v>65.506727791113448</v>
      </c>
      <c r="CF136" s="314">
        <f>+CE137</f>
        <v>64.780182448707365</v>
      </c>
      <c r="CG136" s="314">
        <f>+CC136</f>
        <v>66.777220370858757</v>
      </c>
      <c r="CH136" s="109"/>
      <c r="CI136" s="314">
        <f>+CG137</f>
        <v>64.049545852314779</v>
      </c>
      <c r="CJ136" s="314">
        <f>+CI137</f>
        <v>64.049545852314779</v>
      </c>
      <c r="CK136" s="314">
        <f>+CJ137</f>
        <v>64.049545852314779</v>
      </c>
      <c r="CL136" s="314">
        <f>+CK137</f>
        <v>64.049545852314779</v>
      </c>
      <c r="CM136" s="314">
        <f>+CI136</f>
        <v>64.049545852314779</v>
      </c>
      <c r="CN136" s="109"/>
      <c r="CO136" s="314">
        <f>+CM137</f>
        <v>64.049545852314779</v>
      </c>
      <c r="CP136" s="314">
        <f>+CO137</f>
        <v>64.049545852314779</v>
      </c>
      <c r="CQ136" s="314">
        <f>+CP137</f>
        <v>64.049545852314779</v>
      </c>
      <c r="CR136" s="314">
        <f>+CQ137</f>
        <v>64.049545852314779</v>
      </c>
      <c r="CS136" s="314">
        <f>+CO136</f>
        <v>64.049545852314779</v>
      </c>
      <c r="CT136" s="314"/>
      <c r="DA136" s="43"/>
      <c r="DB136" s="43"/>
      <c r="DC136" s="43"/>
      <c r="DD136" s="43"/>
    </row>
    <row r="137" spans="1:112" ht="12.75" hidden="1" customHeight="1" outlineLevel="1" x14ac:dyDescent="0.2">
      <c r="A137" s="31"/>
      <c r="B137" s="108" t="s">
        <v>233</v>
      </c>
      <c r="C137" s="314">
        <f>+C45</f>
        <v>79.47</v>
      </c>
      <c r="D137" s="314">
        <f>+D45</f>
        <v>79.793999999999997</v>
      </c>
      <c r="E137" s="314">
        <f>+E45</f>
        <v>86.067999999999998</v>
      </c>
      <c r="F137" s="314">
        <f>+F45</f>
        <v>86.88</v>
      </c>
      <c r="G137" s="314">
        <f>+F137</f>
        <v>86.88</v>
      </c>
      <c r="H137" s="315"/>
      <c r="I137" s="314">
        <f>+I45</f>
        <v>87.79</v>
      </c>
      <c r="J137" s="314">
        <f>+J45</f>
        <v>88.721999999999994</v>
      </c>
      <c r="K137" s="314">
        <f>+K45</f>
        <v>89.248000000000005</v>
      </c>
      <c r="L137" s="314">
        <f>+L45</f>
        <v>89.488</v>
      </c>
      <c r="M137" s="314">
        <f>+L137</f>
        <v>89.488</v>
      </c>
      <c r="N137" s="315"/>
      <c r="O137" s="314">
        <f>+O45</f>
        <v>92.885999999999996</v>
      </c>
      <c r="P137" s="314">
        <f>+P45</f>
        <v>93.486000000000004</v>
      </c>
      <c r="Q137" s="314">
        <f>+Q45</f>
        <v>95.451999999999998</v>
      </c>
      <c r="R137" s="314">
        <f>+R45</f>
        <v>95.896000000000001</v>
      </c>
      <c r="S137" s="314">
        <f>+R137</f>
        <v>95.896000000000001</v>
      </c>
      <c r="T137" s="315"/>
      <c r="U137" s="314">
        <f>+U45</f>
        <v>96.174000000000007</v>
      </c>
      <c r="V137" s="314">
        <f>+V45</f>
        <v>96.37</v>
      </c>
      <c r="W137" s="314">
        <f>+W45</f>
        <v>97.65</v>
      </c>
      <c r="X137" s="314">
        <f>+X45</f>
        <v>94.046000000000006</v>
      </c>
      <c r="Y137" s="314">
        <f>+X137</f>
        <v>94.046000000000006</v>
      </c>
      <c r="Z137" s="315"/>
      <c r="AA137" s="314">
        <f>+AA45</f>
        <v>92.355000000000004</v>
      </c>
      <c r="AB137" s="314">
        <f>+AB45</f>
        <v>90.138000000000005</v>
      </c>
      <c r="AC137" s="314">
        <f>+AC45</f>
        <v>85.715999999999994</v>
      </c>
      <c r="AD137" s="314">
        <f>+AD45</f>
        <v>86.244</v>
      </c>
      <c r="AE137" s="314">
        <f>+AD137</f>
        <v>86.244</v>
      </c>
      <c r="AF137" s="111"/>
      <c r="AG137" s="314">
        <f>+AG45</f>
        <v>84.63</v>
      </c>
      <c r="AH137" s="314">
        <f>+AH45</f>
        <v>84.231999999999999</v>
      </c>
      <c r="AI137" s="314">
        <f>+AI45</f>
        <v>84.543999999999997</v>
      </c>
      <c r="AJ137" s="314">
        <f>+AJ45</f>
        <v>82.569000000000003</v>
      </c>
      <c r="AK137" s="314">
        <f>+AJ137</f>
        <v>82.569000000000003</v>
      </c>
      <c r="AL137" s="111"/>
      <c r="AM137" s="314">
        <f>+AM45</f>
        <v>81.397000000000006</v>
      </c>
      <c r="AN137" s="314">
        <f>+AN45</f>
        <v>81.305000000000007</v>
      </c>
      <c r="AO137" s="314">
        <f>+AO45</f>
        <v>79.816000000000003</v>
      </c>
      <c r="AP137" s="314">
        <f>+AP45</f>
        <v>80.576999999999998</v>
      </c>
      <c r="AQ137" s="314">
        <f>+AP137</f>
        <v>80.576999999999998</v>
      </c>
      <c r="AR137" s="111"/>
      <c r="AS137" s="314">
        <f>+AS45</f>
        <v>76.814999999999998</v>
      </c>
      <c r="AT137" s="314">
        <f>+AT45</f>
        <v>73.974000000000004</v>
      </c>
      <c r="AU137" s="314">
        <f>+AU45</f>
        <v>74.513000000000005</v>
      </c>
      <c r="AV137" s="314">
        <f>+AV45</f>
        <v>73.497</v>
      </c>
      <c r="AW137" s="314">
        <f>+AV137</f>
        <v>73.497</v>
      </c>
      <c r="AX137" s="111"/>
      <c r="AY137" s="314">
        <f>+AY45</f>
        <v>72.984999999999999</v>
      </c>
      <c r="AZ137" s="314">
        <f>+AZ45</f>
        <v>71.518000000000001</v>
      </c>
      <c r="BA137" s="314">
        <f>+BA45</f>
        <v>70.022000000000006</v>
      </c>
      <c r="BB137" s="314">
        <f>+BB45</f>
        <v>68.900000000000006</v>
      </c>
      <c r="BC137" s="314">
        <f>+BB137</f>
        <v>68.900000000000006</v>
      </c>
      <c r="BD137" s="111"/>
      <c r="BE137" s="314">
        <f>+BE45</f>
        <v>69.400000000000006</v>
      </c>
      <c r="BF137" s="314">
        <f>+BF45</f>
        <v>69.400000000000006</v>
      </c>
      <c r="BG137" s="314">
        <f>+BG45</f>
        <v>70.400000000000006</v>
      </c>
      <c r="BH137" s="314">
        <f>+BH45</f>
        <v>69.099999999999994</v>
      </c>
      <c r="BI137" s="314">
        <f>+BH137</f>
        <v>69.099999999999994</v>
      </c>
      <c r="BJ137" s="111"/>
      <c r="BK137" s="314">
        <f>+BK45</f>
        <v>68.8</v>
      </c>
      <c r="BL137" s="314">
        <f>+BL45</f>
        <v>68.3</v>
      </c>
      <c r="BM137" s="314">
        <f>+BM45</f>
        <v>68.099999999999994</v>
      </c>
      <c r="BN137" s="314">
        <f>+BN45</f>
        <v>68.2</v>
      </c>
      <c r="BO137" s="314">
        <f>+BN137</f>
        <v>68.2</v>
      </c>
      <c r="BP137" s="111"/>
      <c r="BQ137" s="314">
        <f>+BQ45</f>
        <v>68.599999999999994</v>
      </c>
      <c r="BR137" s="314">
        <f>+BR45</f>
        <v>69.400000000000006</v>
      </c>
      <c r="BS137" s="314">
        <f>+BS136-'Cash Flow'!BS70-'Cash Flow'!BS83</f>
        <v>69.585954575000002</v>
      </c>
      <c r="BT137" s="314">
        <f>+BT136-'Cash Flow'!BT70-'Cash Flow'!BT83</f>
        <v>69.766795399187501</v>
      </c>
      <c r="BU137" s="314">
        <f>+BT137</f>
        <v>69.766795399187501</v>
      </c>
      <c r="BV137" s="111"/>
      <c r="BW137" s="314">
        <f>+BW136-'Cash Flow'!BW70-'Cash Flow'!BW83</f>
        <v>69.166657203065029</v>
      </c>
      <c r="BX137" s="314">
        <f>+BX136-'Cash Flow'!BX70-'Cash Flow'!BX83</f>
        <v>68.374838506688633</v>
      </c>
      <c r="BY137" s="314">
        <f>+BY136-'Cash Flow'!BY70-'Cash Flow'!BY83</f>
        <v>67.57831644846965</v>
      </c>
      <c r="BZ137" s="314">
        <f>+BZ136-'Cash Flow'!BZ70-'Cash Flow'!BZ83</f>
        <v>66.777220370858757</v>
      </c>
      <c r="CA137" s="314">
        <f>+BZ137</f>
        <v>66.777220370858757</v>
      </c>
      <c r="CB137" s="111"/>
      <c r="CC137" s="314">
        <f>+CC136-'Cash Flow'!CC70-'Cash Flow'!CC83</f>
        <v>66.229066188546255</v>
      </c>
      <c r="CD137" s="314">
        <f>+CD136-'Cash Flow'!CD70-'Cash Flow'!CD83</f>
        <v>65.506727791113448</v>
      </c>
      <c r="CE137" s="314">
        <f>+CE136-'Cash Flow'!CE70-'Cash Flow'!CE83</f>
        <v>64.780182448707365</v>
      </c>
      <c r="CF137" s="314">
        <f>+CF136-'Cash Flow'!CF70-'Cash Flow'!CF83</f>
        <v>64.049545852314779</v>
      </c>
      <c r="CG137" s="314">
        <f>+CF137</f>
        <v>64.049545852314779</v>
      </c>
      <c r="CH137" s="111"/>
      <c r="CI137" s="314">
        <f>+CI136-'Cash Flow'!CU70-'Cash Flow'!CU83</f>
        <v>64.049545852314779</v>
      </c>
      <c r="CJ137" s="314">
        <f>+CJ136-'Cash Flow'!CV70-'Cash Flow'!CV83</f>
        <v>64.049545852314779</v>
      </c>
      <c r="CK137" s="314">
        <f>+CK136-'Cash Flow'!CW70-'Cash Flow'!CW83</f>
        <v>64.049545852314779</v>
      </c>
      <c r="CL137" s="314">
        <f>+CL136-'Cash Flow'!CX70-'Cash Flow'!CX83</f>
        <v>64.049545852314779</v>
      </c>
      <c r="CM137" s="314">
        <f>+CL137</f>
        <v>64.049545852314779</v>
      </c>
      <c r="CN137" s="111"/>
      <c r="CO137" s="314">
        <f>+CO136-'Cash Flow'!DA70-'Cash Flow'!DA83</f>
        <v>64.049545852314779</v>
      </c>
      <c r="CP137" s="314">
        <f>+CP136-'Cash Flow'!DB70-'Cash Flow'!DB83</f>
        <v>64.049545852314779</v>
      </c>
      <c r="CQ137" s="314">
        <f>+CQ136-'Cash Flow'!DC70-'Cash Flow'!DC83</f>
        <v>64.049545852314779</v>
      </c>
      <c r="CR137" s="314">
        <f>+CR136-'Cash Flow'!DD70-'Cash Flow'!DD83</f>
        <v>64.049545852314779</v>
      </c>
      <c r="CS137" s="314">
        <f>+CR137</f>
        <v>64.049545852314779</v>
      </c>
      <c r="CT137" s="314"/>
      <c r="DA137" s="31"/>
      <c r="DB137" s="31"/>
      <c r="DC137" s="31"/>
      <c r="DD137" s="31"/>
    </row>
    <row r="138" spans="1:112" ht="12.75" hidden="1" customHeight="1" outlineLevel="1" x14ac:dyDescent="0.2">
      <c r="A138" s="43"/>
      <c r="B138" s="78" t="s">
        <v>234</v>
      </c>
      <c r="C138" s="282">
        <f>+SUM(C139:C140)</f>
        <v>0.40039999999999998</v>
      </c>
      <c r="D138" s="282">
        <f>+SUM(D139:D140)</f>
        <v>0.40039999999999998</v>
      </c>
      <c r="E138" s="282">
        <f>+SUM(E139:E140)</f>
        <v>0.40039999999999998</v>
      </c>
      <c r="F138" s="282">
        <f>+SUM(F139:F140)</f>
        <v>0.40039999999999998</v>
      </c>
      <c r="G138" s="282">
        <f>+SUM(G139:G140)</f>
        <v>0.40039999999999998</v>
      </c>
      <c r="H138" s="109"/>
      <c r="I138" s="282">
        <f>+SUM(I139:I140)</f>
        <v>0.38100000000000001</v>
      </c>
      <c r="J138" s="282">
        <f>+SUM(J139:J140)</f>
        <v>0.38100000000000001</v>
      </c>
      <c r="K138" s="282">
        <f>+SUM(K139:K140)</f>
        <v>0.38100000000000001</v>
      </c>
      <c r="L138" s="282">
        <f>+SUM(L139:L140)</f>
        <v>0.38100000000000001</v>
      </c>
      <c r="M138" s="282">
        <f>+SUM(M139:M140)</f>
        <v>0.38100000000000001</v>
      </c>
      <c r="N138" s="109"/>
      <c r="O138" s="282">
        <f>+SUM(O139:O140)</f>
        <v>0.38</v>
      </c>
      <c r="P138" s="282">
        <f>+SUM(P139:P140)</f>
        <v>0.38</v>
      </c>
      <c r="Q138" s="282">
        <f>+SUM(Q139:Q140)</f>
        <v>0.38</v>
      </c>
      <c r="R138" s="282">
        <f>+SUM(R139:R140)</f>
        <v>0.38</v>
      </c>
      <c r="S138" s="282">
        <f>+SUM(S139:S140)</f>
        <v>0.38</v>
      </c>
      <c r="T138" s="102"/>
      <c r="U138" s="282">
        <f>+SUM(U139:U140)</f>
        <v>0.39299999999999996</v>
      </c>
      <c r="V138" s="282">
        <f>+SUM(V139:V140)</f>
        <v>0.39299999999999996</v>
      </c>
      <c r="W138" s="282">
        <f>+SUM(W139:W140)</f>
        <v>0.39299999999999996</v>
      </c>
      <c r="X138" s="282">
        <f>+SUM(X139:X140)</f>
        <v>0.39299999999999996</v>
      </c>
      <c r="Y138" s="282">
        <f>+SUM(Y139:Y140)</f>
        <v>0.39299999999999996</v>
      </c>
      <c r="Z138" s="102"/>
      <c r="AA138" s="282">
        <f>+SUM(AA139:AA140)</f>
        <v>0.377</v>
      </c>
      <c r="AB138" s="282">
        <f>+SUM(AB139:AB140)</f>
        <v>0.377</v>
      </c>
      <c r="AC138" s="282">
        <f>+SUM(AC139:AC140)</f>
        <v>0.377</v>
      </c>
      <c r="AD138" s="282">
        <f>+SUM(AD139:AD140)</f>
        <v>0.377</v>
      </c>
      <c r="AE138" s="282">
        <f>+SUM(AE139:AE140)</f>
        <v>0.377</v>
      </c>
      <c r="AF138" s="282"/>
      <c r="AG138" s="282">
        <f>+SUM(AG139:AG140)</f>
        <v>0.377</v>
      </c>
      <c r="AH138" s="282">
        <f>+SUM(AH139:AH140)</f>
        <v>0.377</v>
      </c>
      <c r="AI138" s="282">
        <f>+SUM(AI139:AI140)</f>
        <v>0.377</v>
      </c>
      <c r="AJ138" s="282">
        <f>+SUM(AJ139:AJ140)</f>
        <v>0.377</v>
      </c>
      <c r="AK138" s="282">
        <f>+SUM(AK139:AK140)</f>
        <v>0.377</v>
      </c>
      <c r="AL138" s="282"/>
      <c r="AM138" s="282">
        <f>+SUM(AM139:AM140)</f>
        <v>0.36699999999999999</v>
      </c>
      <c r="AN138" s="282">
        <f>+SUM(AN139:AN140)</f>
        <v>0.36699999999999999</v>
      </c>
      <c r="AO138" s="282">
        <f>+SUM(AO139:AO140)</f>
        <v>0.36699999999999999</v>
      </c>
      <c r="AP138" s="282">
        <f>+SUM(AP139:AP140)</f>
        <v>0.36699999999999999</v>
      </c>
      <c r="AQ138" s="282">
        <f>+SUM(AQ139:AQ140)</f>
        <v>0.36699999999999999</v>
      </c>
      <c r="AR138" s="282"/>
      <c r="AS138" s="282">
        <f>+SUM(AS139:AS140)</f>
        <v>0.36699999999999999</v>
      </c>
      <c r="AT138" s="282">
        <f>+SUM(AT139:AT140)</f>
        <v>0.36699999999999999</v>
      </c>
      <c r="AU138" s="282">
        <f>+SUM(AU139:AU140)</f>
        <v>0.36699999999999999</v>
      </c>
      <c r="AV138" s="282">
        <f>+SUM(AV139:AV140)</f>
        <v>0.36699999999999999</v>
      </c>
      <c r="AW138" s="282">
        <f>+SUM(AW139:AW140)</f>
        <v>0.36699999999999999</v>
      </c>
      <c r="AX138" s="282"/>
      <c r="AY138" s="282">
        <f>+SUM(AY139:AY140)</f>
        <v>0.36699999999999999</v>
      </c>
      <c r="AZ138" s="282">
        <f>+SUM(AZ139:AZ140)</f>
        <v>0.36699999999999999</v>
      </c>
      <c r="BA138" s="282">
        <f>+SUM(BA139:BA140)</f>
        <v>0.36699999999999999</v>
      </c>
      <c r="BB138" s="282">
        <f>+SUM(BB139:BB140)</f>
        <v>0.36699999999999999</v>
      </c>
      <c r="BC138" s="282">
        <f>+SUM(BC139:BC140)</f>
        <v>0.36699999999999999</v>
      </c>
      <c r="BD138" s="282"/>
      <c r="BE138" s="282">
        <f>+SUM(BE139:BE140)</f>
        <v>0.36699999999999999</v>
      </c>
      <c r="BF138" s="282">
        <f>+SUM(BF139:BF140)</f>
        <v>0.36699999999999999</v>
      </c>
      <c r="BG138" s="282">
        <f>+SUM(BG139:BG140)</f>
        <v>0.36699999999999999</v>
      </c>
      <c r="BH138" s="282">
        <f>+SUM(BH139:BH140)</f>
        <v>0.36699999999999999</v>
      </c>
      <c r="BI138" s="282">
        <f>+SUM(BI139:BI140)</f>
        <v>0.36699999999999999</v>
      </c>
      <c r="BJ138" s="282"/>
      <c r="BK138" s="282">
        <f>+SUM(BK139:BK140)</f>
        <v>0.36699999999999999</v>
      </c>
      <c r="BL138" s="282">
        <f>+SUM(BL139:BL140)</f>
        <v>0.36699999999999999</v>
      </c>
      <c r="BM138" s="282">
        <f>+SUM(BM139:BM140)</f>
        <v>0.36699999999999999</v>
      </c>
      <c r="BN138" s="282">
        <f>+SUM(BN139:BN140)</f>
        <v>0.36699999999999999</v>
      </c>
      <c r="BO138" s="282">
        <f>+SUM(BO139:BO140)</f>
        <v>0.36699999999999999</v>
      </c>
      <c r="BP138" s="282"/>
      <c r="BQ138" s="282">
        <f>+SUM(BQ139:BQ140)</f>
        <v>0.36699999999999999</v>
      </c>
      <c r="BR138" s="282">
        <f>+SUM(BR139:BR140)</f>
        <v>0.36699999999999999</v>
      </c>
      <c r="BS138" s="102">
        <f>BR138</f>
        <v>0.36699999999999999</v>
      </c>
      <c r="BT138" s="102">
        <f>BS138</f>
        <v>0.36699999999999999</v>
      </c>
      <c r="BU138" s="282">
        <f>BT138</f>
        <v>0.36699999999999999</v>
      </c>
      <c r="BV138" s="282"/>
      <c r="BW138" s="102">
        <f>BU138</f>
        <v>0.36699999999999999</v>
      </c>
      <c r="BX138" s="102">
        <f>BW138</f>
        <v>0.36699999999999999</v>
      </c>
      <c r="BY138" s="102">
        <f>BX138</f>
        <v>0.36699999999999999</v>
      </c>
      <c r="BZ138" s="102">
        <f>BY138</f>
        <v>0.36699999999999999</v>
      </c>
      <c r="CA138" s="282">
        <f>BZ138</f>
        <v>0.36699999999999999</v>
      </c>
      <c r="CB138" s="282"/>
      <c r="CC138" s="102">
        <f>CA138</f>
        <v>0.36699999999999999</v>
      </c>
      <c r="CD138" s="102">
        <f>CC138</f>
        <v>0.36699999999999999</v>
      </c>
      <c r="CE138" s="102">
        <f>CD138</f>
        <v>0.36699999999999999</v>
      </c>
      <c r="CF138" s="102">
        <f>CE138</f>
        <v>0.36699999999999999</v>
      </c>
      <c r="CG138" s="282">
        <f>CF138</f>
        <v>0.36699999999999999</v>
      </c>
      <c r="CH138" s="282"/>
      <c r="CI138" s="102">
        <f>CG138</f>
        <v>0.36699999999999999</v>
      </c>
      <c r="CJ138" s="102">
        <f>CI138</f>
        <v>0.36699999999999999</v>
      </c>
      <c r="CK138" s="102">
        <f>CJ138</f>
        <v>0.36699999999999999</v>
      </c>
      <c r="CL138" s="102">
        <f>CK138</f>
        <v>0.36699999999999999</v>
      </c>
      <c r="CM138" s="282">
        <f>CL138</f>
        <v>0.36699999999999999</v>
      </c>
      <c r="CN138" s="282"/>
      <c r="CO138" s="102">
        <f>CM138</f>
        <v>0.36699999999999999</v>
      </c>
      <c r="CP138" s="102">
        <f>CO138</f>
        <v>0.36699999999999999</v>
      </c>
      <c r="CQ138" s="102">
        <f>CP138</f>
        <v>0.36699999999999999</v>
      </c>
      <c r="CR138" s="102">
        <f>CQ138</f>
        <v>0.36699999999999999</v>
      </c>
      <c r="CS138" s="282">
        <f>CR138</f>
        <v>0.36699999999999999</v>
      </c>
      <c r="CT138" s="282"/>
      <c r="DA138" s="43"/>
      <c r="DB138" s="43"/>
      <c r="DC138" s="43"/>
      <c r="DD138" s="43"/>
    </row>
    <row r="139" spans="1:112" ht="12.75" hidden="1" customHeight="1" outlineLevel="1" x14ac:dyDescent="0.2">
      <c r="A139" s="43"/>
      <c r="B139" s="281" t="s">
        <v>72</v>
      </c>
      <c r="C139" s="302">
        <f t="shared" ref="C139:F140" si="423">D139</f>
        <v>0.35</v>
      </c>
      <c r="D139" s="302">
        <f t="shared" si="423"/>
        <v>0.35</v>
      </c>
      <c r="E139" s="302">
        <f t="shared" si="423"/>
        <v>0.35</v>
      </c>
      <c r="F139" s="302">
        <f t="shared" si="423"/>
        <v>0.35</v>
      </c>
      <c r="G139" s="102">
        <v>0.35</v>
      </c>
      <c r="H139" s="109"/>
      <c r="I139" s="302">
        <f t="shared" ref="I139:L140" si="424">J139</f>
        <v>0.35</v>
      </c>
      <c r="J139" s="302">
        <f t="shared" si="424"/>
        <v>0.35</v>
      </c>
      <c r="K139" s="302">
        <f t="shared" si="424"/>
        <v>0.35</v>
      </c>
      <c r="L139" s="302">
        <f t="shared" si="424"/>
        <v>0.35</v>
      </c>
      <c r="M139" s="102">
        <v>0.35</v>
      </c>
      <c r="N139" s="109"/>
      <c r="O139" s="302">
        <f t="shared" ref="O139:R140" si="425">P139</f>
        <v>0.35</v>
      </c>
      <c r="P139" s="302">
        <f t="shared" si="425"/>
        <v>0.35</v>
      </c>
      <c r="Q139" s="302">
        <f t="shared" si="425"/>
        <v>0.35</v>
      </c>
      <c r="R139" s="302">
        <f t="shared" si="425"/>
        <v>0.35</v>
      </c>
      <c r="S139" s="102">
        <v>0.35</v>
      </c>
      <c r="T139" s="102"/>
      <c r="U139" s="302">
        <f t="shared" ref="U139:X140" si="426">V139</f>
        <v>0.35</v>
      </c>
      <c r="V139" s="302">
        <f t="shared" si="426"/>
        <v>0.35</v>
      </c>
      <c r="W139" s="302">
        <f t="shared" si="426"/>
        <v>0.35</v>
      </c>
      <c r="X139" s="302">
        <f t="shared" si="426"/>
        <v>0.35</v>
      </c>
      <c r="Y139" s="102">
        <v>0.35</v>
      </c>
      <c r="Z139" s="102"/>
      <c r="AA139" s="302">
        <f t="shared" ref="AA139:AD140" si="427">AB139</f>
        <v>0.35</v>
      </c>
      <c r="AB139" s="302">
        <f t="shared" si="427"/>
        <v>0.35</v>
      </c>
      <c r="AC139" s="302">
        <f t="shared" si="427"/>
        <v>0.35</v>
      </c>
      <c r="AD139" s="302">
        <f t="shared" si="427"/>
        <v>0.35</v>
      </c>
      <c r="AE139" s="102">
        <v>0.35</v>
      </c>
      <c r="AF139" s="102"/>
      <c r="AG139" s="302">
        <f t="shared" ref="AG139:AJ140" si="428">AH139</f>
        <v>0.35</v>
      </c>
      <c r="AH139" s="302">
        <f t="shared" si="428"/>
        <v>0.35</v>
      </c>
      <c r="AI139" s="302">
        <f t="shared" si="428"/>
        <v>0.35</v>
      </c>
      <c r="AJ139" s="302">
        <f t="shared" si="428"/>
        <v>0.35</v>
      </c>
      <c r="AK139" s="102">
        <v>0.35</v>
      </c>
      <c r="AL139" s="102"/>
      <c r="AM139" s="302">
        <f t="shared" ref="AM139:AP140" si="429">AN139</f>
        <v>0.35</v>
      </c>
      <c r="AN139" s="302">
        <f t="shared" si="429"/>
        <v>0.35</v>
      </c>
      <c r="AO139" s="302">
        <f t="shared" si="429"/>
        <v>0.35</v>
      </c>
      <c r="AP139" s="302">
        <f t="shared" si="429"/>
        <v>0.35</v>
      </c>
      <c r="AQ139" s="102">
        <v>0.35</v>
      </c>
      <c r="AR139" s="102"/>
      <c r="AS139" s="302">
        <f>AQ139</f>
        <v>0.35</v>
      </c>
      <c r="AT139" s="302">
        <f>AS139</f>
        <v>0.35</v>
      </c>
      <c r="AU139" s="302">
        <f>AT139</f>
        <v>0.35</v>
      </c>
      <c r="AV139" s="302">
        <f>AW139</f>
        <v>0.35</v>
      </c>
      <c r="AW139" s="302">
        <f>+AQ139</f>
        <v>0.35</v>
      </c>
      <c r="AX139" s="102"/>
      <c r="AY139" s="302">
        <f>AW139</f>
        <v>0.35</v>
      </c>
      <c r="AZ139" s="302">
        <f t="shared" ref="AZ139:BC140" si="430">AY139</f>
        <v>0.35</v>
      </c>
      <c r="BA139" s="302">
        <f t="shared" si="430"/>
        <v>0.35</v>
      </c>
      <c r="BB139" s="302">
        <f t="shared" si="430"/>
        <v>0.35</v>
      </c>
      <c r="BC139" s="302">
        <f t="shared" si="430"/>
        <v>0.35</v>
      </c>
      <c r="BD139" s="102"/>
      <c r="BE139" s="302">
        <f>BC139</f>
        <v>0.35</v>
      </c>
      <c r="BF139" s="302">
        <f t="shared" ref="BF139:BI140" si="431">BE139</f>
        <v>0.35</v>
      </c>
      <c r="BG139" s="302">
        <f t="shared" si="431"/>
        <v>0.35</v>
      </c>
      <c r="BH139" s="302">
        <f t="shared" si="431"/>
        <v>0.35</v>
      </c>
      <c r="BI139" s="302">
        <f t="shared" si="431"/>
        <v>0.35</v>
      </c>
      <c r="BJ139" s="102"/>
      <c r="BK139" s="302">
        <f>BI139</f>
        <v>0.35</v>
      </c>
      <c r="BL139" s="302">
        <f t="shared" ref="BL139:BO140" si="432">BK139</f>
        <v>0.35</v>
      </c>
      <c r="BM139" s="302">
        <f t="shared" si="432"/>
        <v>0.35</v>
      </c>
      <c r="BN139" s="302">
        <f t="shared" si="432"/>
        <v>0.35</v>
      </c>
      <c r="BO139" s="302">
        <f t="shared" si="432"/>
        <v>0.35</v>
      </c>
      <c r="BP139" s="102"/>
      <c r="BQ139" s="302">
        <f>BO139</f>
        <v>0.35</v>
      </c>
      <c r="BR139" s="302">
        <f t="shared" ref="BR139:BR140" si="433">BQ139</f>
        <v>0.35</v>
      </c>
      <c r="BS139" s="102"/>
      <c r="BT139" s="102"/>
      <c r="BU139" s="102"/>
      <c r="BV139" s="102"/>
      <c r="BW139" s="102"/>
      <c r="BX139" s="102"/>
      <c r="BY139" s="102"/>
      <c r="BZ139" s="102"/>
      <c r="CA139" s="102"/>
      <c r="CB139" s="102"/>
      <c r="CC139" s="102"/>
      <c r="CD139" s="102"/>
      <c r="CE139" s="102"/>
      <c r="CF139" s="102"/>
      <c r="CG139" s="102"/>
      <c r="CH139" s="102"/>
      <c r="CI139" s="102"/>
      <c r="CJ139" s="102"/>
      <c r="CK139" s="102"/>
      <c r="CL139" s="102"/>
      <c r="CM139" s="102"/>
      <c r="CN139" s="102"/>
      <c r="CO139" s="102"/>
      <c r="CP139" s="102"/>
      <c r="CQ139" s="102"/>
      <c r="CR139" s="102"/>
      <c r="CS139" s="102"/>
      <c r="CT139" s="102"/>
      <c r="DA139" s="43"/>
      <c r="DB139" s="43"/>
      <c r="DC139" s="43"/>
      <c r="DD139" s="43"/>
    </row>
    <row r="140" spans="1:112" ht="12.75" hidden="1" customHeight="1" outlineLevel="1" x14ac:dyDescent="0.2">
      <c r="A140" s="43"/>
      <c r="B140" s="281" t="s">
        <v>73</v>
      </c>
      <c r="C140" s="302">
        <f t="shared" si="423"/>
        <v>5.04E-2</v>
      </c>
      <c r="D140" s="302">
        <f t="shared" si="423"/>
        <v>5.04E-2</v>
      </c>
      <c r="E140" s="302">
        <f t="shared" si="423"/>
        <v>5.04E-2</v>
      </c>
      <c r="F140" s="302">
        <f t="shared" si="423"/>
        <v>5.04E-2</v>
      </c>
      <c r="G140" s="102">
        <v>5.04E-2</v>
      </c>
      <c r="H140" s="109"/>
      <c r="I140" s="302">
        <f t="shared" si="424"/>
        <v>3.1E-2</v>
      </c>
      <c r="J140" s="302">
        <f t="shared" si="424"/>
        <v>3.1E-2</v>
      </c>
      <c r="K140" s="302">
        <f t="shared" si="424"/>
        <v>3.1E-2</v>
      </c>
      <c r="L140" s="302">
        <f t="shared" si="424"/>
        <v>3.1E-2</v>
      </c>
      <c r="M140" s="102">
        <v>3.1E-2</v>
      </c>
      <c r="N140" s="109"/>
      <c r="O140" s="302">
        <f t="shared" si="425"/>
        <v>0.03</v>
      </c>
      <c r="P140" s="302">
        <f t="shared" si="425"/>
        <v>0.03</v>
      </c>
      <c r="Q140" s="302">
        <f t="shared" si="425"/>
        <v>0.03</v>
      </c>
      <c r="R140" s="302">
        <f t="shared" si="425"/>
        <v>0.03</v>
      </c>
      <c r="S140" s="102">
        <v>0.03</v>
      </c>
      <c r="T140" s="102"/>
      <c r="U140" s="302">
        <f t="shared" si="426"/>
        <v>4.2999999999999997E-2</v>
      </c>
      <c r="V140" s="302">
        <f t="shared" si="426"/>
        <v>4.2999999999999997E-2</v>
      </c>
      <c r="W140" s="302">
        <f t="shared" si="426"/>
        <v>4.2999999999999997E-2</v>
      </c>
      <c r="X140" s="302">
        <f t="shared" si="426"/>
        <v>4.2999999999999997E-2</v>
      </c>
      <c r="Y140" s="102">
        <v>4.2999999999999997E-2</v>
      </c>
      <c r="Z140" s="102"/>
      <c r="AA140" s="302">
        <f t="shared" si="427"/>
        <v>2.7E-2</v>
      </c>
      <c r="AB140" s="302">
        <f t="shared" si="427"/>
        <v>2.7E-2</v>
      </c>
      <c r="AC140" s="302">
        <f t="shared" si="427"/>
        <v>2.7E-2</v>
      </c>
      <c r="AD140" s="302">
        <f t="shared" si="427"/>
        <v>2.7E-2</v>
      </c>
      <c r="AE140" s="102">
        <v>2.7E-2</v>
      </c>
      <c r="AF140" s="102"/>
      <c r="AG140" s="302">
        <f t="shared" si="428"/>
        <v>2.7E-2</v>
      </c>
      <c r="AH140" s="302">
        <f t="shared" si="428"/>
        <v>2.7E-2</v>
      </c>
      <c r="AI140" s="302">
        <f t="shared" si="428"/>
        <v>2.7E-2</v>
      </c>
      <c r="AJ140" s="302">
        <f t="shared" si="428"/>
        <v>2.7E-2</v>
      </c>
      <c r="AK140" s="102">
        <v>2.7E-2</v>
      </c>
      <c r="AL140" s="102"/>
      <c r="AM140" s="302">
        <f t="shared" si="429"/>
        <v>1.7000000000000001E-2</v>
      </c>
      <c r="AN140" s="302">
        <f t="shared" si="429"/>
        <v>1.7000000000000001E-2</v>
      </c>
      <c r="AO140" s="302">
        <f t="shared" si="429"/>
        <v>1.7000000000000001E-2</v>
      </c>
      <c r="AP140" s="302">
        <f t="shared" si="429"/>
        <v>1.7000000000000001E-2</v>
      </c>
      <c r="AQ140" s="102">
        <v>1.7000000000000001E-2</v>
      </c>
      <c r="AR140" s="102"/>
      <c r="AS140" s="302">
        <f>AQ140</f>
        <v>1.7000000000000001E-2</v>
      </c>
      <c r="AT140" s="302">
        <f>AS140</f>
        <v>1.7000000000000001E-2</v>
      </c>
      <c r="AU140" s="302">
        <f>AT140</f>
        <v>1.7000000000000001E-2</v>
      </c>
      <c r="AV140" s="302">
        <f>AW140</f>
        <v>1.7000000000000001E-2</v>
      </c>
      <c r="AW140" s="302">
        <f>+AQ140</f>
        <v>1.7000000000000001E-2</v>
      </c>
      <c r="AX140" s="102"/>
      <c r="AY140" s="302">
        <f>AW140</f>
        <v>1.7000000000000001E-2</v>
      </c>
      <c r="AZ140" s="302">
        <f t="shared" si="430"/>
        <v>1.7000000000000001E-2</v>
      </c>
      <c r="BA140" s="302">
        <f t="shared" si="430"/>
        <v>1.7000000000000001E-2</v>
      </c>
      <c r="BB140" s="302">
        <f t="shared" si="430"/>
        <v>1.7000000000000001E-2</v>
      </c>
      <c r="BC140" s="302">
        <f t="shared" si="430"/>
        <v>1.7000000000000001E-2</v>
      </c>
      <c r="BD140" s="102"/>
      <c r="BE140" s="302">
        <f>BC140</f>
        <v>1.7000000000000001E-2</v>
      </c>
      <c r="BF140" s="302">
        <f t="shared" si="431"/>
        <v>1.7000000000000001E-2</v>
      </c>
      <c r="BG140" s="302">
        <f t="shared" si="431"/>
        <v>1.7000000000000001E-2</v>
      </c>
      <c r="BH140" s="302">
        <f t="shared" si="431"/>
        <v>1.7000000000000001E-2</v>
      </c>
      <c r="BI140" s="302">
        <f t="shared" si="431"/>
        <v>1.7000000000000001E-2</v>
      </c>
      <c r="BJ140" s="102"/>
      <c r="BK140" s="302">
        <f>BI140</f>
        <v>1.7000000000000001E-2</v>
      </c>
      <c r="BL140" s="302">
        <f t="shared" si="432"/>
        <v>1.7000000000000001E-2</v>
      </c>
      <c r="BM140" s="302">
        <f t="shared" si="432"/>
        <v>1.7000000000000001E-2</v>
      </c>
      <c r="BN140" s="302">
        <f t="shared" si="432"/>
        <v>1.7000000000000001E-2</v>
      </c>
      <c r="BO140" s="302">
        <f t="shared" si="432"/>
        <v>1.7000000000000001E-2</v>
      </c>
      <c r="BP140" s="102"/>
      <c r="BQ140" s="302">
        <f>BO140</f>
        <v>1.7000000000000001E-2</v>
      </c>
      <c r="BR140" s="302">
        <f t="shared" si="433"/>
        <v>1.7000000000000001E-2</v>
      </c>
      <c r="BS140" s="102"/>
      <c r="BT140" s="102"/>
      <c r="BU140" s="102"/>
      <c r="BV140" s="102"/>
      <c r="BW140" s="102"/>
      <c r="BX140" s="102"/>
      <c r="BY140" s="102"/>
      <c r="BZ140" s="102"/>
      <c r="CA140" s="102"/>
      <c r="CB140" s="102"/>
      <c r="CC140" s="102"/>
      <c r="CD140" s="102"/>
      <c r="CE140" s="102"/>
      <c r="CF140" s="102"/>
      <c r="CG140" s="102"/>
      <c r="CH140" s="102"/>
      <c r="CI140" s="102"/>
      <c r="CJ140" s="102"/>
      <c r="CK140" s="102"/>
      <c r="CL140" s="102"/>
      <c r="CM140" s="102"/>
      <c r="CN140" s="102"/>
      <c r="CO140" s="102"/>
      <c r="CP140" s="102"/>
      <c r="CQ140" s="102"/>
      <c r="CR140" s="102"/>
      <c r="CS140" s="102"/>
      <c r="CT140" s="102"/>
      <c r="DA140" s="31"/>
      <c r="DB140" s="31"/>
      <c r="DC140" s="31"/>
      <c r="DD140" s="31"/>
      <c r="DE140" s="73"/>
      <c r="DF140" s="73"/>
      <c r="DG140" s="73"/>
      <c r="DH140" s="73"/>
    </row>
    <row r="141" spans="1:112" ht="12.75" hidden="1" customHeight="1" outlineLevel="1" x14ac:dyDescent="0.2">
      <c r="A141" s="43"/>
      <c r="B141" s="78"/>
      <c r="C141" s="102"/>
      <c r="D141" s="102"/>
      <c r="E141" s="102"/>
      <c r="F141" s="102"/>
      <c r="G141" s="102"/>
      <c r="H141" s="109"/>
      <c r="I141" s="102"/>
      <c r="J141" s="102"/>
      <c r="K141" s="102"/>
      <c r="L141" s="102"/>
      <c r="M141" s="102"/>
      <c r="N141" s="109"/>
      <c r="O141" s="102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  <c r="AA141" s="102"/>
      <c r="AB141" s="102"/>
      <c r="AC141" s="102"/>
      <c r="AD141" s="102"/>
      <c r="AE141" s="102"/>
      <c r="AF141" s="102"/>
      <c r="AG141" s="102"/>
      <c r="AH141" s="102"/>
      <c r="AI141" s="102"/>
      <c r="AJ141" s="102"/>
      <c r="AK141" s="102"/>
      <c r="AL141" s="102"/>
      <c r="AM141" s="102"/>
      <c r="AN141" s="102"/>
      <c r="AO141" s="102"/>
      <c r="AP141" s="102"/>
      <c r="AQ141" s="102"/>
      <c r="AR141" s="102"/>
      <c r="AS141" s="102"/>
      <c r="AT141" s="102"/>
      <c r="AU141" s="102"/>
      <c r="AV141" s="102"/>
      <c r="AW141" s="102"/>
      <c r="AX141" s="102"/>
      <c r="AY141" s="102"/>
      <c r="AZ141" s="102"/>
      <c r="BA141" s="102"/>
      <c r="BB141" s="102"/>
      <c r="BC141" s="102"/>
      <c r="BD141" s="102"/>
      <c r="BE141" s="102"/>
      <c r="BF141" s="102"/>
      <c r="BG141" s="102"/>
      <c r="BH141" s="102"/>
      <c r="BI141" s="102"/>
      <c r="BJ141" s="102"/>
      <c r="BK141" s="102"/>
      <c r="BL141" s="102"/>
      <c r="BM141" s="102"/>
      <c r="BN141" s="102"/>
      <c r="BO141" s="102"/>
      <c r="BP141" s="102"/>
      <c r="BQ141" s="102"/>
      <c r="BR141" s="102"/>
      <c r="BS141" s="102"/>
      <c r="BT141" s="102"/>
      <c r="BU141" s="102"/>
      <c r="BV141" s="102"/>
      <c r="BW141" s="102"/>
      <c r="BX141" s="102"/>
      <c r="BY141" s="102"/>
      <c r="BZ141" s="102"/>
      <c r="CA141" s="102"/>
      <c r="CB141" s="102"/>
      <c r="CC141" s="102"/>
      <c r="CD141" s="102"/>
      <c r="CE141" s="102"/>
      <c r="CF141" s="102"/>
      <c r="CG141" s="102"/>
      <c r="CH141" s="102"/>
      <c r="CI141" s="102"/>
      <c r="CJ141" s="102"/>
      <c r="CK141" s="102"/>
      <c r="CL141" s="102"/>
      <c r="CM141" s="102"/>
      <c r="CN141" s="102"/>
      <c r="CO141" s="102"/>
      <c r="CP141" s="102"/>
      <c r="CQ141" s="102"/>
      <c r="CR141" s="102"/>
      <c r="CS141" s="102"/>
      <c r="CT141" s="102"/>
      <c r="DA141" s="31"/>
      <c r="DB141" s="31"/>
      <c r="DC141" s="31"/>
      <c r="DD141" s="31"/>
      <c r="DE141" s="73"/>
      <c r="DF141" s="73"/>
      <c r="DG141" s="73"/>
      <c r="DH141" s="73"/>
    </row>
    <row r="142" spans="1:112" ht="12.75" hidden="1" customHeight="1" outlineLevel="1" x14ac:dyDescent="0.2">
      <c r="A142" s="43"/>
      <c r="B142" s="1" t="s">
        <v>4</v>
      </c>
      <c r="C142" s="118">
        <v>0</v>
      </c>
      <c r="D142" s="118">
        <v>0</v>
      </c>
      <c r="E142" s="118">
        <v>0</v>
      </c>
      <c r="F142" s="118">
        <v>0</v>
      </c>
      <c r="G142" s="118">
        <v>0</v>
      </c>
      <c r="H142" s="400"/>
      <c r="I142" s="118">
        <v>0</v>
      </c>
      <c r="J142" s="118">
        <v>0</v>
      </c>
      <c r="K142" s="118">
        <v>0</v>
      </c>
      <c r="L142" s="118">
        <v>0</v>
      </c>
      <c r="M142" s="118">
        <v>0</v>
      </c>
      <c r="N142" s="119"/>
      <c r="O142" s="118">
        <v>0</v>
      </c>
      <c r="P142" s="118">
        <v>0</v>
      </c>
      <c r="Q142" s="118">
        <v>0</v>
      </c>
      <c r="R142" s="118">
        <v>0</v>
      </c>
      <c r="S142" s="118">
        <v>0</v>
      </c>
      <c r="T142" s="119"/>
      <c r="U142" s="118">
        <v>0</v>
      </c>
      <c r="V142" s="118">
        <v>0</v>
      </c>
      <c r="W142" s="118">
        <v>0</v>
      </c>
      <c r="X142" s="118">
        <v>0</v>
      </c>
      <c r="Y142" s="118">
        <v>0</v>
      </c>
      <c r="Z142" s="119"/>
      <c r="AA142" s="118">
        <v>0</v>
      </c>
      <c r="AB142" s="118">
        <v>0</v>
      </c>
      <c r="AC142" s="118">
        <v>0</v>
      </c>
      <c r="AD142" s="118">
        <v>0</v>
      </c>
      <c r="AE142" s="118">
        <v>0</v>
      </c>
      <c r="AF142" s="119"/>
      <c r="AG142" s="118">
        <v>0</v>
      </c>
      <c r="AH142" s="118">
        <v>0</v>
      </c>
      <c r="AI142" s="118">
        <v>0</v>
      </c>
      <c r="AJ142" s="118">
        <v>0</v>
      </c>
      <c r="AK142" s="118">
        <v>0</v>
      </c>
      <c r="AL142" s="119"/>
      <c r="AM142" s="400">
        <v>0</v>
      </c>
      <c r="AN142" s="118">
        <v>0</v>
      </c>
      <c r="AO142" s="118">
        <v>0</v>
      </c>
      <c r="AP142" s="118">
        <v>0</v>
      </c>
      <c r="AQ142" s="118">
        <v>0</v>
      </c>
      <c r="AR142" s="119"/>
      <c r="AS142" s="400">
        <v>0</v>
      </c>
      <c r="AT142" s="118">
        <v>0</v>
      </c>
      <c r="AU142" s="118">
        <v>0</v>
      </c>
      <c r="AV142" s="118">
        <v>0</v>
      </c>
      <c r="AW142" s="118">
        <v>0</v>
      </c>
      <c r="AX142" s="119"/>
      <c r="AY142" s="118">
        <v>0</v>
      </c>
      <c r="AZ142" s="118">
        <v>0</v>
      </c>
      <c r="BA142" s="118">
        <v>0</v>
      </c>
      <c r="BB142" s="118">
        <v>0</v>
      </c>
      <c r="BC142" s="118">
        <v>0</v>
      </c>
      <c r="BD142" s="119"/>
      <c r="BE142" s="118">
        <v>0</v>
      </c>
      <c r="BF142" s="118">
        <v>0</v>
      </c>
      <c r="BG142" s="118">
        <v>0</v>
      </c>
      <c r="BH142" s="118">
        <v>0</v>
      </c>
      <c r="BI142" s="118">
        <v>0</v>
      </c>
      <c r="BJ142" s="119"/>
      <c r="BK142" s="118">
        <v>0</v>
      </c>
      <c r="BL142" s="118">
        <v>0</v>
      </c>
      <c r="BM142" s="118">
        <v>0</v>
      </c>
      <c r="BN142" s="118">
        <v>0</v>
      </c>
      <c r="BO142" s="118">
        <v>0</v>
      </c>
      <c r="BP142" s="119"/>
      <c r="BQ142" s="118">
        <v>0</v>
      </c>
      <c r="BR142" s="118">
        <v>0</v>
      </c>
      <c r="BS142" s="118">
        <v>0</v>
      </c>
      <c r="BT142" s="118">
        <v>0</v>
      </c>
      <c r="BU142" s="118">
        <v>0</v>
      </c>
      <c r="BV142" s="119"/>
      <c r="BW142" s="118">
        <v>0</v>
      </c>
      <c r="BX142" s="118">
        <v>0</v>
      </c>
      <c r="BY142" s="118">
        <v>0</v>
      </c>
      <c r="BZ142" s="118">
        <v>0</v>
      </c>
      <c r="CA142" s="118">
        <v>0</v>
      </c>
      <c r="CB142" s="119"/>
      <c r="CC142" s="118">
        <v>0</v>
      </c>
      <c r="CD142" s="118">
        <v>0</v>
      </c>
      <c r="CE142" s="118">
        <v>0</v>
      </c>
      <c r="CF142" s="118">
        <v>0</v>
      </c>
      <c r="CG142" s="118">
        <v>0</v>
      </c>
      <c r="CH142" s="119"/>
      <c r="CI142" s="118">
        <v>0</v>
      </c>
      <c r="CJ142" s="118">
        <v>0</v>
      </c>
      <c r="CK142" s="118">
        <v>0</v>
      </c>
      <c r="CL142" s="118">
        <v>0</v>
      </c>
      <c r="CM142" s="118">
        <v>0</v>
      </c>
      <c r="CN142" s="119"/>
      <c r="CO142" s="118">
        <v>0</v>
      </c>
      <c r="CP142" s="118">
        <v>0</v>
      </c>
      <c r="CQ142" s="118">
        <v>0</v>
      </c>
      <c r="CR142" s="118">
        <v>0</v>
      </c>
      <c r="CS142" s="118">
        <v>0</v>
      </c>
      <c r="CT142" s="119"/>
      <c r="DA142" s="31"/>
      <c r="DB142" s="31"/>
      <c r="DC142" s="31"/>
      <c r="DD142" s="31"/>
      <c r="DE142" s="73"/>
      <c r="DF142" s="73"/>
      <c r="DG142" s="73"/>
      <c r="DH142" s="73"/>
    </row>
    <row r="143" spans="1:112" s="73" customFormat="1" ht="12.75" hidden="1" customHeight="1" outlineLevel="1" x14ac:dyDescent="0.2">
      <c r="A143" s="43"/>
      <c r="B143" s="1" t="s">
        <v>96</v>
      </c>
      <c r="C143" s="321">
        <f>+C38/C42</f>
        <v>-0.15648614609571793</v>
      </c>
      <c r="D143" s="321">
        <f>+D38/D42</f>
        <v>-0.11048030546623798</v>
      </c>
      <c r="E143" s="321">
        <f>+E38/E42</f>
        <v>-7.1524950003614182E-2</v>
      </c>
      <c r="F143" s="321">
        <f>+F38/F42</f>
        <v>-9.023634429489838E-2</v>
      </c>
      <c r="G143" s="321">
        <f>+G38/G42</f>
        <v>-0.42579466569236413</v>
      </c>
      <c r="H143" s="109"/>
      <c r="I143" s="321">
        <f>+I38/I42</f>
        <v>-9.1799026808666917E-2</v>
      </c>
      <c r="J143" s="321">
        <f>+J38/J42</f>
        <v>-5.7456796843107873E-2</v>
      </c>
      <c r="K143" s="321">
        <f>+K38/K42</f>
        <v>-5.209458243340527E-2</v>
      </c>
      <c r="L143" s="321">
        <f>+L38/L42</f>
        <v>0.22881049202665579</v>
      </c>
      <c r="M143" s="321">
        <f>+M38/M42</f>
        <v>4.0649623158615839E-2</v>
      </c>
      <c r="N143" s="109"/>
      <c r="O143" s="321">
        <f>+O38/O42</f>
        <v>0.25389678941812094</v>
      </c>
      <c r="P143" s="321">
        <f>+P38/P42</f>
        <v>0.37613082811412657</v>
      </c>
      <c r="Q143" s="321">
        <f>+Q38/Q42</f>
        <v>0.38422997369319445</v>
      </c>
      <c r="R143" s="321">
        <f>+R38/R42</f>
        <v>0.36631667198977957</v>
      </c>
      <c r="S143" s="321">
        <f>+S38/S42</f>
        <v>1.3822649204143123</v>
      </c>
      <c r="T143" s="109"/>
      <c r="U143" s="321">
        <f>+U38/U42</f>
        <v>0.30597434969645804</v>
      </c>
      <c r="V143" s="321">
        <f>+V38/V42</f>
        <v>0.35563132379860407</v>
      </c>
      <c r="W143" s="321">
        <f>+W38/W42</f>
        <v>0.33359752794108799</v>
      </c>
      <c r="X143" s="321">
        <f>+X38/X42</f>
        <v>0.54194526710021518</v>
      </c>
      <c r="Y143" s="321">
        <f>+Y38/Y42</f>
        <v>1.5360557527836054</v>
      </c>
      <c r="Z143" s="109"/>
      <c r="AA143" s="321">
        <f>+AA38/AA42</f>
        <v>0.237908248358562</v>
      </c>
      <c r="AB143" s="321">
        <f>+AB38/AB42</f>
        <v>0.25832114216152152</v>
      </c>
      <c r="AC143" s="321">
        <f>+AC38/AC42</f>
        <v>0.31000699013614119</v>
      </c>
      <c r="AD143" s="321">
        <f>+AD38/AD42</f>
        <v>0.29571211192114649</v>
      </c>
      <c r="AE143" s="321">
        <f>+AE38/AE42</f>
        <v>1.0982072755823087</v>
      </c>
      <c r="AF143" s="109"/>
      <c r="AG143" s="321">
        <f>+AG38/AG42</f>
        <v>0.28837161207302631</v>
      </c>
      <c r="AH143" s="321">
        <f>+AH38/AH42</f>
        <v>0.32814185153830994</v>
      </c>
      <c r="AI143" s="321">
        <f>+AI38/AI42</f>
        <v>0.34252041359209795</v>
      </c>
      <c r="AJ143" s="321">
        <f>+AJ38/AJ42</f>
        <v>0.33758094598195154</v>
      </c>
      <c r="AK143" s="321">
        <f>+AK38/AK42</f>
        <v>1.2970681778754409</v>
      </c>
      <c r="AL143" s="109"/>
      <c r="AM143" s="321">
        <f>+AM38/AM42</f>
        <v>0.35912958505136222</v>
      </c>
      <c r="AN143" s="321">
        <f>+AN38/AN42</f>
        <v>0.41590693257359895</v>
      </c>
      <c r="AO143" s="321">
        <f>+AO38/AO42</f>
        <v>0.46201809932794718</v>
      </c>
      <c r="AP143" s="321">
        <f>+AP38/AP42</f>
        <v>0.53334382071419062</v>
      </c>
      <c r="AQ143" s="321">
        <f>+AQ38/AQ42</f>
        <v>1.7681303779087214</v>
      </c>
      <c r="AR143" s="109"/>
      <c r="AS143" s="321">
        <f>+AS38/AS42</f>
        <v>0.67807281351622328</v>
      </c>
      <c r="AT143" s="321">
        <f>+AT38/AT42</f>
        <v>0.66189391474129511</v>
      </c>
      <c r="AU143" s="321">
        <f>+AU38/AU42</f>
        <v>0.60494409092099388</v>
      </c>
      <c r="AV143" s="321">
        <f>+AV38/AV42</f>
        <v>0.47797317129689287</v>
      </c>
      <c r="AW143" s="321">
        <f>+AW38/AW42</f>
        <v>2.4256862193343731</v>
      </c>
      <c r="AX143" s="109"/>
      <c r="AY143" s="321">
        <f>+AY38/AY42</f>
        <v>0.25408090844570597</v>
      </c>
      <c r="AZ143" s="321">
        <f>+AZ38/AZ42</f>
        <v>0.39650667763027014</v>
      </c>
      <c r="BA143" s="321">
        <f>+BA38/BA42</f>
        <v>0.39611479626370655</v>
      </c>
      <c r="BB143" s="321">
        <f>+BB38/BB42</f>
        <v>0.40571721296934782</v>
      </c>
      <c r="BC143" s="321">
        <f>+BC38/BC42</f>
        <v>1.4478379358252456</v>
      </c>
      <c r="BD143" s="109"/>
      <c r="BE143" s="321">
        <f>+BE38/BE42</f>
        <v>0.41236316000952544</v>
      </c>
      <c r="BF143" s="321">
        <f>+BF38/BF42</f>
        <v>0.45378349631438125</v>
      </c>
      <c r="BG143" s="321">
        <f>+BG38/BG42</f>
        <v>0.40568735540918338</v>
      </c>
      <c r="BH143" s="321">
        <f>+BH38/BH42</f>
        <v>0.3646408839779009</v>
      </c>
      <c r="BI143" s="321">
        <f>+BI38/BI42</f>
        <v>1.6272292436956837</v>
      </c>
      <c r="BJ143" s="109"/>
      <c r="BK143" s="321">
        <f>+BK38/BK42</f>
        <v>0.2303050146151101</v>
      </c>
      <c r="BL143" s="321">
        <f>+BL38/BL42</f>
        <v>0.25694513689779436</v>
      </c>
      <c r="BM143" s="321">
        <f>+BM38/BM42</f>
        <v>0.26517020636041211</v>
      </c>
      <c r="BN143" s="321">
        <f>+BN38/BN42</f>
        <v>0.29840267562371126</v>
      </c>
      <c r="BO143" s="321">
        <f>+BO38/BO42</f>
        <v>1.0505690299746833</v>
      </c>
      <c r="BP143" s="109"/>
      <c r="BQ143" s="321">
        <f>+BQ38/BQ42</f>
        <v>0.25814823892169037</v>
      </c>
      <c r="BR143" s="321">
        <f>+BR38/BR42</f>
        <v>0.30981063491400235</v>
      </c>
      <c r="BS143" s="321">
        <f>+BS38/BS42</f>
        <v>0.28066110448968906</v>
      </c>
      <c r="BT143" s="321">
        <f>+BT38/BT42</f>
        <v>0.30392332337129674</v>
      </c>
      <c r="BU143" s="321">
        <f>+BU38/BU42</f>
        <v>1.1532337270571371</v>
      </c>
      <c r="BV143" s="109"/>
      <c r="BW143" s="321">
        <f>+BW38/BW42</f>
        <v>0.30222110555772269</v>
      </c>
      <c r="BX143" s="321">
        <f>+BX38/BX42</f>
        <v>0.35708281097632383</v>
      </c>
      <c r="BY143" s="321">
        <f>+BY38/BY42</f>
        <v>0.35098892921309743</v>
      </c>
      <c r="BZ143" s="321">
        <f>+BZ38/BZ42</f>
        <v>0.39348640543863361</v>
      </c>
      <c r="CA143" s="321">
        <f>+CA38/CA42</f>
        <v>1.4023456148161206</v>
      </c>
      <c r="CB143" s="109"/>
      <c r="CC143" s="321">
        <f>+CC38/CC42</f>
        <v>0.34836693631478977</v>
      </c>
      <c r="CD143" s="321">
        <f>+CD38/CD42</f>
        <v>0.41103195456706249</v>
      </c>
      <c r="CE143" s="321">
        <f>+CE38/CE42</f>
        <v>0.39983719127206596</v>
      </c>
      <c r="CF143" s="321">
        <f>+CF38/CF42</f>
        <v>0.44389608891465621</v>
      </c>
      <c r="CG143" s="321">
        <f>+CG38/CG42</f>
        <v>1.6017330329845436</v>
      </c>
      <c r="CH143" s="109"/>
      <c r="CI143" s="321">
        <f>+CI38/CI42</f>
        <v>0.37727019233057452</v>
      </c>
      <c r="CJ143" s="321">
        <f>+CJ38/CJ42</f>
        <v>0.43630329515988714</v>
      </c>
      <c r="CK143" s="321">
        <f>+CK38/CK42</f>
        <v>0.41306894088073381</v>
      </c>
      <c r="CL143" s="321">
        <f>+CL38/CL42</f>
        <v>0.44905647159864037</v>
      </c>
      <c r="CM143" s="321">
        <f>+CM38/CM42</f>
        <v>1.6756988999698381</v>
      </c>
      <c r="CN143" s="109"/>
      <c r="CO143" s="321">
        <f>+CO38/CO42</f>
        <v>0.40527511200732347</v>
      </c>
      <c r="CP143" s="321">
        <f>+CP38/CP42</f>
        <v>0.47192204870160226</v>
      </c>
      <c r="CQ143" s="321">
        <f>+CQ38/CQ42</f>
        <v>0.44441052676662046</v>
      </c>
      <c r="CR143" s="321">
        <f>+CR38/CR42</f>
        <v>0.48305775530072964</v>
      </c>
      <c r="CS143" s="321">
        <f>+CS38/CS42</f>
        <v>1.8046654427762756</v>
      </c>
      <c r="CT143" s="321"/>
      <c r="CU143"/>
      <c r="CV143"/>
      <c r="CW143"/>
      <c r="CX143"/>
      <c r="CY143"/>
      <c r="CZ143"/>
      <c r="DA143" s="31"/>
      <c r="DB143" s="31"/>
      <c r="DC143" s="31"/>
      <c r="DD143" s="31"/>
    </row>
    <row r="144" spans="1:112" s="73" customFormat="1" collapsed="1" x14ac:dyDescent="0.2">
      <c r="A144" s="43"/>
      <c r="B144"/>
      <c r="C144"/>
      <c r="D144" s="31"/>
      <c r="E144" s="31"/>
      <c r="F144" s="31"/>
      <c r="G144" s="31"/>
      <c r="H144" s="109"/>
      <c r="I144" s="31"/>
      <c r="J144" s="31"/>
      <c r="K144" s="31"/>
      <c r="L144" s="31"/>
      <c r="M144" s="31"/>
      <c r="N144" s="109"/>
      <c r="O144"/>
      <c r="P144"/>
      <c r="Q144"/>
      <c r="R144"/>
      <c r="S144"/>
      <c r="T144" s="109"/>
      <c r="U144"/>
      <c r="V144"/>
      <c r="W144"/>
      <c r="X144"/>
      <c r="Y144" s="36"/>
      <c r="Z144" s="109"/>
      <c r="AA144"/>
      <c r="AB144"/>
      <c r="AC144"/>
      <c r="AD144"/>
      <c r="AE144"/>
      <c r="AF144" s="109"/>
      <c r="AG144"/>
      <c r="AH144"/>
      <c r="AI144"/>
      <c r="AJ144"/>
      <c r="AK144"/>
      <c r="AL144" s="109"/>
      <c r="AM144"/>
      <c r="AN144"/>
      <c r="AO144"/>
      <c r="AP144"/>
      <c r="AQ144"/>
      <c r="AR144" s="109"/>
      <c r="AS144"/>
      <c r="AT144"/>
      <c r="AU144"/>
      <c r="AV144"/>
      <c r="AW144"/>
      <c r="AX144" s="109"/>
      <c r="AY144"/>
      <c r="AZ144"/>
      <c r="BA144"/>
      <c r="BB144"/>
      <c r="BC144"/>
      <c r="BD144" s="109"/>
      <c r="BE144"/>
      <c r="BF144"/>
      <c r="BG144"/>
      <c r="BH144"/>
      <c r="BI144"/>
      <c r="BJ144" s="109"/>
      <c r="BK144"/>
      <c r="BL144"/>
      <c r="BM144"/>
      <c r="BN144" s="321">
        <f>+BU46/1.07-1</f>
        <v>7.7788529959941233E-2</v>
      </c>
      <c r="BO144"/>
      <c r="BP144" s="109"/>
      <c r="BQ144"/>
      <c r="BR144"/>
      <c r="BS144"/>
      <c r="BT144"/>
      <c r="BU144"/>
      <c r="BV144" s="109"/>
      <c r="BW144"/>
      <c r="BX144"/>
      <c r="BY144"/>
      <c r="BZ144"/>
      <c r="CA144"/>
      <c r="CB144" s="109"/>
      <c r="CC144"/>
      <c r="CD144"/>
      <c r="CE144"/>
      <c r="CF144"/>
      <c r="CG144"/>
      <c r="CH144" s="109"/>
      <c r="CI144"/>
      <c r="CJ144"/>
      <c r="CK144"/>
      <c r="CL144"/>
      <c r="CM144"/>
      <c r="CN144" s="109"/>
      <c r="CO144"/>
      <c r="CP144"/>
      <c r="CQ144"/>
      <c r="CR144"/>
      <c r="CS144"/>
      <c r="CT144" s="31"/>
      <c r="CU144"/>
      <c r="CV144"/>
      <c r="CW144"/>
      <c r="CX144"/>
      <c r="CY144"/>
      <c r="CZ144"/>
      <c r="DA144" s="31"/>
      <c r="DB144" s="31"/>
      <c r="DC144" s="31"/>
      <c r="DD144" s="31"/>
    </row>
    <row r="145" spans="1:112" s="73" customFormat="1" x14ac:dyDescent="0.2">
      <c r="A145" s="43"/>
      <c r="B145"/>
      <c r="C145"/>
      <c r="D145" s="31"/>
      <c r="E145" s="31"/>
      <c r="F145" s="31"/>
      <c r="G145" s="31"/>
      <c r="H145" s="109"/>
      <c r="I145" s="31"/>
      <c r="J145" s="31"/>
      <c r="K145" s="31"/>
      <c r="L145" s="31"/>
      <c r="M145" s="31"/>
      <c r="N145" s="109"/>
      <c r="O145"/>
      <c r="P145"/>
      <c r="Q145"/>
      <c r="R145"/>
      <c r="S145"/>
      <c r="T145" s="109"/>
      <c r="U145"/>
      <c r="V145"/>
      <c r="W145"/>
      <c r="X145"/>
      <c r="Y145" s="36"/>
      <c r="Z145" s="109"/>
      <c r="AA145"/>
      <c r="AB145"/>
      <c r="AC145"/>
      <c r="AD145"/>
      <c r="AE145"/>
      <c r="AF145" s="109"/>
      <c r="AG145"/>
      <c r="AH145"/>
      <c r="AI145"/>
      <c r="AJ145"/>
      <c r="AK145"/>
      <c r="AL145" s="109"/>
      <c r="AM145"/>
      <c r="AN145"/>
      <c r="AO145"/>
      <c r="AP145"/>
      <c r="AQ145"/>
      <c r="AR145" s="109"/>
      <c r="AS145"/>
      <c r="AT145"/>
      <c r="AU145"/>
      <c r="AV145"/>
      <c r="AW145"/>
      <c r="AX145" s="109"/>
      <c r="AY145"/>
      <c r="AZ145"/>
      <c r="BA145"/>
      <c r="BB145"/>
      <c r="BC145"/>
      <c r="BD145" s="109"/>
      <c r="BE145"/>
      <c r="BF145"/>
      <c r="BG145"/>
      <c r="BH145"/>
      <c r="BI145"/>
      <c r="BJ145" s="109"/>
      <c r="BK145"/>
      <c r="BL145"/>
      <c r="BM145"/>
      <c r="BN145"/>
      <c r="BO145"/>
      <c r="BP145" s="109"/>
      <c r="BQ145"/>
      <c r="BR145"/>
      <c r="BS145"/>
      <c r="BT145"/>
      <c r="BU145"/>
      <c r="BV145" s="109"/>
      <c r="BW145"/>
      <c r="BX145"/>
      <c r="BY145"/>
      <c r="BZ145"/>
      <c r="CA145"/>
      <c r="CB145" s="109"/>
      <c r="CC145"/>
      <c r="CD145"/>
      <c r="CE145"/>
      <c r="CF145"/>
      <c r="CG145"/>
      <c r="CH145" s="109"/>
      <c r="CI145"/>
      <c r="CJ145"/>
      <c r="CK145"/>
      <c r="CL145"/>
      <c r="CM145"/>
      <c r="CN145" s="109"/>
      <c r="CO145"/>
      <c r="CP145"/>
      <c r="CQ145"/>
      <c r="CR145"/>
      <c r="CS145"/>
      <c r="CT145" s="31"/>
      <c r="CU145"/>
      <c r="CV145"/>
      <c r="CW145"/>
      <c r="CX145"/>
      <c r="CY145"/>
      <c r="CZ145"/>
      <c r="DA145" s="31"/>
      <c r="DB145" s="31"/>
      <c r="DC145" s="31"/>
      <c r="DD145" s="31"/>
    </row>
    <row r="147" spans="1:112" s="73" customFormat="1" x14ac:dyDescent="0.2">
      <c r="A147" s="43"/>
      <c r="B147"/>
      <c r="C147"/>
      <c r="D147" s="31"/>
      <c r="E147" s="31"/>
      <c r="F147" s="31"/>
      <c r="G147" s="31"/>
      <c r="H147" s="109"/>
      <c r="I147" s="31"/>
      <c r="J147" s="31"/>
      <c r="K147" s="31"/>
      <c r="L147" s="31"/>
      <c r="M147" s="31"/>
      <c r="N147" s="109"/>
      <c r="O147"/>
      <c r="P147"/>
      <c r="Q147"/>
      <c r="R147"/>
      <c r="S147"/>
      <c r="T147" s="109"/>
      <c r="U147"/>
      <c r="V147"/>
      <c r="W147"/>
      <c r="X147"/>
      <c r="Y147" s="36"/>
      <c r="Z147" s="109"/>
      <c r="AA147"/>
      <c r="AB147"/>
      <c r="AC147"/>
      <c r="AD147"/>
      <c r="AE147"/>
      <c r="AF147" s="31"/>
      <c r="AG147"/>
      <c r="AH147"/>
      <c r="AI147"/>
      <c r="AJ147"/>
      <c r="AK147"/>
      <c r="AL147" s="31"/>
      <c r="AM147"/>
      <c r="AN147"/>
      <c r="AO147"/>
      <c r="AP147"/>
      <c r="AQ147"/>
      <c r="AR147" s="31"/>
      <c r="AS147"/>
      <c r="AT147"/>
      <c r="AU147"/>
      <c r="AV147"/>
      <c r="AW147"/>
      <c r="AX147" s="31"/>
      <c r="AY147"/>
      <c r="AZ147"/>
      <c r="BA147"/>
      <c r="BB147"/>
      <c r="BC147"/>
      <c r="BD147" s="31"/>
      <c r="BE147"/>
      <c r="BF147"/>
      <c r="BG147"/>
      <c r="BH147"/>
      <c r="BI147"/>
      <c r="BJ147" s="31"/>
      <c r="BK147"/>
      <c r="BL147"/>
      <c r="BM147"/>
      <c r="BN147"/>
      <c r="BO147"/>
      <c r="BP147" s="31"/>
      <c r="BQ147"/>
      <c r="BR147"/>
      <c r="BS147"/>
      <c r="BT147"/>
      <c r="BU147"/>
      <c r="BV147" s="31"/>
      <c r="BW147"/>
      <c r="BX147"/>
      <c r="BY147"/>
      <c r="BZ147"/>
      <c r="CA147"/>
      <c r="CB147" s="31"/>
      <c r="CC147"/>
      <c r="CD147"/>
      <c r="CE147"/>
      <c r="CF147"/>
      <c r="CG147"/>
      <c r="CH147" s="31"/>
      <c r="CI147"/>
      <c r="CJ147"/>
      <c r="CK147"/>
      <c r="CL147"/>
      <c r="CM147"/>
      <c r="CN147" s="31"/>
      <c r="CO147"/>
      <c r="CP147"/>
      <c r="CQ147"/>
      <c r="CR147"/>
      <c r="CS147"/>
      <c r="CT147" s="31"/>
      <c r="CU147"/>
      <c r="CV147"/>
      <c r="CW147"/>
      <c r="CX147"/>
      <c r="CY147"/>
      <c r="CZ147"/>
      <c r="DA147" s="31"/>
      <c r="DB147" s="31"/>
      <c r="DC147" s="31"/>
      <c r="DD147" s="31"/>
    </row>
    <row r="148" spans="1:112" s="73" customForma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 s="31"/>
      <c r="CU148"/>
      <c r="CV148"/>
      <c r="CW148"/>
      <c r="CX148"/>
      <c r="CY148"/>
      <c r="CZ148"/>
      <c r="DA148" s="31"/>
      <c r="DB148" s="31"/>
      <c r="DC148" s="31"/>
      <c r="DD148" s="31"/>
    </row>
    <row r="149" spans="1:112" s="73" customForma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 s="31"/>
      <c r="CU149"/>
      <c r="CV149"/>
      <c r="CW149"/>
      <c r="CX149"/>
      <c r="CY149"/>
      <c r="CZ149"/>
      <c r="DA149" s="31"/>
      <c r="DB149" s="31"/>
      <c r="DC149" s="31"/>
      <c r="DD149" s="31"/>
    </row>
    <row r="150" spans="1:112" s="73" customForma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 s="43"/>
      <c r="CU150"/>
      <c r="CV150"/>
      <c r="CW150"/>
      <c r="CX150"/>
      <c r="CY150"/>
      <c r="CZ150"/>
      <c r="DA150" s="31"/>
      <c r="DB150" s="31"/>
      <c r="DC150" s="31"/>
      <c r="DD150" s="31"/>
    </row>
    <row r="151" spans="1:112" x14ac:dyDescent="0.2">
      <c r="CT151" s="43"/>
      <c r="DA151" s="31"/>
      <c r="DB151" s="31"/>
      <c r="DC151" s="31"/>
      <c r="DD151" s="31"/>
      <c r="DE151" s="73"/>
      <c r="DF151" s="73"/>
      <c r="DG151" s="73"/>
      <c r="DH151" s="73"/>
    </row>
    <row r="152" spans="1:112" x14ac:dyDescent="0.2">
      <c r="CT152" s="43"/>
      <c r="DA152" s="31"/>
      <c r="DB152" s="31"/>
      <c r="DC152" s="31"/>
      <c r="DD152" s="31"/>
      <c r="DE152" s="73"/>
      <c r="DF152" s="73"/>
      <c r="DG152" s="73"/>
      <c r="DH152" s="73"/>
    </row>
    <row r="153" spans="1:112" x14ac:dyDescent="0.2">
      <c r="CT153" s="43"/>
      <c r="DA153" s="31"/>
      <c r="DB153" s="31"/>
      <c r="DC153" s="31"/>
      <c r="DD153" s="31"/>
      <c r="DE153" s="73"/>
      <c r="DF153" s="73"/>
      <c r="DG153" s="73"/>
      <c r="DH153" s="73"/>
    </row>
    <row r="154" spans="1:112" x14ac:dyDescent="0.2">
      <c r="CT154" s="43"/>
      <c r="DA154" s="31"/>
      <c r="DB154" s="31"/>
      <c r="DC154" s="31"/>
      <c r="DD154" s="31"/>
      <c r="DE154" s="73"/>
      <c r="DF154" s="73"/>
      <c r="DG154" s="73"/>
      <c r="DH154" s="73"/>
    </row>
    <row r="155" spans="1:112" x14ac:dyDescent="0.2">
      <c r="CT155" s="43"/>
      <c r="DA155" s="31"/>
      <c r="DB155" s="31"/>
      <c r="DC155" s="31"/>
      <c r="DD155" s="31"/>
      <c r="DE155" s="73"/>
      <c r="DF155" s="73"/>
      <c r="DG155" s="73"/>
      <c r="DH155" s="73"/>
    </row>
    <row r="156" spans="1:112" x14ac:dyDescent="0.2">
      <c r="CT156" s="43"/>
      <c r="DA156" s="31"/>
      <c r="DB156" s="31"/>
      <c r="DC156" s="31"/>
      <c r="DD156" s="31"/>
      <c r="DE156" s="73"/>
      <c r="DF156" s="73"/>
      <c r="DG156" s="73"/>
      <c r="DH156" s="73"/>
    </row>
    <row r="157" spans="1:112" x14ac:dyDescent="0.2">
      <c r="CT157" s="43"/>
      <c r="DA157" s="31"/>
      <c r="DB157" s="31"/>
      <c r="DC157" s="31"/>
      <c r="DD157" s="31"/>
      <c r="DE157" s="73"/>
      <c r="DF157" s="73"/>
      <c r="DG157" s="73"/>
      <c r="DH157" s="73"/>
    </row>
    <row r="158" spans="1:112" x14ac:dyDescent="0.2">
      <c r="CT158" s="43"/>
      <c r="DA158" s="31"/>
      <c r="DB158" s="31"/>
      <c r="DC158" s="31"/>
      <c r="DD158" s="31"/>
      <c r="DE158" s="73"/>
      <c r="DF158" s="73"/>
      <c r="DG158" s="73"/>
      <c r="DH158" s="73"/>
    </row>
    <row r="159" spans="1:112" x14ac:dyDescent="0.2">
      <c r="CT159" s="43"/>
      <c r="DA159" s="31"/>
      <c r="DB159" s="31"/>
      <c r="DC159" s="31"/>
      <c r="DD159" s="31"/>
      <c r="DE159" s="73"/>
      <c r="DF159" s="73"/>
      <c r="DG159" s="73"/>
      <c r="DH159" s="73"/>
    </row>
    <row r="160" spans="1:112" x14ac:dyDescent="0.2">
      <c r="CT160" s="43"/>
      <c r="DA160" s="31"/>
      <c r="DB160" s="31"/>
      <c r="DC160" s="31"/>
      <c r="DD160" s="31"/>
      <c r="DE160" s="73"/>
      <c r="DF160" s="73"/>
      <c r="DG160" s="73"/>
      <c r="DH160" s="73"/>
    </row>
    <row r="161" spans="1:112" x14ac:dyDescent="0.2">
      <c r="CT161" s="43"/>
      <c r="DA161" s="31"/>
      <c r="DB161" s="31"/>
      <c r="DC161" s="31"/>
      <c r="DD161" s="31"/>
      <c r="DE161" s="73"/>
      <c r="DF161" s="73"/>
      <c r="DG161" s="73"/>
      <c r="DH161" s="73"/>
    </row>
    <row r="162" spans="1:112" x14ac:dyDescent="0.2">
      <c r="A162" s="43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T162" s="31"/>
      <c r="Y162" s="36"/>
      <c r="Z162" s="31"/>
      <c r="AF162" s="31"/>
      <c r="AL162" s="31"/>
      <c r="AR162" s="31"/>
      <c r="AX162" s="31"/>
      <c r="BD162" s="31"/>
      <c r="BJ162" s="31"/>
      <c r="BP162" s="31"/>
      <c r="BV162" s="31"/>
      <c r="CB162" s="31"/>
      <c r="CH162" s="31"/>
      <c r="CN162" s="31"/>
      <c r="CT162" s="43"/>
      <c r="DA162" s="43"/>
      <c r="DB162" s="43"/>
      <c r="DC162" s="43"/>
      <c r="DD162" s="43"/>
    </row>
    <row r="163" spans="1:112" x14ac:dyDescent="0.2">
      <c r="A163" s="43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T163" s="31"/>
      <c r="Y163" s="36"/>
      <c r="Z163" s="31"/>
      <c r="AF163" s="31"/>
      <c r="AL163" s="31">
        <v>3680</v>
      </c>
      <c r="AR163" s="31"/>
      <c r="AX163" s="31"/>
      <c r="BD163" s="31"/>
      <c r="BJ163" s="31"/>
      <c r="BP163" s="31"/>
      <c r="BV163" s="31"/>
      <c r="CB163" s="31"/>
      <c r="CH163" s="31"/>
      <c r="CN163" s="31"/>
      <c r="CT163" s="43"/>
      <c r="DA163" s="43"/>
      <c r="DB163" s="43"/>
      <c r="DC163" s="43"/>
      <c r="DD163" s="43"/>
    </row>
  </sheetData>
  <mergeCells count="18">
    <mergeCell ref="C4:G4"/>
    <mergeCell ref="BE5:BI5"/>
    <mergeCell ref="BK5:BO5"/>
    <mergeCell ref="AY5:BC5"/>
    <mergeCell ref="AA5:AE5"/>
    <mergeCell ref="AG5:AK5"/>
    <mergeCell ref="AM5:AQ5"/>
    <mergeCell ref="C5:G5"/>
    <mergeCell ref="I5:M5"/>
    <mergeCell ref="O5:S5"/>
    <mergeCell ref="U5:Y5"/>
    <mergeCell ref="AS5:AW5"/>
    <mergeCell ref="CI5:CM5"/>
    <mergeCell ref="CO5:CS5"/>
    <mergeCell ref="I4:M4"/>
    <mergeCell ref="CC5:CG5"/>
    <mergeCell ref="BW5:CA5"/>
    <mergeCell ref="BQ5:BU5"/>
  </mergeCells>
  <phoneticPr fontId="13" type="noConversion"/>
  <printOptions horizontalCentered="1" verticalCentered="1"/>
  <pageMargins left="0" right="0" top="0" bottom="0" header="0" footer="0"/>
  <pageSetup paperSize="5" scale="89" orientation="landscape" r:id="rId1"/>
  <headerFooter alignWithMargins="0"/>
  <ignoredErrors>
    <ignoredError sqref="AQ14 AK14 AE14 AW14 BC14 BO14 BU14 BB15:BB16 BO2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Drop Down 5">
              <controlPr defaultSize="0" autoLine="0" autoPict="0">
                <anchor moveWithCells="1">
                  <from>
                    <xdr:col>1</xdr:col>
                    <xdr:colOff>304800</xdr:colOff>
                    <xdr:row>4</xdr:row>
                    <xdr:rowOff>66675</xdr:rowOff>
                  </from>
                  <to>
                    <xdr:col>1</xdr:col>
                    <xdr:colOff>1181100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42"/>
    <pageSetUpPr fitToPage="1"/>
  </sheetPr>
  <dimension ref="A1:JN152"/>
  <sheetViews>
    <sheetView showGridLines="0" zoomScaleNormal="100" zoomScaleSheetLayoutView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sqref="A1:XFD1048576"/>
    </sheetView>
  </sheetViews>
  <sheetFormatPr defaultRowHeight="12.75" outlineLevelRow="1" outlineLevelCol="1" x14ac:dyDescent="0.2"/>
  <cols>
    <col min="1" max="1" width="1.140625" style="43" customWidth="1"/>
    <col min="2" max="2" width="23.5703125" customWidth="1"/>
    <col min="3" max="6" width="6.85546875" hidden="1" customWidth="1" outlineLevel="1"/>
    <col min="7" max="7" width="6.85546875" hidden="1" customWidth="1" outlineLevel="1" collapsed="1"/>
    <col min="8" max="8" width="1.42578125" style="43" hidden="1" customWidth="1" outlineLevel="1"/>
    <col min="9" max="12" width="6.85546875" hidden="1" customWidth="1" outlineLevel="1"/>
    <col min="13" max="13" width="6.85546875" hidden="1" customWidth="1" outlineLevel="1" collapsed="1"/>
    <col min="14" max="14" width="1.42578125" style="43" hidden="1" customWidth="1" outlineLevel="1"/>
    <col min="15" max="18" width="6.85546875" hidden="1" customWidth="1" outlineLevel="1"/>
    <col min="19" max="19" width="6.85546875" hidden="1" customWidth="1" outlineLevel="1" collapsed="1"/>
    <col min="20" max="20" width="1.42578125" style="43" hidden="1" customWidth="1" outlineLevel="1"/>
    <col min="21" max="24" width="6.85546875" hidden="1" customWidth="1" outlineLevel="1"/>
    <col min="25" max="25" width="6.85546875" hidden="1" customWidth="1" outlineLevel="1" collapsed="1"/>
    <col min="26" max="26" width="1.42578125" style="43" hidden="1" customWidth="1" outlineLevel="1"/>
    <col min="27" max="30" width="6.85546875" hidden="1" customWidth="1" outlineLevel="1"/>
    <col min="31" max="31" width="6.85546875" hidden="1" customWidth="1" outlineLevel="1" collapsed="1"/>
    <col min="32" max="32" width="1.42578125" style="43" hidden="1" customWidth="1" outlineLevel="1"/>
    <col min="33" max="36" width="6.85546875" hidden="1" customWidth="1" outlineLevel="1"/>
    <col min="37" max="37" width="6.85546875" customWidth="1" collapsed="1"/>
    <col min="38" max="38" width="1.42578125" style="43" customWidth="1"/>
    <col min="39" max="40" width="6.85546875" hidden="1" customWidth="1" outlineLevel="1"/>
    <col min="41" max="41" width="8.7109375" hidden="1" customWidth="1" outlineLevel="1"/>
    <col min="42" max="42" width="6.85546875" hidden="1" customWidth="1" outlineLevel="1"/>
    <col min="43" max="43" width="8.7109375" customWidth="1" collapsed="1"/>
    <col min="44" max="44" width="1.42578125" style="43" customWidth="1"/>
    <col min="45" max="48" width="6.85546875" hidden="1" customWidth="1" outlineLevel="1"/>
    <col min="49" max="49" width="6.85546875" customWidth="1" collapsed="1"/>
    <col min="50" max="50" width="1.42578125" style="43" customWidth="1"/>
    <col min="51" max="54" width="6.85546875" hidden="1" customWidth="1" outlineLevel="1"/>
    <col min="55" max="55" width="6.85546875" customWidth="1" collapsed="1"/>
    <col min="56" max="56" width="1.42578125" style="43" customWidth="1"/>
    <col min="57" max="57" width="7.7109375" hidden="1" customWidth="1" outlineLevel="1"/>
    <col min="58" max="60" width="6.85546875" hidden="1" customWidth="1" outlineLevel="1"/>
    <col min="61" max="61" width="6.85546875" customWidth="1" collapsed="1"/>
    <col min="62" max="62" width="1.85546875" style="43" customWidth="1"/>
    <col min="63" max="66" width="6.85546875" hidden="1" customWidth="1" outlineLevel="1"/>
    <col min="67" max="67" width="6.85546875" customWidth="1" collapsed="1"/>
    <col min="68" max="68" width="1.85546875" style="43" customWidth="1"/>
    <col min="69" max="72" width="6.85546875" customWidth="1" outlineLevel="1"/>
    <col min="73" max="73" width="6.85546875" customWidth="1"/>
    <col min="74" max="74" width="1.85546875" style="43" customWidth="1"/>
    <col min="75" max="78" width="6.85546875" customWidth="1" outlineLevel="1"/>
    <col min="79" max="79" width="6.85546875" customWidth="1"/>
    <col min="80" max="80" width="1.85546875" style="43" customWidth="1"/>
    <col min="81" max="84" width="6.85546875" hidden="1" customWidth="1" outlineLevel="1"/>
    <col min="85" max="85" width="6.85546875" customWidth="1" collapsed="1"/>
    <col min="86" max="86" width="1.85546875" style="43" customWidth="1"/>
    <col min="87" max="90" width="6.85546875" hidden="1" customWidth="1" outlineLevel="1"/>
    <col min="91" max="91" width="6.85546875" customWidth="1" collapsed="1"/>
    <col min="92" max="92" width="1.85546875" style="43" customWidth="1"/>
    <col min="93" max="96" width="6.85546875" hidden="1" customWidth="1" outlineLevel="1"/>
    <col min="97" max="97" width="6.85546875" customWidth="1" collapsed="1"/>
    <col min="98" max="99" width="7.7109375" customWidth="1"/>
    <col min="100" max="100" width="25.7109375" customWidth="1"/>
  </cols>
  <sheetData>
    <row r="1" spans="1:112" x14ac:dyDescent="0.2">
      <c r="A1" s="237"/>
      <c r="B1" s="44" t="s">
        <v>275</v>
      </c>
      <c r="C1" s="43"/>
      <c r="D1" s="43"/>
      <c r="E1" s="43"/>
      <c r="F1" s="43"/>
      <c r="G1" s="43"/>
      <c r="H1" s="51"/>
      <c r="I1" s="43"/>
      <c r="J1" s="43"/>
      <c r="K1" s="43"/>
      <c r="L1" s="43"/>
      <c r="M1" s="43"/>
      <c r="N1" s="51"/>
      <c r="O1" s="43"/>
      <c r="P1" s="43"/>
      <c r="Q1" s="43"/>
      <c r="R1" s="43"/>
      <c r="S1" s="43"/>
      <c r="T1" s="51"/>
      <c r="U1" s="43"/>
      <c r="V1" s="43"/>
      <c r="W1" s="43"/>
      <c r="X1" s="43"/>
      <c r="Y1" s="43"/>
      <c r="Z1" s="51"/>
      <c r="AA1" s="43"/>
      <c r="AB1" s="43"/>
      <c r="AC1" s="43"/>
      <c r="AD1" s="43"/>
      <c r="AE1" s="43"/>
      <c r="AF1" s="51"/>
      <c r="AG1" s="43"/>
      <c r="AH1" s="43"/>
      <c r="AI1" s="43"/>
      <c r="AJ1" s="43"/>
      <c r="AK1" s="43"/>
      <c r="AM1" s="238"/>
      <c r="AN1" s="43"/>
      <c r="AO1" s="399"/>
      <c r="AP1" s="237"/>
      <c r="AQ1" s="43"/>
      <c r="AR1" s="498"/>
      <c r="AS1" s="43"/>
      <c r="AT1" s="43"/>
      <c r="AU1" s="373"/>
      <c r="AX1"/>
      <c r="BD1"/>
      <c r="BJ1"/>
      <c r="BP1"/>
      <c r="BU1" s="348"/>
      <c r="BV1"/>
      <c r="CA1" s="348"/>
      <c r="CB1"/>
      <c r="CG1" s="348"/>
      <c r="CH1"/>
      <c r="CM1" s="348"/>
      <c r="CN1"/>
      <c r="CS1" s="348"/>
      <c r="CU1" s="43"/>
      <c r="CV1" s="43"/>
      <c r="CW1" s="43"/>
      <c r="CX1" s="405"/>
      <c r="CY1" s="405"/>
      <c r="CZ1" s="405"/>
      <c r="DA1" s="405"/>
      <c r="DB1" s="405"/>
      <c r="DD1" s="405"/>
      <c r="DE1" s="405"/>
      <c r="DF1" s="405"/>
      <c r="DG1" s="405"/>
      <c r="DH1" s="405"/>
    </row>
    <row r="2" spans="1:112" x14ac:dyDescent="0.2">
      <c r="A2" s="237"/>
      <c r="B2" s="125" t="s">
        <v>98</v>
      </c>
      <c r="C2" s="43"/>
      <c r="D2" s="43"/>
      <c r="E2" s="43"/>
      <c r="F2" s="43"/>
      <c r="G2" s="43"/>
      <c r="H2" s="51"/>
      <c r="I2" s="43"/>
      <c r="J2" s="43"/>
      <c r="K2" s="43"/>
      <c r="L2" s="43"/>
      <c r="M2" s="43"/>
      <c r="N2" s="51"/>
      <c r="O2" s="43"/>
      <c r="P2" s="43"/>
      <c r="Q2" s="43"/>
      <c r="R2" s="43"/>
      <c r="S2" s="43"/>
      <c r="T2" s="51"/>
      <c r="U2" s="43"/>
      <c r="V2" s="43"/>
      <c r="W2" s="43"/>
      <c r="X2" s="43"/>
      <c r="Y2" s="43"/>
      <c r="Z2" s="51"/>
      <c r="AA2" s="43"/>
      <c r="AB2" s="43"/>
      <c r="AC2" s="43"/>
      <c r="AD2" s="43"/>
      <c r="AE2" s="43"/>
      <c r="AF2" s="51"/>
      <c r="AG2" s="235"/>
      <c r="AH2" s="235"/>
      <c r="AI2" s="235"/>
      <c r="AJ2" s="301"/>
      <c r="AK2" s="301"/>
      <c r="AL2" s="51"/>
      <c r="AM2" s="301"/>
      <c r="AN2" s="301"/>
      <c r="AO2" s="674"/>
      <c r="AP2" s="235"/>
      <c r="AQ2" s="235"/>
      <c r="AR2" s="498"/>
      <c r="AS2" s="301"/>
      <c r="AT2" s="235"/>
      <c r="AU2" s="301"/>
      <c r="AX2"/>
      <c r="BD2"/>
      <c r="BJ2"/>
      <c r="BP2"/>
      <c r="BU2" s="348"/>
      <c r="BV2"/>
      <c r="CA2" s="348"/>
      <c r="CB2"/>
      <c r="CG2" s="348"/>
      <c r="CH2"/>
      <c r="CM2" s="348"/>
      <c r="CN2"/>
      <c r="CS2" s="348"/>
      <c r="CU2" s="43"/>
      <c r="CV2" s="43"/>
      <c r="CW2" s="43"/>
      <c r="DA2" s="363"/>
      <c r="DB2" s="363"/>
      <c r="DD2" s="579"/>
      <c r="DE2" s="579"/>
      <c r="DF2" s="579"/>
      <c r="DG2" s="579"/>
      <c r="DH2" s="579"/>
    </row>
    <row r="3" spans="1:112" x14ac:dyDescent="0.2">
      <c r="A3" s="300"/>
      <c r="B3" s="649" t="s">
        <v>312</v>
      </c>
      <c r="C3" s="31"/>
      <c r="D3" s="31"/>
      <c r="E3" s="31"/>
      <c r="F3" s="31"/>
      <c r="G3" s="423"/>
      <c r="H3" s="75"/>
      <c r="I3" s="31"/>
      <c r="J3" s="31"/>
      <c r="K3" s="31"/>
      <c r="L3" s="31"/>
      <c r="M3" s="423"/>
      <c r="N3" s="75"/>
      <c r="O3" s="31"/>
      <c r="P3" s="31"/>
      <c r="Q3" s="31"/>
      <c r="R3" s="31"/>
      <c r="S3" s="423"/>
      <c r="T3" s="75"/>
      <c r="U3" s="423"/>
      <c r="V3" s="423"/>
      <c r="W3" s="423"/>
      <c r="X3" s="423"/>
      <c r="Y3" s="423"/>
      <c r="Z3" s="75"/>
      <c r="AA3" s="423"/>
      <c r="AB3" s="423"/>
      <c r="AC3" s="423"/>
      <c r="AD3" s="423"/>
      <c r="AE3" s="423"/>
      <c r="AF3" s="75"/>
      <c r="AG3" s="424"/>
      <c r="AH3" s="424"/>
      <c r="AI3" s="424"/>
      <c r="AJ3" s="424"/>
      <c r="AK3" s="425"/>
      <c r="AL3" s="75"/>
      <c r="AM3" s="426"/>
      <c r="AN3" s="424"/>
      <c r="AO3" s="424"/>
      <c r="AP3" s="424"/>
      <c r="AQ3" s="423"/>
      <c r="AR3" s="498"/>
      <c r="AS3" s="424"/>
      <c r="AT3" s="424"/>
      <c r="AU3" s="43"/>
      <c r="AX3"/>
      <c r="BD3"/>
      <c r="BJ3"/>
      <c r="BO3" s="348"/>
      <c r="BP3"/>
      <c r="BV3"/>
      <c r="CB3"/>
      <c r="CG3" s="405"/>
      <c r="CH3"/>
      <c r="CN3"/>
      <c r="CU3" s="43"/>
      <c r="CV3" s="43"/>
      <c r="CW3" s="43"/>
      <c r="CX3" s="405"/>
      <c r="CY3" s="405"/>
      <c r="DB3" s="348"/>
      <c r="DD3" s="405"/>
      <c r="DE3" s="405"/>
      <c r="DF3" s="405"/>
      <c r="DG3" s="405"/>
      <c r="DH3" s="519"/>
    </row>
    <row r="4" spans="1:112" x14ac:dyDescent="0.2">
      <c r="A4" s="50"/>
      <c r="B4" s="634" t="s">
        <v>236</v>
      </c>
      <c r="C4" s="910" t="s">
        <v>103</v>
      </c>
      <c r="D4" s="910"/>
      <c r="E4" s="910"/>
      <c r="F4" s="910"/>
      <c r="G4" s="910"/>
      <c r="H4" s="75"/>
      <c r="I4" s="910" t="s">
        <v>104</v>
      </c>
      <c r="J4" s="910"/>
      <c r="K4" s="910"/>
      <c r="L4" s="910"/>
      <c r="M4" s="910"/>
      <c r="N4" s="75"/>
      <c r="O4" s="910" t="s">
        <v>105</v>
      </c>
      <c r="P4" s="910"/>
      <c r="Q4" s="910"/>
      <c r="R4" s="910"/>
      <c r="S4" s="910"/>
      <c r="T4" s="75"/>
      <c r="U4" s="910" t="s">
        <v>185</v>
      </c>
      <c r="V4" s="910"/>
      <c r="W4" s="910"/>
      <c r="X4" s="910"/>
      <c r="Y4" s="910"/>
      <c r="Z4" s="75"/>
      <c r="AA4" s="910" t="str">
        <f>+'P&amp;L'!AA5</f>
        <v>2011A</v>
      </c>
      <c r="AB4" s="910"/>
      <c r="AC4" s="910"/>
      <c r="AD4" s="910"/>
      <c r="AE4" s="910"/>
      <c r="AF4" s="75"/>
      <c r="AG4" s="910" t="str">
        <f>+'P&amp;L'!AG5</f>
        <v>2012A</v>
      </c>
      <c r="AH4" s="910"/>
      <c r="AI4" s="910"/>
      <c r="AJ4" s="910"/>
      <c r="AK4" s="910"/>
      <c r="AL4" s="75"/>
      <c r="AM4" s="910" t="str">
        <f>+'P&amp;L'!AM5</f>
        <v>2013A</v>
      </c>
      <c r="AN4" s="910"/>
      <c r="AO4" s="910"/>
      <c r="AP4" s="910"/>
      <c r="AQ4" s="910"/>
      <c r="AR4" s="75"/>
      <c r="AS4" s="910" t="str">
        <f>+'P&amp;L'!AS5</f>
        <v>2014A</v>
      </c>
      <c r="AT4" s="910"/>
      <c r="AU4" s="910"/>
      <c r="AV4" s="910"/>
      <c r="AW4" s="910"/>
      <c r="AX4" s="75"/>
      <c r="AY4" s="910" t="str">
        <f>+'P&amp;L'!AY5</f>
        <v>2015A</v>
      </c>
      <c r="AZ4" s="910"/>
      <c r="BA4" s="910"/>
      <c r="BB4" s="910"/>
      <c r="BC4" s="910"/>
      <c r="BD4" s="75"/>
      <c r="BE4" s="910" t="str">
        <f>+'P&amp;L'!BE5</f>
        <v>2016A</v>
      </c>
      <c r="BF4" s="910"/>
      <c r="BG4" s="910"/>
      <c r="BH4" s="910"/>
      <c r="BI4" s="910"/>
      <c r="BJ4" s="75"/>
      <c r="BK4" s="910" t="str">
        <f>+'P&amp;L'!BK5</f>
        <v>2017A</v>
      </c>
      <c r="BL4" s="910"/>
      <c r="BM4" s="910"/>
      <c r="BN4" s="910"/>
      <c r="BO4" s="910"/>
      <c r="BP4" s="75"/>
      <c r="BQ4" s="910" t="str">
        <f>+'P&amp;L'!BQ5</f>
        <v>2018E</v>
      </c>
      <c r="BR4" s="910"/>
      <c r="BS4" s="910"/>
      <c r="BT4" s="910"/>
      <c r="BU4" s="910"/>
      <c r="BV4" s="75"/>
      <c r="BW4" s="910" t="str">
        <f>+'P&amp;L'!BW5</f>
        <v>2019E</v>
      </c>
      <c r="BX4" s="910"/>
      <c r="BY4" s="910"/>
      <c r="BZ4" s="910"/>
      <c r="CA4" s="910"/>
      <c r="CB4" s="75"/>
      <c r="CC4" s="910" t="str">
        <f>+'P&amp;L'!CC5</f>
        <v>2020E</v>
      </c>
      <c r="CD4" s="910"/>
      <c r="CE4" s="910"/>
      <c r="CF4" s="910"/>
      <c r="CG4" s="910"/>
      <c r="CH4" s="75"/>
      <c r="CI4" s="910" t="str">
        <f>+'P&amp;L'!CI5</f>
        <v>2021E</v>
      </c>
      <c r="CJ4" s="910"/>
      <c r="CK4" s="910"/>
      <c r="CL4" s="910"/>
      <c r="CM4" s="910"/>
      <c r="CN4" s="75"/>
      <c r="CO4" s="910" t="str">
        <f>+'P&amp;L'!CO5</f>
        <v>2022E</v>
      </c>
      <c r="CP4" s="910"/>
      <c r="CQ4" s="910"/>
      <c r="CR4" s="910"/>
      <c r="CS4" s="910"/>
      <c r="CT4" s="419"/>
      <c r="CU4" s="43"/>
      <c r="CV4" s="43"/>
      <c r="CW4" s="43"/>
      <c r="CX4" s="405"/>
      <c r="CY4" s="405"/>
      <c r="CZ4" s="43"/>
      <c r="DA4" s="43"/>
      <c r="DB4" s="43"/>
    </row>
    <row r="5" spans="1:112" x14ac:dyDescent="0.2">
      <c r="A5" s="50"/>
      <c r="B5" s="250"/>
      <c r="C5" s="420">
        <f>+'Cash Flow'!C6</f>
        <v>38990</v>
      </c>
      <c r="D5" s="420">
        <f>+'Cash Flow'!D6</f>
        <v>39082</v>
      </c>
      <c r="E5" s="420">
        <f>+'Cash Flow'!E6</f>
        <v>39172</v>
      </c>
      <c r="F5" s="420">
        <f>+'Cash Flow'!F6</f>
        <v>39263</v>
      </c>
      <c r="G5" s="421" t="str">
        <f>+'Cash Flow'!G6</f>
        <v>2007A</v>
      </c>
      <c r="H5" s="75"/>
      <c r="I5" s="420">
        <f>+'Cash Flow'!I6</f>
        <v>39355</v>
      </c>
      <c r="J5" s="420">
        <f>+'Cash Flow'!J6</f>
        <v>39447</v>
      </c>
      <c r="K5" s="420">
        <f>+'Cash Flow'!K6</f>
        <v>39538</v>
      </c>
      <c r="L5" s="420">
        <f>+'Cash Flow'!L6</f>
        <v>39629</v>
      </c>
      <c r="M5" s="421" t="str">
        <f>+'Cash Flow'!M6</f>
        <v>2008A</v>
      </c>
      <c r="N5" s="75"/>
      <c r="O5" s="420">
        <f>+'Cash Flow'!O6</f>
        <v>39721</v>
      </c>
      <c r="P5" s="420">
        <f>+'Cash Flow'!P6</f>
        <v>39813</v>
      </c>
      <c r="Q5" s="420">
        <f>+'Cash Flow'!Q6</f>
        <v>39903</v>
      </c>
      <c r="R5" s="420">
        <f>+'Cash Flow'!R6</f>
        <v>39994</v>
      </c>
      <c r="S5" s="421" t="str">
        <f>+'Cash Flow'!S6</f>
        <v>2009A</v>
      </c>
      <c r="T5" s="75"/>
      <c r="U5" s="420">
        <f>+'Cash Flow'!U6</f>
        <v>40086</v>
      </c>
      <c r="V5" s="420">
        <f>+'Cash Flow'!V6</f>
        <v>40178</v>
      </c>
      <c r="W5" s="420">
        <f>+'Cash Flow'!W6</f>
        <v>40268</v>
      </c>
      <c r="X5" s="420">
        <f>+'Cash Flow'!X6</f>
        <v>40359</v>
      </c>
      <c r="Y5" s="421" t="str">
        <f>+'Cash Flow'!Y6</f>
        <v>2010A</v>
      </c>
      <c r="Z5" s="75"/>
      <c r="AA5" s="420">
        <f>+'Cash Flow'!AA6</f>
        <v>40451</v>
      </c>
      <c r="AB5" s="420">
        <f>+'Cash Flow'!AB6</f>
        <v>40543</v>
      </c>
      <c r="AC5" s="420">
        <f>+'Cash Flow'!AC6</f>
        <v>40633</v>
      </c>
      <c r="AD5" s="420">
        <f>+'Cash Flow'!AD6</f>
        <v>40724</v>
      </c>
      <c r="AE5" s="168" t="str">
        <f>+'Cash Flow'!AE6</f>
        <v>2011A</v>
      </c>
      <c r="AF5" s="75"/>
      <c r="AG5" s="420">
        <f>+'Cash Flow'!AG6</f>
        <v>40816</v>
      </c>
      <c r="AH5" s="420">
        <f>+'Cash Flow'!AH6</f>
        <v>40908</v>
      </c>
      <c r="AI5" s="420">
        <f>+'Cash Flow'!AI6</f>
        <v>40999</v>
      </c>
      <c r="AJ5" s="420">
        <f>+'Cash Flow'!AJ6</f>
        <v>41090</v>
      </c>
      <c r="AK5" s="168" t="str">
        <f>+'Cash Flow'!AK6</f>
        <v>2012A</v>
      </c>
      <c r="AL5" s="75"/>
      <c r="AM5" s="420">
        <f>+'Cash Flow'!AM6</f>
        <v>41182</v>
      </c>
      <c r="AN5" s="420">
        <f>+'Cash Flow'!AN6</f>
        <v>41274</v>
      </c>
      <c r="AO5" s="420">
        <f>+'Cash Flow'!AO6</f>
        <v>41364</v>
      </c>
      <c r="AP5" s="420">
        <f>+'Cash Flow'!AP6</f>
        <v>41455</v>
      </c>
      <c r="AQ5" s="168" t="str">
        <f>+'Cash Flow'!AQ6</f>
        <v>2013A</v>
      </c>
      <c r="AR5" s="75"/>
      <c r="AS5" s="420">
        <f>+'Cash Flow'!AS6</f>
        <v>41547.25</v>
      </c>
      <c r="AT5" s="420">
        <f>+'Cash Flow'!AT6</f>
        <v>41639.25</v>
      </c>
      <c r="AU5" s="420">
        <f>+'Cash Flow'!AU6</f>
        <v>41729.25</v>
      </c>
      <c r="AV5" s="420">
        <f>+'Cash Flow'!AV6</f>
        <v>41820.25</v>
      </c>
      <c r="AW5" s="168" t="str">
        <f>+'Cash Flow'!AW6</f>
        <v>2014A</v>
      </c>
      <c r="AX5" s="75"/>
      <c r="AY5" s="420">
        <f>+'Cash Flow'!AY6</f>
        <v>41912.5</v>
      </c>
      <c r="AZ5" s="420">
        <f>+'Cash Flow'!AZ6</f>
        <v>42004.5</v>
      </c>
      <c r="BA5" s="420">
        <f>+'Cash Flow'!BA6</f>
        <v>42094.5</v>
      </c>
      <c r="BB5" s="420">
        <f>+'Cash Flow'!BB6</f>
        <v>42185.5</v>
      </c>
      <c r="BC5" s="168" t="str">
        <f>+'Cash Flow'!BC6</f>
        <v>2015A</v>
      </c>
      <c r="BD5" s="75"/>
      <c r="BE5" s="669">
        <f>+'Cash Flow'!BE6</f>
        <v>42277.75</v>
      </c>
      <c r="BF5" s="420">
        <f>+'Cash Flow'!BF6</f>
        <v>42369.75</v>
      </c>
      <c r="BG5" s="420">
        <f>+'Cash Flow'!BG6</f>
        <v>42459.75</v>
      </c>
      <c r="BH5" s="420">
        <f>+'Cash Flow'!BH6</f>
        <v>42550.75</v>
      </c>
      <c r="BI5" s="168" t="str">
        <f>+'Cash Flow'!BI6</f>
        <v>2016A</v>
      </c>
      <c r="BJ5" s="75"/>
      <c r="BK5" s="669">
        <f>+'Cash Flow'!BK6</f>
        <v>42643</v>
      </c>
      <c r="BL5" s="420">
        <f>+'Cash Flow'!BL6</f>
        <v>42735</v>
      </c>
      <c r="BM5" s="420">
        <f>+'Cash Flow'!BM6</f>
        <v>42825</v>
      </c>
      <c r="BN5" s="420">
        <f>+'Cash Flow'!BN6</f>
        <v>42916</v>
      </c>
      <c r="BO5" s="168" t="str">
        <f>+'Cash Flow'!BO6</f>
        <v>2017A</v>
      </c>
      <c r="BP5" s="75"/>
      <c r="BQ5" s="669">
        <f>+'Cash Flow'!BQ6</f>
        <v>43008.25</v>
      </c>
      <c r="BR5" s="420">
        <f>+'Cash Flow'!BR6</f>
        <v>43100.25</v>
      </c>
      <c r="BS5" s="422">
        <f>+'Cash Flow'!BS6</f>
        <v>43190.25</v>
      </c>
      <c r="BT5" s="422">
        <f>+'Cash Flow'!BT6</f>
        <v>43281.25</v>
      </c>
      <c r="BU5" s="168" t="str">
        <f>+'Cash Flow'!BU6</f>
        <v>2018E</v>
      </c>
      <c r="BV5" s="75"/>
      <c r="BW5" s="422">
        <f>+'Cash Flow'!BW6</f>
        <v>43373.5</v>
      </c>
      <c r="BX5" s="422">
        <f>+'Cash Flow'!BX6</f>
        <v>43465.5</v>
      </c>
      <c r="BY5" s="422">
        <f>+'Cash Flow'!BY6</f>
        <v>43555.5</v>
      </c>
      <c r="BZ5" s="422">
        <f>+'Cash Flow'!BZ6</f>
        <v>43646.5</v>
      </c>
      <c r="CA5" s="168" t="str">
        <f>+'Cash Flow'!CA6</f>
        <v>2019E</v>
      </c>
      <c r="CB5" s="75"/>
      <c r="CC5" s="422">
        <f>+'P&amp;L'!CC6</f>
        <v>43738.75</v>
      </c>
      <c r="CD5" s="422">
        <f>+'P&amp;L'!CD6</f>
        <v>43830.75</v>
      </c>
      <c r="CE5" s="422">
        <f>+'P&amp;L'!CE6</f>
        <v>43920.75</v>
      </c>
      <c r="CF5" s="422">
        <f>+'P&amp;L'!CF6</f>
        <v>44011.75</v>
      </c>
      <c r="CG5" s="422"/>
      <c r="CH5" s="75"/>
      <c r="CI5" s="422">
        <f>+'P&amp;L'!CI6</f>
        <v>44104</v>
      </c>
      <c r="CJ5" s="422">
        <f>+'P&amp;L'!CJ6</f>
        <v>44196</v>
      </c>
      <c r="CK5" s="422">
        <f>+'P&amp;L'!CK6</f>
        <v>44286</v>
      </c>
      <c r="CL5" s="422">
        <f>+'P&amp;L'!CL6</f>
        <v>44377</v>
      </c>
      <c r="CM5" s="422"/>
      <c r="CN5" s="75"/>
      <c r="CO5" s="422">
        <f>+'P&amp;L'!CO6</f>
        <v>44469.25</v>
      </c>
      <c r="CP5" s="422">
        <f>+'P&amp;L'!CP6</f>
        <v>44561.25</v>
      </c>
      <c r="CQ5" s="422">
        <f>+'P&amp;L'!CQ6</f>
        <v>44651.25</v>
      </c>
      <c r="CR5" s="422">
        <f>+'P&amp;L'!CR6</f>
        <v>44742.25</v>
      </c>
      <c r="CS5" s="422"/>
      <c r="CT5" s="168"/>
    </row>
    <row r="6" spans="1:112" x14ac:dyDescent="0.2">
      <c r="A6" s="50"/>
      <c r="B6" s="675" t="s">
        <v>338</v>
      </c>
      <c r="C6" s="675"/>
      <c r="D6" s="675"/>
      <c r="E6" s="675"/>
      <c r="F6" s="675"/>
      <c r="G6" s="675"/>
      <c r="H6" s="675"/>
      <c r="I6" s="675"/>
      <c r="J6" s="675"/>
      <c r="K6" s="675"/>
      <c r="L6" s="675"/>
      <c r="M6" s="675"/>
      <c r="N6" s="675"/>
      <c r="O6" s="675"/>
      <c r="P6" s="675"/>
      <c r="Q6" s="675"/>
      <c r="R6" s="675"/>
      <c r="S6" s="675"/>
      <c r="T6" s="675"/>
      <c r="U6" s="675"/>
      <c r="V6" s="675"/>
      <c r="W6" s="675"/>
      <c r="X6" s="675"/>
      <c r="Y6" s="675"/>
      <c r="Z6" s="675"/>
      <c r="AA6" s="675"/>
      <c r="AB6" s="675"/>
      <c r="AC6" s="675"/>
      <c r="AD6" s="675"/>
      <c r="AE6" s="675"/>
      <c r="AF6" s="675"/>
      <c r="AG6" s="675"/>
      <c r="AH6" s="675"/>
      <c r="AI6" s="675"/>
      <c r="AJ6" s="675"/>
      <c r="AK6" s="675"/>
      <c r="AL6" s="675"/>
      <c r="AM6" s="675"/>
      <c r="AN6" s="675"/>
      <c r="AO6" s="675"/>
      <c r="AP6" s="675"/>
      <c r="AQ6" s="675"/>
      <c r="AR6" s="675"/>
      <c r="AS6" s="675"/>
      <c r="AT6" s="675"/>
      <c r="AU6" s="675"/>
      <c r="AV6" s="675"/>
      <c r="AW6" s="675"/>
      <c r="AX6" s="675"/>
      <c r="AY6" s="675"/>
      <c r="AZ6" s="675"/>
      <c r="BA6" s="675"/>
      <c r="BB6" s="675"/>
      <c r="BC6" s="675"/>
      <c r="BD6" s="675"/>
      <c r="BE6" s="675"/>
      <c r="BF6" s="675"/>
      <c r="BG6" s="675"/>
      <c r="BH6" s="675"/>
      <c r="BI6" s="675"/>
      <c r="BJ6" s="675"/>
      <c r="BK6" s="675"/>
      <c r="BL6" s="675"/>
      <c r="BM6" s="675"/>
      <c r="BN6" s="675"/>
      <c r="BO6" s="675"/>
      <c r="BP6" s="675"/>
      <c r="BQ6" s="675"/>
      <c r="BR6" s="675"/>
      <c r="BS6" s="675"/>
      <c r="BT6" s="675"/>
      <c r="BU6" s="675"/>
      <c r="BV6" s="675"/>
      <c r="BW6" s="675"/>
      <c r="BX6" s="675"/>
      <c r="BY6" s="675"/>
      <c r="BZ6" s="675"/>
      <c r="CA6" s="675"/>
      <c r="CB6" s="675"/>
      <c r="CC6" s="675"/>
      <c r="CD6" s="675"/>
      <c r="CE6" s="675"/>
      <c r="CF6" s="675"/>
      <c r="CG6" s="675"/>
      <c r="CH6" s="675"/>
      <c r="CI6" s="675"/>
      <c r="CJ6" s="675"/>
      <c r="CK6" s="675"/>
      <c r="CL6" s="675"/>
      <c r="CM6" s="675"/>
      <c r="CN6" s="675"/>
      <c r="CO6" s="675"/>
      <c r="CP6" s="675"/>
      <c r="CQ6" s="675"/>
      <c r="CR6" s="675"/>
      <c r="CS6" s="675"/>
      <c r="CT6" s="168"/>
    </row>
    <row r="7" spans="1:112" s="43" customFormat="1" ht="12.75" hidden="1" customHeight="1" outlineLevel="1" x14ac:dyDescent="0.2">
      <c r="A7" s="367"/>
      <c r="B7" s="304" t="s">
        <v>266</v>
      </c>
      <c r="C7" s="368"/>
      <c r="D7" s="368"/>
      <c r="E7" s="368"/>
      <c r="F7" s="369"/>
      <c r="G7" s="368"/>
      <c r="H7" s="253"/>
      <c r="I7" s="368"/>
      <c r="J7" s="368"/>
      <c r="K7" s="368"/>
      <c r="L7" s="368"/>
      <c r="M7" s="368"/>
      <c r="N7" s="253"/>
      <c r="O7" s="368"/>
      <c r="P7" s="368"/>
      <c r="Q7" s="368"/>
      <c r="R7" s="368"/>
      <c r="S7" s="368"/>
      <c r="T7" s="253"/>
      <c r="U7" s="368">
        <f>85.122-U29-U58-U12-U25</f>
        <v>75.222000000000008</v>
      </c>
      <c r="V7" s="368">
        <v>82.188999999999993</v>
      </c>
      <c r="W7" s="368">
        <v>79.802000000000007</v>
      </c>
      <c r="X7" s="368">
        <f>319.788-W7-V7-U7</f>
        <v>82.574999999999989</v>
      </c>
      <c r="Y7" s="39">
        <f>+SUM(U7:X7)</f>
        <v>319.78800000000001</v>
      </c>
      <c r="Z7" s="253"/>
      <c r="AA7" s="373">
        <v>80.667000000000002</v>
      </c>
      <c r="AB7" s="373">
        <v>89.186000000000007</v>
      </c>
      <c r="AC7" s="373">
        <v>90.302999999999997</v>
      </c>
      <c r="AD7" s="39">
        <f>352.964-AC7-AB7-AA7</f>
        <v>92.807999999999993</v>
      </c>
      <c r="AE7" s="39">
        <f>+SUM(AA7:AD7)</f>
        <v>352.964</v>
      </c>
      <c r="AF7" s="253"/>
      <c r="AG7" s="373">
        <v>89.484999999999999</v>
      </c>
      <c r="AH7" s="373">
        <v>101.41</v>
      </c>
      <c r="AI7" s="373">
        <v>105.89400000000001</v>
      </c>
      <c r="AJ7" s="39">
        <f>405.478-AI7-AH7-AG7</f>
        <v>108.68900000000001</v>
      </c>
      <c r="AK7" s="39">
        <f>+SUM(AG7:AJ7)</f>
        <v>405.47800000000001</v>
      </c>
      <c r="AL7" s="253"/>
      <c r="AM7" s="373">
        <v>104.97199999999999</v>
      </c>
      <c r="AN7" s="373">
        <v>110.267</v>
      </c>
      <c r="AO7" s="373">
        <v>115.387</v>
      </c>
      <c r="AP7" s="39">
        <f>460.272-AO7-AN7-AM7</f>
        <v>129.64600000000002</v>
      </c>
      <c r="AQ7" s="39">
        <f>+SUM(AM7:AP7)</f>
        <v>460.27199999999999</v>
      </c>
      <c r="AR7" s="253"/>
      <c r="AS7" s="373">
        <v>149.57900000000001</v>
      </c>
      <c r="AT7" s="373">
        <v>141.22800000000001</v>
      </c>
      <c r="AU7" s="373">
        <v>119.66800000000001</v>
      </c>
      <c r="AV7" s="39">
        <f>517.902-AU7-AT7-AS7</f>
        <v>107.42700000000002</v>
      </c>
      <c r="AW7" s="39">
        <f>+SUM(AS7:AV7)</f>
        <v>517.90200000000004</v>
      </c>
      <c r="AX7" s="253"/>
      <c r="AY7" s="373">
        <f>73.68-AY21</f>
        <v>73.680000000000007</v>
      </c>
      <c r="AZ7" s="373">
        <f>72.456*(AY7/SUM($AY$7,$AY$12))-AZ21</f>
        <v>61.931974721791185</v>
      </c>
      <c r="BA7" s="373">
        <f>77.4-BA12-BA29-BA21</f>
        <v>56.938099059227966</v>
      </c>
      <c r="BB7" s="373">
        <f>237.6-BA7-AZ7-AY7-BB12-BB29-BB21+17.8</f>
        <v>45.777431297768729</v>
      </c>
      <c r="BC7" s="39">
        <f>+SUM(AY7:BB7)</f>
        <v>238.32750507878791</v>
      </c>
      <c r="BD7" s="253"/>
      <c r="BE7" s="39">
        <v>37.667674230173873</v>
      </c>
      <c r="BF7" s="39">
        <v>38.368142099429548</v>
      </c>
      <c r="BG7" s="39">
        <v>33.467829528499863</v>
      </c>
      <c r="BH7" s="39">
        <v>30.069582093444602</v>
      </c>
      <c r="BI7" s="39">
        <v>139.57322795154789</v>
      </c>
      <c r="BJ7" s="253"/>
      <c r="BK7" s="39">
        <v>23.9654717184265</v>
      </c>
      <c r="BL7" s="39">
        <v>22.833907861009031</v>
      </c>
      <c r="BM7" s="39">
        <v>20.513709516444095</v>
      </c>
      <c r="BN7" s="39">
        <v>18.90311495257016</v>
      </c>
      <c r="BO7" s="39">
        <v>86.216204048449796</v>
      </c>
      <c r="BP7" s="253"/>
      <c r="BQ7" s="39">
        <v>13.770938047982849</v>
      </c>
      <c r="BR7" s="39">
        <v>12.161896861439422</v>
      </c>
      <c r="BS7" s="39">
        <v>10.019456378906062</v>
      </c>
      <c r="BT7" s="39">
        <v>8.7181463923581113</v>
      </c>
      <c r="BU7" s="39">
        <v>44.670437680686447</v>
      </c>
      <c r="BV7" s="253"/>
      <c r="BW7" s="39">
        <v>5.5685590694076144</v>
      </c>
      <c r="BX7" s="39">
        <v>4.2894020400883068</v>
      </c>
      <c r="BY7" s="39">
        <v>2.7556397747394068</v>
      </c>
      <c r="BZ7" s="39">
        <v>1.4697167904925883</v>
      </c>
      <c r="CA7" s="39">
        <v>14.083317674727917</v>
      </c>
      <c r="CB7" s="253"/>
      <c r="CC7" s="39">
        <v>0</v>
      </c>
      <c r="CD7" s="39">
        <v>0</v>
      </c>
      <c r="CE7" s="39">
        <v>0</v>
      </c>
      <c r="CF7" s="39">
        <v>0</v>
      </c>
      <c r="CG7" s="39">
        <v>0</v>
      </c>
      <c r="CH7" s="253"/>
      <c r="CI7" s="39">
        <v>0</v>
      </c>
      <c r="CJ7" s="39">
        <v>0</v>
      </c>
      <c r="CK7" s="39">
        <v>0</v>
      </c>
      <c r="CL7" s="39">
        <v>0</v>
      </c>
      <c r="CM7" s="39">
        <v>0</v>
      </c>
      <c r="CN7" s="253"/>
      <c r="CO7" s="39">
        <v>0</v>
      </c>
      <c r="CP7" s="39">
        <v>0</v>
      </c>
      <c r="CQ7" s="39">
        <v>0</v>
      </c>
      <c r="CR7" s="39">
        <v>0</v>
      </c>
      <c r="CS7" s="39">
        <v>0</v>
      </c>
      <c r="CT7" s="39"/>
    </row>
    <row r="8" spans="1:112" s="43" customFormat="1" ht="12.75" hidden="1" customHeight="1" outlineLevel="1" x14ac:dyDescent="0.2">
      <c r="A8" s="300"/>
      <c r="B8" s="266" t="s">
        <v>341</v>
      </c>
      <c r="C8" s="308"/>
      <c r="D8" s="308"/>
      <c r="E8" s="308"/>
      <c r="F8" s="308"/>
      <c r="G8" s="308"/>
      <c r="H8" s="308"/>
      <c r="I8" s="308"/>
      <c r="J8" s="308"/>
      <c r="K8" s="308"/>
      <c r="L8" s="308"/>
      <c r="M8" s="306"/>
      <c r="N8" s="308"/>
      <c r="O8" s="308"/>
      <c r="P8" s="308"/>
      <c r="Q8" s="308"/>
      <c r="R8" s="308"/>
      <c r="S8" s="306"/>
      <c r="T8" s="308"/>
      <c r="U8" s="308"/>
      <c r="V8" s="308"/>
      <c r="W8" s="308"/>
      <c r="X8" s="308"/>
      <c r="Y8" s="306"/>
      <c r="Z8" s="381"/>
      <c r="AA8" s="306">
        <f>AA7/AA$33</f>
        <v>0.91876900648071158</v>
      </c>
      <c r="AB8" s="306">
        <f>AB7/AB$33</f>
        <v>0.92725325681253445</v>
      </c>
      <c r="AC8" s="306">
        <f>AC7/AC$33</f>
        <v>0.92412783855419223</v>
      </c>
      <c r="AD8" s="306">
        <f>AD7/AD$33</f>
        <v>0.92410634272627701</v>
      </c>
      <c r="AE8" s="306">
        <f>AE7/AE$33</f>
        <v>0.92367760625338557</v>
      </c>
      <c r="AF8" s="381"/>
      <c r="AG8" s="306">
        <f>AG7/AG$33</f>
        <v>0.87944217312681816</v>
      </c>
      <c r="AH8" s="306">
        <f>AH7/AH$33</f>
        <v>0.87994377245197231</v>
      </c>
      <c r="AI8" s="306">
        <f>AI7/AI$33</f>
        <v>0.8786060983198507</v>
      </c>
      <c r="AJ8" s="306">
        <f>AJ7/AJ$33</f>
        <v>0.87077287912897883</v>
      </c>
      <c r="AK8" s="306">
        <f>AK7/AK$33</f>
        <v>0.87700879435569334</v>
      </c>
      <c r="AL8" s="381"/>
      <c r="AM8" s="306">
        <f>AM7/AM$33</f>
        <v>0.84195835605890457</v>
      </c>
      <c r="AN8" s="306">
        <f>AN7/AN$33</f>
        <v>0.79839404536930447</v>
      </c>
      <c r="AO8" s="306">
        <f>AO7/AO$33</f>
        <v>0.79254756508001922</v>
      </c>
      <c r="AP8" s="306">
        <f>AP7/AP$33</f>
        <v>0.79550600406202254</v>
      </c>
      <c r="AQ8" s="306">
        <f>AQ7/AQ$33</f>
        <v>0.8055867681806248</v>
      </c>
      <c r="AR8" s="381"/>
      <c r="AS8" s="306">
        <f>AS7/AS$33</f>
        <v>0.79272771597708402</v>
      </c>
      <c r="AT8" s="306">
        <f>AT7/AT$33</f>
        <v>0.73179300374632739</v>
      </c>
      <c r="AU8" s="306">
        <f>AU7/AU$33</f>
        <v>0.70573526376315865</v>
      </c>
      <c r="AV8" s="306">
        <f>AV7/AV$33</f>
        <v>0.63613323464100668</v>
      </c>
      <c r="AW8" s="306">
        <f>AW7/AW$33</f>
        <v>0.71919046600696002</v>
      </c>
      <c r="AX8" s="381"/>
      <c r="AY8" s="306">
        <f>AY7/AY$33</f>
        <v>0.48935025603219834</v>
      </c>
      <c r="AZ8" s="306">
        <f>AZ7/AZ$33</f>
        <v>0.37544769617041734</v>
      </c>
      <c r="BA8" s="306">
        <f>BA7/BA$33</f>
        <v>0.35810125194483</v>
      </c>
      <c r="BB8" s="306">
        <f>BB7/BB$33</f>
        <v>0.27955695831307503</v>
      </c>
      <c r="BC8" s="306">
        <f>BC7/BC$33</f>
        <v>0.37339493605899493</v>
      </c>
      <c r="BD8" s="381"/>
      <c r="BE8" s="306">
        <f>BE7/BE$33</f>
        <v>0.24036028900650813</v>
      </c>
      <c r="BF8" s="306">
        <f>BF7/BF$33</f>
        <v>0.23031587297394543</v>
      </c>
      <c r="BG8" s="306">
        <f>BG7/BG$33</f>
        <v>0.21410090401097709</v>
      </c>
      <c r="BH8" s="306">
        <f>BH7/BH$33</f>
        <v>0.19679045872673165</v>
      </c>
      <c r="BI8" s="306">
        <f>BI7/BI$33</f>
        <v>0.22069683072609098</v>
      </c>
      <c r="BJ8" s="381"/>
      <c r="BK8" s="306">
        <f>BK7/BK$33</f>
        <v>0.17203449648162589</v>
      </c>
      <c r="BL8" s="306">
        <f>BL7/BL$33</f>
        <v>0.15862459544909369</v>
      </c>
      <c r="BM8" s="306">
        <f>BM7/BM$33</f>
        <v>0.14568244876027603</v>
      </c>
      <c r="BN8" s="306">
        <f>BN7/BN$33</f>
        <v>0.13076315875399835</v>
      </c>
      <c r="BO8" s="306">
        <f>BO7/BO$33</f>
        <v>0.15162182158394374</v>
      </c>
      <c r="BP8" s="381"/>
      <c r="BQ8" s="306">
        <f>BQ7/BQ$33</f>
        <v>0.10871195049456979</v>
      </c>
      <c r="BR8" s="306">
        <f>BR7/BR$33</f>
        <v>9.5857024551760095E-2</v>
      </c>
      <c r="BS8" s="306">
        <f>BS7/BS$33</f>
        <v>8.2302864924372415E-2</v>
      </c>
      <c r="BT8" s="306">
        <f>BT7/BT$33</f>
        <v>6.8656217459003549E-2</v>
      </c>
      <c r="BU8" s="306">
        <f>BU7/BU$33</f>
        <v>8.8937013447533811E-2</v>
      </c>
      <c r="BV8" s="381"/>
      <c r="BW8" s="306">
        <f>BW7/BW$33</f>
        <v>5.0545255580799017E-2</v>
      </c>
      <c r="BX8" s="306">
        <f>BX7/BX$33</f>
        <v>3.8526961123370299E-2</v>
      </c>
      <c r="BY8" s="306">
        <f>BY7/BY$33</f>
        <v>2.5385651990776182E-2</v>
      </c>
      <c r="BZ8" s="306">
        <f>BZ7/BZ$33</f>
        <v>1.2840096366432283E-2</v>
      </c>
      <c r="CA8" s="306">
        <f>CA7/CA$33</f>
        <v>3.1682151514913021E-2</v>
      </c>
      <c r="CB8" s="381"/>
      <c r="CC8" s="306">
        <f>CC7/CC$33</f>
        <v>0</v>
      </c>
      <c r="CD8" s="306">
        <f>CD7/CD$33</f>
        <v>0</v>
      </c>
      <c r="CE8" s="306">
        <f>CE7/CE$33</f>
        <v>0</v>
      </c>
      <c r="CF8" s="306">
        <f>CF7/CF$33</f>
        <v>0</v>
      </c>
      <c r="CG8" s="306">
        <f>CG7/CG$33</f>
        <v>0</v>
      </c>
      <c r="CH8" s="511"/>
      <c r="CI8" s="510">
        <f>CI7/CI$33</f>
        <v>0</v>
      </c>
      <c r="CJ8" s="510">
        <f>CJ7/CJ$33</f>
        <v>0</v>
      </c>
      <c r="CK8" s="510">
        <f>CK7/CK$33</f>
        <v>0</v>
      </c>
      <c r="CL8" s="510">
        <f>CL7/CL$33</f>
        <v>0</v>
      </c>
      <c r="CM8" s="510">
        <f>CM7/CM$33</f>
        <v>0</v>
      </c>
      <c r="CN8" s="511"/>
      <c r="CO8" s="510">
        <f>CO7/CO$33</f>
        <v>0</v>
      </c>
      <c r="CP8" s="510">
        <f>CP7/CP$33</f>
        <v>0</v>
      </c>
      <c r="CQ8" s="510">
        <f>CQ7/CQ$33</f>
        <v>0</v>
      </c>
      <c r="CR8" s="510">
        <f>CR7/CR$33</f>
        <v>0</v>
      </c>
      <c r="CS8" s="510">
        <f>CS7/CS$33</f>
        <v>0</v>
      </c>
      <c r="CT8" s="306"/>
    </row>
    <row r="9" spans="1:112" s="43" customFormat="1" ht="12.75" hidden="1" customHeight="1" outlineLevel="1" x14ac:dyDescent="0.2">
      <c r="A9" s="300"/>
      <c r="B9" s="266" t="s">
        <v>339</v>
      </c>
      <c r="C9" s="308"/>
      <c r="D9" s="308"/>
      <c r="E9" s="308"/>
      <c r="F9" s="308"/>
      <c r="G9" s="308"/>
      <c r="H9" s="308"/>
      <c r="I9" s="308"/>
      <c r="J9" s="308"/>
      <c r="K9" s="308"/>
      <c r="L9" s="308"/>
      <c r="M9" s="306"/>
      <c r="N9" s="308"/>
      <c r="O9" s="308"/>
      <c r="P9" s="308"/>
      <c r="Q9" s="308"/>
      <c r="R9" s="308"/>
      <c r="S9" s="306"/>
      <c r="T9" s="308"/>
      <c r="U9" s="308"/>
      <c r="V9" s="308"/>
      <c r="W9" s="308"/>
      <c r="X9" s="308"/>
      <c r="Y9" s="306"/>
      <c r="Z9" s="381"/>
      <c r="AA9" s="306">
        <f>IF(ISERROR(AA7/U7-1),"NM",AA7/U7-1)</f>
        <v>7.238573821488381E-2</v>
      </c>
      <c r="AB9" s="306">
        <f>IF(ISERROR(AB7/V7-1),"NM",AB7/V7-1)</f>
        <v>8.5133047001423767E-2</v>
      </c>
      <c r="AC9" s="306">
        <f>IF(ISERROR(AC7/W7-1),"NM",AC7/W7-1)</f>
        <v>0.13158818074734957</v>
      </c>
      <c r="AD9" s="306">
        <f>IF(ISERROR(AD7/X7-1),"NM",AD7/X7-1)</f>
        <v>0.12392370572207101</v>
      </c>
      <c r="AE9" s="306">
        <f>IF(ISERROR(AE7/Y7-1),"NM",AE7/Y7-1)</f>
        <v>0.10374373022127159</v>
      </c>
      <c r="AF9" s="381"/>
      <c r="AG9" s="306">
        <f>IF(ISERROR(AG7/AA7-1),"NM",AG7/AA7-1)</f>
        <v>0.10931359787769468</v>
      </c>
      <c r="AH9" s="306">
        <f>IF(ISERROR(AH7/AB7-1),"NM",AH7/AB7-1)</f>
        <v>0.13706187069719444</v>
      </c>
      <c r="AI9" s="306">
        <f>IF(ISERROR(AI7/AC7-1),"NM",AI7/AC7-1)</f>
        <v>0.17265207135975569</v>
      </c>
      <c r="AJ9" s="306">
        <f>IF(ISERROR(AJ7/AD7-1),"NM",AJ7/AD7-1)</f>
        <v>0.17111671407637297</v>
      </c>
      <c r="AK9" s="306">
        <f>IF(ISERROR(AK7/AE7-1),"NM",AK7/AE7-1)</f>
        <v>0.14878004555705404</v>
      </c>
      <c r="AL9" s="381"/>
      <c r="AM9" s="306">
        <f>IF(ISERROR(AM7/AG7-1),"NM",AM7/AG7-1)</f>
        <v>0.17306811197407379</v>
      </c>
      <c r="AN9" s="306">
        <f>IF(ISERROR(AN7/AH7-1),"NM",AN7/AH7-1)</f>
        <v>8.733852677250753E-2</v>
      </c>
      <c r="AO9" s="306">
        <f>IF(ISERROR(AO7/AI7-1),"NM",AO7/AI7-1)</f>
        <v>8.9646250023608376E-2</v>
      </c>
      <c r="AP9" s="306">
        <f>IF(ISERROR(AP7/AJ7-1),"NM",AP7/AJ7-1)</f>
        <v>0.19281620035146152</v>
      </c>
      <c r="AQ9" s="306">
        <f>IF(ISERROR(AQ7/AK7-1),"NM",AQ7/AK7-1)</f>
        <v>0.13513433527836272</v>
      </c>
      <c r="AR9" s="381"/>
      <c r="AS9" s="306">
        <f>IF(ISERROR(AS7/AM7-1),"NM",AS7/AM7-1)</f>
        <v>0.42494188926570908</v>
      </c>
      <c r="AT9" s="306">
        <f>IF(ISERROR(AT7/AN7-1),"NM",AT7/AN7-1)</f>
        <v>0.28078210162605322</v>
      </c>
      <c r="AU9" s="306">
        <f>IF(ISERROR(AU7/AO7-1),"NM",AU7/AO7-1)</f>
        <v>3.7101233241179754E-2</v>
      </c>
      <c r="AV9" s="306">
        <f>IF(ISERROR(AV7/AP7-1),"NM",AV7/AP7-1)</f>
        <v>-0.17138207117843973</v>
      </c>
      <c r="AW9" s="306">
        <f>IF(ISERROR(AW7/AQ7-1),"NM",AW7/AQ7-1)</f>
        <v>0.12520857232245297</v>
      </c>
      <c r="AX9" s="381"/>
      <c r="AY9" s="306">
        <f>IF(ISERROR(AY7/AS7-1),"NM",AY7/AS7-1)</f>
        <v>-0.50741748507477658</v>
      </c>
      <c r="AZ9" s="306">
        <f>IF(ISERROR(AZ7/AT7-1),"NM",AZ7/AT7-1)</f>
        <v>-0.56147524059116338</v>
      </c>
      <c r="BA9" s="306">
        <f>IF(ISERROR(BA7/AU7-1),"NM",BA7/AU7-1)</f>
        <v>-0.52419945967821002</v>
      </c>
      <c r="BB9" s="306">
        <f>IF(ISERROR(BB7/AV7-1),"NM",BB7/AV7-1)</f>
        <v>-0.57387406054559165</v>
      </c>
      <c r="BC9" s="306">
        <f>IF(ISERROR(BC7/AW7-1),"NM",BC7/AW7-1)</f>
        <v>-0.53982123050540864</v>
      </c>
      <c r="BD9" s="381"/>
      <c r="BE9" s="306">
        <f>IF(ISERROR(BE7/AY7-1),"NM",BE7/AY7-1)</f>
        <v>-0.48876663639829165</v>
      </c>
      <c r="BF9" s="306">
        <f>IF(ISERROR(BF7/AZ7-1),"NM",BF7/AZ7-1)</f>
        <v>-0.38047927146218607</v>
      </c>
      <c r="BG9" s="306">
        <f>IF(ISERROR(BG7/BA7-1),"NM",BG7/BA7-1)</f>
        <v>-0.41220676345927765</v>
      </c>
      <c r="BH9" s="306">
        <f>IF(ISERROR(BH7/BB7-1),"NM",BH7/BB7-1)</f>
        <v>-0.34313522535043928</v>
      </c>
      <c r="BI9" s="306">
        <f>IF(ISERROR(BI7/BC7-1),"NM",BI7/BC7-1)</f>
        <v>-0.41436374326409853</v>
      </c>
      <c r="BJ9" s="381"/>
      <c r="BK9" s="306">
        <f>IF(ISERROR(BK7/BE7-1),"NM",BK7/BE7-1)</f>
        <v>-0.36376555738530725</v>
      </c>
      <c r="BL9" s="306">
        <f>IF(ISERROR(BL7/BF7-1),"NM",BL7/BF7-1)</f>
        <v>-0.40487324609474584</v>
      </c>
      <c r="BM9" s="306">
        <f>IF(ISERROR(BM7/BG7-1),"NM",BM7/BG7-1)</f>
        <v>-0.38706184997818749</v>
      </c>
      <c r="BN9" s="306">
        <f>IF(ISERROR(BN7/BH7-1),"NM",BN7/BH7-1)</f>
        <v>-0.37135425115564935</v>
      </c>
      <c r="BO9" s="306">
        <f>IF(ISERROR(BO7/BI7-1),"NM",BO7/BI7-1)</f>
        <v>-0.38228695206233032</v>
      </c>
      <c r="BP9" s="381"/>
      <c r="BQ9" s="306">
        <f>IF(ISERROR(BQ7/BK7-1),"NM",BQ7/BK7-1)</f>
        <v>-0.42538422736763026</v>
      </c>
      <c r="BR9" s="306">
        <f>IF(ISERROR(BR7/BL7-1),"NM",BR7/BL7-1)</f>
        <v>-0.46737558303776094</v>
      </c>
      <c r="BS9" s="306">
        <f>IF(ISERROR(BS7/BM7-1),"NM",BS7/BM7-1)</f>
        <v>-0.51157266944458213</v>
      </c>
      <c r="BT9" s="306">
        <f>IF(ISERROR(BT7/BN7-1),"NM",BT7/BN7-1)</f>
        <v>-0.53879842479756235</v>
      </c>
      <c r="BU9" s="306">
        <f>IF(ISERROR(BU7/BO7-1),"NM",BU7/BO7-1)</f>
        <v>-0.48187886286917037</v>
      </c>
      <c r="BV9" s="381"/>
      <c r="BW9" s="306">
        <f>IF(ISERROR(BW7/BQ7-1),"NM",BW7/BQ7-1)</f>
        <v>-0.59562964774042459</v>
      </c>
      <c r="BX9" s="306">
        <f>IF(ISERROR(BX7/BR7-1),"NM",BX7/BR7-1)</f>
        <v>-0.6473081387749382</v>
      </c>
      <c r="BY9" s="306">
        <f>IF(ISERROR(BY7/BS7-1),"NM",BY7/BS7-1)</f>
        <v>-0.72497112911825745</v>
      </c>
      <c r="BZ9" s="731">
        <f>IF(ISERROR(BZ7/BT7-1),"NM",BZ7/BT7-1)</f>
        <v>-0.83141866122128116</v>
      </c>
      <c r="CA9" s="306">
        <f>IF(ISERROR(CA7/BU7-1),"NM",CA7/BU7-1)</f>
        <v>-0.68472846011945543</v>
      </c>
      <c r="CB9" s="381"/>
      <c r="CC9" s="731">
        <f>IF(ISERROR(CC7/BW7-1),"NM",CC7/BW7-1)</f>
        <v>-1</v>
      </c>
      <c r="CD9" s="731">
        <f>IF(ISERROR(CD7/BX7-1),"NM",CD7/BX7-1)</f>
        <v>-1</v>
      </c>
      <c r="CE9" s="731">
        <f>IF(ISERROR(CE7/BY7-1),"NM",CE7/BY7-1)</f>
        <v>-1</v>
      </c>
      <c r="CF9" s="731">
        <f>IF(ISERROR(CF7/BZ7-1),"NM",CF7/BZ7-1)</f>
        <v>-1</v>
      </c>
      <c r="CG9" s="731">
        <f>IF(ISERROR(CG7/CA7-1),"NM",CG7/CA7-1)</f>
        <v>-1</v>
      </c>
      <c r="CH9" s="511"/>
      <c r="CI9" s="731" t="str">
        <f>IF(ISERROR(CI7/CC7-1),"NM",CI7/CC7-1)</f>
        <v>NM</v>
      </c>
      <c r="CJ9" s="731" t="str">
        <f>IF(ISERROR(CJ7/CD7-1),"NM",CJ7/CD7-1)</f>
        <v>NM</v>
      </c>
      <c r="CK9" s="731" t="str">
        <f>IF(ISERROR(CK7/CE7-1),"NM",CK7/CE7-1)</f>
        <v>NM</v>
      </c>
      <c r="CL9" s="731" t="str">
        <f>IF(ISERROR(CL7/CF7-1),"NM",CL7/CF7-1)</f>
        <v>NM</v>
      </c>
      <c r="CM9" s="731" t="str">
        <f>IF(ISERROR(CM7/CG7-1),"NM",CM7/CG7-1)</f>
        <v>NM</v>
      </c>
      <c r="CN9" s="511"/>
      <c r="CO9" s="731" t="str">
        <f>IF(ISERROR(CO7/CI7-1),"NM",CO7/CI7-1)</f>
        <v>NM</v>
      </c>
      <c r="CP9" s="731" t="str">
        <f>IF(ISERROR(CP7/CJ7-1),"NM",CP7/CJ7-1)</f>
        <v>NM</v>
      </c>
      <c r="CQ9" s="731" t="str">
        <f>IF(ISERROR(CQ7/CK7-1),"NM",CQ7/CK7-1)</f>
        <v>NM</v>
      </c>
      <c r="CR9" s="731" t="str">
        <f>IF(ISERROR(CR7/CL7-1),"NM",CR7/CL7-1)</f>
        <v>NM</v>
      </c>
      <c r="CS9" s="731" t="str">
        <f>IF(ISERROR(CS7/CM7-1),"NM",CS7/CM7-1)</f>
        <v>NM</v>
      </c>
      <c r="CT9" s="306"/>
    </row>
    <row r="10" spans="1:112" ht="12.75" hidden="1" customHeight="1" outlineLevel="1" x14ac:dyDescent="0.2">
      <c r="A10" s="300"/>
      <c r="B10" s="682" t="s">
        <v>342</v>
      </c>
      <c r="C10" s="683"/>
      <c r="D10" s="683"/>
      <c r="E10" s="683"/>
      <c r="F10" s="683"/>
      <c r="G10" s="683"/>
      <c r="H10" s="684"/>
      <c r="I10" s="683"/>
      <c r="J10" s="683"/>
      <c r="K10" s="683"/>
      <c r="L10" s="683"/>
      <c r="M10" s="683"/>
      <c r="N10" s="684"/>
      <c r="O10" s="683"/>
      <c r="P10" s="683"/>
      <c r="Q10" s="683"/>
      <c r="R10" s="683"/>
      <c r="S10" s="683"/>
      <c r="T10" s="684"/>
      <c r="U10" s="683"/>
      <c r="V10" s="683"/>
      <c r="W10" s="683"/>
      <c r="X10" s="683"/>
      <c r="Y10" s="683"/>
      <c r="Z10" s="684"/>
      <c r="AA10" s="683">
        <f>IF(ISERROR(AA9-AA$69),"NM",AA9-AA$69)</f>
        <v>7.238573821488381E-2</v>
      </c>
      <c r="AB10" s="683">
        <f>IF(ISERROR(AB9-AB$69),"NM",AB9-AB$69)</f>
        <v>8.5133047001423767E-2</v>
      </c>
      <c r="AC10" s="683">
        <f>IF(ISERROR(AC9-AC$69),"NM",AC9-AC$69)</f>
        <v>0.13158818074734957</v>
      </c>
      <c r="AD10" s="683">
        <f>IF(ISERROR(AD9-AD$69),"NM",AD9-AD$69)</f>
        <v>0.12392370572207101</v>
      </c>
      <c r="AE10" s="683">
        <f>IF(ISERROR(AE9-AE$69),"NM",AE9-AE$69)</f>
        <v>0.10374373022127159</v>
      </c>
      <c r="AF10" s="684"/>
      <c r="AG10" s="683">
        <f>IF(ISERROR(AG9-AG$69),"NM",AG9-AG$69)</f>
        <v>0.10931359787769468</v>
      </c>
      <c r="AH10" s="683">
        <f>IF(ISERROR(AH9-AH$69),"NM",AH9-AH$69)</f>
        <v>0.13706187069719444</v>
      </c>
      <c r="AI10" s="683">
        <f>IF(ISERROR(AI9-AI$69),"NM",AI9-AI$69)</f>
        <v>0.17265207135975569</v>
      </c>
      <c r="AJ10" s="683">
        <f>IF(ISERROR(AJ9-AJ$69),"NM",AJ9-AJ$69)</f>
        <v>0.17111671407637297</v>
      </c>
      <c r="AK10" s="683">
        <f>IF(ISERROR(AK9-AK$69),"NM",AK9-AK$69)</f>
        <v>0.14878004555705404</v>
      </c>
      <c r="AL10" s="684"/>
      <c r="AM10" s="683">
        <f>IF(ISERROR(AM9-AM$69),"NM",AM9-AM$69)</f>
        <v>0.17306811197407379</v>
      </c>
      <c r="AN10" s="683">
        <f>IF(ISERROR(AN9-AN$69),"NM",AN9-AN$69)</f>
        <v>8.733852677250753E-2</v>
      </c>
      <c r="AO10" s="683">
        <f>IF(ISERROR(AO9-AO$69),"NM",AO9-AO$69)</f>
        <v>8.9646250023608376E-2</v>
      </c>
      <c r="AP10" s="683">
        <f>IF(ISERROR(AP9-AP$69),"NM",AP9-AP$69)</f>
        <v>0.19281620035146152</v>
      </c>
      <c r="AQ10" s="683">
        <f>IF(ISERROR(AQ9-AQ$69),"NM",AQ9-AQ$69)</f>
        <v>0.13513433527836272</v>
      </c>
      <c r="AR10" s="684"/>
      <c r="AS10" s="683">
        <f>IF(ISERROR(AS9-AS$69),"NM",AS9-AS$69)</f>
        <v>0.42494188926570908</v>
      </c>
      <c r="AT10" s="683">
        <f>IF(ISERROR(AT9-AT$69),"NM",AT9-AT$69)</f>
        <v>0.28078210162605322</v>
      </c>
      <c r="AU10" s="683">
        <f>IF(ISERROR(AU9-AU$69),"NM",AU9-AU$69)</f>
        <v>3.7101233241179754E-2</v>
      </c>
      <c r="AV10" s="683">
        <f>IF(ISERROR(AV9-AV$69),"NM",AV9-AV$69)</f>
        <v>-0.17138207117843973</v>
      </c>
      <c r="AW10" s="683">
        <f>IF(ISERROR(AW9-AW$69),"NM",AW9-AW$69)</f>
        <v>0.12520857232245297</v>
      </c>
      <c r="AX10" s="684"/>
      <c r="AY10" s="683">
        <f>IF(ISERROR(AY9-AY$69),"NM",AY9-AY$69)</f>
        <v>-0.50741748507477658</v>
      </c>
      <c r="AZ10" s="683">
        <f>IF(ISERROR(AZ9-AZ$69),"NM",AZ9-AZ$69)</f>
        <v>-0.56147524059116338</v>
      </c>
      <c r="BA10" s="683">
        <f>IF(ISERROR(BA9-BA$69),"NM",BA9-BA$69)</f>
        <v>-0.52419945967821002</v>
      </c>
      <c r="BB10" s="683">
        <f>IF(ISERROR(BB9-BB$69),"NM",BB9-BB$69)</f>
        <v>-0.57387406054559165</v>
      </c>
      <c r="BC10" s="683">
        <f>IF(ISERROR(BC9-BC$69),"NM",BC9-BC$69)</f>
        <v>-0.53982123050540864</v>
      </c>
      <c r="BD10" s="684"/>
      <c r="BE10" s="683">
        <f>IF(ISERROR(BE9-BE$69),"NM",BE9-BE$69)</f>
        <v>-0.48876663639829165</v>
      </c>
      <c r="BF10" s="683">
        <f>IF(ISERROR(BF9-BF$69),"NM",BF9-BF$69)</f>
        <v>-0.38047927146218607</v>
      </c>
      <c r="BG10" s="683">
        <f>IF(ISERROR(BG9-BG$69),"NM",BG9-BG$69)</f>
        <v>-0.41220676345927765</v>
      </c>
      <c r="BH10" s="683">
        <f>IF(ISERROR(BH9-BH$69),"NM",BH9-BH$69)</f>
        <v>-0.34313522535043928</v>
      </c>
      <c r="BI10" s="683">
        <f>IF(ISERROR(BI9-BI$69),"NM",BI9-BI$69)</f>
        <v>-0.41436374326409853</v>
      </c>
      <c r="BJ10" s="684"/>
      <c r="BK10" s="683">
        <f>IF(ISERROR(BK9-BK$69),"NM",BK9-BK$69)</f>
        <v>-0.36376555738530725</v>
      </c>
      <c r="BL10" s="683">
        <f>IF(ISERROR(BL9-BL$69),"NM",BL9-BL$69)</f>
        <v>-0.40487324609474584</v>
      </c>
      <c r="BM10" s="683">
        <f>IF(ISERROR(BM9-BM$69),"NM",BM9-BM$69)</f>
        <v>-0.38706184997818749</v>
      </c>
      <c r="BN10" s="683">
        <f>IF(ISERROR(BN9-BN$69),"NM",BN9-BN$69)</f>
        <v>-0.37135425115564935</v>
      </c>
      <c r="BO10" s="683">
        <f>IF(ISERROR(BO9-BO$69),"NM",BO9-BO$69)</f>
        <v>-0.38228695206233032</v>
      </c>
      <c r="BP10" s="684"/>
      <c r="BQ10" s="683">
        <f>IF(ISERROR(BQ9-BQ$69),"NM",BQ9-BQ$69)</f>
        <v>-0.42538422736763026</v>
      </c>
      <c r="BR10" s="683">
        <f>IF(ISERROR(BR9-BR$69),"NM",BR9-BR$69)</f>
        <v>-0.46737558303776094</v>
      </c>
      <c r="BS10" s="683">
        <f>IF(ISERROR(BS9-BS$69),"NM",BS9-BS$69)</f>
        <v>-0.51157266944458213</v>
      </c>
      <c r="BT10" s="683">
        <f>IF(ISERROR(BT9-BT$69),"NM",BT9-BT$69)</f>
        <v>-0.53879842479756235</v>
      </c>
      <c r="BU10" s="683">
        <f>IF(ISERROR(BU9-BU$69),"NM",BU9-BU$69)</f>
        <v>-0.48187886286917037</v>
      </c>
      <c r="BV10" s="684"/>
      <c r="BW10" s="683">
        <f>IF(ISERROR(BW9-BW$69),"NM",BW9-BW$69)</f>
        <v>-0.59562964774042459</v>
      </c>
      <c r="BX10" s="683">
        <f>IF(ISERROR(BX9-BX$69),"NM",BX9-BX$69)</f>
        <v>-0.6473081387749382</v>
      </c>
      <c r="BY10" s="683">
        <f>IF(ISERROR(BY9-BY$69),"NM",BY9-BY$69)</f>
        <v>-0.72497112911825745</v>
      </c>
      <c r="BZ10" s="748">
        <f>IF(ISERROR(BZ9-BZ$69),"NM",BZ9-BZ$69)</f>
        <v>-0.83141866122128116</v>
      </c>
      <c r="CA10" s="683">
        <f>IF(ISERROR(CA9-CA$69),"NM",CA9-CA$69)</f>
        <v>-0.68472846011945543</v>
      </c>
      <c r="CB10" s="684"/>
      <c r="CC10" s="748">
        <f>IF(ISERROR(CC9-CC$69),"NM",CC9-CC$69)</f>
        <v>-1</v>
      </c>
      <c r="CD10" s="748">
        <f>IF(ISERROR(CD9-CD$69),"NM",CD9-CD$69)</f>
        <v>-1</v>
      </c>
      <c r="CE10" s="748">
        <f>IF(ISERROR(CE9-CE$69),"NM",CE9-CE$69)</f>
        <v>-1</v>
      </c>
      <c r="CF10" s="748">
        <f>IF(ISERROR(CF9-CF$69),"NM",CF9-CF$69)</f>
        <v>-1</v>
      </c>
      <c r="CG10" s="748">
        <f>IF(ISERROR(CG9-CG$69),"NM",CG9-CG$69)</f>
        <v>-1</v>
      </c>
      <c r="CH10" s="684"/>
      <c r="CI10" s="748" t="str">
        <f>IF(ISERROR(CI9-CI$69),"NM",CI9-CI$69)</f>
        <v>NM</v>
      </c>
      <c r="CJ10" s="748" t="str">
        <f>IF(ISERROR(CJ9-CJ$69),"NM",CJ9-CJ$69)</f>
        <v>NM</v>
      </c>
      <c r="CK10" s="748" t="str">
        <f>IF(ISERROR(CK9-CK$69),"NM",CK9-CK$69)</f>
        <v>NM</v>
      </c>
      <c r="CL10" s="748" t="str">
        <f>IF(ISERROR(CL9-CL$69),"NM",CL9-CL$69)</f>
        <v>NM</v>
      </c>
      <c r="CM10" s="748" t="str">
        <f>IF(ISERROR(CM9-CM$69),"NM",CM9-CM$69)</f>
        <v>NM</v>
      </c>
      <c r="CN10" s="684"/>
      <c r="CO10" s="748" t="str">
        <f>IF(ISERROR(CO9-CO$69),"NM",CO9-CO$69)</f>
        <v>NM</v>
      </c>
      <c r="CP10" s="748" t="str">
        <f>IF(ISERROR(CP9-CP$69),"NM",CP9-CP$69)</f>
        <v>NM</v>
      </c>
      <c r="CQ10" s="748" t="str">
        <f>IF(ISERROR(CQ9-CQ$69),"NM",CQ9-CQ$69)</f>
        <v>NM</v>
      </c>
      <c r="CR10" s="748" t="str">
        <f>IF(ISERROR(CR9-CR$69),"NM",CR9-CR$69)</f>
        <v>NM</v>
      </c>
      <c r="CS10" s="748" t="str">
        <f>IF(ISERROR(CS9-CS$69),"NM",CS9-CS$69)</f>
        <v>NM</v>
      </c>
      <c r="CT10" s="306"/>
    </row>
    <row r="11" spans="1:112" s="43" customFormat="1" ht="6.75" hidden="1" customHeight="1" outlineLevel="1" x14ac:dyDescent="0.2">
      <c r="A11" s="300"/>
      <c r="B11" s="300"/>
      <c r="C11" s="306"/>
      <c r="D11" s="306"/>
      <c r="E11" s="306"/>
      <c r="F11" s="306"/>
      <c r="G11" s="306"/>
      <c r="H11" s="241"/>
      <c r="I11" s="306"/>
      <c r="J11" s="306"/>
      <c r="K11" s="306"/>
      <c r="L11" s="306"/>
      <c r="M11" s="306"/>
      <c r="N11" s="241"/>
      <c r="O11" s="306"/>
      <c r="P11" s="306"/>
      <c r="Q11" s="306"/>
      <c r="R11" s="306"/>
      <c r="S11" s="306"/>
      <c r="T11" s="241"/>
      <c r="U11" s="306"/>
      <c r="V11" s="306"/>
      <c r="W11" s="306"/>
      <c r="X11" s="306"/>
      <c r="Y11" s="306"/>
      <c r="Z11" s="306"/>
      <c r="AA11" s="39"/>
      <c r="AB11" s="39"/>
      <c r="AC11" s="39"/>
      <c r="AD11" s="39"/>
      <c r="AE11" s="39"/>
      <c r="AF11" s="241"/>
      <c r="AG11" s="39"/>
      <c r="AH11" s="39"/>
      <c r="AI11" s="39"/>
      <c r="AJ11" s="39"/>
      <c r="AK11" s="39"/>
      <c r="AL11" s="241"/>
      <c r="AM11" s="39"/>
      <c r="AN11" s="39"/>
      <c r="AO11" s="306"/>
      <c r="AP11" s="39"/>
      <c r="AQ11" s="306"/>
      <c r="AR11" s="241"/>
      <c r="AS11" s="39"/>
      <c r="AT11" s="39"/>
      <c r="AU11" s="39"/>
      <c r="AV11" s="39"/>
      <c r="AW11" s="306"/>
      <c r="AX11" s="241"/>
      <c r="AY11" s="39"/>
      <c r="AZ11" s="39"/>
      <c r="BA11" s="306"/>
      <c r="BB11" s="306"/>
      <c r="BC11" s="306"/>
      <c r="BD11" s="241"/>
      <c r="BE11" s="306"/>
      <c r="BF11" s="306"/>
      <c r="BG11" s="306"/>
      <c r="BH11" s="306"/>
      <c r="BI11" s="306"/>
      <c r="BJ11" s="241"/>
      <c r="BK11" s="306"/>
      <c r="BL11" s="306"/>
      <c r="BM11" s="306"/>
      <c r="BN11" s="306"/>
      <c r="BO11" s="306"/>
      <c r="BP11" s="241"/>
      <c r="BQ11" s="306"/>
      <c r="BR11" s="306"/>
      <c r="BS11" s="306"/>
      <c r="BT11" s="306"/>
      <c r="BU11" s="306"/>
      <c r="BV11" s="241"/>
      <c r="BW11" s="306"/>
      <c r="BX11" s="306"/>
      <c r="BY11" s="306"/>
      <c r="BZ11" s="306"/>
      <c r="CA11" s="306"/>
      <c r="CB11" s="241"/>
      <c r="CC11" s="306"/>
      <c r="CD11" s="306"/>
      <c r="CE11" s="306"/>
      <c r="CF11" s="306"/>
      <c r="CG11" s="306"/>
      <c r="CH11" s="241"/>
      <c r="CI11" s="510"/>
      <c r="CJ11" s="510"/>
      <c r="CK11" s="510"/>
      <c r="CL11" s="510"/>
      <c r="CM11" s="510"/>
      <c r="CN11" s="241"/>
      <c r="CO11" s="510"/>
      <c r="CP11" s="510"/>
      <c r="CQ11" s="510"/>
      <c r="CR11" s="510"/>
      <c r="CS11" s="510"/>
      <c r="CT11" s="306"/>
    </row>
    <row r="12" spans="1:112" s="43" customFormat="1" ht="12.75" hidden="1" customHeight="1" outlineLevel="1" x14ac:dyDescent="0.2">
      <c r="A12" s="367"/>
      <c r="B12" s="304" t="s">
        <v>267</v>
      </c>
      <c r="C12" s="373"/>
      <c r="D12" s="373"/>
      <c r="E12" s="373"/>
      <c r="F12" s="39"/>
      <c r="G12" s="39"/>
      <c r="H12" s="253"/>
      <c r="I12" s="373"/>
      <c r="J12" s="373"/>
      <c r="K12" s="373"/>
      <c r="L12" s="39"/>
      <c r="M12" s="39"/>
      <c r="N12" s="253"/>
      <c r="O12" s="373"/>
      <c r="P12" s="373"/>
      <c r="Q12" s="373"/>
      <c r="R12" s="39"/>
      <c r="S12" s="39"/>
      <c r="T12" s="253"/>
      <c r="U12" s="373"/>
      <c r="V12" s="373"/>
      <c r="W12" s="373"/>
      <c r="X12" s="39"/>
      <c r="Y12" s="39"/>
      <c r="Z12" s="253"/>
      <c r="AA12" s="373"/>
      <c r="AB12" s="373"/>
      <c r="AC12" s="373"/>
      <c r="AD12" s="39"/>
      <c r="AE12" s="39"/>
      <c r="AF12" s="253"/>
      <c r="AG12" s="373">
        <v>2.6429999999999998</v>
      </c>
      <c r="AH12" s="373">
        <v>2.9129999999999998</v>
      </c>
      <c r="AI12" s="373">
        <v>3.4420000000000002</v>
      </c>
      <c r="AJ12" s="39">
        <f>13.587-AI12-AH12-AG12</f>
        <v>4.5889999999999995</v>
      </c>
      <c r="AK12" s="39">
        <f>+SUM(AG12:AJ12)</f>
        <v>13.587</v>
      </c>
      <c r="AL12" s="253"/>
      <c r="AM12" s="373">
        <v>7.6230000000000002</v>
      </c>
      <c r="AN12" s="373">
        <v>15.781000000000001</v>
      </c>
      <c r="AO12" s="373">
        <v>16.922999999999998</v>
      </c>
      <c r="AP12" s="39">
        <f>59.14-AO12-AN12-AM12</f>
        <v>18.812999999999999</v>
      </c>
      <c r="AQ12" s="39">
        <f>+SUM(AM12:AP12)</f>
        <v>59.14</v>
      </c>
      <c r="AR12" s="253"/>
      <c r="AS12" s="373">
        <v>24.771999999999998</v>
      </c>
      <c r="AT12" s="373">
        <v>24.698</v>
      </c>
      <c r="AU12" s="373">
        <v>21.062000000000001</v>
      </c>
      <c r="AV12" s="39">
        <f>89.427-AU12-AT12-AS12</f>
        <v>18.89500000000001</v>
      </c>
      <c r="AW12" s="39">
        <f>+SUM(AS12:AV12)</f>
        <v>89.427000000000007</v>
      </c>
      <c r="AX12" s="253"/>
      <c r="AY12" s="373">
        <v>12.362</v>
      </c>
      <c r="AZ12" s="373">
        <f>72.456*(AY12/SUM($AY$7,$AY$12))</f>
        <v>10.410044768833826</v>
      </c>
      <c r="BA12" s="373">
        <f>77.4*(AZ12/SUM($AZ$7,$AZ$12,$AZ$29))</f>
        <v>10.104428940772035</v>
      </c>
      <c r="BB12" s="373">
        <f>62.8*(BA12/SUM($BA$7,$BA$12,$BA$29))</f>
        <v>8.5762689212121046</v>
      </c>
      <c r="BC12" s="39">
        <f>+SUM(AY12:BB12)</f>
        <v>41.452742630817966</v>
      </c>
      <c r="BD12" s="253"/>
      <c r="BE12" s="39">
        <v>0</v>
      </c>
      <c r="BF12" s="39">
        <v>0</v>
      </c>
      <c r="BG12" s="39">
        <v>0</v>
      </c>
      <c r="BH12" s="39">
        <v>0</v>
      </c>
      <c r="BI12" s="39">
        <v>0</v>
      </c>
      <c r="BJ12" s="253"/>
      <c r="BK12" s="39">
        <v>0</v>
      </c>
      <c r="BL12" s="39">
        <v>0</v>
      </c>
      <c r="BM12" s="39">
        <v>0</v>
      </c>
      <c r="BN12" s="39">
        <v>0</v>
      </c>
      <c r="BO12" s="39">
        <v>0</v>
      </c>
      <c r="BP12" s="253"/>
      <c r="BQ12" s="39">
        <v>0</v>
      </c>
      <c r="BR12" s="39">
        <v>0</v>
      </c>
      <c r="BS12" s="39">
        <v>0</v>
      </c>
      <c r="BT12" s="39">
        <v>0</v>
      </c>
      <c r="BU12" s="39">
        <v>0</v>
      </c>
      <c r="BV12" s="253"/>
      <c r="BW12" s="39">
        <v>0</v>
      </c>
      <c r="BX12" s="39">
        <v>0</v>
      </c>
      <c r="BY12" s="39">
        <v>0</v>
      </c>
      <c r="BZ12" s="39">
        <v>0</v>
      </c>
      <c r="CA12" s="39">
        <v>0</v>
      </c>
      <c r="CB12" s="253"/>
      <c r="CC12" s="39">
        <v>0</v>
      </c>
      <c r="CD12" s="39">
        <v>0</v>
      </c>
      <c r="CE12" s="39">
        <v>0</v>
      </c>
      <c r="CF12" s="39">
        <v>0</v>
      </c>
      <c r="CG12" s="39">
        <v>0</v>
      </c>
      <c r="CH12" s="253"/>
      <c r="CI12" s="39">
        <v>0</v>
      </c>
      <c r="CJ12" s="39">
        <v>0</v>
      </c>
      <c r="CK12" s="39">
        <v>0</v>
      </c>
      <c r="CL12" s="39">
        <v>0</v>
      </c>
      <c r="CM12" s="39">
        <v>0</v>
      </c>
      <c r="CN12" s="253"/>
      <c r="CO12" s="39">
        <v>0</v>
      </c>
      <c r="CP12" s="39">
        <v>0</v>
      </c>
      <c r="CQ12" s="39">
        <v>0</v>
      </c>
      <c r="CR12" s="39">
        <v>0</v>
      </c>
      <c r="CS12" s="39">
        <v>0</v>
      </c>
      <c r="CT12" s="39"/>
    </row>
    <row r="13" spans="1:112" s="43" customFormat="1" ht="12.75" hidden="1" customHeight="1" outlineLevel="1" x14ac:dyDescent="0.2">
      <c r="A13" s="300"/>
      <c r="B13" s="266" t="s">
        <v>341</v>
      </c>
      <c r="C13" s="308"/>
      <c r="D13" s="308"/>
      <c r="E13" s="308"/>
      <c r="F13" s="308"/>
      <c r="G13" s="308"/>
      <c r="H13" s="308"/>
      <c r="I13" s="308"/>
      <c r="J13" s="308"/>
      <c r="K13" s="308"/>
      <c r="L13" s="308"/>
      <c r="M13" s="306"/>
      <c r="N13" s="308"/>
      <c r="O13" s="308"/>
      <c r="P13" s="308"/>
      <c r="Q13" s="308"/>
      <c r="R13" s="308"/>
      <c r="S13" s="306"/>
      <c r="T13" s="308"/>
      <c r="U13" s="308"/>
      <c r="V13" s="308"/>
      <c r="W13" s="308"/>
      <c r="X13" s="308"/>
      <c r="Y13" s="306"/>
      <c r="Z13" s="381"/>
      <c r="AA13" s="306">
        <f>AA12/AA$33</f>
        <v>0</v>
      </c>
      <c r="AB13" s="306">
        <f>AB12/AB$33</f>
        <v>0</v>
      </c>
      <c r="AC13" s="306">
        <f>AC12/AC$33</f>
        <v>0</v>
      </c>
      <c r="AD13" s="306">
        <f>AD12/AD$33</f>
        <v>0</v>
      </c>
      <c r="AE13" s="306">
        <f>AE12/AE$33</f>
        <v>0</v>
      </c>
      <c r="AF13" s="381"/>
      <c r="AG13" s="306">
        <f>AG12/AG$33</f>
        <v>2.5974919411903451E-2</v>
      </c>
      <c r="AH13" s="306">
        <f>AH12/AH$33</f>
        <v>2.5276365340228729E-2</v>
      </c>
      <c r="AI13" s="306">
        <f>AI12/AI$33</f>
        <v>2.8558390375440779E-2</v>
      </c>
      <c r="AJ13" s="306">
        <f>AJ12/AJ$33</f>
        <v>3.6765236061817509E-2</v>
      </c>
      <c r="AK13" s="306">
        <f>AK12/AK$33</f>
        <v>2.9387336646897747E-2</v>
      </c>
      <c r="AL13" s="381"/>
      <c r="AM13" s="306">
        <f>AM12/AM$33</f>
        <v>6.1142481311559561E-2</v>
      </c>
      <c r="AN13" s="306">
        <f>AN12/AN$33</f>
        <v>0.11426316513528974</v>
      </c>
      <c r="AO13" s="306">
        <f>AO12/AO$33</f>
        <v>0.11623737894086131</v>
      </c>
      <c r="AP13" s="306">
        <f>AP12/AP$33</f>
        <v>0.1154362992642953</v>
      </c>
      <c r="AQ13" s="306">
        <f>AQ12/AQ$33</f>
        <v>0.10350923251947143</v>
      </c>
      <c r="AR13" s="381"/>
      <c r="AS13" s="306">
        <f>AS12/AS$33</f>
        <v>0.13128481257518987</v>
      </c>
      <c r="AT13" s="306">
        <f>AT12/AT$33</f>
        <v>0.12797620589774544</v>
      </c>
      <c r="AU13" s="306">
        <f>AU12/AU$33</f>
        <v>0.12421195411788988</v>
      </c>
      <c r="AV13" s="306">
        <f>AV12/AV$33</f>
        <v>0.11188749074759442</v>
      </c>
      <c r="AW13" s="306">
        <f>AW12/AW$33</f>
        <v>0.12418381431931989</v>
      </c>
      <c r="AX13" s="381"/>
      <c r="AY13" s="306">
        <f>AY12/AY$33</f>
        <v>8.2102984053610675E-2</v>
      </c>
      <c r="AZ13" s="306">
        <f>AZ12/AZ$33</f>
        <v>6.3108391796755647E-2</v>
      </c>
      <c r="BA13" s="306">
        <f>BA12/BA$33</f>
        <v>6.354986755202538E-2</v>
      </c>
      <c r="BB13" s="306">
        <f>BB12/BB$33</f>
        <v>5.2374184949208237E-2</v>
      </c>
      <c r="BC13" s="306">
        <f>BC12/BC$33</f>
        <v>6.4945270076936137E-2</v>
      </c>
      <c r="BD13" s="381"/>
      <c r="BE13" s="306">
        <f>BE12/BE$33</f>
        <v>0</v>
      </c>
      <c r="BF13" s="306">
        <f>BF12/BF$33</f>
        <v>0</v>
      </c>
      <c r="BG13" s="306">
        <f>BG12/BG$33</f>
        <v>0</v>
      </c>
      <c r="BH13" s="306">
        <f>BH12/BH$33</f>
        <v>0</v>
      </c>
      <c r="BI13" s="306">
        <f>BI12/BI$33</f>
        <v>0</v>
      </c>
      <c r="BJ13" s="381"/>
      <c r="BK13" s="306">
        <f>BK12/BK$33</f>
        <v>0</v>
      </c>
      <c r="BL13" s="306">
        <f>BL12/BL$33</f>
        <v>0</v>
      </c>
      <c r="BM13" s="306">
        <f>BM12/BM$33</f>
        <v>0</v>
      </c>
      <c r="BN13" s="306">
        <f>BN12/BN$33</f>
        <v>0</v>
      </c>
      <c r="BO13" s="306">
        <f>BO12/BO$33</f>
        <v>0</v>
      </c>
      <c r="BP13" s="381"/>
      <c r="BQ13" s="306">
        <f>BQ12/BQ$33</f>
        <v>0</v>
      </c>
      <c r="BR13" s="306">
        <f>BR12/BR$33</f>
        <v>0</v>
      </c>
      <c r="BS13" s="306">
        <f>BS12/BS$33</f>
        <v>0</v>
      </c>
      <c r="BT13" s="306">
        <f>BT12/BT$33</f>
        <v>0</v>
      </c>
      <c r="BU13" s="306">
        <f>BU12/BU$33</f>
        <v>0</v>
      </c>
      <c r="BV13" s="381"/>
      <c r="BW13" s="306">
        <f>BW12/BW$33</f>
        <v>0</v>
      </c>
      <c r="BX13" s="306">
        <f>BX12/BX$33</f>
        <v>0</v>
      </c>
      <c r="BY13" s="306">
        <f>BY12/BY$33</f>
        <v>0</v>
      </c>
      <c r="BZ13" s="306">
        <f>BZ12/BZ$33</f>
        <v>0</v>
      </c>
      <c r="CA13" s="306">
        <f>CA12/CA$33</f>
        <v>0</v>
      </c>
      <c r="CB13" s="381"/>
      <c r="CC13" s="306">
        <f>CC12/CC$33</f>
        <v>0</v>
      </c>
      <c r="CD13" s="306">
        <f>CD12/CD$33</f>
        <v>0</v>
      </c>
      <c r="CE13" s="306">
        <f>CE12/CE$33</f>
        <v>0</v>
      </c>
      <c r="CF13" s="306">
        <f>CF12/CF$33</f>
        <v>0</v>
      </c>
      <c r="CG13" s="306">
        <f>CG12/CG$33</f>
        <v>0</v>
      </c>
      <c r="CH13" s="511"/>
      <c r="CI13" s="510">
        <f>CI12/CI$33</f>
        <v>0</v>
      </c>
      <c r="CJ13" s="510">
        <f>CJ12/CJ$33</f>
        <v>0</v>
      </c>
      <c r="CK13" s="510">
        <f>CK12/CK$33</f>
        <v>0</v>
      </c>
      <c r="CL13" s="510">
        <f>CL12/CL$33</f>
        <v>0</v>
      </c>
      <c r="CM13" s="510">
        <f>CM12/CM$33</f>
        <v>0</v>
      </c>
      <c r="CN13" s="511"/>
      <c r="CO13" s="510">
        <f>CO12/CO$33</f>
        <v>0</v>
      </c>
      <c r="CP13" s="510">
        <f>CP12/CP$33</f>
        <v>0</v>
      </c>
      <c r="CQ13" s="510">
        <f>CQ12/CQ$33</f>
        <v>0</v>
      </c>
      <c r="CR13" s="510">
        <f>CR12/CR$33</f>
        <v>0</v>
      </c>
      <c r="CS13" s="510">
        <f>CS12/CS$33</f>
        <v>0</v>
      </c>
      <c r="CT13" s="306"/>
    </row>
    <row r="14" spans="1:112" s="43" customFormat="1" ht="12.75" hidden="1" customHeight="1" outlineLevel="1" x14ac:dyDescent="0.2">
      <c r="A14" s="300"/>
      <c r="B14" s="266" t="s">
        <v>339</v>
      </c>
      <c r="C14" s="308"/>
      <c r="D14" s="308"/>
      <c r="E14" s="308"/>
      <c r="F14" s="308"/>
      <c r="G14" s="308"/>
      <c r="H14" s="308"/>
      <c r="I14" s="308"/>
      <c r="J14" s="308"/>
      <c r="K14" s="308"/>
      <c r="L14" s="308"/>
      <c r="M14" s="306"/>
      <c r="N14" s="308"/>
      <c r="O14" s="308"/>
      <c r="P14" s="308"/>
      <c r="Q14" s="308"/>
      <c r="R14" s="308"/>
      <c r="S14" s="306"/>
      <c r="T14" s="308"/>
      <c r="U14" s="308"/>
      <c r="V14" s="308"/>
      <c r="W14" s="308"/>
      <c r="X14" s="308"/>
      <c r="Y14" s="306"/>
      <c r="Z14" s="381"/>
      <c r="AA14" s="306" t="str">
        <f>IF(ISERROR(AA12/U12-1),"NM",AA12/U12-1)</f>
        <v>NM</v>
      </c>
      <c r="AB14" s="306" t="str">
        <f>IF(ISERROR(AB12/V12-1),"NM",AB12/V12-1)</f>
        <v>NM</v>
      </c>
      <c r="AC14" s="306" t="str">
        <f>IF(ISERROR(AC12/W12-1),"NM",AC12/W12-1)</f>
        <v>NM</v>
      </c>
      <c r="AD14" s="306" t="str">
        <f>IF(ISERROR(AD12/X12-1),"NM",AD12/X12-1)</f>
        <v>NM</v>
      </c>
      <c r="AE14" s="306" t="str">
        <f>IF(ISERROR(AE12/Y12-1),"NM",AE12/Y12-1)</f>
        <v>NM</v>
      </c>
      <c r="AF14" s="381"/>
      <c r="AG14" s="306" t="str">
        <f>IF(ISERROR(AG12/AA12-1),"NM",AG12/AA12-1)</f>
        <v>NM</v>
      </c>
      <c r="AH14" s="306" t="str">
        <f>IF(ISERROR(AH12/AB12-1),"NM",AH12/AB12-1)</f>
        <v>NM</v>
      </c>
      <c r="AI14" s="306" t="str">
        <f>IF(ISERROR(AI12/AC12-1),"NM",AI12/AC12-1)</f>
        <v>NM</v>
      </c>
      <c r="AJ14" s="306" t="str">
        <f>IF(ISERROR(AJ12/AD12-1),"NM",AJ12/AD12-1)</f>
        <v>NM</v>
      </c>
      <c r="AK14" s="306" t="str">
        <f>IF(ISERROR(AK12/AE12-1),"NM",AK12/AE12-1)</f>
        <v>NM</v>
      </c>
      <c r="AL14" s="381"/>
      <c r="AM14" s="306">
        <f>IF(ISERROR(AM12/AG12-1),"NM",AM12/AG12-1)</f>
        <v>1.8842224744608402</v>
      </c>
      <c r="AN14" s="306">
        <f>IF(ISERROR(AN12/AH12-1),"NM",AN12/AH12-1)</f>
        <v>4.4174390662547207</v>
      </c>
      <c r="AO14" s="306">
        <f>IF(ISERROR(AO12/AI12-1),"NM",AO12/AI12-1)</f>
        <v>3.9166182452062746</v>
      </c>
      <c r="AP14" s="306">
        <f>IF(ISERROR(AP12/AJ12-1),"NM",AP12/AJ12-1)</f>
        <v>3.0995859664414906</v>
      </c>
      <c r="AQ14" s="306">
        <f>IF(ISERROR(AQ12/AK12-1),"NM",AQ12/AK12-1)</f>
        <v>3.3526900713917716</v>
      </c>
      <c r="AR14" s="381"/>
      <c r="AS14" s="306">
        <f>IF(ISERROR(AS12/AM12-1),"NM",AS12/AM12-1)</f>
        <v>2.2496392496392494</v>
      </c>
      <c r="AT14" s="306">
        <f>IF(ISERROR(AT12/AN12-1),"NM",AT12/AN12-1)</f>
        <v>0.56504657499524735</v>
      </c>
      <c r="AU14" s="306">
        <f>IF(ISERROR(AU12/AO12-1),"NM",AU12/AO12-1)</f>
        <v>0.24457838444720226</v>
      </c>
      <c r="AV14" s="306">
        <f>IF(ISERROR(AV12/AP12-1),"NM",AV12/AP12-1)</f>
        <v>4.3586881411796785E-3</v>
      </c>
      <c r="AW14" s="306">
        <f>IF(ISERROR(AW12/AQ12-1),"NM",AW12/AQ12-1)</f>
        <v>0.51212377409536702</v>
      </c>
      <c r="AX14" s="381"/>
      <c r="AY14" s="306">
        <f>IF(ISERROR(AY12/AS12-1),"NM",AY12/AS12-1)</f>
        <v>-0.50096883578233486</v>
      </c>
      <c r="AZ14" s="306">
        <f>IF(ISERROR(AZ12/AT12-1),"NM",AZ12/AT12-1)</f>
        <v>-0.57850656859527794</v>
      </c>
      <c r="BA14" s="306">
        <f>IF(ISERROR(BA12/AU12-1),"NM",BA12/AU12-1)</f>
        <v>-0.52025311267818664</v>
      </c>
      <c r="BB14" s="306">
        <f>IF(ISERROR(BB12/AV12-1),"NM",BB12/AV12-1)</f>
        <v>-0.54610908064503305</v>
      </c>
      <c r="BC14" s="306">
        <f>IF(ISERROR(BC12/AW12-1),"NM",BC12/AW12-1)</f>
        <v>-0.536462783825713</v>
      </c>
      <c r="BD14" s="381"/>
      <c r="BE14" s="306">
        <f>IF(ISERROR(BE12/AY12-1),"NM",BE12/AY12-1)</f>
        <v>-1</v>
      </c>
      <c r="BF14" s="731">
        <f>IF(ISERROR(BF12/AZ12-1),"NM",BF12/AZ12-1)</f>
        <v>-1</v>
      </c>
      <c r="BG14" s="731">
        <f>IF(ISERROR(BG12/BA12-1),"NM",BG12/BA12-1)</f>
        <v>-1</v>
      </c>
      <c r="BH14" s="731">
        <f>IF(ISERROR(BH12/BB12-1),"NM",BH12/BB12-1)</f>
        <v>-1</v>
      </c>
      <c r="BI14" s="731">
        <f>IF(ISERROR(BI12/BC12-1),"NM",BI12/BC12-1)</f>
        <v>-1</v>
      </c>
      <c r="BJ14" s="381"/>
      <c r="BK14" s="306" t="str">
        <f>IF(ISERROR(BK12/BE12-1),"NM",BK12/BE12-1)</f>
        <v>NM</v>
      </c>
      <c r="BL14" s="306" t="str">
        <f>IF(ISERROR(BL12/BF12-1),"NM",BL12/BF12-1)</f>
        <v>NM</v>
      </c>
      <c r="BM14" s="306" t="str">
        <f>IF(ISERROR(BM12/BG12-1),"NM",BM12/BG12-1)</f>
        <v>NM</v>
      </c>
      <c r="BN14" s="306" t="str">
        <f>IF(ISERROR(BN12/BH12-1),"NM",BN12/BH12-1)</f>
        <v>NM</v>
      </c>
      <c r="BO14" s="306" t="str">
        <f>IF(ISERROR(BO12/BI12-1),"NM",BO12/BI12-1)</f>
        <v>NM</v>
      </c>
      <c r="BP14" s="381"/>
      <c r="BQ14" s="306" t="str">
        <f>IF(ISERROR(BQ12/BK12-1),"NM",BQ12/BK12-1)</f>
        <v>NM</v>
      </c>
      <c r="BR14" s="306" t="str">
        <f>IF(ISERROR(BR12/BL12-1),"NM",BR12/BL12-1)</f>
        <v>NM</v>
      </c>
      <c r="BS14" s="306" t="str">
        <f>IF(ISERROR(BS12/BM12-1),"NM",BS12/BM12-1)</f>
        <v>NM</v>
      </c>
      <c r="BT14" s="306" t="str">
        <f>IF(ISERROR(BT12/BN12-1),"NM",BT12/BN12-1)</f>
        <v>NM</v>
      </c>
      <c r="BU14" s="306" t="str">
        <f>IF(ISERROR(BU12/BO12-1),"NM",BU12/BO12-1)</f>
        <v>NM</v>
      </c>
      <c r="BV14" s="381"/>
      <c r="BW14" s="306" t="str">
        <f>IF(ISERROR(BW12/BQ12-1),"NM",BW12/BQ12-1)</f>
        <v>NM</v>
      </c>
      <c r="BX14" s="306" t="str">
        <f>IF(ISERROR(BX12/BR12-1),"NM",BX12/BR12-1)</f>
        <v>NM</v>
      </c>
      <c r="BY14" s="306" t="str">
        <f>IF(ISERROR(BY12/BS12-1),"NM",BY12/BS12-1)</f>
        <v>NM</v>
      </c>
      <c r="BZ14" s="306" t="str">
        <f>IF(ISERROR(BZ12/BT12-1),"NM",BZ12/BT12-1)</f>
        <v>NM</v>
      </c>
      <c r="CA14" s="306" t="str">
        <f>IF(ISERROR(CA12/BU12-1),"NM",CA12/BU12-1)</f>
        <v>NM</v>
      </c>
      <c r="CB14" s="381"/>
      <c r="CC14" s="306" t="str">
        <f>IF(ISERROR(CC12/BW12-1),"NM",CC12/BW12-1)</f>
        <v>NM</v>
      </c>
      <c r="CD14" s="306" t="str">
        <f>IF(ISERROR(CD12/BX12-1),"NM",CD12/BX12-1)</f>
        <v>NM</v>
      </c>
      <c r="CE14" s="306" t="str">
        <f>IF(ISERROR(CE12/BY12-1),"NM",CE12/BY12-1)</f>
        <v>NM</v>
      </c>
      <c r="CF14" s="306" t="str">
        <f>IF(ISERROR(CF12/BZ12-1),"NM",CF12/BZ12-1)</f>
        <v>NM</v>
      </c>
      <c r="CG14" s="306" t="str">
        <f>IF(ISERROR(CG12/CA12-1),"NM",CG12/CA12-1)</f>
        <v>NM</v>
      </c>
      <c r="CH14" s="511"/>
      <c r="CI14" s="510" t="str">
        <f>IF(ISERROR(CI12/CC12-1),"NM",CI12/CC12-1)</f>
        <v>NM</v>
      </c>
      <c r="CJ14" s="510" t="str">
        <f>IF(ISERROR(CJ12/CD12-1),"NM",CJ12/CD12-1)</f>
        <v>NM</v>
      </c>
      <c r="CK14" s="510" t="str">
        <f>IF(ISERROR(CK12/CE12-1),"NM",CK12/CE12-1)</f>
        <v>NM</v>
      </c>
      <c r="CL14" s="510" t="str">
        <f>IF(ISERROR(CL12/CF12-1),"NM",CL12/CF12-1)</f>
        <v>NM</v>
      </c>
      <c r="CM14" s="510" t="str">
        <f>IF(ISERROR(CM12/CG12-1),"NM",CM12/CG12-1)</f>
        <v>NM</v>
      </c>
      <c r="CN14" s="511"/>
      <c r="CO14" s="510" t="str">
        <f>IF(ISERROR(CO12/CI12-1),"NM",CO12/CI12-1)</f>
        <v>NM</v>
      </c>
      <c r="CP14" s="510" t="str">
        <f>IF(ISERROR(CP12/CJ12-1),"NM",CP12/CJ12-1)</f>
        <v>NM</v>
      </c>
      <c r="CQ14" s="510" t="str">
        <f>IF(ISERROR(CQ12/CK12-1),"NM",CQ12/CK12-1)</f>
        <v>NM</v>
      </c>
      <c r="CR14" s="510" t="str">
        <f>IF(ISERROR(CR12/CL12-1),"NM",CR12/CL12-1)</f>
        <v>NM</v>
      </c>
      <c r="CS14" s="510" t="str">
        <f>IF(ISERROR(CS12/CM12-1),"NM",CS12/CM12-1)</f>
        <v>NM</v>
      </c>
      <c r="CT14" s="306"/>
    </row>
    <row r="15" spans="1:112" ht="12.75" hidden="1" customHeight="1" outlineLevel="1" x14ac:dyDescent="0.2">
      <c r="A15" s="300"/>
      <c r="B15" s="682" t="s">
        <v>342</v>
      </c>
      <c r="C15" s="683"/>
      <c r="D15" s="683"/>
      <c r="E15" s="683"/>
      <c r="F15" s="683"/>
      <c r="G15" s="683"/>
      <c r="H15" s="684"/>
      <c r="I15" s="683"/>
      <c r="J15" s="683"/>
      <c r="K15" s="683"/>
      <c r="L15" s="683"/>
      <c r="M15" s="683"/>
      <c r="N15" s="684"/>
      <c r="O15" s="683"/>
      <c r="P15" s="683"/>
      <c r="Q15" s="683"/>
      <c r="R15" s="683"/>
      <c r="S15" s="683"/>
      <c r="T15" s="684"/>
      <c r="U15" s="683"/>
      <c r="V15" s="683"/>
      <c r="W15" s="683"/>
      <c r="X15" s="683"/>
      <c r="Y15" s="683"/>
      <c r="Z15" s="684"/>
      <c r="AA15" s="683" t="str">
        <f>IF(ISERROR(AA14-AA$69),"NM",AA14-AA$69)</f>
        <v>NM</v>
      </c>
      <c r="AB15" s="683" t="str">
        <f>IF(ISERROR(AB14-AB$69),"NM",AB14-AB$69)</f>
        <v>NM</v>
      </c>
      <c r="AC15" s="683" t="str">
        <f>IF(ISERROR(AC14-AC$69),"NM",AC14-AC$69)</f>
        <v>NM</v>
      </c>
      <c r="AD15" s="683" t="str">
        <f>IF(ISERROR(AD14-AD$69),"NM",AD14-AD$69)</f>
        <v>NM</v>
      </c>
      <c r="AE15" s="683" t="str">
        <f>IF(ISERROR(AE14-AE$69),"NM",AE14-AE$69)</f>
        <v>NM</v>
      </c>
      <c r="AF15" s="684"/>
      <c r="AG15" s="683" t="str">
        <f>IF(ISERROR(AG14-AG$69),"NM",AG14-AG$69)</f>
        <v>NM</v>
      </c>
      <c r="AH15" s="683" t="str">
        <f>IF(ISERROR(AH14-AH$69),"NM",AH14-AH$69)</f>
        <v>NM</v>
      </c>
      <c r="AI15" s="683" t="str">
        <f>IF(ISERROR(AI14-AI$69),"NM",AI14-AI$69)</f>
        <v>NM</v>
      </c>
      <c r="AJ15" s="683" t="str">
        <f>IF(ISERROR(AJ14-AJ$69),"NM",AJ14-AJ$69)</f>
        <v>NM</v>
      </c>
      <c r="AK15" s="683" t="str">
        <f>IF(ISERROR(AK14-AK$69),"NM",AK14-AK$69)</f>
        <v>NM</v>
      </c>
      <c r="AL15" s="684"/>
      <c r="AM15" s="683">
        <f>IF(ISERROR(AM14-AM$69),"NM",AM14-AM$69)</f>
        <v>1.8842224744608402</v>
      </c>
      <c r="AN15" s="683">
        <f>IF(ISERROR(AN14-AN$69),"NM",AN14-AN$69)</f>
        <v>4.4174390662547207</v>
      </c>
      <c r="AO15" s="683">
        <f>IF(ISERROR(AO14-AO$69),"NM",AO14-AO$69)</f>
        <v>3.9166182452062746</v>
      </c>
      <c r="AP15" s="683">
        <f>IF(ISERROR(AP14-AP$69),"NM",AP14-AP$69)</f>
        <v>3.0995859664414906</v>
      </c>
      <c r="AQ15" s="683">
        <f>IF(ISERROR(AQ14-AQ$69),"NM",AQ14-AQ$69)</f>
        <v>3.3526900713917716</v>
      </c>
      <c r="AR15" s="684"/>
      <c r="AS15" s="683">
        <f>IF(ISERROR(AS14-AS$69),"NM",AS14-AS$69)</f>
        <v>2.2496392496392494</v>
      </c>
      <c r="AT15" s="683">
        <f>IF(ISERROR(AT14-AT$69),"NM",AT14-AT$69)</f>
        <v>0.56504657499524735</v>
      </c>
      <c r="AU15" s="683">
        <f>IF(ISERROR(AU14-AU$69),"NM",AU14-AU$69)</f>
        <v>0.24457838444720226</v>
      </c>
      <c r="AV15" s="683">
        <f>IF(ISERROR(AV14-AV$69),"NM",AV14-AV$69)</f>
        <v>4.3586881411796785E-3</v>
      </c>
      <c r="AW15" s="683">
        <f>IF(ISERROR(AW14-AW$69),"NM",AW14-AW$69)</f>
        <v>0.51212377409536702</v>
      </c>
      <c r="AX15" s="684"/>
      <c r="AY15" s="683">
        <f>IF(ISERROR(AY14-AY$69),"NM",AY14-AY$69)</f>
        <v>-0.50096883578233486</v>
      </c>
      <c r="AZ15" s="683">
        <f>IF(ISERROR(AZ14-AZ$69),"NM",AZ14-AZ$69)</f>
        <v>-0.57850656859527794</v>
      </c>
      <c r="BA15" s="683">
        <f>IF(ISERROR(BA14-BA$69),"NM",BA14-BA$69)</f>
        <v>-0.52025311267818664</v>
      </c>
      <c r="BB15" s="683">
        <f>IF(ISERROR(BB14-BB$69),"NM",BB14-BB$69)</f>
        <v>-0.54610908064503305</v>
      </c>
      <c r="BC15" s="683">
        <f>IF(ISERROR(BC14-BC$69),"NM",BC14-BC$69)</f>
        <v>-0.536462783825713</v>
      </c>
      <c r="BD15" s="684"/>
      <c r="BE15" s="683">
        <f>IF(ISERROR(BE14-BE$69),"NM",BE14-BE$69)</f>
        <v>-1</v>
      </c>
      <c r="BF15" s="748">
        <f>IF(ISERROR(BF14-BF$69),"NM",BF14-BF$69)</f>
        <v>-1</v>
      </c>
      <c r="BG15" s="748">
        <f>IF(ISERROR(BG14-BG$69),"NM",BG14-BG$69)</f>
        <v>-1</v>
      </c>
      <c r="BH15" s="748">
        <f>IF(ISERROR(BH14-BH$69),"NM",BH14-BH$69)</f>
        <v>-1</v>
      </c>
      <c r="BI15" s="748">
        <f>IF(ISERROR(BI14-BI$69),"NM",BI14-BI$69)</f>
        <v>-1</v>
      </c>
      <c r="BJ15" s="684"/>
      <c r="BK15" s="683" t="str">
        <f>IF(ISERROR(BK14-BK$69),"NM",BK14-BK$69)</f>
        <v>NM</v>
      </c>
      <c r="BL15" s="683" t="str">
        <f>IF(ISERROR(BL14-BL$69),"NM",BL14-BL$69)</f>
        <v>NM</v>
      </c>
      <c r="BM15" s="683" t="str">
        <f>IF(ISERROR(BM14-BM$69),"NM",BM14-BM$69)</f>
        <v>NM</v>
      </c>
      <c r="BN15" s="683" t="str">
        <f>IF(ISERROR(BN14-BN$69),"NM",BN14-BN$69)</f>
        <v>NM</v>
      </c>
      <c r="BO15" s="683" t="str">
        <f>IF(ISERROR(BO14-BO$69),"NM",BO14-BO$69)</f>
        <v>NM</v>
      </c>
      <c r="BP15" s="684"/>
      <c r="BQ15" s="683" t="str">
        <f>IF(ISERROR(BQ14-BQ$69),"NM",BQ14-BQ$69)</f>
        <v>NM</v>
      </c>
      <c r="BR15" s="683" t="str">
        <f>IF(ISERROR(BR14-BR$69),"NM",BR14-BR$69)</f>
        <v>NM</v>
      </c>
      <c r="BS15" s="683" t="str">
        <f>IF(ISERROR(BS14-BS$69),"NM",BS14-BS$69)</f>
        <v>NM</v>
      </c>
      <c r="BT15" s="683" t="str">
        <f>IF(ISERROR(BT14-BT$69),"NM",BT14-BT$69)</f>
        <v>NM</v>
      </c>
      <c r="BU15" s="683" t="str">
        <f>IF(ISERROR(BU14-BU$69),"NM",BU14-BU$69)</f>
        <v>NM</v>
      </c>
      <c r="BV15" s="684"/>
      <c r="BW15" s="683" t="str">
        <f>IF(ISERROR(BW14-BW$69),"NM",BW14-BW$69)</f>
        <v>NM</v>
      </c>
      <c r="BX15" s="683" t="str">
        <f>IF(ISERROR(BX14-BX$69),"NM",BX14-BX$69)</f>
        <v>NM</v>
      </c>
      <c r="BY15" s="683" t="str">
        <f>IF(ISERROR(BY14-BY$69),"NM",BY14-BY$69)</f>
        <v>NM</v>
      </c>
      <c r="BZ15" s="683" t="str">
        <f>IF(ISERROR(BZ14-BZ$69),"NM",BZ14-BZ$69)</f>
        <v>NM</v>
      </c>
      <c r="CA15" s="683" t="str">
        <f>IF(ISERROR(CA14-CA$69),"NM",CA14-CA$69)</f>
        <v>NM</v>
      </c>
      <c r="CB15" s="684"/>
      <c r="CC15" s="683" t="str">
        <f>IF(ISERROR(CC14-CC$69),"NM",CC14-CC$69)</f>
        <v>NM</v>
      </c>
      <c r="CD15" s="683" t="str">
        <f>IF(ISERROR(CD14-CD$69),"NM",CD14-CD$69)</f>
        <v>NM</v>
      </c>
      <c r="CE15" s="683" t="str">
        <f>IF(ISERROR(CE14-CE$69),"NM",CE14-CE$69)</f>
        <v>NM</v>
      </c>
      <c r="CF15" s="683" t="str">
        <f>IF(ISERROR(CF14-CF$69),"NM",CF14-CF$69)</f>
        <v>NM</v>
      </c>
      <c r="CG15" s="683" t="str">
        <f>IF(ISERROR(CG14-CG$69),"NM",CG14-CG$69)</f>
        <v>NM</v>
      </c>
      <c r="CH15" s="684"/>
      <c r="CI15" s="683" t="str">
        <f>IF(ISERROR(CI14-CI$69),"NM",CI14-CI$69)</f>
        <v>NM</v>
      </c>
      <c r="CJ15" s="683" t="str">
        <f>IF(ISERROR(CJ14-CJ$69),"NM",CJ14-CJ$69)</f>
        <v>NM</v>
      </c>
      <c r="CK15" s="683" t="str">
        <f>IF(ISERROR(CK14-CK$69),"NM",CK14-CK$69)</f>
        <v>NM</v>
      </c>
      <c r="CL15" s="683" t="str">
        <f>IF(ISERROR(CL14-CL$69),"NM",CL14-CL$69)</f>
        <v>NM</v>
      </c>
      <c r="CM15" s="683" t="str">
        <f>IF(ISERROR(CM14-CM$69),"NM",CM14-CM$69)</f>
        <v>NM</v>
      </c>
      <c r="CN15" s="684"/>
      <c r="CO15" s="683" t="str">
        <f>IF(ISERROR(CO14-CO$69),"NM",CO14-CO$69)</f>
        <v>NM</v>
      </c>
      <c r="CP15" s="683" t="str">
        <f>IF(ISERROR(CP14-CP$69),"NM",CP14-CP$69)</f>
        <v>NM</v>
      </c>
      <c r="CQ15" s="683" t="str">
        <f>IF(ISERROR(CQ14-CQ$69),"NM",CQ14-CQ$69)</f>
        <v>NM</v>
      </c>
      <c r="CR15" s="683" t="str">
        <f>IF(ISERROR(CR14-CR$69),"NM",CR14-CR$69)</f>
        <v>NM</v>
      </c>
      <c r="CS15" s="683" t="str">
        <f>IF(ISERROR(CS14-CS$69),"NM",CS14-CS$69)</f>
        <v>NM</v>
      </c>
      <c r="CT15" s="306"/>
    </row>
    <row r="16" spans="1:112" s="43" customFormat="1" ht="6.75" hidden="1" customHeight="1" outlineLevel="1" x14ac:dyDescent="0.2">
      <c r="A16" s="300"/>
      <c r="B16" s="300"/>
      <c r="C16" s="306"/>
      <c r="D16" s="306"/>
      <c r="E16" s="306"/>
      <c r="F16" s="306"/>
      <c r="G16" s="306"/>
      <c r="H16" s="241"/>
      <c r="I16" s="306"/>
      <c r="J16" s="306"/>
      <c r="K16" s="306"/>
      <c r="L16" s="306"/>
      <c r="M16" s="306"/>
      <c r="N16" s="241"/>
      <c r="O16" s="306"/>
      <c r="P16" s="306"/>
      <c r="Q16" s="306"/>
      <c r="R16" s="306"/>
      <c r="S16" s="306"/>
      <c r="T16" s="241"/>
      <c r="U16" s="306"/>
      <c r="V16" s="306"/>
      <c r="W16" s="306"/>
      <c r="X16" s="306"/>
      <c r="Y16" s="306"/>
      <c r="Z16" s="306"/>
      <c r="AA16" s="39"/>
      <c r="AB16" s="39"/>
      <c r="AC16" s="39"/>
      <c r="AD16" s="39"/>
      <c r="AE16" s="39"/>
      <c r="AF16" s="241"/>
      <c r="AG16" s="39"/>
      <c r="AH16" s="39"/>
      <c r="AI16" s="39"/>
      <c r="AJ16" s="39"/>
      <c r="AK16" s="39"/>
      <c r="AL16" s="241"/>
      <c r="AM16" s="39"/>
      <c r="AN16" s="39"/>
      <c r="AO16" s="306"/>
      <c r="AP16" s="39"/>
      <c r="AQ16" s="306"/>
      <c r="AR16" s="241"/>
      <c r="AS16" s="39"/>
      <c r="AT16" s="39"/>
      <c r="AU16" s="39"/>
      <c r="AV16" s="39"/>
      <c r="AW16" s="306"/>
      <c r="AX16" s="241"/>
      <c r="AY16" s="39"/>
      <c r="AZ16" s="39"/>
      <c r="BA16" s="306"/>
      <c r="BB16" s="306"/>
      <c r="BC16" s="306"/>
      <c r="BD16" s="241"/>
      <c r="BE16" s="306"/>
      <c r="BF16" s="306"/>
      <c r="BG16" s="306"/>
      <c r="BH16" s="306"/>
      <c r="BI16" s="306"/>
      <c r="BJ16" s="241"/>
      <c r="BK16" s="306"/>
      <c r="BL16" s="306"/>
      <c r="BM16" s="306"/>
      <c r="BN16" s="306"/>
      <c r="BO16" s="306"/>
      <c r="BP16" s="241"/>
      <c r="BQ16" s="306"/>
      <c r="BR16" s="306"/>
      <c r="BS16" s="306"/>
      <c r="BT16" s="306"/>
      <c r="BU16" s="306"/>
      <c r="BV16" s="241"/>
      <c r="BW16" s="306"/>
      <c r="BX16" s="306"/>
      <c r="BY16" s="306"/>
      <c r="BZ16" s="306"/>
      <c r="CA16" s="306"/>
      <c r="CB16" s="241"/>
      <c r="CC16" s="306"/>
      <c r="CD16" s="306"/>
      <c r="CE16" s="306"/>
      <c r="CF16" s="306"/>
      <c r="CG16" s="306"/>
      <c r="CH16" s="241"/>
      <c r="CI16" s="510"/>
      <c r="CJ16" s="510"/>
      <c r="CK16" s="510"/>
      <c r="CL16" s="510"/>
      <c r="CM16" s="510"/>
      <c r="CN16" s="241"/>
      <c r="CO16" s="510"/>
      <c r="CP16" s="510"/>
      <c r="CQ16" s="510"/>
      <c r="CR16" s="510"/>
      <c r="CS16" s="510"/>
      <c r="CT16" s="306"/>
    </row>
    <row r="17" spans="1:101" s="43" customFormat="1" ht="12.75" customHeight="1" collapsed="1" x14ac:dyDescent="0.2">
      <c r="A17" s="300"/>
      <c r="B17" s="304" t="s">
        <v>340</v>
      </c>
      <c r="C17" s="306"/>
      <c r="D17" s="306"/>
      <c r="E17" s="306"/>
      <c r="F17" s="306"/>
      <c r="G17" s="306"/>
      <c r="H17" s="241"/>
      <c r="I17" s="306"/>
      <c r="J17" s="306"/>
      <c r="K17" s="306"/>
      <c r="L17" s="306"/>
      <c r="M17" s="306"/>
      <c r="N17" s="241"/>
      <c r="O17" s="306"/>
      <c r="P17" s="306"/>
      <c r="Q17" s="306"/>
      <c r="R17" s="306"/>
      <c r="S17" s="306"/>
      <c r="T17" s="241"/>
      <c r="U17" s="39">
        <f>+U7+U12</f>
        <v>75.222000000000008</v>
      </c>
      <c r="V17" s="39">
        <f>+V7+V12</f>
        <v>82.188999999999993</v>
      </c>
      <c r="W17" s="39">
        <f>+W7+W12</f>
        <v>79.802000000000007</v>
      </c>
      <c r="X17" s="39">
        <f>+X7+X12</f>
        <v>82.574999999999989</v>
      </c>
      <c r="Y17" s="39">
        <f>+SUM(U17:X17)</f>
        <v>319.78800000000001</v>
      </c>
      <c r="Z17" s="306"/>
      <c r="AA17" s="39">
        <f>+AA7+AA12</f>
        <v>80.667000000000002</v>
      </c>
      <c r="AB17" s="39">
        <f>+AB7+AB12</f>
        <v>89.186000000000007</v>
      </c>
      <c r="AC17" s="39">
        <f>+AC7+AC12</f>
        <v>90.302999999999997</v>
      </c>
      <c r="AD17" s="39">
        <f>+AD7+AD12</f>
        <v>92.807999999999993</v>
      </c>
      <c r="AE17" s="39">
        <f>+SUM(AA17:AD17)</f>
        <v>352.964</v>
      </c>
      <c r="AF17" s="241"/>
      <c r="AG17" s="39">
        <f>+AG7+AG12</f>
        <v>92.128</v>
      </c>
      <c r="AH17" s="39">
        <f>+AH7+AH12</f>
        <v>104.32299999999999</v>
      </c>
      <c r="AI17" s="39">
        <f>+AI7+AI12</f>
        <v>109.33600000000001</v>
      </c>
      <c r="AJ17" s="39">
        <f>+AJ7+AJ12</f>
        <v>113.27800000000001</v>
      </c>
      <c r="AK17" s="39">
        <f>+SUM(AG17:AJ17)</f>
        <v>419.06500000000005</v>
      </c>
      <c r="AL17" s="241"/>
      <c r="AM17" s="39">
        <f>+AM7+AM12</f>
        <v>112.595</v>
      </c>
      <c r="AN17" s="39">
        <f>+AN7+AN12</f>
        <v>126.048</v>
      </c>
      <c r="AO17" s="39">
        <f>+AO7+AO12</f>
        <v>132.31</v>
      </c>
      <c r="AP17" s="39">
        <f>+AP7+AP12</f>
        <v>148.459</v>
      </c>
      <c r="AQ17" s="39">
        <f>+SUM(AM17:AP17)</f>
        <v>519.41200000000003</v>
      </c>
      <c r="AR17" s="241"/>
      <c r="AS17" s="39">
        <f>+AS7+AS12</f>
        <v>174.351</v>
      </c>
      <c r="AT17" s="39">
        <f>+AT7+AT12</f>
        <v>165.92600000000002</v>
      </c>
      <c r="AU17" s="39">
        <f>+AU7+AU12</f>
        <v>140.73000000000002</v>
      </c>
      <c r="AV17" s="39">
        <f>+AV7+AV12</f>
        <v>126.32200000000003</v>
      </c>
      <c r="AW17" s="39">
        <f>+SUM(AS17:AV17)</f>
        <v>607.32900000000006</v>
      </c>
      <c r="AX17" s="241"/>
      <c r="AY17" s="39">
        <f>+AY7+AY12</f>
        <v>86.042000000000002</v>
      </c>
      <c r="AZ17" s="39">
        <f>+AZ7+AZ12</f>
        <v>72.342019490625006</v>
      </c>
      <c r="BA17" s="39">
        <f>+BA7+BA12</f>
        <v>67.042528000000004</v>
      </c>
      <c r="BB17" s="39">
        <f>+BB7+BB12</f>
        <v>54.353700218980833</v>
      </c>
      <c r="BC17" s="39">
        <f>+SUM(AY17:BB17)</f>
        <v>279.78024770960587</v>
      </c>
      <c r="BD17" s="241"/>
      <c r="BE17" s="676">
        <v>37.667674230173873</v>
      </c>
      <c r="BF17" s="676">
        <v>38.368142099429548</v>
      </c>
      <c r="BG17" s="676">
        <v>33.467829528499863</v>
      </c>
      <c r="BH17" s="676">
        <v>30.069582093444602</v>
      </c>
      <c r="BI17" s="39">
        <f>+SUM(BE17:BH17)</f>
        <v>139.57322795154789</v>
      </c>
      <c r="BJ17" s="241"/>
      <c r="BK17" s="676">
        <v>23.9654717184265</v>
      </c>
      <c r="BL17" s="676">
        <v>22.833907861009031</v>
      </c>
      <c r="BM17" s="676">
        <v>20.513709516444095</v>
      </c>
      <c r="BN17" s="676">
        <v>18.90311495257016</v>
      </c>
      <c r="BO17" s="39">
        <f>+SUM(BK17:BN17)</f>
        <v>86.216204048449796</v>
      </c>
      <c r="BP17" s="241"/>
      <c r="BQ17" s="676">
        <v>13.770938047982849</v>
      </c>
      <c r="BR17" s="676">
        <v>12.161896861439422</v>
      </c>
      <c r="BS17" s="676">
        <v>10.019456378906062</v>
      </c>
      <c r="BT17" s="676">
        <v>8.7181463923581113</v>
      </c>
      <c r="BU17" s="39">
        <f>+SUM(BQ17:BT17)</f>
        <v>44.670437680686447</v>
      </c>
      <c r="BV17" s="241"/>
      <c r="BW17" s="676">
        <v>5.5685590694076144</v>
      </c>
      <c r="BX17" s="676">
        <v>4.2894020400883068</v>
      </c>
      <c r="BY17" s="676">
        <v>2.7556397747394068</v>
      </c>
      <c r="BZ17" s="676">
        <v>1.4697167904925883</v>
      </c>
      <c r="CA17" s="39">
        <f>+SUM(BW17:BZ17)</f>
        <v>14.083317674727917</v>
      </c>
      <c r="CB17" s="241"/>
      <c r="CC17" s="676">
        <v>0</v>
      </c>
      <c r="CD17" s="676">
        <v>0</v>
      </c>
      <c r="CE17" s="676">
        <v>0</v>
      </c>
      <c r="CF17" s="676">
        <v>0</v>
      </c>
      <c r="CG17" s="39">
        <f>+SUM(CC17:CF17)</f>
        <v>0</v>
      </c>
      <c r="CH17" s="241"/>
      <c r="CI17" s="676">
        <v>0</v>
      </c>
      <c r="CJ17" s="676">
        <v>0</v>
      </c>
      <c r="CK17" s="676">
        <v>0</v>
      </c>
      <c r="CL17" s="676">
        <v>0</v>
      </c>
      <c r="CM17" s="39">
        <f t="shared" ref="CM17" si="0">+SUM(CI17:CL17)</f>
        <v>0</v>
      </c>
      <c r="CN17" s="241"/>
      <c r="CO17" s="676">
        <v>0</v>
      </c>
      <c r="CP17" s="676">
        <v>0</v>
      </c>
      <c r="CQ17" s="676">
        <v>0</v>
      </c>
      <c r="CR17" s="676">
        <v>0</v>
      </c>
      <c r="CS17" s="39">
        <f t="shared" ref="CS17" si="1">+SUM(CO17:CR17)</f>
        <v>0</v>
      </c>
      <c r="CT17" s="306"/>
    </row>
    <row r="18" spans="1:101" s="43" customFormat="1" ht="12.75" customHeight="1" x14ac:dyDescent="0.2">
      <c r="A18" s="300"/>
      <c r="B18" s="266" t="s">
        <v>341</v>
      </c>
      <c r="C18" s="306"/>
      <c r="D18" s="306"/>
      <c r="E18" s="306"/>
      <c r="F18" s="306"/>
      <c r="G18" s="306"/>
      <c r="H18" s="241"/>
      <c r="I18" s="306"/>
      <c r="J18" s="306"/>
      <c r="K18" s="306"/>
      <c r="L18" s="306"/>
      <c r="M18" s="306"/>
      <c r="N18" s="241"/>
      <c r="O18" s="306"/>
      <c r="P18" s="306"/>
      <c r="Q18" s="306"/>
      <c r="R18" s="306"/>
      <c r="S18" s="306"/>
      <c r="T18" s="241"/>
      <c r="U18" s="306">
        <f>U17/U$33</f>
        <v>0.92272024729520874</v>
      </c>
      <c r="V18" s="306">
        <f>V17/V$33</f>
        <v>0.92332666771519079</v>
      </c>
      <c r="W18" s="306">
        <f>W17/W$33</f>
        <v>0.91989717697778706</v>
      </c>
      <c r="X18" s="306">
        <f>X17/X$33</f>
        <v>0.91876585517824561</v>
      </c>
      <c r="Y18" s="306">
        <f>Y17/Y$33</f>
        <v>0.92114655075569685</v>
      </c>
      <c r="Z18" s="306"/>
      <c r="AA18" s="306">
        <f>AA17/AA$33</f>
        <v>0.91876900648071158</v>
      </c>
      <c r="AB18" s="306">
        <f>AB17/AB$33</f>
        <v>0.92725325681253445</v>
      </c>
      <c r="AC18" s="306">
        <f>AC17/AC$33</f>
        <v>0.92412783855419223</v>
      </c>
      <c r="AD18" s="306">
        <f>AD17/AD$33</f>
        <v>0.92410634272627701</v>
      </c>
      <c r="AE18" s="306">
        <f>AE17/AE$33</f>
        <v>0.92367760625338557</v>
      </c>
      <c r="AF18" s="241"/>
      <c r="AG18" s="306">
        <f>AG17/AG$33</f>
        <v>0.9054170925387216</v>
      </c>
      <c r="AH18" s="306">
        <f>AH17/AH$33</f>
        <v>0.90522013779220101</v>
      </c>
      <c r="AI18" s="306">
        <f>AI17/AI$33</f>
        <v>0.90716448869529154</v>
      </c>
      <c r="AJ18" s="306">
        <f>AJ17/AJ$33</f>
        <v>0.9075381151907963</v>
      </c>
      <c r="AK18" s="306">
        <f>AK17/AK$33</f>
        <v>0.9063961310025912</v>
      </c>
      <c r="AL18" s="241"/>
      <c r="AM18" s="306">
        <f>AM17/AM$33</f>
        <v>0.9031008373704642</v>
      </c>
      <c r="AN18" s="306">
        <f>AN17/AN$33</f>
        <v>0.91265721050459425</v>
      </c>
      <c r="AO18" s="306">
        <f>AO17/AO$33</f>
        <v>0.9087849440208805</v>
      </c>
      <c r="AP18" s="306">
        <f>AP17/AP$33</f>
        <v>0.91094230332631776</v>
      </c>
      <c r="AQ18" s="306">
        <f>AQ17/AQ$33</f>
        <v>0.90909600070009633</v>
      </c>
      <c r="AR18" s="241"/>
      <c r="AS18" s="306">
        <f>AS17/AS$33</f>
        <v>0.92401252855227389</v>
      </c>
      <c r="AT18" s="306">
        <f>AT17/AT$33</f>
        <v>0.85976920964407288</v>
      </c>
      <c r="AU18" s="306">
        <f>AU17/AU$33</f>
        <v>0.82994721788104853</v>
      </c>
      <c r="AV18" s="306">
        <f>AV17/AV$33</f>
        <v>0.74802072538860109</v>
      </c>
      <c r="AW18" s="306">
        <f>AW17/AW$33</f>
        <v>0.84337428032627992</v>
      </c>
      <c r="AX18" s="241"/>
      <c r="AY18" s="306">
        <f>AY17/AY$33</f>
        <v>0.571453240085809</v>
      </c>
      <c r="AZ18" s="306">
        <f>AZ17/AZ$33</f>
        <v>0.43855608796717294</v>
      </c>
      <c r="BA18" s="306">
        <f>BA17/BA$33</f>
        <v>0.42165111949685535</v>
      </c>
      <c r="BB18" s="306">
        <f>BB17/BB$33</f>
        <v>0.33193114326228323</v>
      </c>
      <c r="BC18" s="306">
        <f>BC17/BC$33</f>
        <v>0.43834020613593111</v>
      </c>
      <c r="BD18" s="241"/>
      <c r="BE18" s="306">
        <f>BE17/BE$33</f>
        <v>0.24036028900650813</v>
      </c>
      <c r="BF18" s="306">
        <f>BF17/BF$33</f>
        <v>0.23031587297394543</v>
      </c>
      <c r="BG18" s="306">
        <f>BG17/BG$33</f>
        <v>0.21410090401097709</v>
      </c>
      <c r="BH18" s="306">
        <f>BH17/BH$33</f>
        <v>0.19679045872673165</v>
      </c>
      <c r="BI18" s="306">
        <f>BI17/BI$33</f>
        <v>0.22069683072609098</v>
      </c>
      <c r="BJ18" s="241"/>
      <c r="BK18" s="306">
        <f>BK17/BK$33</f>
        <v>0.17203449648162589</v>
      </c>
      <c r="BL18" s="306">
        <f>BL17/BL$33</f>
        <v>0.15862459544909369</v>
      </c>
      <c r="BM18" s="306">
        <f>BM17/BM$33</f>
        <v>0.14568244876027603</v>
      </c>
      <c r="BN18" s="306">
        <f>BN17/BN$33</f>
        <v>0.13076315875399835</v>
      </c>
      <c r="BO18" s="306">
        <f>BO17/BO$33</f>
        <v>0.15162182158394374</v>
      </c>
      <c r="BP18" s="241"/>
      <c r="BQ18" s="306">
        <f>BQ17/BQ$33</f>
        <v>0.10871195049456979</v>
      </c>
      <c r="BR18" s="306">
        <f>BR17/BR$33</f>
        <v>9.5857024551760095E-2</v>
      </c>
      <c r="BS18" s="306">
        <f>BS17/BS$33</f>
        <v>8.2302864924372415E-2</v>
      </c>
      <c r="BT18" s="306">
        <f>BT17/BT$33</f>
        <v>6.8656217459003549E-2</v>
      </c>
      <c r="BU18" s="306">
        <f>BU17/BU$33</f>
        <v>8.8937013447533811E-2</v>
      </c>
      <c r="BV18" s="241"/>
      <c r="BW18" s="306">
        <f>BW17/BW$33</f>
        <v>5.0545255580799017E-2</v>
      </c>
      <c r="BX18" s="306">
        <f>BX17/BX$33</f>
        <v>3.8526961123370299E-2</v>
      </c>
      <c r="BY18" s="306">
        <f>BY17/BY$33</f>
        <v>2.5385651990776182E-2</v>
      </c>
      <c r="BZ18" s="306">
        <f>BZ17/BZ$33</f>
        <v>1.2840096366432283E-2</v>
      </c>
      <c r="CA18" s="306">
        <f>CA17/CA$33</f>
        <v>3.1682151514913021E-2</v>
      </c>
      <c r="CB18" s="241"/>
      <c r="CC18" s="306">
        <f>CC17/CC$33</f>
        <v>0</v>
      </c>
      <c r="CD18" s="306">
        <f>CD17/CD$33</f>
        <v>0</v>
      </c>
      <c r="CE18" s="306">
        <f>CE17/CE$33</f>
        <v>0</v>
      </c>
      <c r="CF18" s="306">
        <f>CF17/CF$33</f>
        <v>0</v>
      </c>
      <c r="CG18" s="306">
        <f>CG17/CG$33</f>
        <v>0</v>
      </c>
      <c r="CH18" s="241"/>
      <c r="CI18" s="510">
        <f t="shared" ref="CI18:CM18" si="2">CI17/CI$33</f>
        <v>0</v>
      </c>
      <c r="CJ18" s="510">
        <f t="shared" si="2"/>
        <v>0</v>
      </c>
      <c r="CK18" s="510">
        <f t="shared" si="2"/>
        <v>0</v>
      </c>
      <c r="CL18" s="510">
        <f t="shared" si="2"/>
        <v>0</v>
      </c>
      <c r="CM18" s="510">
        <f t="shared" si="2"/>
        <v>0</v>
      </c>
      <c r="CN18" s="241"/>
      <c r="CO18" s="510">
        <f t="shared" ref="CO18:CS18" si="3">CO17/CO$33</f>
        <v>0</v>
      </c>
      <c r="CP18" s="510">
        <f t="shared" si="3"/>
        <v>0</v>
      </c>
      <c r="CQ18" s="510">
        <f t="shared" si="3"/>
        <v>0</v>
      </c>
      <c r="CR18" s="510">
        <f t="shared" si="3"/>
        <v>0</v>
      </c>
      <c r="CS18" s="510">
        <f t="shared" si="3"/>
        <v>0</v>
      </c>
      <c r="CT18" s="306"/>
    </row>
    <row r="19" spans="1:101" s="43" customFormat="1" ht="12.75" hidden="1" customHeight="1" outlineLevel="1" x14ac:dyDescent="0.2">
      <c r="A19" s="300"/>
      <c r="B19" s="266" t="s">
        <v>339</v>
      </c>
      <c r="C19" s="308"/>
      <c r="D19" s="308"/>
      <c r="E19" s="308"/>
      <c r="F19" s="308"/>
      <c r="G19" s="308"/>
      <c r="H19" s="308"/>
      <c r="I19" s="308"/>
      <c r="J19" s="308"/>
      <c r="K19" s="308"/>
      <c r="L19" s="308"/>
      <c r="M19" s="306"/>
      <c r="N19" s="308"/>
      <c r="O19" s="308"/>
      <c r="P19" s="308"/>
      <c r="Q19" s="308"/>
      <c r="R19" s="308"/>
      <c r="S19" s="306"/>
      <c r="T19" s="308"/>
      <c r="U19" s="308"/>
      <c r="V19" s="308"/>
      <c r="W19" s="308"/>
      <c r="X19" s="308"/>
      <c r="Y19" s="306"/>
      <c r="Z19" s="381"/>
      <c r="AA19" s="306">
        <f>IF(ISERROR(AA17/U17-1),"NM",AA17/U17-1)</f>
        <v>7.238573821488381E-2</v>
      </c>
      <c r="AB19" s="306">
        <f>IF(ISERROR(AB17/V17-1),"NM",AB17/V17-1)</f>
        <v>8.5133047001423767E-2</v>
      </c>
      <c r="AC19" s="306">
        <f>IF(ISERROR(AC17/W17-1),"NM",AC17/W17-1)</f>
        <v>0.13158818074734957</v>
      </c>
      <c r="AD19" s="306">
        <f>IF(ISERROR(AD17/X17-1),"NM",AD17/X17-1)</f>
        <v>0.12392370572207101</v>
      </c>
      <c r="AE19" s="306">
        <f>IF(ISERROR(AE17/Y17-1),"NM",AE17/Y17-1)</f>
        <v>0.10374373022127159</v>
      </c>
      <c r="AF19" s="381"/>
      <c r="AG19" s="306">
        <f>IF(ISERROR(AG17/AA17-1),"NM",AG17/AA17-1)</f>
        <v>0.14207792529782926</v>
      </c>
      <c r="AH19" s="306">
        <f>IF(ISERROR(AH17/AB17-1),"NM",AH17/AB17-1)</f>
        <v>0.16972394770479649</v>
      </c>
      <c r="AI19" s="306">
        <f>IF(ISERROR(AI17/AC17-1),"NM",AI17/AC17-1)</f>
        <v>0.21076819153295046</v>
      </c>
      <c r="AJ19" s="306">
        <f>IF(ISERROR(AJ17/AD17-1),"NM",AJ17/AD17-1)</f>
        <v>0.22056288251012868</v>
      </c>
      <c r="AK19" s="306">
        <f>IF(ISERROR(AK17/AE17-1),"NM",AK17/AE17-1)</f>
        <v>0.18727405627769422</v>
      </c>
      <c r="AL19" s="381"/>
      <c r="AM19" s="306">
        <f>IF(ISERROR(AM17/AG17-1),"NM",AM17/AG17-1)</f>
        <v>0.22215830149357418</v>
      </c>
      <c r="AN19" s="306">
        <f>IF(ISERROR(AN17/AH17-1),"NM",AN17/AH17-1)</f>
        <v>0.20824746220871715</v>
      </c>
      <c r="AO19" s="306">
        <f>IF(ISERROR(AO17/AI17-1),"NM",AO17/AI17-1)</f>
        <v>0.21012292383112596</v>
      </c>
      <c r="AP19" s="306">
        <f>IF(ISERROR(AP17/AJ17-1),"NM",AP17/AJ17-1)</f>
        <v>0.31057222055474143</v>
      </c>
      <c r="AQ19" s="306">
        <f>IF(ISERROR(AQ17/AK17-1),"NM",AQ17/AK17-1)</f>
        <v>0.23945449989858369</v>
      </c>
      <c r="AR19" s="381"/>
      <c r="AS19" s="306">
        <f>IF(ISERROR(AS17/AM17-1),"NM",AS17/AM17-1)</f>
        <v>0.54847906212531639</v>
      </c>
      <c r="AT19" s="306">
        <f>IF(ISERROR(AT17/AN17-1),"NM",AT17/AN17-1)</f>
        <v>0.31637154100025389</v>
      </c>
      <c r="AU19" s="306">
        <f>IF(ISERROR(AU17/AO17-1),"NM",AU17/AO17-1)</f>
        <v>6.3638424911193425E-2</v>
      </c>
      <c r="AV19" s="306">
        <f>IF(ISERROR(AV17/AP17-1),"NM",AV17/AP17-1)</f>
        <v>-0.14911187600616982</v>
      </c>
      <c r="AW19" s="306">
        <f>IF(ISERROR(AW17/AQ17-1),"NM",AW17/AQ17-1)</f>
        <v>0.1692625507304415</v>
      </c>
      <c r="AX19" s="381"/>
      <c r="AY19" s="306">
        <f>IF(ISERROR(AY17/AS17-1),"NM",AY17/AS17-1)</f>
        <v>-0.50650125321908102</v>
      </c>
      <c r="AZ19" s="306">
        <f>IF(ISERROR(AZ17/AT17-1),"NM",AZ17/AT17-1)</f>
        <v>-0.56401034502956138</v>
      </c>
      <c r="BA19" s="306">
        <f>IF(ISERROR(BA17/AU17-1),"NM",BA17/AU17-1)</f>
        <v>-0.52360883962197113</v>
      </c>
      <c r="BB19" s="306">
        <f>IF(ISERROR(BB17/AV17-1),"NM",BB17/AV17-1)</f>
        <v>-0.56972102864915986</v>
      </c>
      <c r="BC19" s="306">
        <f>IF(ISERROR(BC17/AW17-1),"NM",BC17/AW17-1)</f>
        <v>-0.53932671137125698</v>
      </c>
      <c r="BD19" s="381"/>
      <c r="BE19" s="306">
        <f>IF(ISERROR(BE17/AY17-1),"NM",BE17/AY17-1)</f>
        <v>-0.56221758873371286</v>
      </c>
      <c r="BF19" s="306">
        <f>IF(ISERROR(BF17/AZ17-1),"NM",BF17/AZ17-1)</f>
        <v>-0.46962854549005539</v>
      </c>
      <c r="BG19" s="306">
        <f>IF(ISERROR(BG17/BA17-1),"NM",BG17/BA17-1)</f>
        <v>-0.5007970235176713</v>
      </c>
      <c r="BH19" s="306">
        <f>IF(ISERROR(BH17/BB17-1),"NM",BH17/BB17-1)</f>
        <v>-0.4467794837830743</v>
      </c>
      <c r="BI19" s="306">
        <f>IF(ISERROR(BI17/BC17-1),"NM",BI17/BC17-1)</f>
        <v>-0.50113266002818024</v>
      </c>
      <c r="BJ19" s="381"/>
      <c r="BK19" s="306">
        <f>IF(ISERROR(BK17/BE17-1),"NM",BK17/BE17-1)</f>
        <v>-0.36376555738530725</v>
      </c>
      <c r="BL19" s="306">
        <f>IF(ISERROR(BL17/BF17-1),"NM",BL17/BF17-1)</f>
        <v>-0.40487324609474584</v>
      </c>
      <c r="BM19" s="306">
        <f>IF(ISERROR(BM17/BG17-1),"NM",BM17/BG17-1)</f>
        <v>-0.38706184997818749</v>
      </c>
      <c r="BN19" s="306">
        <f>IF(ISERROR(BN17/BH17-1),"NM",BN17/BH17-1)</f>
        <v>-0.37135425115564935</v>
      </c>
      <c r="BO19" s="306">
        <f>IF(ISERROR(BO17/BI17-1),"NM",BO17/BI17-1)</f>
        <v>-0.38228695206233032</v>
      </c>
      <c r="BP19" s="381"/>
      <c r="BQ19" s="306">
        <f>IF(ISERROR(BQ17/BK17-1),"NM",BQ17/BK17-1)</f>
        <v>-0.42538422736763026</v>
      </c>
      <c r="BR19" s="306">
        <f>IF(ISERROR(BR17/BL17-1),"NM",BR17/BL17-1)</f>
        <v>-0.46737558303776094</v>
      </c>
      <c r="BS19" s="306">
        <f>IF(ISERROR(BS17/BM17-1),"NM",BS17/BM17-1)</f>
        <v>-0.51157266944458213</v>
      </c>
      <c r="BT19" s="306">
        <f>IF(ISERROR(BT17/BN17-1),"NM",BT17/BN17-1)</f>
        <v>-0.53879842479756235</v>
      </c>
      <c r="BU19" s="306">
        <f>IF(ISERROR(BU17/BO17-1),"NM",BU17/BO17-1)</f>
        <v>-0.48187886286917037</v>
      </c>
      <c r="BV19" s="381"/>
      <c r="BW19" s="306">
        <f>IF(ISERROR(BW17/BQ17-1),"NM",BW17/BQ17-1)</f>
        <v>-0.59562964774042459</v>
      </c>
      <c r="BX19" s="306">
        <f>IF(ISERROR(BX17/BR17-1),"NM",BX17/BR17-1)</f>
        <v>-0.6473081387749382</v>
      </c>
      <c r="BY19" s="306">
        <f>IF(ISERROR(BY17/BS17-1),"NM",BY17/BS17-1)</f>
        <v>-0.72497112911825745</v>
      </c>
      <c r="BZ19" s="731">
        <f>IF(ISERROR(BZ17/BT17-1),"NM",BZ17/BT17-1)</f>
        <v>-0.83141866122128116</v>
      </c>
      <c r="CA19" s="306">
        <f>IF(ISERROR(CA17/BU17-1),"NM",CA17/BU17-1)</f>
        <v>-0.68472846011945543</v>
      </c>
      <c r="CB19" s="381"/>
      <c r="CC19" s="731">
        <f>IF(ISERROR(CC17/BW17-1),"NM",CC17/BW17-1)</f>
        <v>-1</v>
      </c>
      <c r="CD19" s="731">
        <f>IF(ISERROR(CD17/BX17-1),"NM",CD17/BX17-1)</f>
        <v>-1</v>
      </c>
      <c r="CE19" s="731">
        <f>IF(ISERROR(CE17/BY17-1),"NM",CE17/BY17-1)</f>
        <v>-1</v>
      </c>
      <c r="CF19" s="731">
        <f>IF(ISERROR(CF17/BZ17-1),"NM",CF17/BZ17-1)</f>
        <v>-1</v>
      </c>
      <c r="CG19" s="731">
        <f>IF(ISERROR(CG17/CA17-1),"NM",CG17/CA17-1)</f>
        <v>-1</v>
      </c>
      <c r="CH19" s="511"/>
      <c r="CI19" s="731" t="str">
        <f t="shared" ref="CI19:CM19" si="4">IF(ISERROR(CI17/CC17-1),"NM",CI17/CC17-1)</f>
        <v>NM</v>
      </c>
      <c r="CJ19" s="731" t="str">
        <f t="shared" si="4"/>
        <v>NM</v>
      </c>
      <c r="CK19" s="731" t="str">
        <f t="shared" si="4"/>
        <v>NM</v>
      </c>
      <c r="CL19" s="731" t="str">
        <f t="shared" si="4"/>
        <v>NM</v>
      </c>
      <c r="CM19" s="731" t="str">
        <f t="shared" si="4"/>
        <v>NM</v>
      </c>
      <c r="CN19" s="511"/>
      <c r="CO19" s="731" t="str">
        <f t="shared" ref="CO19:CS19" si="5">IF(ISERROR(CO17/CI17-1),"NM",CO17/CI17-1)</f>
        <v>NM</v>
      </c>
      <c r="CP19" s="731" t="str">
        <f t="shared" si="5"/>
        <v>NM</v>
      </c>
      <c r="CQ19" s="731" t="str">
        <f t="shared" si="5"/>
        <v>NM</v>
      </c>
      <c r="CR19" s="731" t="str">
        <f t="shared" si="5"/>
        <v>NM</v>
      </c>
      <c r="CS19" s="731" t="str">
        <f t="shared" si="5"/>
        <v>NM</v>
      </c>
      <c r="CT19" s="306"/>
    </row>
    <row r="20" spans="1:101" ht="12.75" customHeight="1" collapsed="1" x14ac:dyDescent="0.2">
      <c r="A20"/>
      <c r="B20" s="677" t="s">
        <v>342</v>
      </c>
      <c r="C20" s="306"/>
      <c r="D20" s="306"/>
      <c r="E20" s="306"/>
      <c r="F20" s="306"/>
      <c r="G20" s="306"/>
      <c r="H20" s="184"/>
      <c r="I20" s="306"/>
      <c r="J20" s="306"/>
      <c r="K20" s="306"/>
      <c r="L20" s="306"/>
      <c r="M20" s="306"/>
      <c r="N20" s="184"/>
      <c r="O20" s="306"/>
      <c r="P20" s="306"/>
      <c r="Q20" s="306"/>
      <c r="R20" s="306"/>
      <c r="S20" s="306"/>
      <c r="T20" s="184"/>
      <c r="U20" s="306"/>
      <c r="V20" s="306"/>
      <c r="W20" s="306"/>
      <c r="X20" s="306"/>
      <c r="Y20" s="306"/>
      <c r="Z20" s="184"/>
      <c r="AA20" s="306">
        <f>IF(ISERROR(AA19-AA$69),"NM",AA19-AA$69)</f>
        <v>7.238573821488381E-2</v>
      </c>
      <c r="AB20" s="306">
        <f>IF(ISERROR(AB19-AB$69),"NM",AB19-AB$69)</f>
        <v>8.5133047001423767E-2</v>
      </c>
      <c r="AC20" s="306">
        <f>IF(ISERROR(AC19-AC$69),"NM",AC19-AC$69)</f>
        <v>0.13158818074734957</v>
      </c>
      <c r="AD20" s="306">
        <f>IF(ISERROR(AD19-AD$69),"NM",AD19-AD$69)</f>
        <v>0.12392370572207101</v>
      </c>
      <c r="AE20" s="306">
        <f>IF(ISERROR(AE19-AE$69),"NM",AE19-AE$69)</f>
        <v>0.10374373022127159</v>
      </c>
      <c r="AF20" s="184"/>
      <c r="AG20" s="306">
        <f>IF(ISERROR(AG19-AG$69),"NM",AG19-AG$69)</f>
        <v>0.14207792529782926</v>
      </c>
      <c r="AH20" s="306">
        <f>IF(ISERROR(AH19-AH$69),"NM",AH19-AH$69)</f>
        <v>0.16972394770479649</v>
      </c>
      <c r="AI20" s="306">
        <f>IF(ISERROR(AI19-AI$69),"NM",AI19-AI$69)</f>
        <v>0.21076819153295046</v>
      </c>
      <c r="AJ20" s="306">
        <f>IF(ISERROR(AJ19-AJ$69),"NM",AJ19-AJ$69)</f>
        <v>0.22056288251012868</v>
      </c>
      <c r="AK20" s="306">
        <f>IF(ISERROR(AK19-AK$69),"NM",AK19-AK$69)</f>
        <v>0.18727405627769422</v>
      </c>
      <c r="AL20" s="184"/>
      <c r="AM20" s="306">
        <f>IF(ISERROR(AM19-AM$69),"NM",AM19-AM$69)</f>
        <v>0.22215830149357418</v>
      </c>
      <c r="AN20" s="306">
        <f>IF(ISERROR(AN19-AN$69),"NM",AN19-AN$69)</f>
        <v>0.20824746220871715</v>
      </c>
      <c r="AO20" s="306">
        <f>IF(ISERROR(AO19-AO$69),"NM",AO19-AO$69)</f>
        <v>0.21012292383112596</v>
      </c>
      <c r="AP20" s="306">
        <f>IF(ISERROR(AP19-AP$69),"NM",AP19-AP$69)</f>
        <v>0.31057222055474143</v>
      </c>
      <c r="AQ20" s="306">
        <f>IF(ISERROR(AQ19-AQ$69),"NM",AQ19-AQ$69)</f>
        <v>0.23945449989858369</v>
      </c>
      <c r="AR20" s="184"/>
      <c r="AS20" s="306">
        <f>IF(ISERROR(AS19-AS$69),"NM",AS19-AS$69)</f>
        <v>0.54847906212531639</v>
      </c>
      <c r="AT20" s="306">
        <f>IF(ISERROR(AT19-AT$69),"NM",AT19-AT$69)</f>
        <v>0.31637154100025389</v>
      </c>
      <c r="AU20" s="306">
        <f>IF(ISERROR(AU19-AU$69),"NM",AU19-AU$69)</f>
        <v>6.3638424911193425E-2</v>
      </c>
      <c r="AV20" s="306">
        <f>IF(ISERROR(AV19-AV$69),"NM",AV19-AV$69)</f>
        <v>-0.14911187600616982</v>
      </c>
      <c r="AW20" s="306">
        <f>IF(ISERROR(AW19-AW$69),"NM",AW19-AW$69)</f>
        <v>0.1692625507304415</v>
      </c>
      <c r="AX20" s="184"/>
      <c r="AY20" s="306">
        <f>IF(ISERROR(AY19-AY$69),"NM",AY19-AY$69)</f>
        <v>-0.50650125321908102</v>
      </c>
      <c r="AZ20" s="306">
        <f>IF(ISERROR(AZ19-AZ$69),"NM",AZ19-AZ$69)</f>
        <v>-0.56401034502956138</v>
      </c>
      <c r="BA20" s="306">
        <f>IF(ISERROR(BA19-BA$69),"NM",BA19-BA$69)</f>
        <v>-0.52360883962197113</v>
      </c>
      <c r="BB20" s="306">
        <f>IF(ISERROR(BB19-BB$69),"NM",BB19-BB$69)</f>
        <v>-0.56972102864915986</v>
      </c>
      <c r="BC20" s="306">
        <f>IF(ISERROR(BC19-BC$69),"NM",BC19-BC$69)</f>
        <v>-0.53932671137125698</v>
      </c>
      <c r="BD20" s="184"/>
      <c r="BE20" s="306">
        <f>IF(ISERROR(BE19-BE$69),"NM",BE19-BE$69)</f>
        <v>-0.56221758873371286</v>
      </c>
      <c r="BF20" s="306">
        <f>IF(ISERROR(BF19-BF$69),"NM",BF19-BF$69)</f>
        <v>-0.46962854549005539</v>
      </c>
      <c r="BG20" s="306">
        <f>IF(ISERROR(BG19-BG$69),"NM",BG19-BG$69)</f>
        <v>-0.5007970235176713</v>
      </c>
      <c r="BH20" s="306">
        <f>IF(ISERROR(BH19-BH$69),"NM",BH19-BH$69)</f>
        <v>-0.4467794837830743</v>
      </c>
      <c r="BI20" s="306">
        <f>IF(ISERROR(BI19-BI$69),"NM",BI19-BI$69)</f>
        <v>-0.50113266002818024</v>
      </c>
      <c r="BJ20" s="184"/>
      <c r="BK20" s="306">
        <f>IF(ISERROR(BK19-BK$69),"NM",BK19-BK$69)</f>
        <v>-0.36376555738530725</v>
      </c>
      <c r="BL20" s="306">
        <f>IF(ISERROR(BL19-BL$69),"NM",BL19-BL$69)</f>
        <v>-0.40487324609474584</v>
      </c>
      <c r="BM20" s="306">
        <f>IF(ISERROR(BM19-BM$69),"NM",BM19-BM$69)</f>
        <v>-0.38706184997818749</v>
      </c>
      <c r="BN20" s="306">
        <f>IF(ISERROR(BN19-BN$69),"NM",BN19-BN$69)</f>
        <v>-0.37135425115564935</v>
      </c>
      <c r="BO20" s="306">
        <f>IF(ISERROR(BO19-BO$69),"NM",BO19-BO$69)</f>
        <v>-0.38228695206233032</v>
      </c>
      <c r="BP20" s="184"/>
      <c r="BQ20" s="306">
        <f>IF(ISERROR(BQ19-BQ$69),"NM",BQ19-BQ$69)</f>
        <v>-0.42538422736763026</v>
      </c>
      <c r="BR20" s="306">
        <f>IF(ISERROR(BR19-BR$69),"NM",BR19-BR$69)</f>
        <v>-0.46737558303776094</v>
      </c>
      <c r="BS20" s="306">
        <f>IF(ISERROR(BS19-BS$69),"NM",BS19-BS$69)</f>
        <v>-0.51157266944458213</v>
      </c>
      <c r="BT20" s="306">
        <f>IF(ISERROR(BT19-BT$69),"NM",BT19-BT$69)</f>
        <v>-0.53879842479756235</v>
      </c>
      <c r="BU20" s="306">
        <f>IF(ISERROR(BU19-BU$69),"NM",BU19-BU$69)</f>
        <v>-0.48187886286917037</v>
      </c>
      <c r="BV20" s="184"/>
      <c r="BW20" s="306">
        <f>IF(ISERROR(BW19-BW$69),"NM",BW19-BW$69)</f>
        <v>-0.59562964774042459</v>
      </c>
      <c r="BX20" s="306">
        <f>IF(ISERROR(BX19-BX$69),"NM",BX19-BX$69)</f>
        <v>-0.6473081387749382</v>
      </c>
      <c r="BY20" s="306">
        <f>IF(ISERROR(BY19-BY$69),"NM",BY19-BY$69)</f>
        <v>-0.72497112911825745</v>
      </c>
      <c r="BZ20" s="731">
        <f>IF(ISERROR(BZ19-BZ$69),"NM",BZ19-BZ$69)</f>
        <v>-0.83141866122128116</v>
      </c>
      <c r="CA20" s="306">
        <f>IF(ISERROR(CA19-CA$69),"NM",CA19-CA$69)</f>
        <v>-0.68472846011945543</v>
      </c>
      <c r="CB20" s="184"/>
      <c r="CC20" s="731">
        <f>IF(ISERROR(CC19-CC$69),"NM",CC19-CC$69)</f>
        <v>-1</v>
      </c>
      <c r="CD20" s="731">
        <f>IF(ISERROR(CD19-CD$69),"NM",CD19-CD$69)</f>
        <v>-1</v>
      </c>
      <c r="CE20" s="731">
        <f>IF(ISERROR(CE19-CE$69),"NM",CE19-CE$69)</f>
        <v>-1</v>
      </c>
      <c r="CF20" s="731">
        <f>IF(ISERROR(CF19-CF$69),"NM",CF19-CF$69)</f>
        <v>-1</v>
      </c>
      <c r="CG20" s="731">
        <f>IF(ISERROR(CG19-CG$69),"NM",CG19-CG$69)</f>
        <v>-1</v>
      </c>
      <c r="CH20" s="184"/>
      <c r="CI20" s="731" t="str">
        <f t="shared" ref="CI20:CM20" si="6">IF(ISERROR(CI19-CI$69),"NM",CI19-CI$69)</f>
        <v>NM</v>
      </c>
      <c r="CJ20" s="731" t="str">
        <f t="shared" si="6"/>
        <v>NM</v>
      </c>
      <c r="CK20" s="731" t="str">
        <f t="shared" si="6"/>
        <v>NM</v>
      </c>
      <c r="CL20" s="731" t="str">
        <f t="shared" si="6"/>
        <v>NM</v>
      </c>
      <c r="CM20" s="731" t="str">
        <f t="shared" si="6"/>
        <v>NM</v>
      </c>
      <c r="CN20" s="184"/>
      <c r="CO20" s="731" t="str">
        <f t="shared" ref="CO20:CS20" si="7">IF(ISERROR(CO19-CO$69),"NM",CO19-CO$69)</f>
        <v>NM</v>
      </c>
      <c r="CP20" s="731" t="str">
        <f t="shared" si="7"/>
        <v>NM</v>
      </c>
      <c r="CQ20" s="731" t="str">
        <f t="shared" si="7"/>
        <v>NM</v>
      </c>
      <c r="CR20" s="731" t="str">
        <f t="shared" si="7"/>
        <v>NM</v>
      </c>
      <c r="CS20" s="731" t="str">
        <f t="shared" si="7"/>
        <v>NM</v>
      </c>
    </row>
    <row r="21" spans="1:101" s="43" customFormat="1" ht="12.75" customHeight="1" x14ac:dyDescent="0.2">
      <c r="A21" s="300"/>
      <c r="B21" s="304" t="s">
        <v>301</v>
      </c>
      <c r="C21" s="368"/>
      <c r="D21" s="368"/>
      <c r="E21" s="368"/>
      <c r="F21" s="369"/>
      <c r="G21" s="368"/>
      <c r="H21" s="253"/>
      <c r="I21" s="368"/>
      <c r="J21" s="368"/>
      <c r="K21" s="368"/>
      <c r="L21" s="368"/>
      <c r="M21" s="368"/>
      <c r="N21" s="253"/>
      <c r="O21" s="368"/>
      <c r="P21" s="368"/>
      <c r="Q21" s="368"/>
      <c r="R21" s="368"/>
      <c r="S21" s="368"/>
      <c r="T21" s="253"/>
      <c r="U21" s="368"/>
      <c r="V21" s="368"/>
      <c r="W21" s="368"/>
      <c r="X21" s="368"/>
      <c r="Y21" s="39"/>
      <c r="Z21" s="253"/>
      <c r="AA21" s="373"/>
      <c r="AB21" s="373"/>
      <c r="AC21" s="373"/>
      <c r="AD21" s="39"/>
      <c r="AE21" s="39"/>
      <c r="AF21" s="253"/>
      <c r="AG21" s="373"/>
      <c r="AH21" s="373"/>
      <c r="AI21" s="373"/>
      <c r="AJ21" s="39"/>
      <c r="AK21" s="39"/>
      <c r="AL21" s="253"/>
      <c r="AM21" s="373"/>
      <c r="AN21" s="373"/>
      <c r="AO21" s="373"/>
      <c r="AP21" s="39"/>
      <c r="AQ21" s="39"/>
      <c r="AR21" s="253"/>
      <c r="AS21" s="373"/>
      <c r="AT21" s="373"/>
      <c r="AU21" s="373"/>
      <c r="AV21" s="39"/>
      <c r="AW21" s="39"/>
      <c r="AX21" s="253"/>
      <c r="AY21" s="39">
        <v>0</v>
      </c>
      <c r="AZ21" s="676">
        <v>0.11398050937500001</v>
      </c>
      <c r="BA21" s="676">
        <v>3.41</v>
      </c>
      <c r="BB21" s="676">
        <v>3.72</v>
      </c>
      <c r="BC21" s="39">
        <f>+SUM(AY21:BB21)</f>
        <v>7.2439805093750005</v>
      </c>
      <c r="BD21" s="253"/>
      <c r="BE21" s="676">
        <v>3.9978569389102052</v>
      </c>
      <c r="BF21" s="676">
        <v>4.1328607543524303</v>
      </c>
      <c r="BG21" s="676">
        <v>4.3313226164440239</v>
      </c>
      <c r="BH21" s="676">
        <v>4.9245927434250847</v>
      </c>
      <c r="BI21" s="39">
        <v>17.386633053131742</v>
      </c>
      <c r="BJ21" s="253"/>
      <c r="BK21" s="676">
        <v>4.9784971661152566</v>
      </c>
      <c r="BL21" s="676">
        <v>5.1171940357075529</v>
      </c>
      <c r="BM21" s="676">
        <v>5.0968183856838341</v>
      </c>
      <c r="BN21" s="676">
        <v>5.2258225240929335</v>
      </c>
      <c r="BO21" s="39">
        <v>20.418332111599575</v>
      </c>
      <c r="BP21" s="253"/>
      <c r="BQ21" s="676">
        <v>5.6695274254910171</v>
      </c>
      <c r="BR21" s="676">
        <v>5.4708622498102137</v>
      </c>
      <c r="BS21" s="676">
        <v>5.4310390118640548</v>
      </c>
      <c r="BT21" s="676">
        <v>5.5951163843000637</v>
      </c>
      <c r="BU21" s="39">
        <v>22.16654507146535</v>
      </c>
      <c r="BV21" s="253"/>
      <c r="BW21" s="676">
        <v>5.4256264231390485</v>
      </c>
      <c r="BX21" s="676">
        <v>5.2223926461638595</v>
      </c>
      <c r="BY21" s="676">
        <v>5.2978272568062099</v>
      </c>
      <c r="BZ21" s="676">
        <v>5.4456724484881756</v>
      </c>
      <c r="CA21" s="39">
        <v>21.391518774597294</v>
      </c>
      <c r="CB21" s="253"/>
      <c r="CC21" s="676">
        <v>5.3442696233138864</v>
      </c>
      <c r="CD21" s="676">
        <v>5.1338061040180909</v>
      </c>
      <c r="CE21" s="676">
        <v>5.1980941966938436</v>
      </c>
      <c r="CF21" s="676">
        <v>5.3335432329640309</v>
      </c>
      <c r="CG21" s="39">
        <v>21.009713156989854</v>
      </c>
      <c r="CH21" s="253"/>
      <c r="CI21" s="676">
        <v>5.2137558347344442</v>
      </c>
      <c r="CJ21" s="676">
        <v>5.0002817622214568</v>
      </c>
      <c r="CK21" s="676">
        <v>5.0550571678757574</v>
      </c>
      <c r="CL21" s="676">
        <v>5.1791257385880627</v>
      </c>
      <c r="CM21" s="39">
        <v>20.448220503419719</v>
      </c>
      <c r="CN21" s="253"/>
      <c r="CO21" s="676">
        <v>5.0464801456558881</v>
      </c>
      <c r="CP21" s="676">
        <v>4.8333289531884294</v>
      </c>
      <c r="CQ21" s="676">
        <v>4.879987114945159</v>
      </c>
      <c r="CR21" s="676">
        <v>4.9936112281546432</v>
      </c>
      <c r="CS21" s="39">
        <v>19.75340744194412</v>
      </c>
      <c r="CT21" s="306"/>
    </row>
    <row r="22" spans="1:101" s="43" customFormat="1" ht="12.75" customHeight="1" x14ac:dyDescent="0.2">
      <c r="A22" s="300"/>
      <c r="B22" s="266" t="s">
        <v>341</v>
      </c>
      <c r="C22" s="308"/>
      <c r="D22" s="308"/>
      <c r="E22" s="308"/>
      <c r="F22" s="308"/>
      <c r="G22" s="308"/>
      <c r="H22" s="308"/>
      <c r="I22" s="308"/>
      <c r="J22" s="308"/>
      <c r="K22" s="308"/>
      <c r="L22" s="308"/>
      <c r="M22" s="306"/>
      <c r="N22" s="308"/>
      <c r="O22" s="308"/>
      <c r="P22" s="308"/>
      <c r="Q22" s="308"/>
      <c r="R22" s="308"/>
      <c r="S22" s="306"/>
      <c r="T22" s="308"/>
      <c r="U22" s="308"/>
      <c r="V22" s="308"/>
      <c r="W22" s="308"/>
      <c r="X22" s="308"/>
      <c r="Y22" s="306"/>
      <c r="Z22" s="308"/>
      <c r="AA22" s="306"/>
      <c r="AB22" s="306"/>
      <c r="AC22" s="306"/>
      <c r="AD22" s="306"/>
      <c r="AE22" s="306"/>
      <c r="AF22" s="381"/>
      <c r="AG22" s="306"/>
      <c r="AH22" s="306"/>
      <c r="AI22" s="306"/>
      <c r="AJ22" s="306"/>
      <c r="AK22" s="306"/>
      <c r="AL22" s="381"/>
      <c r="AM22" s="306"/>
      <c r="AN22" s="306"/>
      <c r="AO22" s="306"/>
      <c r="AP22" s="306"/>
      <c r="AQ22" s="306"/>
      <c r="AR22" s="381"/>
      <c r="AS22" s="306"/>
      <c r="AT22" s="306"/>
      <c r="AU22" s="306"/>
      <c r="AV22" s="306"/>
      <c r="AW22" s="306"/>
      <c r="AX22" s="381"/>
      <c r="AY22" s="306">
        <f>AY21/AY$33</f>
        <v>0</v>
      </c>
      <c r="AZ22" s="306">
        <f>AZ21/AZ$33</f>
        <v>6.9097941484041114E-4</v>
      </c>
      <c r="BA22" s="306">
        <f>BA21/BA$33</f>
        <v>2.1446540880503146E-2</v>
      </c>
      <c r="BB22" s="306">
        <f>BB21/BB$33</f>
        <v>2.2717567487787988E-2</v>
      </c>
      <c r="BC22" s="306">
        <f>BC21/BC$33</f>
        <v>1.1349364137456528E-2</v>
      </c>
      <c r="BD22" s="381"/>
      <c r="BE22" s="306">
        <f>BE21/BE$33</f>
        <v>2.5510628645964459E-2</v>
      </c>
      <c r="BF22" s="306">
        <f>BF21/BF$33</f>
        <v>2.4808692327392908E-2</v>
      </c>
      <c r="BG22" s="306">
        <f>BG21/BG$33</f>
        <v>2.7708402391441921E-2</v>
      </c>
      <c r="BH22" s="306">
        <f>BH21/BH$33</f>
        <v>3.2229010100949501E-2</v>
      </c>
      <c r="BI22" s="306">
        <f>BI21/BI$33</f>
        <v>2.7492197953290366E-2</v>
      </c>
      <c r="BJ22" s="381"/>
      <c r="BK22" s="306">
        <f>BK21/BK$33</f>
        <v>3.5737800752293013E-2</v>
      </c>
      <c r="BL22" s="306">
        <f>BL21/BL$33</f>
        <v>3.554857270553758E-2</v>
      </c>
      <c r="BM22" s="306">
        <f>BM21/BM$33</f>
        <v>3.6196134234893269E-2</v>
      </c>
      <c r="BN22" s="306">
        <f>BN21/BN$33</f>
        <v>3.6149865355671114E-2</v>
      </c>
      <c r="BO22" s="306">
        <f>BO21/BO$33</f>
        <v>3.5908153723944021E-2</v>
      </c>
      <c r="BP22" s="381"/>
      <c r="BQ22" s="306">
        <f>BQ21/BQ$33</f>
        <v>4.475696446095527E-2</v>
      </c>
      <c r="BR22" s="306">
        <f>BR21/BR$33</f>
        <v>4.3119965822279414E-2</v>
      </c>
      <c r="BS22" s="306">
        <f>BS21/BS$33</f>
        <v>4.4612207817331433E-2</v>
      </c>
      <c r="BT22" s="306">
        <f>BT21/BT$33</f>
        <v>4.4062064331204194E-2</v>
      </c>
      <c r="BU22" s="306">
        <f>BU21/BU$33</f>
        <v>4.4132684152289756E-2</v>
      </c>
      <c r="BV22" s="381"/>
      <c r="BW22" s="306">
        <f>BW21/BW$33</f>
        <v>4.9247870198613757E-2</v>
      </c>
      <c r="BX22" s="306">
        <f>BX21/BX$33</f>
        <v>4.6906985302218894E-2</v>
      </c>
      <c r="BY22" s="306">
        <f>BY21/BY$33</f>
        <v>4.8804927364371892E-2</v>
      </c>
      <c r="BZ22" s="306">
        <f>BZ21/BZ$33</f>
        <v>4.7575804720294532E-2</v>
      </c>
      <c r="CA22" s="306">
        <f>CA21/CA$33</f>
        <v>4.8122846803850955E-2</v>
      </c>
      <c r="CB22" s="381"/>
      <c r="CC22" s="306">
        <f>CC21/CC$33</f>
        <v>5.3395091013976562E-2</v>
      </c>
      <c r="CD22" s="306">
        <f>CD21/CD$33</f>
        <v>5.0173847778209504E-2</v>
      </c>
      <c r="CE22" s="306">
        <f>CE21/CE$33</f>
        <v>5.2655964567142881E-2</v>
      </c>
      <c r="CF22" s="306">
        <f>CF21/CF$33</f>
        <v>5.0547169086629741E-2</v>
      </c>
      <c r="CG22" s="306">
        <f>CG21/CG$33</f>
        <v>5.1666143468045114E-2</v>
      </c>
      <c r="CH22" s="511"/>
      <c r="CI22" s="510">
        <f t="shared" ref="CI22:CM22" si="8">CI21/CI$33</f>
        <v>5.7155481265399523E-2</v>
      </c>
      <c r="CJ22" s="510">
        <f t="shared" si="8"/>
        <v>5.2844676585529271E-2</v>
      </c>
      <c r="CK22" s="510">
        <f t="shared" si="8"/>
        <v>5.6123326207084233E-2</v>
      </c>
      <c r="CL22" s="510">
        <f t="shared" si="8"/>
        <v>5.2905914990472043E-2</v>
      </c>
      <c r="CM22" s="510">
        <f t="shared" si="8"/>
        <v>5.4702693054264846E-2</v>
      </c>
      <c r="CN22" s="511"/>
      <c r="CO22" s="510">
        <f t="shared" ref="CO22:CS22" si="9">CO21/CO$33</f>
        <v>6.0483502961334382E-2</v>
      </c>
      <c r="CP22" s="510">
        <f t="shared" si="9"/>
        <v>5.4847426246612804E-2</v>
      </c>
      <c r="CQ22" s="510">
        <f t="shared" si="9"/>
        <v>5.9163140842602137E-2</v>
      </c>
      <c r="CR22" s="510">
        <f t="shared" si="9"/>
        <v>5.4588140556905945E-2</v>
      </c>
      <c r="CS22" s="510">
        <f t="shared" si="9"/>
        <v>5.717002855534032E-2</v>
      </c>
      <c r="CT22" s="306"/>
    </row>
    <row r="23" spans="1:101" s="43" customFormat="1" ht="12.75" hidden="1" customHeight="1" outlineLevel="1" x14ac:dyDescent="0.2">
      <c r="A23" s="300"/>
      <c r="B23" s="266" t="s">
        <v>339</v>
      </c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6"/>
      <c r="N23" s="308"/>
      <c r="O23" s="308"/>
      <c r="P23" s="308"/>
      <c r="Q23" s="308"/>
      <c r="R23" s="308"/>
      <c r="S23" s="306"/>
      <c r="T23" s="308"/>
      <c r="U23" s="308"/>
      <c r="V23" s="308"/>
      <c r="W23" s="308"/>
      <c r="X23" s="308"/>
      <c r="Y23" s="306"/>
      <c r="Z23" s="381"/>
      <c r="AA23" s="306" t="str">
        <f>IF(ISERROR(AA21/U21-1),"NM",AA21/U21-1)</f>
        <v>NM</v>
      </c>
      <c r="AB23" s="306" t="str">
        <f>IF(ISERROR(AB21/V21-1),"NM",AB21/V21-1)</f>
        <v>NM</v>
      </c>
      <c r="AC23" s="306" t="str">
        <f>IF(ISERROR(AC21/W21-1),"NM",AC21/W21-1)</f>
        <v>NM</v>
      </c>
      <c r="AD23" s="306" t="str">
        <f>IF(ISERROR(AD21/X21-1),"NM",AD21/X21-1)</f>
        <v>NM</v>
      </c>
      <c r="AE23" s="306" t="str">
        <f>IF(ISERROR(AE21/Y21-1),"NM",AE21/Y21-1)</f>
        <v>NM</v>
      </c>
      <c r="AF23" s="381"/>
      <c r="AG23" s="306" t="str">
        <f>IF(ISERROR(AG21/AA21-1),"NM",AG21/AA21-1)</f>
        <v>NM</v>
      </c>
      <c r="AH23" s="306" t="str">
        <f>IF(ISERROR(AH21/AB21-1),"NM",AH21/AB21-1)</f>
        <v>NM</v>
      </c>
      <c r="AI23" s="306" t="str">
        <f>IF(ISERROR(AI21/AC21-1),"NM",AI21/AC21-1)</f>
        <v>NM</v>
      </c>
      <c r="AJ23" s="306" t="str">
        <f>IF(ISERROR(AJ21/AD21-1),"NM",AJ21/AD21-1)</f>
        <v>NM</v>
      </c>
      <c r="AK23" s="306" t="str">
        <f>IF(ISERROR(AK21/AE21-1),"NM",AK21/AE21-1)</f>
        <v>NM</v>
      </c>
      <c r="AL23" s="381"/>
      <c r="AM23" s="306" t="str">
        <f>IF(ISERROR(AM21/AG21-1),"NM",AM21/AG21-1)</f>
        <v>NM</v>
      </c>
      <c r="AN23" s="306" t="str">
        <f>IF(ISERROR(AN21/AH21-1),"NM",AN21/AH21-1)</f>
        <v>NM</v>
      </c>
      <c r="AO23" s="306" t="str">
        <f>IF(ISERROR(AO21/AI21-1),"NM",AO21/AI21-1)</f>
        <v>NM</v>
      </c>
      <c r="AP23" s="306" t="str">
        <f>IF(ISERROR(AP21/AJ21-1),"NM",AP21/AJ21-1)</f>
        <v>NM</v>
      </c>
      <c r="AQ23" s="306" t="str">
        <f>IF(ISERROR(AQ21/AK21-1),"NM",AQ21/AK21-1)</f>
        <v>NM</v>
      </c>
      <c r="AR23" s="381"/>
      <c r="AS23" s="306" t="str">
        <f>IF(ISERROR(AS21/AM21-1),"NM",AS21/AM21-1)</f>
        <v>NM</v>
      </c>
      <c r="AT23" s="306" t="str">
        <f>IF(ISERROR(AT21/AN21-1),"NM",AT21/AN21-1)</f>
        <v>NM</v>
      </c>
      <c r="AU23" s="306" t="str">
        <f>IF(ISERROR(AU21/AO21-1),"NM",AU21/AO21-1)</f>
        <v>NM</v>
      </c>
      <c r="AV23" s="306" t="str">
        <f>IF(ISERROR(AV21/AP21-1),"NM",AV21/AP21-1)</f>
        <v>NM</v>
      </c>
      <c r="AW23" s="306" t="str">
        <f>IF(ISERROR(AW21/AQ21-1),"NM",AW21/AQ21-1)</f>
        <v>NM</v>
      </c>
      <c r="AX23" s="381"/>
      <c r="AY23" s="306" t="str">
        <f>IF(ISERROR(AY21/AS21-1),"NM",AY21/AS21-1)</f>
        <v>NM</v>
      </c>
      <c r="AZ23" s="306" t="str">
        <f>IF(ISERROR(AZ21/AT21-1),"NM",AZ21/AT21-1)</f>
        <v>NM</v>
      </c>
      <c r="BA23" s="306" t="str">
        <f>IF(ISERROR(BA21/AU21-1),"NM",BA21/AU21-1)</f>
        <v>NM</v>
      </c>
      <c r="BB23" s="306" t="str">
        <f>IF(ISERROR(BB21/AV21-1),"NM",BB21/AV21-1)</f>
        <v>NM</v>
      </c>
      <c r="BC23" s="306" t="str">
        <f>IF(ISERROR(BC21/AW21-1),"NM",BC21/AW21-1)</f>
        <v>NM</v>
      </c>
      <c r="BD23" s="381"/>
      <c r="BE23" s="306" t="str">
        <f>IF(ISERROR(BE21/AY21-1),"NM",BE21/AY21-1)</f>
        <v>NM</v>
      </c>
      <c r="BF23" s="731">
        <f>IF(ISERROR(BF21/AZ21-1),"NM",BF21/AZ21-1)</f>
        <v>35.259363789603434</v>
      </c>
      <c r="BG23" s="306">
        <f>IF(ISERROR(BG21/BA21-1),"NM",BG21/BA21-1)</f>
        <v>0.27018258546745555</v>
      </c>
      <c r="BH23" s="306">
        <f>IF(ISERROR(BH21/BB21-1),"NM",BH21/BB21-1)</f>
        <v>0.32381525360889363</v>
      </c>
      <c r="BI23" s="306">
        <f>IF(ISERROR(BI21/BC21-1),"NM",BI21/BC21-1)</f>
        <v>1.4001490659217461</v>
      </c>
      <c r="BJ23" s="381"/>
      <c r="BK23" s="306">
        <f>IF(ISERROR(BK21/BE21-1),"NM",BK21/BE21-1)</f>
        <v>0.24529147545543961</v>
      </c>
      <c r="BL23" s="306">
        <f>IF(ISERROR(BL21/BF21-1),"NM",BL21/BF21-1)</f>
        <v>0.23817237982636952</v>
      </c>
      <c r="BM23" s="306">
        <f>IF(ISERROR(BM21/BG21-1),"NM",BM21/BG21-1)</f>
        <v>0.17673487685576172</v>
      </c>
      <c r="BN23" s="306">
        <f>IF(ISERROR(BN21/BH21-1),"NM",BN21/BH21-1)</f>
        <v>6.1168465365999403E-2</v>
      </c>
      <c r="BO23" s="306">
        <f>IF(ISERROR(BO21/BI21-1),"NM",BO21/BI21-1)</f>
        <v>0.17436953142125189</v>
      </c>
      <c r="BP23" s="381"/>
      <c r="BQ23" s="306">
        <f>IF(ISERROR(BQ21/BK21-1),"NM",BQ21/BK21-1)</f>
        <v>0.13880298337399166</v>
      </c>
      <c r="BR23" s="306">
        <f>IF(ISERROR(BR21/BL21-1),"NM",BR21/BL21-1)</f>
        <v>6.9113700132295008E-2</v>
      </c>
      <c r="BS23" s="306">
        <f>IF(ISERROR(BS21/BM21-1),"NM",BS21/BM21-1)</f>
        <v>6.5574364415062147E-2</v>
      </c>
      <c r="BT23" s="306">
        <f>IF(ISERROR(BT21/BN21-1),"NM",BT21/BN21-1)</f>
        <v>7.0667126276208636E-2</v>
      </c>
      <c r="BU23" s="306">
        <f>IF(ISERROR(BU21/BO21-1),"NM",BU21/BO21-1)</f>
        <v>8.5619772972182373E-2</v>
      </c>
      <c r="BV23" s="381"/>
      <c r="BW23" s="306">
        <f>IF(ISERROR(BW21/BQ21-1),"NM",BW21/BQ21-1)</f>
        <v>-4.3019635332453676E-2</v>
      </c>
      <c r="BX23" s="306">
        <f>IF(ISERROR(BX21/BR21-1),"NM",BX21/BR21-1)</f>
        <v>-4.5416899987743897E-2</v>
      </c>
      <c r="BY23" s="306">
        <f>IF(ISERROR(BY21/BS21-1),"NM",BY21/BS21-1)</f>
        <v>-2.4527858254533852E-2</v>
      </c>
      <c r="BZ23" s="306">
        <f>IF(ISERROR(BZ21/BT21-1),"NM",BZ21/BT21-1)</f>
        <v>-2.6709709959068739E-2</v>
      </c>
      <c r="CA23" s="306">
        <f>IF(ISERROR(CA21/BU21-1),"NM",CA21/BU21-1)</f>
        <v>-3.4963784133673403E-2</v>
      </c>
      <c r="CB23" s="381"/>
      <c r="CC23" s="306">
        <f>IF(ISERROR(CC21/BW21-1),"NM",CC21/BW21-1)</f>
        <v>-1.4994913670833276E-2</v>
      </c>
      <c r="CD23" s="306">
        <f>IF(ISERROR(CD21/BX21-1),"NM",CD21/BX21-1)</f>
        <v>-1.6962826839693967E-2</v>
      </c>
      <c r="CE23" s="306">
        <f>IF(ISERROR(CE21/BY21-1),"NM",CE21/BY21-1)</f>
        <v>-1.8825275962751964E-2</v>
      </c>
      <c r="CF23" s="306">
        <f>IF(ISERROR(CF21/BZ21-1),"NM",CF21/BZ21-1)</f>
        <v>-2.0590517807451691E-2</v>
      </c>
      <c r="CG23" s="306">
        <f>IF(ISERROR(CG21/CA21-1),"NM",CG21/CA21-1)</f>
        <v>-1.7848457682249297E-2</v>
      </c>
      <c r="CH23" s="511"/>
      <c r="CI23" s="510">
        <f t="shared" ref="CI23:CM23" si="10">IF(ISERROR(CI21/CC21-1),"NM",CI21/CC21-1)</f>
        <v>-2.4421258240805765E-2</v>
      </c>
      <c r="CJ23" s="510">
        <f t="shared" si="10"/>
        <v>-2.6008840047957449E-2</v>
      </c>
      <c r="CK23" s="510">
        <f t="shared" si="10"/>
        <v>-2.7517206000049477E-2</v>
      </c>
      <c r="CL23" s="510">
        <f t="shared" si="10"/>
        <v>-2.8952140749809452E-2</v>
      </c>
      <c r="CM23" s="510">
        <f t="shared" si="10"/>
        <v>-2.6725384081853987E-2</v>
      </c>
      <c r="CN23" s="511"/>
      <c r="CO23" s="510">
        <f t="shared" ref="CO23:CS23" si="11">IF(ISERROR(CO21/CI21-1),"NM",CO21/CI21-1)</f>
        <v>-3.2083529490228968E-2</v>
      </c>
      <c r="CP23" s="510">
        <f t="shared" si="11"/>
        <v>-3.338868027286046E-2</v>
      </c>
      <c r="CQ23" s="510">
        <f t="shared" si="11"/>
        <v>-3.4632655401633516E-2</v>
      </c>
      <c r="CR23" s="510">
        <f t="shared" si="11"/>
        <v>-3.5819657563284868E-2</v>
      </c>
      <c r="CS23" s="510">
        <f t="shared" si="11"/>
        <v>-3.3979145586746751E-2</v>
      </c>
      <c r="CT23" s="306"/>
    </row>
    <row r="24" spans="1:101" s="43" customFormat="1" ht="12.75" customHeight="1" collapsed="1" x14ac:dyDescent="0.2">
      <c r="A24" s="300"/>
      <c r="B24" s="677" t="s">
        <v>342</v>
      </c>
      <c r="C24" s="306"/>
      <c r="D24" s="306"/>
      <c r="E24" s="306"/>
      <c r="F24" s="306"/>
      <c r="G24" s="306"/>
      <c r="H24" s="184"/>
      <c r="I24" s="306"/>
      <c r="J24" s="306"/>
      <c r="K24" s="306"/>
      <c r="L24" s="306"/>
      <c r="M24" s="306"/>
      <c r="N24" s="184"/>
      <c r="O24" s="306"/>
      <c r="P24" s="306"/>
      <c r="Q24" s="306"/>
      <c r="R24" s="306"/>
      <c r="S24" s="306"/>
      <c r="T24" s="184"/>
      <c r="U24" s="306"/>
      <c r="V24" s="306"/>
      <c r="W24" s="306"/>
      <c r="X24" s="306"/>
      <c r="Y24" s="306"/>
      <c r="Z24" s="184"/>
      <c r="AA24" s="306" t="str">
        <f>IF(ISERROR(AA23-AA$69),"NM",AA23-AA$69)</f>
        <v>NM</v>
      </c>
      <c r="AB24" s="306" t="str">
        <f>IF(ISERROR(AB23-AB$69),"NM",AB23-AB$69)</f>
        <v>NM</v>
      </c>
      <c r="AC24" s="306" t="str">
        <f>IF(ISERROR(AC23-AC$69),"NM",AC23-AC$69)</f>
        <v>NM</v>
      </c>
      <c r="AD24" s="306" t="str">
        <f>IF(ISERROR(AD23-AD$69),"NM",AD23-AD$69)</f>
        <v>NM</v>
      </c>
      <c r="AE24" s="306" t="str">
        <f>IF(ISERROR(AE23-AE$69),"NM",AE23-AE$69)</f>
        <v>NM</v>
      </c>
      <c r="AF24" s="184"/>
      <c r="AG24" s="306" t="str">
        <f>IF(ISERROR(AG23-AG$69),"NM",AG23-AG$69)</f>
        <v>NM</v>
      </c>
      <c r="AH24" s="306" t="str">
        <f>IF(ISERROR(AH23-AH$69),"NM",AH23-AH$69)</f>
        <v>NM</v>
      </c>
      <c r="AI24" s="306" t="str">
        <f>IF(ISERROR(AI23-AI$69),"NM",AI23-AI$69)</f>
        <v>NM</v>
      </c>
      <c r="AJ24" s="306" t="str">
        <f>IF(ISERROR(AJ23-AJ$69),"NM",AJ23-AJ$69)</f>
        <v>NM</v>
      </c>
      <c r="AK24" s="306" t="str">
        <f>IF(ISERROR(AK23-AK$69),"NM",AK23-AK$69)</f>
        <v>NM</v>
      </c>
      <c r="AL24" s="184"/>
      <c r="AM24" s="306" t="str">
        <f>IF(ISERROR(AM23-AM$69),"NM",AM23-AM$69)</f>
        <v>NM</v>
      </c>
      <c r="AN24" s="306" t="str">
        <f>IF(ISERROR(AN23-AN$69),"NM",AN23-AN$69)</f>
        <v>NM</v>
      </c>
      <c r="AO24" s="306" t="str">
        <f>IF(ISERROR(AO23-AO$69),"NM",AO23-AO$69)</f>
        <v>NM</v>
      </c>
      <c r="AP24" s="306" t="str">
        <f>IF(ISERROR(AP23-AP$69),"NM",AP23-AP$69)</f>
        <v>NM</v>
      </c>
      <c r="AQ24" s="306" t="str">
        <f>IF(ISERROR(AQ23-AQ$69),"NM",AQ23-AQ$69)</f>
        <v>NM</v>
      </c>
      <c r="AR24" s="184"/>
      <c r="AS24" s="306" t="str">
        <f>IF(ISERROR(AS23-AS$69),"NM",AS23-AS$69)</f>
        <v>NM</v>
      </c>
      <c r="AT24" s="306" t="str">
        <f>IF(ISERROR(AT23-AT$69),"NM",AT23-AT$69)</f>
        <v>NM</v>
      </c>
      <c r="AU24" s="306" t="str">
        <f>IF(ISERROR(AU23-AU$69),"NM",AU23-AU$69)</f>
        <v>NM</v>
      </c>
      <c r="AV24" s="306" t="str">
        <f>IF(ISERROR(AV23-AV$69),"NM",AV23-AV$69)</f>
        <v>NM</v>
      </c>
      <c r="AW24" s="306" t="str">
        <f>IF(ISERROR(AW23-AW$69),"NM",AW23-AW$69)</f>
        <v>NM</v>
      </c>
      <c r="AX24" s="184"/>
      <c r="AY24" s="306" t="str">
        <f>IF(ISERROR(AY23-AY$69),"NM",AY23-AY$69)</f>
        <v>NM</v>
      </c>
      <c r="AZ24" s="306" t="str">
        <f>IF(ISERROR(AZ23-AZ$69),"NM",AZ23-AZ$69)</f>
        <v>NM</v>
      </c>
      <c r="BA24" s="306" t="str">
        <f>IF(ISERROR(BA23-BA$69),"NM",BA23-BA$69)</f>
        <v>NM</v>
      </c>
      <c r="BB24" s="306" t="str">
        <f>IF(ISERROR(BB23-BB$69),"NM",BB23-BB$69)</f>
        <v>NM</v>
      </c>
      <c r="BC24" s="306" t="str">
        <f>IF(ISERROR(BC23-BC$69),"NM",BC23-BC$69)</f>
        <v>NM</v>
      </c>
      <c r="BD24" s="184"/>
      <c r="BE24" s="306" t="str">
        <f>IF(ISERROR(BE23-BE$69),"NM",BE23-BE$69)</f>
        <v>NM</v>
      </c>
      <c r="BF24" s="306" t="s">
        <v>88</v>
      </c>
      <c r="BG24" s="306">
        <f>IF(ISERROR(BG23-BG$69),"NM",BG23-BG$69)</f>
        <v>0.27018258546745555</v>
      </c>
      <c r="BH24" s="306">
        <f>IF(ISERROR(BH23-BH$69),"NM",BH23-BH$69)</f>
        <v>0.32381525360889363</v>
      </c>
      <c r="BI24" s="306">
        <f>IF(ISERROR(BI23-BI$69),"NM",BI23-BI$69)</f>
        <v>1.4001490659217461</v>
      </c>
      <c r="BJ24" s="184"/>
      <c r="BK24" s="306">
        <f>IF(ISERROR(BK23-BK$69),"NM",BK23-BK$69)</f>
        <v>0.24529147545543961</v>
      </c>
      <c r="BL24" s="306">
        <f>IF(ISERROR(BL23-BL$69),"NM",BL23-BL$69)</f>
        <v>0.23817237982636952</v>
      </c>
      <c r="BM24" s="306">
        <f>IF(ISERROR(BM23-BM$69),"NM",BM23-BM$69)</f>
        <v>0.17673487685576172</v>
      </c>
      <c r="BN24" s="306">
        <f>IF(ISERROR(BN23-BN$69),"NM",BN23-BN$69)</f>
        <v>6.1168465365999403E-2</v>
      </c>
      <c r="BO24" s="306">
        <f>IF(ISERROR(BO23-BO$69),"NM",BO23-BO$69)</f>
        <v>0.17436953142125189</v>
      </c>
      <c r="BP24" s="184"/>
      <c r="BQ24" s="306">
        <f>IF(ISERROR(BQ23-BQ$69),"NM",BQ23-BQ$69)</f>
        <v>0.13880298337399166</v>
      </c>
      <c r="BR24" s="306">
        <f>IF(ISERROR(BR23-BR$69),"NM",BR23-BR$69)</f>
        <v>6.9113700132295008E-2</v>
      </c>
      <c r="BS24" s="306">
        <f>IF(ISERROR(BS23-BS$69),"NM",BS23-BS$69)</f>
        <v>6.5574364415062147E-2</v>
      </c>
      <c r="BT24" s="306">
        <f>IF(ISERROR(BT23-BT$69),"NM",BT23-BT$69)</f>
        <v>7.0667126276208636E-2</v>
      </c>
      <c r="BU24" s="306">
        <f>IF(ISERROR(BU23-BU$69),"NM",BU23-BU$69)</f>
        <v>8.5619772972182373E-2</v>
      </c>
      <c r="BV24" s="184"/>
      <c r="BW24" s="306">
        <f>IF(ISERROR(BW23-BW$69),"NM",BW23-BW$69)</f>
        <v>-4.3019635332453676E-2</v>
      </c>
      <c r="BX24" s="306">
        <f>IF(ISERROR(BX23-BX$69),"NM",BX23-BX$69)</f>
        <v>-4.5416899987743897E-2</v>
      </c>
      <c r="BY24" s="306">
        <f>IF(ISERROR(BY23-BY$69),"NM",BY23-BY$69)</f>
        <v>-2.4527858254533852E-2</v>
      </c>
      <c r="BZ24" s="306">
        <f>IF(ISERROR(BZ23-BZ$69),"NM",BZ23-BZ$69)</f>
        <v>-2.6709709959068739E-2</v>
      </c>
      <c r="CA24" s="306">
        <f>IF(ISERROR(CA23-CA$69),"NM",CA23-CA$69)</f>
        <v>-3.4963784133673403E-2</v>
      </c>
      <c r="CB24" s="184"/>
      <c r="CC24" s="306">
        <f>IF(ISERROR(CC23-CC$69),"NM",CC23-CC$69)</f>
        <v>-1.4994913670833276E-2</v>
      </c>
      <c r="CD24" s="306">
        <f>IF(ISERROR(CD23-CD$69),"NM",CD23-CD$69)</f>
        <v>-1.6962826839693967E-2</v>
      </c>
      <c r="CE24" s="306">
        <f>IF(ISERROR(CE23-CE$69),"NM",CE23-CE$69)</f>
        <v>-1.8825275962751964E-2</v>
      </c>
      <c r="CF24" s="306">
        <f>IF(ISERROR(CF23-CF$69),"NM",CF23-CF$69)</f>
        <v>-2.0590517807451691E-2</v>
      </c>
      <c r="CG24" s="306">
        <f>IF(ISERROR(CG23-CG$69),"NM",CG23-CG$69)</f>
        <v>-1.7848457682249297E-2</v>
      </c>
      <c r="CH24" s="184"/>
      <c r="CI24" s="510">
        <f t="shared" ref="CI24:CM24" si="12">IF(ISERROR(CI23-CI$69),"NM",CI23-CI$69)</f>
        <v>-2.4421258240805765E-2</v>
      </c>
      <c r="CJ24" s="510">
        <f t="shared" si="12"/>
        <v>-2.6008840047957449E-2</v>
      </c>
      <c r="CK24" s="510">
        <f t="shared" si="12"/>
        <v>-2.7517206000049477E-2</v>
      </c>
      <c r="CL24" s="510">
        <f t="shared" si="12"/>
        <v>-2.8952140749809452E-2</v>
      </c>
      <c r="CM24" s="510">
        <f t="shared" si="12"/>
        <v>-2.6725384081853987E-2</v>
      </c>
      <c r="CN24" s="184"/>
      <c r="CO24" s="510">
        <f t="shared" ref="CO24:CS24" si="13">IF(ISERROR(CO23-CO$69),"NM",CO23-CO$69)</f>
        <v>-3.2083529490228968E-2</v>
      </c>
      <c r="CP24" s="510">
        <f t="shared" si="13"/>
        <v>-3.338868027286046E-2</v>
      </c>
      <c r="CQ24" s="510">
        <f t="shared" si="13"/>
        <v>-3.4632655401633516E-2</v>
      </c>
      <c r="CR24" s="510">
        <f t="shared" si="13"/>
        <v>-3.5819657563284868E-2</v>
      </c>
      <c r="CS24" s="510">
        <f t="shared" si="13"/>
        <v>-3.3979145586746751E-2</v>
      </c>
      <c r="CT24" s="306"/>
    </row>
    <row r="25" spans="1:101" s="43" customFormat="1" ht="12.75" customHeight="1" x14ac:dyDescent="0.2">
      <c r="A25" s="367"/>
      <c r="B25" s="304" t="s">
        <v>268</v>
      </c>
      <c r="C25" s="373">
        <v>0</v>
      </c>
      <c r="D25" s="373">
        <v>0</v>
      </c>
      <c r="E25" s="373">
        <v>0</v>
      </c>
      <c r="F25" s="39">
        <f>0-E25-D25-C25</f>
        <v>0</v>
      </c>
      <c r="G25" s="39">
        <f>+SUM(C25:F25)</f>
        <v>0</v>
      </c>
      <c r="H25" s="253"/>
      <c r="I25" s="373">
        <v>0</v>
      </c>
      <c r="J25" s="373">
        <v>0</v>
      </c>
      <c r="K25" s="373">
        <v>0</v>
      </c>
      <c r="L25" s="39">
        <f>0-K25-J25-I25</f>
        <v>0</v>
      </c>
      <c r="M25" s="39">
        <f>+SUM(I25:L25)</f>
        <v>0</v>
      </c>
      <c r="N25" s="253"/>
      <c r="O25" s="373">
        <v>0</v>
      </c>
      <c r="P25" s="373">
        <v>0</v>
      </c>
      <c r="Q25" s="373">
        <v>0</v>
      </c>
      <c r="R25" s="39">
        <f>0-Q25-P25-O25</f>
        <v>0</v>
      </c>
      <c r="S25" s="39">
        <f>+SUM(O25:R25)</f>
        <v>0</v>
      </c>
      <c r="T25" s="253"/>
      <c r="U25" s="373">
        <v>0</v>
      </c>
      <c r="V25" s="373">
        <v>0</v>
      </c>
      <c r="W25" s="373">
        <v>0</v>
      </c>
      <c r="X25" s="39">
        <f>0-W25-V25-U25</f>
        <v>0</v>
      </c>
      <c r="Y25" s="39">
        <f>+SUM(U25:X25)</f>
        <v>0</v>
      </c>
      <c r="Z25" s="253"/>
      <c r="AA25" s="373">
        <v>0</v>
      </c>
      <c r="AB25" s="373">
        <v>0</v>
      </c>
      <c r="AC25" s="373">
        <v>0</v>
      </c>
      <c r="AD25" s="39">
        <f>0-AC25-AB25-AA25</f>
        <v>0</v>
      </c>
      <c r="AE25" s="39">
        <f>+SUM(AA25:AD25)</f>
        <v>0</v>
      </c>
      <c r="AF25" s="253"/>
      <c r="AG25" s="373">
        <v>0</v>
      </c>
      <c r="AH25" s="373">
        <v>0</v>
      </c>
      <c r="AI25" s="373">
        <v>0</v>
      </c>
      <c r="AJ25" s="39">
        <f>0-AI25-AH25-AG25</f>
        <v>0</v>
      </c>
      <c r="AK25" s="39">
        <f>+SUM(AG25:AJ25)</f>
        <v>0</v>
      </c>
      <c r="AL25" s="253"/>
      <c r="AM25" s="373">
        <v>0</v>
      </c>
      <c r="AN25" s="373">
        <v>0</v>
      </c>
      <c r="AO25" s="373">
        <v>0</v>
      </c>
      <c r="AP25" s="39">
        <f>0-AO25-AN25-AM25</f>
        <v>0</v>
      </c>
      <c r="AQ25" s="39">
        <f>+SUM(AM25:AP25)</f>
        <v>0</v>
      </c>
      <c r="AR25" s="253"/>
      <c r="AS25" s="373">
        <v>0</v>
      </c>
      <c r="AT25" s="373">
        <v>11.509</v>
      </c>
      <c r="AU25" s="373">
        <v>14.451000000000001</v>
      </c>
      <c r="AV25" s="39">
        <f>53.68-AU25-AT25-AS25</f>
        <v>27.72</v>
      </c>
      <c r="AW25" s="39">
        <f>+SUM(AS25:AV25)</f>
        <v>53.68</v>
      </c>
      <c r="AX25" s="253"/>
      <c r="AY25" s="373">
        <v>53.100999999999999</v>
      </c>
      <c r="AZ25" s="373">
        <v>85.1</v>
      </c>
      <c r="BA25" s="373">
        <v>81.599999999999994</v>
      </c>
      <c r="BB25" s="373">
        <v>100.9</v>
      </c>
      <c r="BC25" s="39">
        <f>+SUM(AY25:BB25)</f>
        <v>320.70100000000002</v>
      </c>
      <c r="BD25" s="253"/>
      <c r="BE25" s="676">
        <v>110.07955245121349</v>
      </c>
      <c r="BF25" s="676">
        <v>118.9700732697261</v>
      </c>
      <c r="BG25" s="676">
        <v>114.03483190411757</v>
      </c>
      <c r="BH25" s="676">
        <v>113.54186784265738</v>
      </c>
      <c r="BI25" s="39">
        <v>456.62632546771454</v>
      </c>
      <c r="BJ25" s="253"/>
      <c r="BK25" s="676">
        <v>105.90901023888803</v>
      </c>
      <c r="BL25" s="676">
        <v>111.56074845884254</v>
      </c>
      <c r="BM25" s="676">
        <v>111.24078882458875</v>
      </c>
      <c r="BN25" s="676">
        <v>116.48916846954764</v>
      </c>
      <c r="BO25" s="39">
        <f>SUM(BK25:BN25)</f>
        <v>445.19971599186692</v>
      </c>
      <c r="BP25" s="253"/>
      <c r="BQ25" s="676">
        <v>103.87238153647134</v>
      </c>
      <c r="BR25" s="676">
        <v>105.94094618301453</v>
      </c>
      <c r="BS25" s="676">
        <v>103.47802509543195</v>
      </c>
      <c r="BT25" s="676">
        <v>109.83996655354362</v>
      </c>
      <c r="BU25" s="39">
        <f>SUM(BQ25:BT25)</f>
        <v>423.13131936846139</v>
      </c>
      <c r="BV25" s="253"/>
      <c r="BW25" s="676">
        <v>96.949395641007001</v>
      </c>
      <c r="BX25" s="676">
        <v>99.644890589367151</v>
      </c>
      <c r="BY25" s="676">
        <v>98.781476872211243</v>
      </c>
      <c r="BZ25" s="676">
        <v>105.8783355208874</v>
      </c>
      <c r="CA25" s="39">
        <f>SUM(BW25:BZ25)</f>
        <v>401.25409862347283</v>
      </c>
      <c r="CB25" s="253"/>
      <c r="CC25" s="676">
        <v>93.592835336847259</v>
      </c>
      <c r="CD25" s="676">
        <v>96.178270186003644</v>
      </c>
      <c r="CE25" s="676">
        <v>92.927892118349433</v>
      </c>
      <c r="CF25" s="676">
        <v>99.822040212891963</v>
      </c>
      <c r="CG25" s="39">
        <f>SUM(CC25:CF25)</f>
        <v>382.5210378540923</v>
      </c>
      <c r="CH25" s="253"/>
      <c r="CI25" s="676">
        <v>86.006818628186224</v>
      </c>
      <c r="CJ25" s="676">
        <v>89.621959971597946</v>
      </c>
      <c r="CK25" s="676">
        <v>85.015462694464063</v>
      </c>
      <c r="CL25" s="676">
        <v>92.71400661761038</v>
      </c>
      <c r="CM25" s="39">
        <f t="shared" ref="CM25" si="14">SUM(CI25:CL25)</f>
        <v>353.3582479118586</v>
      </c>
      <c r="CN25" s="253"/>
      <c r="CO25" s="676">
        <v>78.389165916080628</v>
      </c>
      <c r="CP25" s="676">
        <v>83.289838968240147</v>
      </c>
      <c r="CQ25" s="676">
        <v>77.603583659769072</v>
      </c>
      <c r="CR25" s="676">
        <v>86.484339425779126</v>
      </c>
      <c r="CS25" s="39">
        <f t="shared" ref="CS25" si="15">SUM(CO25:CR25)</f>
        <v>325.76692796986896</v>
      </c>
      <c r="CT25" s="39"/>
    </row>
    <row r="26" spans="1:101" s="43" customFormat="1" ht="12.75" customHeight="1" x14ac:dyDescent="0.2">
      <c r="A26" s="300"/>
      <c r="B26" s="266" t="s">
        <v>341</v>
      </c>
      <c r="C26" s="308"/>
      <c r="D26" s="308"/>
      <c r="E26" s="308"/>
      <c r="F26" s="308"/>
      <c r="G26" s="308"/>
      <c r="H26" s="308"/>
      <c r="I26" s="308"/>
      <c r="J26" s="308"/>
      <c r="K26" s="308"/>
      <c r="L26" s="308"/>
      <c r="M26" s="306"/>
      <c r="N26" s="308"/>
      <c r="O26" s="308"/>
      <c r="P26" s="308"/>
      <c r="Q26" s="308"/>
      <c r="R26" s="308"/>
      <c r="S26" s="306"/>
      <c r="T26" s="308"/>
      <c r="U26" s="308"/>
      <c r="V26" s="308"/>
      <c r="W26" s="308"/>
      <c r="X26" s="308"/>
      <c r="Y26" s="306"/>
      <c r="Z26" s="381"/>
      <c r="AA26" s="306">
        <f>AA25/AA$33</f>
        <v>0</v>
      </c>
      <c r="AB26" s="306">
        <f>AB25/AB$33</f>
        <v>0</v>
      </c>
      <c r="AC26" s="306">
        <f>AC25/AC$33</f>
        <v>0</v>
      </c>
      <c r="AD26" s="306">
        <f>AD25/AD$33</f>
        <v>0</v>
      </c>
      <c r="AE26" s="306">
        <f>AE25/AE$33</f>
        <v>0</v>
      </c>
      <c r="AF26" s="381"/>
      <c r="AG26" s="306">
        <f>AG25/AG$33</f>
        <v>0</v>
      </c>
      <c r="AH26" s="306">
        <f>AH25/AH$33</f>
        <v>0</v>
      </c>
      <c r="AI26" s="306">
        <f>AI25/AI$33</f>
        <v>0</v>
      </c>
      <c r="AJ26" s="306">
        <f>AJ25/AJ$33</f>
        <v>0</v>
      </c>
      <c r="AK26" s="306">
        <f>AK25/AK$33</f>
        <v>0</v>
      </c>
      <c r="AL26" s="381"/>
      <c r="AM26" s="306">
        <f>AM25/AM$33</f>
        <v>0</v>
      </c>
      <c r="AN26" s="306">
        <f>AN25/AN$33</f>
        <v>0</v>
      </c>
      <c r="AO26" s="306">
        <f>AO25/AO$33</f>
        <v>0</v>
      </c>
      <c r="AP26" s="306">
        <f>AP25/AP$33</f>
        <v>0</v>
      </c>
      <c r="AQ26" s="306">
        <f>AQ25/AQ$33</f>
        <v>0</v>
      </c>
      <c r="AR26" s="381"/>
      <c r="AS26" s="306">
        <f>AS25/AS$33</f>
        <v>0</v>
      </c>
      <c r="AT26" s="306">
        <f>AT25/AT$33</f>
        <v>5.9635523268165534E-2</v>
      </c>
      <c r="AU26" s="306">
        <f>AU25/AU$33</f>
        <v>8.5223955415327443E-2</v>
      </c>
      <c r="AV26" s="306">
        <f>AV25/AV$33</f>
        <v>0.16414507772020723</v>
      </c>
      <c r="AW26" s="306">
        <f>AW25/AW$33</f>
        <v>7.4543338730596931E-2</v>
      </c>
      <c r="AX26" s="381"/>
      <c r="AY26" s="306">
        <f>AY25/AY$33</f>
        <v>0.35267356060757005</v>
      </c>
      <c r="AZ26" s="306">
        <f>AZ25/AZ$33</f>
        <v>0.51589827528719956</v>
      </c>
      <c r="BA26" s="306">
        <f>BA25/BA$33</f>
        <v>0.51320754716981132</v>
      </c>
      <c r="BB26" s="306">
        <f>BB25/BB$33</f>
        <v>0.61618348374134624</v>
      </c>
      <c r="BC26" s="306"/>
      <c r="BD26" s="381"/>
      <c r="BE26" s="306">
        <f>BE25/BE$33</f>
        <v>0.70242598147155666</v>
      </c>
      <c r="BF26" s="306">
        <f>BF25/BF$33</f>
        <v>0.71415228321150859</v>
      </c>
      <c r="BG26" s="306">
        <f>BG25/BG$33</f>
        <v>0.72950534717587767</v>
      </c>
      <c r="BH26" s="306">
        <f>BH25/BH$33</f>
        <v>0.74307505132629159</v>
      </c>
      <c r="BI26" s="306">
        <f>BI25/BI$33</f>
        <v>0.72202946321345363</v>
      </c>
      <c r="BJ26" s="381"/>
      <c r="BK26" s="306">
        <f>BK25/BK$33</f>
        <v>0.76026057251798307</v>
      </c>
      <c r="BL26" s="306">
        <f>BL25/BL$33</f>
        <v>0.77500000000000002</v>
      </c>
      <c r="BM26" s="306">
        <f>BM25/BM$33</f>
        <v>0.79</v>
      </c>
      <c r="BN26" s="306">
        <f>BN25/BN$33</f>
        <v>0.80581912917128151</v>
      </c>
      <c r="BO26" s="306">
        <f>BO25/BO$33</f>
        <v>0.78293857462581007</v>
      </c>
      <c r="BP26" s="381"/>
      <c r="BQ26" s="306">
        <f>BQ25/BQ$33</f>
        <v>0.82000000000000006</v>
      </c>
      <c r="BR26" s="306">
        <f>BR25/BR$33</f>
        <v>0.83500000000000019</v>
      </c>
      <c r="BS26" s="306">
        <f>BS25/BS$33</f>
        <v>0.85000000000000009</v>
      </c>
      <c r="BT26" s="306">
        <f>BT25/BT$33</f>
        <v>0.8650000000000001</v>
      </c>
      <c r="BU26" s="306">
        <f>BU25/BU$33</f>
        <v>0.84243714175686324</v>
      </c>
      <c r="BV26" s="381"/>
      <c r="BW26" s="306">
        <f>BW25/BW$33</f>
        <v>0.88000000000000012</v>
      </c>
      <c r="BX26" s="306">
        <f>BX25/BX$33</f>
        <v>0.89500000000000013</v>
      </c>
      <c r="BY26" s="306">
        <f>BY25/BY$33</f>
        <v>0.91000000000000014</v>
      </c>
      <c r="BZ26" s="306">
        <f>BZ25/BZ$33</f>
        <v>0.92500000000000016</v>
      </c>
      <c r="CA26" s="306">
        <f>CA25/CA$33</f>
        <v>0.90267033963034704</v>
      </c>
      <c r="CB26" s="381"/>
      <c r="CC26" s="306">
        <f>CC25/CC$33</f>
        <v>0.93509465526709035</v>
      </c>
      <c r="CD26" s="306">
        <f>CD25/CD$33</f>
        <v>0.93997197987418335</v>
      </c>
      <c r="CE26" s="306">
        <f>CE25/CE$33</f>
        <v>0.9413465030693986</v>
      </c>
      <c r="CF26" s="306">
        <f>CF25/CF$33</f>
        <v>0.94603555738111544</v>
      </c>
      <c r="CG26" s="306">
        <f>CG25/CG$33</f>
        <v>0.94067856489225044</v>
      </c>
      <c r="CH26" s="511"/>
      <c r="CI26" s="510">
        <f t="shared" ref="CI26:CM26" si="16">CI25/CI$33</f>
        <v>0.94284451873460051</v>
      </c>
      <c r="CJ26" s="510">
        <f t="shared" si="16"/>
        <v>0.94715532341447073</v>
      </c>
      <c r="CK26" s="510">
        <f t="shared" si="16"/>
        <v>0.94387667379291573</v>
      </c>
      <c r="CL26" s="510">
        <f t="shared" si="16"/>
        <v>0.94709408500952807</v>
      </c>
      <c r="CM26" s="510">
        <f t="shared" si="16"/>
        <v>0.94529730694573511</v>
      </c>
      <c r="CN26" s="511"/>
      <c r="CO26" s="510">
        <f t="shared" ref="CO26:CS26" si="17">CO25/CO$33</f>
        <v>0.93951649703866558</v>
      </c>
      <c r="CP26" s="510">
        <f t="shared" si="17"/>
        <v>0.94515257375338724</v>
      </c>
      <c r="CQ26" s="510">
        <f t="shared" si="17"/>
        <v>0.9408368591573979</v>
      </c>
      <c r="CR26" s="510">
        <f t="shared" si="17"/>
        <v>0.94541185944309403</v>
      </c>
      <c r="CS26" s="510">
        <f t="shared" si="17"/>
        <v>0.94282997144465963</v>
      </c>
      <c r="CT26" s="306"/>
    </row>
    <row r="27" spans="1:101" ht="12.75" hidden="1" customHeight="1" outlineLevel="1" x14ac:dyDescent="0.2">
      <c r="A27" s="300"/>
      <c r="B27" s="266" t="s">
        <v>339</v>
      </c>
      <c r="C27" s="308"/>
      <c r="D27" s="308"/>
      <c r="E27" s="308"/>
      <c r="F27" s="308"/>
      <c r="G27" s="308"/>
      <c r="H27" s="308"/>
      <c r="I27" s="308"/>
      <c r="J27" s="308"/>
      <c r="K27" s="308"/>
      <c r="L27" s="308"/>
      <c r="M27" s="306"/>
      <c r="N27" s="308"/>
      <c r="O27" s="308"/>
      <c r="P27" s="308"/>
      <c r="Q27" s="308"/>
      <c r="R27" s="308"/>
      <c r="S27" s="306"/>
      <c r="T27" s="308"/>
      <c r="U27" s="308"/>
      <c r="V27" s="308"/>
      <c r="W27" s="308"/>
      <c r="X27" s="308"/>
      <c r="Y27" s="306"/>
      <c r="Z27" s="381"/>
      <c r="AA27" s="306" t="str">
        <f>IF(ISERROR(AA25/U25-1),"NM",AA25/U25-1)</f>
        <v>NM</v>
      </c>
      <c r="AB27" s="306" t="str">
        <f>IF(ISERROR(AB25/V25-1),"NM",AB25/V25-1)</f>
        <v>NM</v>
      </c>
      <c r="AC27" s="306" t="str">
        <f>IF(ISERROR(AC25/W25-1),"NM",AC25/W25-1)</f>
        <v>NM</v>
      </c>
      <c r="AD27" s="306" t="str">
        <f>IF(ISERROR(AD25/X25-1),"NM",AD25/X25-1)</f>
        <v>NM</v>
      </c>
      <c r="AE27" s="306" t="str">
        <f>IF(ISERROR(AE25/Y25-1),"NM",AE25/Y25-1)</f>
        <v>NM</v>
      </c>
      <c r="AF27" s="381"/>
      <c r="AG27" s="306" t="str">
        <f>IF(ISERROR(AG25/AA25-1),"NM",AG25/AA25-1)</f>
        <v>NM</v>
      </c>
      <c r="AH27" s="306" t="str">
        <f>IF(ISERROR(AH25/AB25-1),"NM",AH25/AB25-1)</f>
        <v>NM</v>
      </c>
      <c r="AI27" s="306" t="str">
        <f>IF(ISERROR(AI25/AC25-1),"NM",AI25/AC25-1)</f>
        <v>NM</v>
      </c>
      <c r="AJ27" s="306" t="str">
        <f>IF(ISERROR(AJ25/AD25-1),"NM",AJ25/AD25-1)</f>
        <v>NM</v>
      </c>
      <c r="AK27" s="306" t="str">
        <f>IF(ISERROR(AK25/AE25-1),"NM",AK25/AE25-1)</f>
        <v>NM</v>
      </c>
      <c r="AL27" s="381"/>
      <c r="AM27" s="306" t="str">
        <f>IF(ISERROR(AM25/AG25-1),"NM",AM25/AG25-1)</f>
        <v>NM</v>
      </c>
      <c r="AN27" s="306" t="str">
        <f>IF(ISERROR(AN25/AH25-1),"NM",AN25/AH25-1)</f>
        <v>NM</v>
      </c>
      <c r="AO27" s="306" t="str">
        <f>IF(ISERROR(AO25/AI25-1),"NM",AO25/AI25-1)</f>
        <v>NM</v>
      </c>
      <c r="AP27" s="306" t="str">
        <f>IF(ISERROR(AP25/AJ25-1),"NM",AP25/AJ25-1)</f>
        <v>NM</v>
      </c>
      <c r="AQ27" s="306" t="str">
        <f>IF(ISERROR(AQ25/AK25-1),"NM",AQ25/AK25-1)</f>
        <v>NM</v>
      </c>
      <c r="AR27" s="381"/>
      <c r="AS27" s="306" t="str">
        <f>IF(ISERROR(AS25/AM25-1),"NM",AS25/AM25-1)</f>
        <v>NM</v>
      </c>
      <c r="AT27" s="306" t="str">
        <f>IF(ISERROR(AT25/AN25-1),"NM",AT25/AN25-1)</f>
        <v>NM</v>
      </c>
      <c r="AU27" s="306" t="str">
        <f>IF(ISERROR(AU25/AO25-1),"NM",AU25/AO25-1)</f>
        <v>NM</v>
      </c>
      <c r="AV27" s="306" t="str">
        <f>IF(ISERROR(AV25/AP25-1),"NM",AV25/AP25-1)</f>
        <v>NM</v>
      </c>
      <c r="AW27" s="306" t="str">
        <f>IF(ISERROR(AW25/AQ25-1),"NM",AW25/AQ25-1)</f>
        <v>NM</v>
      </c>
      <c r="AX27" s="381"/>
      <c r="AY27" s="306" t="str">
        <f>IF(ISERROR(AY25/AS25-1),"NM",AY25/AS25-1)</f>
        <v>NM</v>
      </c>
      <c r="AZ27" s="306">
        <f>IF(ISERROR(AZ25/AT25-1),"NM",AZ25/AT25-1)</f>
        <v>6.3942132244330514</v>
      </c>
      <c r="BA27" s="306">
        <f>IF(ISERROR(BA25/AU25-1),"NM",BA25/AU25-1)</f>
        <v>4.6466680506539335</v>
      </c>
      <c r="BB27" s="306">
        <f>IF(ISERROR(BB25/AV25-1),"NM",BB25/AV25-1)</f>
        <v>2.6399711399711405</v>
      </c>
      <c r="BC27" s="306">
        <f>IF(ISERROR(BC25/AW25-1),"NM",BC25/AW25-1)</f>
        <v>4.9743107302533538</v>
      </c>
      <c r="BD27" s="381"/>
      <c r="BE27" s="306">
        <f>IF(ISERROR(BE25/AY25-1),"NM",BE25/AY25-1)</f>
        <v>1.0730222114689645</v>
      </c>
      <c r="BF27" s="306">
        <f>IF(ISERROR(BF25/AZ25-1),"NM",BF25/AZ25-1)</f>
        <v>0.39800321116011883</v>
      </c>
      <c r="BG27" s="306">
        <f>IF(ISERROR(BG25/BA25-1),"NM",BG25/BA25-1)</f>
        <v>0.39748568509948012</v>
      </c>
      <c r="BH27" s="306">
        <f>IF(ISERROR(BH25/BB25-1),"NM",BH25/BB25-1)</f>
        <v>0.12529105889650527</v>
      </c>
      <c r="BI27" s="306">
        <f>IF(ISERROR(BI25/BC25-1),"NM",BI25/BC25-1)</f>
        <v>0.42383817159196413</v>
      </c>
      <c r="BJ27" s="381"/>
      <c r="BK27" s="306">
        <f>IF(ISERROR(BK25/BE25-1),"NM",BK25/BE25-1)</f>
        <v>-3.788662035280177E-2</v>
      </c>
      <c r="BL27" s="306">
        <f>IF(ISERROR(BL25/BF25-1),"NM",BL25/BF25-1)</f>
        <v>-6.2278895921038191E-2</v>
      </c>
      <c r="BM27" s="306">
        <f>IF(ISERROR(BM25/BG25-1),"NM",BM25/BG25-1)</f>
        <v>-2.4501663508199822E-2</v>
      </c>
      <c r="BN27" s="306">
        <f>IF(ISERROR(BN25/BH25-1),"NM",BN25/BH25-1)</f>
        <v>2.5957831088128103E-2</v>
      </c>
      <c r="BO27" s="306">
        <f>IF(ISERROR(BO25/BI25-1),"NM",BO25/BI25-1)</f>
        <v>-2.5023983153278584E-2</v>
      </c>
      <c r="BP27" s="381"/>
      <c r="BQ27" s="306">
        <f>IF(ISERROR(BQ25/BK25-1),"NM",BQ25/BK25-1)</f>
        <v>-1.9229985228101709E-2</v>
      </c>
      <c r="BR27" s="306">
        <f>IF(ISERROR(BR25/BL25-1),"NM",BR25/BL25-1)</f>
        <v>-5.0374368704610206E-2</v>
      </c>
      <c r="BS27" s="306">
        <f>IF(ISERROR(BS25/BM25-1),"NM",BS25/BM25-1)</f>
        <v>-6.9783429362386129E-2</v>
      </c>
      <c r="BT27" s="306">
        <f>IF(ISERROR(BT25/BN25-1),"NM",BT25/BN25-1)</f>
        <v>-5.7080001543166947E-2</v>
      </c>
      <c r="BU27" s="306">
        <f>IF(ISERROR(BU25/BO25-1),"NM",BU25/BO25-1)</f>
        <v>-4.9569655663950773E-2</v>
      </c>
      <c r="BV27" s="381"/>
      <c r="BW27" s="306">
        <f>IF(ISERROR(BW25/BQ25-1),"NM",BW25/BQ25-1)</f>
        <v>-6.664895704767837E-2</v>
      </c>
      <c r="BX27" s="306">
        <f>IF(ISERROR(BX25/BR25-1),"NM",BX25/BR25-1)</f>
        <v>-5.9429859940752783E-2</v>
      </c>
      <c r="BY27" s="306">
        <f>IF(ISERROR(BY25/BS25-1),"NM",BY25/BS25-1)</f>
        <v>-4.5386913974144183E-2</v>
      </c>
      <c r="BZ27" s="306">
        <f>IF(ISERROR(BZ25/BT25-1),"NM",BZ25/BT25-1)</f>
        <v>-3.6067300063543306E-2</v>
      </c>
      <c r="CA27" s="306">
        <f>IF(ISERROR(CA25/BU25-1),"NM",CA25/BU25-1)</f>
        <v>-5.1703146856727833E-2</v>
      </c>
      <c r="CB27" s="381"/>
      <c r="CC27" s="306">
        <f>IF(ISERROR(CC25/BW25-1),"NM",CC25/BW25-1)</f>
        <v>-3.4621776463555465E-2</v>
      </c>
      <c r="CD27" s="306">
        <f>IF(ISERROR(CD25/BX25-1),"NM",CD25/BX25-1)</f>
        <v>-3.4789745694531637E-2</v>
      </c>
      <c r="CE27" s="306">
        <f>IF(ISERROR(CE25/BY25-1),"NM",CE25/BY25-1)</f>
        <v>-5.9257918986515112E-2</v>
      </c>
      <c r="CF27" s="306">
        <f>IF(ISERROR(CF25/BZ25-1),"NM",CF25/BZ25-1)</f>
        <v>-5.7200514894764964E-2</v>
      </c>
      <c r="CG27" s="306">
        <f>IF(ISERROR(CG25/CA25-1),"NM",CG25/CA25-1)</f>
        <v>-4.6686278928104286E-2</v>
      </c>
      <c r="CH27" s="511"/>
      <c r="CI27" s="510">
        <f t="shared" ref="CI27:CM27" si="18">IF(ISERROR(CI25/CC25-1),"NM",CI25/CC25-1)</f>
        <v>-8.1053391334480085E-2</v>
      </c>
      <c r="CJ27" s="510">
        <f t="shared" si="18"/>
        <v>-6.8168310801661747E-2</v>
      </c>
      <c r="CK27" s="510">
        <f t="shared" si="18"/>
        <v>-8.5145904459001387E-2</v>
      </c>
      <c r="CL27" s="510">
        <f t="shared" si="18"/>
        <v>-7.1207055877862024E-2</v>
      </c>
      <c r="CM27" s="510">
        <f t="shared" si="18"/>
        <v>-7.6238394901975259E-2</v>
      </c>
      <c r="CN27" s="511"/>
      <c r="CO27" s="510">
        <f t="shared" ref="CO27:CS27" si="19">IF(ISERROR(CO25/CI25-1),"NM",CO25/CI25-1)</f>
        <v>-8.8570334696801978E-2</v>
      </c>
      <c r="CP27" s="510">
        <f t="shared" si="19"/>
        <v>-7.0653676904237628E-2</v>
      </c>
      <c r="CQ27" s="510">
        <f t="shared" si="19"/>
        <v>-8.7182717117384234E-2</v>
      </c>
      <c r="CR27" s="510">
        <f t="shared" si="19"/>
        <v>-6.7192298327963473E-2</v>
      </c>
      <c r="CS27" s="510">
        <f t="shared" si="19"/>
        <v>-7.8083135472394538E-2</v>
      </c>
      <c r="CT27" s="306"/>
    </row>
    <row r="28" spans="1:101" s="43" customFormat="1" ht="12.75" customHeight="1" collapsed="1" x14ac:dyDescent="0.2">
      <c r="A28" s="300"/>
      <c r="B28" s="677" t="s">
        <v>342</v>
      </c>
      <c r="C28" s="306"/>
      <c r="D28" s="306"/>
      <c r="E28" s="306"/>
      <c r="F28" s="306"/>
      <c r="G28" s="306"/>
      <c r="H28" s="184"/>
      <c r="I28" s="306"/>
      <c r="J28" s="306"/>
      <c r="K28" s="306"/>
      <c r="L28" s="306"/>
      <c r="M28" s="306"/>
      <c r="N28" s="184"/>
      <c r="O28" s="306"/>
      <c r="P28" s="306"/>
      <c r="Q28" s="306"/>
      <c r="R28" s="306"/>
      <c r="S28" s="306"/>
      <c r="T28" s="184"/>
      <c r="U28" s="306"/>
      <c r="V28" s="306"/>
      <c r="W28" s="306"/>
      <c r="X28" s="306"/>
      <c r="Y28" s="306"/>
      <c r="Z28" s="184"/>
      <c r="AA28" s="306" t="str">
        <f>IF(ISERROR(AA27-AA$69),"NM",AA27-AA$69)</f>
        <v>NM</v>
      </c>
      <c r="AB28" s="306" t="str">
        <f>IF(ISERROR(AB27-AB$69),"NM",AB27-AB$69)</f>
        <v>NM</v>
      </c>
      <c r="AC28" s="306" t="str">
        <f>IF(ISERROR(AC27-AC$69),"NM",AC27-AC$69)</f>
        <v>NM</v>
      </c>
      <c r="AD28" s="306" t="str">
        <f>IF(ISERROR(AD27-AD$69),"NM",AD27-AD$69)</f>
        <v>NM</v>
      </c>
      <c r="AE28" s="306" t="str">
        <f>IF(ISERROR(AE27-AE$69),"NM",AE27-AE$69)</f>
        <v>NM</v>
      </c>
      <c r="AF28" s="184"/>
      <c r="AG28" s="306" t="str">
        <f>IF(ISERROR(AG27-AG$69),"NM",AG27-AG$69)</f>
        <v>NM</v>
      </c>
      <c r="AH28" s="306" t="str">
        <f>IF(ISERROR(AH27-AH$69),"NM",AH27-AH$69)</f>
        <v>NM</v>
      </c>
      <c r="AI28" s="306" t="str">
        <f>IF(ISERROR(AI27-AI$69),"NM",AI27-AI$69)</f>
        <v>NM</v>
      </c>
      <c r="AJ28" s="306" t="str">
        <f>IF(ISERROR(AJ27-AJ$69),"NM",AJ27-AJ$69)</f>
        <v>NM</v>
      </c>
      <c r="AK28" s="306" t="str">
        <f>IF(ISERROR(AK27-AK$69),"NM",AK27-AK$69)</f>
        <v>NM</v>
      </c>
      <c r="AL28" s="184"/>
      <c r="AM28" s="306" t="str">
        <f>IF(ISERROR(AM27-AM$69),"NM",AM27-AM$69)</f>
        <v>NM</v>
      </c>
      <c r="AN28" s="306" t="str">
        <f>IF(ISERROR(AN27-AN$69),"NM",AN27-AN$69)</f>
        <v>NM</v>
      </c>
      <c r="AO28" s="306" t="str">
        <f>IF(ISERROR(AO27-AO$69),"NM",AO27-AO$69)</f>
        <v>NM</v>
      </c>
      <c r="AP28" s="306" t="str">
        <f>IF(ISERROR(AP27-AP$69),"NM",AP27-AP$69)</f>
        <v>NM</v>
      </c>
      <c r="AQ28" s="306" t="str">
        <f>IF(ISERROR(AQ27-AQ$69),"NM",AQ27-AQ$69)</f>
        <v>NM</v>
      </c>
      <c r="AR28" s="184"/>
      <c r="AS28" s="306" t="str">
        <f>IF(ISERROR(AS27-AS$69),"NM",AS27-AS$69)</f>
        <v>NM</v>
      </c>
      <c r="AT28" s="306" t="str">
        <f>IF(ISERROR(AT27-AT$69),"NM",AT27-AT$69)</f>
        <v>NM</v>
      </c>
      <c r="AU28" s="306" t="str">
        <f>IF(ISERROR(AU27-AU$69),"NM",AU27-AU$69)</f>
        <v>NM</v>
      </c>
      <c r="AV28" s="306" t="str">
        <f>IF(ISERROR(AV27-AV$69),"NM",AV27-AV$69)</f>
        <v>NM</v>
      </c>
      <c r="AW28" s="306" t="str">
        <f>IF(ISERROR(AW27-AW$69),"NM",AW27-AW$69)</f>
        <v>NM</v>
      </c>
      <c r="AX28" s="184"/>
      <c r="AY28" s="306" t="str">
        <f>IF(ISERROR(AY27-AY$69),"NM",AY27-AY$69)</f>
        <v>NM</v>
      </c>
      <c r="AZ28" s="306">
        <f>IF(ISERROR(AZ27-AZ$69),"NM",AZ27-AZ$69)</f>
        <v>6.3942132244330514</v>
      </c>
      <c r="BA28" s="306">
        <f>IF(ISERROR(BA27-BA$69),"NM",BA27-BA$69)</f>
        <v>4.6466680506539335</v>
      </c>
      <c r="BB28" s="306">
        <f>IF(ISERROR(BB27-BB$69),"NM",BB27-BB$69)</f>
        <v>2.6399711399711405</v>
      </c>
      <c r="BC28" s="306">
        <f>IF(ISERROR(BC27-BC$69),"NM",BC27-BC$69)</f>
        <v>4.9743107302533538</v>
      </c>
      <c r="BD28" s="184"/>
      <c r="BE28" s="306">
        <f>IF(ISERROR(BE27-BE$69),"NM",BE27-BE$69)</f>
        <v>1.0730222114689645</v>
      </c>
      <c r="BF28" s="306">
        <f>IF(ISERROR(BF27-BF$69),"NM",BF27-BF$69)</f>
        <v>0.39800321116011883</v>
      </c>
      <c r="BG28" s="306">
        <f>IF(ISERROR(BG27-BG$69),"NM",BG27-BG$69)</f>
        <v>0.39748568509948012</v>
      </c>
      <c r="BH28" s="306">
        <f>IF(ISERROR(BH27-BH$69),"NM",BH27-BH$69)</f>
        <v>0.12529105889650527</v>
      </c>
      <c r="BI28" s="306">
        <f>IF(ISERROR(BI27-BI$69),"NM",BI27-BI$69)</f>
        <v>0.42383817159196413</v>
      </c>
      <c r="BJ28" s="184"/>
      <c r="BK28" s="306">
        <f>IF(ISERROR(BK27-BK$69),"NM",BK27-BK$69)</f>
        <v>-3.788662035280177E-2</v>
      </c>
      <c r="BL28" s="306">
        <f>IF(ISERROR(BL27-BL$69),"NM",BL27-BL$69)</f>
        <v>-6.2278895921038191E-2</v>
      </c>
      <c r="BM28" s="306">
        <f>IF(ISERROR(BM27-BM$69),"NM",BM27-BM$69)</f>
        <v>-2.4501663508199822E-2</v>
      </c>
      <c r="BN28" s="306">
        <f>IF(ISERROR(BN27-BN$69),"NM",BN27-BN$69)</f>
        <v>2.5957831088128103E-2</v>
      </c>
      <c r="BO28" s="306">
        <f>IF(ISERROR(BO27-BO$69),"NM",BO27-BO$69)</f>
        <v>-2.5023983153278584E-2</v>
      </c>
      <c r="BP28" s="184"/>
      <c r="BQ28" s="306">
        <f>IF(ISERROR(BQ27-BQ$69),"NM",BQ27-BQ$69)</f>
        <v>-1.9229985228101709E-2</v>
      </c>
      <c r="BR28" s="306">
        <f>IF(ISERROR(BR27-BR$69),"NM",BR27-BR$69)</f>
        <v>-5.0374368704610206E-2</v>
      </c>
      <c r="BS28" s="306">
        <f>IF(ISERROR(BS27-BS$69),"NM",BS27-BS$69)</f>
        <v>-6.9783429362386129E-2</v>
      </c>
      <c r="BT28" s="306">
        <f>IF(ISERROR(BT27-BT$69),"NM",BT27-BT$69)</f>
        <v>-5.7080001543166947E-2</v>
      </c>
      <c r="BU28" s="306">
        <f>IF(ISERROR(BU27-BU$69),"NM",BU27-BU$69)</f>
        <v>-4.9569655663950773E-2</v>
      </c>
      <c r="BV28" s="184"/>
      <c r="BW28" s="306">
        <f>IF(ISERROR(BW27-BW$69),"NM",BW27-BW$69)</f>
        <v>-6.664895704767837E-2</v>
      </c>
      <c r="BX28" s="306">
        <f>IF(ISERROR(BX27-BX$69),"NM",BX27-BX$69)</f>
        <v>-5.9429859940752783E-2</v>
      </c>
      <c r="BY28" s="306">
        <f>IF(ISERROR(BY27-BY$69),"NM",BY27-BY$69)</f>
        <v>-4.5386913974144183E-2</v>
      </c>
      <c r="BZ28" s="306">
        <f>IF(ISERROR(BZ27-BZ$69),"NM",BZ27-BZ$69)</f>
        <v>-3.6067300063543306E-2</v>
      </c>
      <c r="CA28" s="306">
        <f>IF(ISERROR(CA27-CA$69),"NM",CA27-CA$69)</f>
        <v>-5.1703146856727833E-2</v>
      </c>
      <c r="CB28" s="184"/>
      <c r="CC28" s="306">
        <f>IF(ISERROR(CC27-CC$69),"NM",CC27-CC$69)</f>
        <v>-3.4621776463555465E-2</v>
      </c>
      <c r="CD28" s="306">
        <f>IF(ISERROR(CD27-CD$69),"NM",CD27-CD$69)</f>
        <v>-3.4789745694531637E-2</v>
      </c>
      <c r="CE28" s="306">
        <f>IF(ISERROR(CE27-CE$69),"NM",CE27-CE$69)</f>
        <v>-5.9257918986515112E-2</v>
      </c>
      <c r="CF28" s="306">
        <f>IF(ISERROR(CF27-CF$69),"NM",CF27-CF$69)</f>
        <v>-5.7200514894764964E-2</v>
      </c>
      <c r="CG28" s="306">
        <f>IF(ISERROR(CG27-CG$69),"NM",CG27-CG$69)</f>
        <v>-4.6686278928104286E-2</v>
      </c>
      <c r="CH28" s="184"/>
      <c r="CI28" s="510">
        <f t="shared" ref="CI28:CM28" si="20">IF(ISERROR(CI27-CI$69),"NM",CI27-CI$69)</f>
        <v>-8.1053391334480085E-2</v>
      </c>
      <c r="CJ28" s="510">
        <f t="shared" si="20"/>
        <v>-6.8168310801661747E-2</v>
      </c>
      <c r="CK28" s="510">
        <f t="shared" si="20"/>
        <v>-8.5145904459001387E-2</v>
      </c>
      <c r="CL28" s="510">
        <f t="shared" si="20"/>
        <v>-7.1207055877862024E-2</v>
      </c>
      <c r="CM28" s="510">
        <f t="shared" si="20"/>
        <v>-7.6238394901975259E-2</v>
      </c>
      <c r="CN28" s="184"/>
      <c r="CO28" s="510">
        <f t="shared" ref="CO28:CS28" si="21">IF(ISERROR(CO27-CO$69),"NM",CO27-CO$69)</f>
        <v>-8.8570334696801978E-2</v>
      </c>
      <c r="CP28" s="510">
        <f t="shared" si="21"/>
        <v>-7.0653676904237628E-2</v>
      </c>
      <c r="CQ28" s="510">
        <f t="shared" si="21"/>
        <v>-8.7182717117384234E-2</v>
      </c>
      <c r="CR28" s="510">
        <f t="shared" si="21"/>
        <v>-6.7192298327963473E-2</v>
      </c>
      <c r="CS28" s="510">
        <f t="shared" si="21"/>
        <v>-7.8083135472394538E-2</v>
      </c>
      <c r="CT28" s="306"/>
    </row>
    <row r="29" spans="1:101" s="43" customFormat="1" ht="12.75" customHeight="1" x14ac:dyDescent="0.2">
      <c r="A29" s="367"/>
      <c r="B29" s="304" t="s">
        <v>298</v>
      </c>
      <c r="C29" s="368"/>
      <c r="D29" s="368"/>
      <c r="E29" s="368"/>
      <c r="F29" s="369"/>
      <c r="G29" s="368">
        <v>0</v>
      </c>
      <c r="H29" s="253"/>
      <c r="I29" s="368"/>
      <c r="J29" s="368"/>
      <c r="K29" s="368"/>
      <c r="L29" s="368"/>
      <c r="M29" s="368"/>
      <c r="N29" s="253"/>
      <c r="O29" s="368"/>
      <c r="P29" s="368"/>
      <c r="Q29" s="368"/>
      <c r="R29" s="368"/>
      <c r="S29" s="368"/>
      <c r="T29" s="253"/>
      <c r="U29" s="368">
        <v>6.3</v>
      </c>
      <c r="V29" s="368">
        <v>6.8250000000000002</v>
      </c>
      <c r="W29" s="368">
        <v>6.9489999999999998</v>
      </c>
      <c r="X29" s="368">
        <f>27.375-W29-V29-U29</f>
        <v>7.3010000000000028</v>
      </c>
      <c r="Y29" s="39">
        <f>+SUM(U29:X29)</f>
        <v>27.375</v>
      </c>
      <c r="Z29" s="253"/>
      <c r="AA29" s="373">
        <v>7.1319999999999997</v>
      </c>
      <c r="AB29" s="373">
        <v>6.9969999999999999</v>
      </c>
      <c r="AC29" s="373">
        <v>7.4139999999999997</v>
      </c>
      <c r="AD29" s="39">
        <f>29.165-AC29-AB29-AA29</f>
        <v>7.6219999999999981</v>
      </c>
      <c r="AE29" s="39">
        <f>+SUM(AA29:AD29)</f>
        <v>29.164999999999999</v>
      </c>
      <c r="AF29" s="253"/>
      <c r="AG29" s="373">
        <v>9.6240000000000006</v>
      </c>
      <c r="AH29" s="373">
        <v>10.923</v>
      </c>
      <c r="AI29" s="373">
        <v>11.189</v>
      </c>
      <c r="AJ29" s="39">
        <f>43.277-AI29-AH29-AG29</f>
        <v>11.540999999999999</v>
      </c>
      <c r="AK29" s="39">
        <f>+SUM(AG29:AJ29)</f>
        <v>43.277000000000001</v>
      </c>
      <c r="AL29" s="253"/>
      <c r="AM29" s="373">
        <v>12.081</v>
      </c>
      <c r="AN29" s="373">
        <v>12.063000000000001</v>
      </c>
      <c r="AO29" s="373">
        <v>13.28</v>
      </c>
      <c r="AP29" s="39">
        <f>51.938-AO29-AN29-AM29</f>
        <v>14.513999999999999</v>
      </c>
      <c r="AQ29" s="39">
        <f>+SUM(AM29:AP29)</f>
        <v>51.938000000000002</v>
      </c>
      <c r="AR29" s="253"/>
      <c r="AS29" s="373">
        <v>14.337999999999999</v>
      </c>
      <c r="AT29" s="373">
        <v>15.554</v>
      </c>
      <c r="AU29" s="373">
        <v>14.384</v>
      </c>
      <c r="AV29" s="39">
        <f>59.109-AU29-AT29-AS29</f>
        <v>14.833</v>
      </c>
      <c r="AW29" s="39">
        <f>+SUM(AS29:AV29)</f>
        <v>59.108999999999995</v>
      </c>
      <c r="AX29" s="253"/>
      <c r="AY29" s="373">
        <v>11.423999999999999</v>
      </c>
      <c r="AZ29" s="373">
        <v>7.399</v>
      </c>
      <c r="BA29" s="676">
        <v>6.9474720000000003</v>
      </c>
      <c r="BB29" s="676">
        <v>4.7762260000000003</v>
      </c>
      <c r="BC29" s="39">
        <f>+SUM(AY29:BB29)</f>
        <v>30.546698000000003</v>
      </c>
      <c r="BD29" s="253"/>
      <c r="BE29" s="676">
        <v>4.9683002163891894</v>
      </c>
      <c r="BF29" s="676">
        <v>5.118145904493244</v>
      </c>
      <c r="BG29" s="676">
        <v>4.4840365735135137</v>
      </c>
      <c r="BH29" s="676">
        <v>4.2639573204729722</v>
      </c>
      <c r="BI29" s="39">
        <v>18.834440014868918</v>
      </c>
      <c r="BJ29" s="253"/>
      <c r="BK29" s="676">
        <v>4.4532193923203742</v>
      </c>
      <c r="BL29" s="676">
        <v>4.4375024945602695</v>
      </c>
      <c r="BM29" s="676">
        <v>3.9598083676994582</v>
      </c>
      <c r="BN29" s="676">
        <v>3.9418384042629722</v>
      </c>
      <c r="BO29" s="39">
        <v>16.792368658843074</v>
      </c>
      <c r="BP29" s="253"/>
      <c r="BQ29" s="676">
        <v>3.3607890101417812</v>
      </c>
      <c r="BR29" s="676">
        <v>3.3016793560526221</v>
      </c>
      <c r="BS29" s="676">
        <v>2.8103325672472717</v>
      </c>
      <c r="BT29" s="676">
        <v>2.829390962912202</v>
      </c>
      <c r="BU29" s="39">
        <v>12.302191896353877</v>
      </c>
      <c r="BV29" s="253"/>
      <c r="BW29" s="676">
        <v>2.226186640317914</v>
      </c>
      <c r="BX29" s="676">
        <v>2.178388008589772</v>
      </c>
      <c r="BY29" s="676">
        <v>1.7161295821895446</v>
      </c>
      <c r="BZ29" s="676">
        <v>1.6693406681181968</v>
      </c>
      <c r="CA29" s="39">
        <v>7.7900448992154274</v>
      </c>
      <c r="CB29" s="253"/>
      <c r="CC29" s="676">
        <v>1.1520515863645184</v>
      </c>
      <c r="CD29" s="676">
        <v>1.0082824496901202</v>
      </c>
      <c r="CE29" s="676">
        <v>0.59206470585538995</v>
      </c>
      <c r="CF29" s="676">
        <v>0.36057758431352621</v>
      </c>
      <c r="CG29" s="39">
        <v>3.1129763262235546</v>
      </c>
      <c r="CH29" s="253"/>
      <c r="CI29" s="676">
        <v>0</v>
      </c>
      <c r="CJ29" s="676">
        <v>0</v>
      </c>
      <c r="CK29" s="676">
        <v>0</v>
      </c>
      <c r="CL29" s="676">
        <v>0</v>
      </c>
      <c r="CM29" s="39">
        <v>0</v>
      </c>
      <c r="CN29" s="253"/>
      <c r="CO29" s="676">
        <v>0</v>
      </c>
      <c r="CP29" s="676">
        <v>0</v>
      </c>
      <c r="CQ29" s="676">
        <v>0</v>
      </c>
      <c r="CR29" s="676">
        <v>0</v>
      </c>
      <c r="CS29" s="39">
        <v>0</v>
      </c>
      <c r="CT29" s="39"/>
      <c r="CU29"/>
      <c r="CV29"/>
      <c r="CW29"/>
    </row>
    <row r="30" spans="1:101" s="43" customFormat="1" ht="12.75" customHeight="1" x14ac:dyDescent="0.2">
      <c r="A30" s="300"/>
      <c r="B30" s="266" t="s">
        <v>341</v>
      </c>
      <c r="C30" s="308"/>
      <c r="D30" s="308"/>
      <c r="E30" s="308"/>
      <c r="F30" s="308"/>
      <c r="G30" s="308"/>
      <c r="H30" s="308"/>
      <c r="I30" s="308"/>
      <c r="J30" s="308"/>
      <c r="K30" s="308"/>
      <c r="L30" s="308"/>
      <c r="M30" s="306"/>
      <c r="N30" s="308"/>
      <c r="O30" s="308"/>
      <c r="P30" s="308"/>
      <c r="Q30" s="308"/>
      <c r="R30" s="308"/>
      <c r="S30" s="306"/>
      <c r="T30" s="308"/>
      <c r="U30" s="308"/>
      <c r="V30" s="308"/>
      <c r="W30" s="308"/>
      <c r="X30" s="308"/>
      <c r="Y30" s="306"/>
      <c r="Z30" s="308"/>
      <c r="AA30" s="306">
        <f>AA29/AA$33</f>
        <v>8.1230993519288364E-2</v>
      </c>
      <c r="AB30" s="306">
        <f>AB29/AB$33</f>
        <v>7.274674318746556E-2</v>
      </c>
      <c r="AC30" s="306">
        <f>AC29/AC$33</f>
        <v>7.5872161445807787E-2</v>
      </c>
      <c r="AD30" s="306">
        <f>AD29/AD$33</f>
        <v>7.5893657273722978E-2</v>
      </c>
      <c r="AE30" s="306">
        <f>AE29/AE$33</f>
        <v>7.6322393746614356E-2</v>
      </c>
      <c r="AF30" s="381"/>
      <c r="AG30" s="306">
        <f>AG29/AG$33</f>
        <v>9.4582907461278412E-2</v>
      </c>
      <c r="AH30" s="306">
        <f>AH29/AH$33</f>
        <v>9.4779862207798979E-2</v>
      </c>
      <c r="AI30" s="306">
        <f>AI29/AI$33</f>
        <v>9.2835511304708559E-2</v>
      </c>
      <c r="AJ30" s="306">
        <f>AJ29/AJ$33</f>
        <v>9.2461884809203712E-2</v>
      </c>
      <c r="AK30" s="306">
        <f>AK29/AK$33</f>
        <v>9.3603868997408843E-2</v>
      </c>
      <c r="AL30" s="381"/>
      <c r="AM30" s="306">
        <f>AM29/AM$33</f>
        <v>9.6899162629535754E-2</v>
      </c>
      <c r="AN30" s="306">
        <f>AN29/AN$33</f>
        <v>8.7342789495405873E-2</v>
      </c>
      <c r="AO30" s="306">
        <f>AO29/AO$33</f>
        <v>9.1215055979119442E-2</v>
      </c>
      <c r="AP30" s="306">
        <f>AP29/AP$33</f>
        <v>8.905769667368213E-2</v>
      </c>
      <c r="AQ30" s="306">
        <f>AQ29/AQ$33</f>
        <v>9.090399929990374E-2</v>
      </c>
      <c r="AR30" s="381"/>
      <c r="AS30" s="306">
        <f>AS29/AS$33</f>
        <v>7.5987471447726149E-2</v>
      </c>
      <c r="AT30" s="306">
        <f>AT29/AT$33</f>
        <v>8.0595267087761463E-2</v>
      </c>
      <c r="AU30" s="306">
        <f>AU29/AU$33</f>
        <v>8.4828826703623975E-2</v>
      </c>
      <c r="AV30" s="306">
        <f>AV29/AV$33</f>
        <v>8.7834196891191693E-2</v>
      </c>
      <c r="AW30" s="306">
        <f>AW29/AW$33</f>
        <v>8.2082380943123201E-2</v>
      </c>
      <c r="AX30" s="381"/>
      <c r="AY30" s="306">
        <f>AY29/AY$33</f>
        <v>7.5873199306620967E-2</v>
      </c>
      <c r="AZ30" s="306">
        <f>AZ29/AZ$33</f>
        <v>4.4854657330787188E-2</v>
      </c>
      <c r="BA30" s="306">
        <f>BA29/BA$33</f>
        <v>4.3694792452830193E-2</v>
      </c>
      <c r="BB30" s="306">
        <f>BB29/BB$33</f>
        <v>2.9167805508582705E-2</v>
      </c>
      <c r="BC30" s="306">
        <f>BC29/BC$33</f>
        <v>4.7858438927360754E-2</v>
      </c>
      <c r="BD30" s="381"/>
      <c r="BE30" s="306">
        <f>BE29/BE$33</f>
        <v>3.1703100875970648E-2</v>
      </c>
      <c r="BF30" s="306">
        <f>BF29/BF$33</f>
        <v>3.0723151487152961E-2</v>
      </c>
      <c r="BG30" s="306">
        <f>BG29/BG$33</f>
        <v>2.8685346421703235E-2</v>
      </c>
      <c r="BH30" s="306">
        <f>BH29/BH$33</f>
        <v>2.7905479846027297E-2</v>
      </c>
      <c r="BI30" s="306">
        <f>BI29/BI$33</f>
        <v>2.9781508107165199E-2</v>
      </c>
      <c r="BJ30" s="381"/>
      <c r="BK30" s="306">
        <f>BK29/BK$33</f>
        <v>3.1967130248097948E-2</v>
      </c>
      <c r="BL30" s="306">
        <f>BL29/BL$33</f>
        <v>3.0826831845368653E-2</v>
      </c>
      <c r="BM30" s="306">
        <f>BM29/BM$33</f>
        <v>2.8121417004830711E-2</v>
      </c>
      <c r="BN30" s="306">
        <f>BN29/BN$33</f>
        <v>2.7267846719049013E-2</v>
      </c>
      <c r="BO30" s="306">
        <f>BO29/BO$33</f>
        <v>2.9531450066302162E-2</v>
      </c>
      <c r="BP30" s="381"/>
      <c r="BQ30" s="306">
        <f>BQ29/BQ$33</f>
        <v>2.6531085044474854E-2</v>
      </c>
      <c r="BR30" s="306">
        <f>BR29/BR$33</f>
        <v>2.6023009625960401E-2</v>
      </c>
      <c r="BS30" s="306">
        <f>BS29/BS$33</f>
        <v>2.3084927258296067E-2</v>
      </c>
      <c r="BT30" s="306">
        <f>BT29/BT$33</f>
        <v>2.2281718209792165E-2</v>
      </c>
      <c r="BU30" s="306">
        <f>BU29/BU$33</f>
        <v>2.4493160643313243E-2</v>
      </c>
      <c r="BV30" s="381"/>
      <c r="BW30" s="306">
        <f>BW29/BW$33</f>
        <v>2.0206874220587107E-2</v>
      </c>
      <c r="BX30" s="306">
        <f>BX29/BX$33</f>
        <v>1.9566053574410661E-2</v>
      </c>
      <c r="BY30" s="306">
        <f>BY29/BY$33</f>
        <v>1.5809420644851788E-2</v>
      </c>
      <c r="BZ30" s="306">
        <f>BZ29/BZ$33</f>
        <v>1.4584098913273041E-2</v>
      </c>
      <c r="CA30" s="306">
        <f>CA29/CA$33</f>
        <v>1.7524662050888991E-2</v>
      </c>
      <c r="CB30" s="381"/>
      <c r="CC30" s="306">
        <f>CC29/CC$33</f>
        <v>1.1510253718933041E-2</v>
      </c>
      <c r="CD30" s="306">
        <f>CD29/CD$33</f>
        <v>9.854172347607229E-3</v>
      </c>
      <c r="CE30" s="306">
        <f>CE29/CE$33</f>
        <v>5.9975323634585279E-3</v>
      </c>
      <c r="CF30" s="306">
        <f>CF29/CF$33</f>
        <v>3.4172735322547292E-3</v>
      </c>
      <c r="CG30" s="306">
        <f>CG29/CG$33</f>
        <v>7.6552916397045053E-3</v>
      </c>
      <c r="CH30" s="511"/>
      <c r="CI30" s="510">
        <f t="shared" ref="CI30:CM30" si="22">CI29/CI$33</f>
        <v>0</v>
      </c>
      <c r="CJ30" s="510">
        <f t="shared" si="22"/>
        <v>0</v>
      </c>
      <c r="CK30" s="510">
        <f t="shared" si="22"/>
        <v>0</v>
      </c>
      <c r="CL30" s="510">
        <f t="shared" si="22"/>
        <v>0</v>
      </c>
      <c r="CM30" s="510">
        <f t="shared" si="22"/>
        <v>0</v>
      </c>
      <c r="CN30" s="511"/>
      <c r="CO30" s="510">
        <f t="shared" ref="CO30:CS30" si="23">CO29/CO$33</f>
        <v>0</v>
      </c>
      <c r="CP30" s="510">
        <f t="shared" si="23"/>
        <v>0</v>
      </c>
      <c r="CQ30" s="510">
        <f t="shared" si="23"/>
        <v>0</v>
      </c>
      <c r="CR30" s="510">
        <f t="shared" si="23"/>
        <v>0</v>
      </c>
      <c r="CS30" s="510">
        <f t="shared" si="23"/>
        <v>0</v>
      </c>
      <c r="CT30" s="306"/>
      <c r="CU30"/>
      <c r="CV30"/>
      <c r="CW30"/>
    </row>
    <row r="31" spans="1:101" ht="12.75" hidden="1" customHeight="1" outlineLevel="1" x14ac:dyDescent="0.2">
      <c r="A31" s="300"/>
      <c r="B31" s="266" t="s">
        <v>339</v>
      </c>
      <c r="C31" s="308"/>
      <c r="D31" s="308"/>
      <c r="E31" s="308"/>
      <c r="F31" s="308"/>
      <c r="G31" s="308"/>
      <c r="H31" s="308"/>
      <c r="I31" s="308"/>
      <c r="J31" s="308"/>
      <c r="K31" s="308"/>
      <c r="L31" s="308"/>
      <c r="M31" s="306"/>
      <c r="N31" s="308"/>
      <c r="O31" s="308"/>
      <c r="P31" s="308"/>
      <c r="Q31" s="308"/>
      <c r="R31" s="308"/>
      <c r="S31" s="306"/>
      <c r="T31" s="308"/>
      <c r="U31" s="308"/>
      <c r="V31" s="308"/>
      <c r="W31" s="308"/>
      <c r="X31" s="308"/>
      <c r="Y31" s="306"/>
      <c r="Z31" s="381"/>
      <c r="AA31" s="306">
        <f>IF(ISERROR(AA29/U29-1),"NM",AA29/U29-1)</f>
        <v>0.13206349206349199</v>
      </c>
      <c r="AB31" s="306">
        <f>IF(ISERROR(AB29/V29-1),"NM",AB29/V29-1)</f>
        <v>2.5201465201465156E-2</v>
      </c>
      <c r="AC31" s="306">
        <f>IF(ISERROR(AC29/W29-1),"NM",AC29/W29-1)</f>
        <v>6.6916103036408048E-2</v>
      </c>
      <c r="AD31" s="306">
        <f>IF(ISERROR(AD29/X29-1),"NM",AD29/X29-1)</f>
        <v>4.3966579920558191E-2</v>
      </c>
      <c r="AE31" s="306">
        <f>IF(ISERROR(AE29/Y29-1),"NM",AE29/Y29-1)</f>
        <v>6.5388127853881262E-2</v>
      </c>
      <c r="AF31" s="381"/>
      <c r="AG31" s="306">
        <f>IF(ISERROR(AG29/AA29-1),"NM",AG29/AA29-1)</f>
        <v>0.34941110487941685</v>
      </c>
      <c r="AH31" s="306">
        <f>IF(ISERROR(AH29/AB29-1),"NM",AH29/AB29-1)</f>
        <v>0.56109761326282692</v>
      </c>
      <c r="AI31" s="306">
        <f>IF(ISERROR(AI29/AC29-1),"NM",AI29/AC29-1)</f>
        <v>0.50917183706501223</v>
      </c>
      <c r="AJ31" s="306">
        <f>IF(ISERROR(AJ29/AD29-1),"NM",AJ29/AD29-1)</f>
        <v>0.5141695093151406</v>
      </c>
      <c r="AK31" s="306">
        <f>IF(ISERROR(AK29/AE29-1),"NM",AK29/AE29-1)</f>
        <v>0.48386764957997608</v>
      </c>
      <c r="AL31" s="381"/>
      <c r="AM31" s="306">
        <f>IF(ISERROR(AM29/AG29-1),"NM",AM29/AG29-1)</f>
        <v>0.2552992518703241</v>
      </c>
      <c r="AN31" s="306">
        <f>IF(ISERROR(AN29/AH29-1),"NM",AN29/AH29-1)</f>
        <v>0.10436693216149417</v>
      </c>
      <c r="AO31" s="306">
        <f>IF(ISERROR(AO29/AI29-1),"NM",AO29/AI29-1)</f>
        <v>0.18687997140048251</v>
      </c>
      <c r="AP31" s="306">
        <f>IF(ISERROR(AP29/AJ29-1),"NM",AP29/AJ29-1)</f>
        <v>0.25760332726800117</v>
      </c>
      <c r="AQ31" s="306">
        <f>IF(ISERROR(AQ29/AK29-1),"NM",AQ29/AK29-1)</f>
        <v>0.20012939898791515</v>
      </c>
      <c r="AR31" s="381"/>
      <c r="AS31" s="306">
        <f>IF(ISERROR(AS29/AM29-1),"NM",AS29/AM29-1)</f>
        <v>0.18682228292359904</v>
      </c>
      <c r="AT31" s="306">
        <f>IF(ISERROR(AT29/AN29-1),"NM",AT29/AN29-1)</f>
        <v>0.28939733068059348</v>
      </c>
      <c r="AU31" s="306">
        <f>IF(ISERROR(AU29/AO29-1),"NM",AU29/AO29-1)</f>
        <v>8.313253012048194E-2</v>
      </c>
      <c r="AV31" s="306">
        <f>IF(ISERROR(AV29/AP29-1),"NM",AV29/AP29-1)</f>
        <v>2.1978779109825153E-2</v>
      </c>
      <c r="AW31" s="306">
        <f>IF(ISERROR(AW29/AQ29-1),"NM",AW29/AQ29-1)</f>
        <v>0.13806846624821878</v>
      </c>
      <c r="AX31" s="381"/>
      <c r="AY31" s="306">
        <f>IF(ISERROR(AY29/AS29-1),"NM",AY29/AS29-1)</f>
        <v>-0.20323615567024689</v>
      </c>
      <c r="AZ31" s="306">
        <f>IF(ISERROR(AZ29/AT29-1),"NM",AZ29/AT29-1)</f>
        <v>-0.52430243024302436</v>
      </c>
      <c r="BA31" s="306">
        <f>IF(ISERROR(BA29/AU29-1),"NM",BA29/AU29-1)</f>
        <v>-0.51700000000000002</v>
      </c>
      <c r="BB31" s="306">
        <f>IF(ISERROR(BB29/AV29-1),"NM",BB29/AV29-1)</f>
        <v>-0.67799999999999994</v>
      </c>
      <c r="BC31" s="306">
        <f>IF(ISERROR(BC29/AW29-1),"NM",BC29/AW29-1)</f>
        <v>-0.48321409599215004</v>
      </c>
      <c r="BD31" s="381"/>
      <c r="BE31" s="306">
        <f>IF(ISERROR(BE29/AY29-1),"NM",BE29/AY29-1)</f>
        <v>-0.56509977097433572</v>
      </c>
      <c r="BF31" s="306">
        <f>IF(ISERROR(BF29/AZ29-1),"NM",BF29/AZ29-1)</f>
        <v>-0.30826518387711255</v>
      </c>
      <c r="BG31" s="306">
        <f>IF(ISERROR(BG29/BA29-1),"NM",BG29/BA29-1)</f>
        <v>-0.35458011583011584</v>
      </c>
      <c r="BH31" s="306">
        <f>IF(ISERROR(BH29/BB29-1),"NM",BH29/BB29-1)</f>
        <v>-0.10725386100386125</v>
      </c>
      <c r="BI31" s="306">
        <f>IF(ISERROR(BI29/BC29-1),"NM",BI29/BC29-1)</f>
        <v>-0.38342140892384124</v>
      </c>
      <c r="BJ31" s="381"/>
      <c r="BK31" s="306">
        <f>IF(ISERROR(BK29/BE29-1),"NM",BK29/BE29-1)</f>
        <v>-0.10367345000000028</v>
      </c>
      <c r="BL31" s="306">
        <f>IF(ISERROR(BL29/BF29-1),"NM",BL29/BF29-1)</f>
        <v>-0.13298632407791156</v>
      </c>
      <c r="BM31" s="306">
        <f>IF(ISERROR(BM29/BG29-1),"NM",BM29/BG29-1)</f>
        <v>-0.11690988626421728</v>
      </c>
      <c r="BN31" s="306">
        <f>IF(ISERROR(BN29/BH29-1),"NM",BN29/BH29-1)</f>
        <v>-7.5544592030360569E-2</v>
      </c>
      <c r="BO31" s="306">
        <f>IF(ISERROR(BO29/BI29-1),"NM",BO29/BI29-1)</f>
        <v>-0.10842219648758988</v>
      </c>
      <c r="BP31" s="381"/>
      <c r="BQ31" s="306">
        <f>IF(ISERROR(BQ29/BK29-1),"NM",BQ29/BK29-1)</f>
        <v>-0.24531250000000027</v>
      </c>
      <c r="BR31" s="306">
        <f>IF(ISERROR(BR29/BL29-1),"NM",BR29/BL29-1)</f>
        <v>-0.25596000000000019</v>
      </c>
      <c r="BS31" s="306">
        <f>IF(ISERROR(BS29/BM29-1),"NM",BS29/BM29-1)</f>
        <v>-0.29028571428571448</v>
      </c>
      <c r="BT31" s="306">
        <f>IF(ISERROR(BT29/BN29-1),"NM",BT29/BN29-1)</f>
        <v>-0.28221538461538498</v>
      </c>
      <c r="BU31" s="306">
        <f>IF(ISERROR(BU29/BO29-1),"NM",BU29/BO29-1)</f>
        <v>-0.26739388907619133</v>
      </c>
      <c r="BV31" s="381"/>
      <c r="BW31" s="306">
        <f>IF(ISERROR(BW29/BQ29-1),"NM",BW29/BQ29-1)</f>
        <v>-0.33760000000000057</v>
      </c>
      <c r="BX31" s="306">
        <f>IF(ISERROR(BX29/BR29-1),"NM",BX29/BR29-1)</f>
        <v>-0.34021818181818231</v>
      </c>
      <c r="BY31" s="306">
        <f>IF(ISERROR(BY29/BS29-1),"NM",BY29/BS29-1)</f>
        <v>-0.38935000000000064</v>
      </c>
      <c r="BZ31" s="306">
        <f>IF(ISERROR(BZ29/BT29-1),"NM",BZ29/BT29-1)</f>
        <v>-0.41000000000000081</v>
      </c>
      <c r="CA31" s="306">
        <f>IF(ISERROR(CA29/BU29-1),"NM",CA29/BU29-1)</f>
        <v>-0.36677585873747909</v>
      </c>
      <c r="CB31" s="381"/>
      <c r="CC31" s="306">
        <f>IF(ISERROR(CC29/BW29-1),"NM",CC29/BW29-1)</f>
        <v>-0.48250000000000093</v>
      </c>
      <c r="CD31" s="306">
        <f>IF(ISERROR(CD29/BX29-1),"NM",CD29/BX29-1)</f>
        <v>-0.53714285714285848</v>
      </c>
      <c r="CE31" s="306">
        <f>IF(ISERROR(CE29/BY29-1),"NM",CE29/BY29-1)</f>
        <v>-0.65500000000000169</v>
      </c>
      <c r="CF31" s="306">
        <f>IF(ISERROR(CF29/BZ29-1),"NM",CF29/BZ29-1)</f>
        <v>-0.78400000000000258</v>
      </c>
      <c r="CG31" s="306">
        <f>IF(ISERROR(CG29/CA29-1),"NM",CG29/CA29-1)</f>
        <v>-0.60039045133910873</v>
      </c>
      <c r="CH31" s="511"/>
      <c r="CI31" s="510">
        <f t="shared" ref="CI31:CM31" si="24">IF(ISERROR(CI29/CC29-1),"NM",CI29/CC29-1)</f>
        <v>-1</v>
      </c>
      <c r="CJ31" s="510">
        <f t="shared" si="24"/>
        <v>-1</v>
      </c>
      <c r="CK31" s="510">
        <f t="shared" si="24"/>
        <v>-1</v>
      </c>
      <c r="CL31" s="510">
        <f t="shared" si="24"/>
        <v>-1</v>
      </c>
      <c r="CM31" s="510">
        <f t="shared" si="24"/>
        <v>-1</v>
      </c>
      <c r="CN31" s="511"/>
      <c r="CO31" s="510" t="str">
        <f t="shared" ref="CO31:CS31" si="25">IF(ISERROR(CO29/CI29-1),"NM",CO29/CI29-1)</f>
        <v>NM</v>
      </c>
      <c r="CP31" s="510" t="str">
        <f t="shared" si="25"/>
        <v>NM</v>
      </c>
      <c r="CQ31" s="510" t="str">
        <f t="shared" si="25"/>
        <v>NM</v>
      </c>
      <c r="CR31" s="510" t="str">
        <f t="shared" si="25"/>
        <v>NM</v>
      </c>
      <c r="CS31" s="510" t="str">
        <f t="shared" si="25"/>
        <v>NM</v>
      </c>
      <c r="CT31" s="306"/>
    </row>
    <row r="32" spans="1:101" ht="12.75" customHeight="1" collapsed="1" x14ac:dyDescent="0.2">
      <c r="A32" s="300"/>
      <c r="B32" s="677" t="s">
        <v>342</v>
      </c>
      <c r="C32" s="306"/>
      <c r="D32" s="306"/>
      <c r="E32" s="306"/>
      <c r="F32" s="306"/>
      <c r="G32" s="306"/>
      <c r="H32" s="184"/>
      <c r="I32" s="306"/>
      <c r="J32" s="306"/>
      <c r="K32" s="306"/>
      <c r="L32" s="306"/>
      <c r="M32" s="306"/>
      <c r="N32" s="184"/>
      <c r="O32" s="306"/>
      <c r="P32" s="306"/>
      <c r="Q32" s="306"/>
      <c r="R32" s="306"/>
      <c r="S32" s="306"/>
      <c r="T32" s="184"/>
      <c r="U32" s="306"/>
      <c r="V32" s="306"/>
      <c r="W32" s="306"/>
      <c r="X32" s="306"/>
      <c r="Y32" s="306"/>
      <c r="Z32" s="184"/>
      <c r="AA32" s="306">
        <f>IF(ISERROR(AA31-AA$69),"NM",AA31-AA$69)</f>
        <v>0.13206349206349199</v>
      </c>
      <c r="AB32" s="306">
        <f>IF(ISERROR(AB31-AB$69),"NM",AB31-AB$69)</f>
        <v>2.5201465201465156E-2</v>
      </c>
      <c r="AC32" s="306">
        <f>IF(ISERROR(AC31-AC$69),"NM",AC31-AC$69)</f>
        <v>6.6916103036408048E-2</v>
      </c>
      <c r="AD32" s="306">
        <f>IF(ISERROR(AD31-AD$69),"NM",AD31-AD$69)</f>
        <v>4.3966579920558191E-2</v>
      </c>
      <c r="AE32" s="306">
        <f>IF(ISERROR(AE31-AE$69),"NM",AE31-AE$69)</f>
        <v>6.5388127853881262E-2</v>
      </c>
      <c r="AF32" s="184"/>
      <c r="AG32" s="306">
        <f>IF(ISERROR(AG31-AG$69),"NM",AG31-AG$69)</f>
        <v>0.34941110487941685</v>
      </c>
      <c r="AH32" s="306">
        <f>IF(ISERROR(AH31-AH$69),"NM",AH31-AH$69)</f>
        <v>0.56109761326282692</v>
      </c>
      <c r="AI32" s="306">
        <f>IF(ISERROR(AI31-AI$69),"NM",AI31-AI$69)</f>
        <v>0.50917183706501223</v>
      </c>
      <c r="AJ32" s="306">
        <f>IF(ISERROR(AJ31-AJ$69),"NM",AJ31-AJ$69)</f>
        <v>0.5141695093151406</v>
      </c>
      <c r="AK32" s="306">
        <f>IF(ISERROR(AK31-AK$69),"NM",AK31-AK$69)</f>
        <v>0.48386764957997608</v>
      </c>
      <c r="AL32" s="184"/>
      <c r="AM32" s="306">
        <f>IF(ISERROR(AM31-AM$69),"NM",AM31-AM$69)</f>
        <v>0.2552992518703241</v>
      </c>
      <c r="AN32" s="306">
        <f>IF(ISERROR(AN31-AN$69),"NM",AN31-AN$69)</f>
        <v>0.10436693216149417</v>
      </c>
      <c r="AO32" s="306">
        <f>IF(ISERROR(AO31-AO$69),"NM",AO31-AO$69)</f>
        <v>0.18687997140048251</v>
      </c>
      <c r="AP32" s="306">
        <f>IF(ISERROR(AP31-AP$69),"NM",AP31-AP$69)</f>
        <v>0.25760332726800117</v>
      </c>
      <c r="AQ32" s="306">
        <f>IF(ISERROR(AQ31-AQ$69),"NM",AQ31-AQ$69)</f>
        <v>0.20012939898791515</v>
      </c>
      <c r="AR32" s="184"/>
      <c r="AS32" s="306">
        <f>IF(ISERROR(AS31-AS$69),"NM",AS31-AS$69)</f>
        <v>0.18682228292359904</v>
      </c>
      <c r="AT32" s="306">
        <f>IF(ISERROR(AT31-AT$69),"NM",AT31-AT$69)</f>
        <v>0.28939733068059348</v>
      </c>
      <c r="AU32" s="306">
        <f>IF(ISERROR(AU31-AU$69),"NM",AU31-AU$69)</f>
        <v>8.313253012048194E-2</v>
      </c>
      <c r="AV32" s="306">
        <f>IF(ISERROR(AV31-AV$69),"NM",AV31-AV$69)</f>
        <v>2.1978779109825153E-2</v>
      </c>
      <c r="AW32" s="306">
        <f>IF(ISERROR(AW31-AW$69),"NM",AW31-AW$69)</f>
        <v>0.13806846624821878</v>
      </c>
      <c r="AX32" s="184"/>
      <c r="AY32" s="306">
        <f>IF(ISERROR(AY31-AY$69),"NM",AY31-AY$69)</f>
        <v>-0.20323615567024689</v>
      </c>
      <c r="AZ32" s="306">
        <f>IF(ISERROR(AZ31-AZ$69),"NM",AZ31-AZ$69)</f>
        <v>-0.52430243024302436</v>
      </c>
      <c r="BA32" s="306">
        <f>IF(ISERROR(BA31-BA$69),"NM",BA31-BA$69)</f>
        <v>-0.51700000000000002</v>
      </c>
      <c r="BB32" s="306">
        <f>IF(ISERROR(BB31-BB$69),"NM",BB31-BB$69)</f>
        <v>-0.67799999999999994</v>
      </c>
      <c r="BC32" s="306">
        <f>IF(ISERROR(BC31-BC$69),"NM",BC31-BC$69)</f>
        <v>-0.48321409599215004</v>
      </c>
      <c r="BD32" s="184"/>
      <c r="BE32" s="306">
        <f>IF(ISERROR(BE31-BE$69),"NM",BE31-BE$69)</f>
        <v>-0.56509977097433572</v>
      </c>
      <c r="BF32" s="306">
        <f>IF(ISERROR(BF31-BF$69),"NM",BF31-BF$69)</f>
        <v>-0.30826518387711255</v>
      </c>
      <c r="BG32" s="306">
        <f>IF(ISERROR(BG31-BG$69),"NM",BG31-BG$69)</f>
        <v>-0.35458011583011584</v>
      </c>
      <c r="BH32" s="306">
        <f>IF(ISERROR(BH31-BH$69),"NM",BH31-BH$69)</f>
        <v>-0.10725386100386125</v>
      </c>
      <c r="BI32" s="306">
        <f>IF(ISERROR(BI31-BI$69),"NM",BI31-BI$69)</f>
        <v>-0.38342140892384124</v>
      </c>
      <c r="BJ32" s="184"/>
      <c r="BK32" s="306">
        <f>IF(ISERROR(BK31-BK$69),"NM",BK31-BK$69)</f>
        <v>-0.10367345000000028</v>
      </c>
      <c r="BL32" s="306">
        <f>IF(ISERROR(BL31-BL$69),"NM",BL31-BL$69)</f>
        <v>-0.13298632407791156</v>
      </c>
      <c r="BM32" s="306">
        <f>IF(ISERROR(BM31-BM$69),"NM",BM31-BM$69)</f>
        <v>-0.11690988626421728</v>
      </c>
      <c r="BN32" s="306">
        <f>IF(ISERROR(BN31-BN$69),"NM",BN31-BN$69)</f>
        <v>-7.5544592030360569E-2</v>
      </c>
      <c r="BO32" s="306">
        <f>IF(ISERROR(BO31-BO$69),"NM",BO31-BO$69)</f>
        <v>-0.10842219648758988</v>
      </c>
      <c r="BP32" s="184"/>
      <c r="BQ32" s="306">
        <f>IF(ISERROR(BQ31-BQ$69),"NM",BQ31-BQ$69)</f>
        <v>-0.24531250000000027</v>
      </c>
      <c r="BR32" s="306">
        <f>IF(ISERROR(BR31-BR$69),"NM",BR31-BR$69)</f>
        <v>-0.25596000000000019</v>
      </c>
      <c r="BS32" s="306">
        <f>IF(ISERROR(BS31-BS$69),"NM",BS31-BS$69)</f>
        <v>-0.29028571428571448</v>
      </c>
      <c r="BT32" s="306">
        <f>IF(ISERROR(BT31-BT$69),"NM",BT31-BT$69)</f>
        <v>-0.28221538461538498</v>
      </c>
      <c r="BU32" s="306">
        <f>IF(ISERROR(BU31-BU$69),"NM",BU31-BU$69)</f>
        <v>-0.26739388907619133</v>
      </c>
      <c r="BV32" s="184"/>
      <c r="BW32" s="306">
        <f>IF(ISERROR(BW31-BW$69),"NM",BW31-BW$69)</f>
        <v>-0.33760000000000057</v>
      </c>
      <c r="BX32" s="306">
        <f>IF(ISERROR(BX31-BX$69),"NM",BX31-BX$69)</f>
        <v>-0.34021818181818231</v>
      </c>
      <c r="BY32" s="306">
        <f>IF(ISERROR(BY31-BY$69),"NM",BY31-BY$69)</f>
        <v>-0.38935000000000064</v>
      </c>
      <c r="BZ32" s="306">
        <f>IF(ISERROR(BZ31-BZ$69),"NM",BZ31-BZ$69)</f>
        <v>-0.41000000000000081</v>
      </c>
      <c r="CA32" s="306">
        <f>IF(ISERROR(CA31-CA$69),"NM",CA31-CA$69)</f>
        <v>-0.36677585873747909</v>
      </c>
      <c r="CB32" s="184"/>
      <c r="CC32" s="306">
        <f>IF(ISERROR(CC31-CC$69),"NM",CC31-CC$69)</f>
        <v>-0.48250000000000093</v>
      </c>
      <c r="CD32" s="306">
        <f>IF(ISERROR(CD31-CD$69),"NM",CD31-CD$69)</f>
        <v>-0.53714285714285848</v>
      </c>
      <c r="CE32" s="306">
        <f>IF(ISERROR(CE31-CE$69),"NM",CE31-CE$69)</f>
        <v>-0.65500000000000169</v>
      </c>
      <c r="CF32" s="306">
        <f>IF(ISERROR(CF31-CF$69),"NM",CF31-CF$69)</f>
        <v>-0.78400000000000258</v>
      </c>
      <c r="CG32" s="306">
        <f>IF(ISERROR(CG31-CG$69),"NM",CG31-CG$69)</f>
        <v>-0.60039045133910873</v>
      </c>
      <c r="CH32" s="184"/>
      <c r="CI32" s="510">
        <f t="shared" ref="CI32:CM32" si="26">IF(ISERROR(CI31-CI$69),"NM",CI31-CI$69)</f>
        <v>-1</v>
      </c>
      <c r="CJ32" s="510">
        <f t="shared" si="26"/>
        <v>-1</v>
      </c>
      <c r="CK32" s="510">
        <f t="shared" si="26"/>
        <v>-1</v>
      </c>
      <c r="CL32" s="510">
        <f t="shared" si="26"/>
        <v>-1</v>
      </c>
      <c r="CM32" s="510">
        <f t="shared" si="26"/>
        <v>-1</v>
      </c>
      <c r="CN32" s="184"/>
      <c r="CO32" s="510" t="str">
        <f t="shared" ref="CO32:CS32" si="27">IF(ISERROR(CO31-CO$69),"NM",CO31-CO$69)</f>
        <v>NM</v>
      </c>
      <c r="CP32" s="510" t="str">
        <f t="shared" si="27"/>
        <v>NM</v>
      </c>
      <c r="CQ32" s="510" t="str">
        <f t="shared" si="27"/>
        <v>NM</v>
      </c>
      <c r="CR32" s="510" t="str">
        <f t="shared" si="27"/>
        <v>NM</v>
      </c>
      <c r="CS32" s="510" t="str">
        <f t="shared" si="27"/>
        <v>NM</v>
      </c>
      <c r="CT32" s="313"/>
      <c r="CU32" s="855"/>
    </row>
    <row r="33" spans="1:112" ht="12.75" customHeight="1" x14ac:dyDescent="0.2">
      <c r="A33" s="300"/>
      <c r="B33" s="685" t="s">
        <v>337</v>
      </c>
      <c r="C33" s="686">
        <v>0</v>
      </c>
      <c r="D33" s="686">
        <v>0</v>
      </c>
      <c r="E33" s="686">
        <v>0</v>
      </c>
      <c r="F33" s="687">
        <f>0-E33-D33-C33</f>
        <v>0</v>
      </c>
      <c r="G33" s="687">
        <f>+SUM(C33:F33)</f>
        <v>0</v>
      </c>
      <c r="H33" s="688"/>
      <c r="I33" s="686">
        <v>0</v>
      </c>
      <c r="J33" s="686">
        <v>0</v>
      </c>
      <c r="K33" s="686">
        <v>0</v>
      </c>
      <c r="L33" s="687">
        <f>0-K33-J33-I33</f>
        <v>0</v>
      </c>
      <c r="M33" s="687">
        <v>191</v>
      </c>
      <c r="N33" s="688"/>
      <c r="O33" s="689">
        <f>O66*U33/U66</f>
        <v>67.006023472192851</v>
      </c>
      <c r="P33" s="689">
        <f>P66*V33/V66</f>
        <v>80.554753018282156</v>
      </c>
      <c r="Q33" s="689">
        <f>Q66*W33/W66</f>
        <v>82.645059793019939</v>
      </c>
      <c r="R33" s="689">
        <f>R66*X33/X66</f>
        <v>82.365601354228758</v>
      </c>
      <c r="S33" s="689">
        <f>S66*Y33/Y66</f>
        <v>312.5843597675983</v>
      </c>
      <c r="T33" s="688"/>
      <c r="U33" s="687">
        <f>+U29+U25+U21+U17</f>
        <v>81.522000000000006</v>
      </c>
      <c r="V33" s="687">
        <f>+V29+V25+V21+V17</f>
        <v>89.013999999999996</v>
      </c>
      <c r="W33" s="687">
        <f>+W29+W25+W21+W17</f>
        <v>86.751000000000005</v>
      </c>
      <c r="X33" s="687">
        <f>+X29+X25+X21+X17</f>
        <v>89.875999999999991</v>
      </c>
      <c r="Y33" s="687">
        <f>+Y29+Y25+Y21+Y17</f>
        <v>347.16300000000001</v>
      </c>
      <c r="Z33" s="688"/>
      <c r="AA33" s="687">
        <f>+AA29+AA25+AA21+AA17</f>
        <v>87.799000000000007</v>
      </c>
      <c r="AB33" s="687">
        <f>+AB29+AB25+AB21+AB17</f>
        <v>96.183000000000007</v>
      </c>
      <c r="AC33" s="687">
        <f>+AC29+AC25+AC21+AC17</f>
        <v>97.716999999999999</v>
      </c>
      <c r="AD33" s="687">
        <f>+AD29+AD25+AD21+AD17</f>
        <v>100.42999999999999</v>
      </c>
      <c r="AE33" s="687">
        <f>+AE29+AE25+AE21+AE17</f>
        <v>382.12900000000002</v>
      </c>
      <c r="AF33" s="688"/>
      <c r="AG33" s="687">
        <f>+AG29+AG25+AG21+AG17</f>
        <v>101.752</v>
      </c>
      <c r="AH33" s="687">
        <f>+AH29+AH25+AH21+AH17</f>
        <v>115.246</v>
      </c>
      <c r="AI33" s="687">
        <f>+AI29+AI25+AI21+AI17</f>
        <v>120.52500000000001</v>
      </c>
      <c r="AJ33" s="687">
        <f>+AJ29+AJ25+AJ21+AJ17</f>
        <v>124.819</v>
      </c>
      <c r="AK33" s="687">
        <f>+AK29+AK25+AK21+AK17</f>
        <v>462.34200000000004</v>
      </c>
      <c r="AL33" s="688"/>
      <c r="AM33" s="687">
        <f>+AM29+AM25+AM21+AM17</f>
        <v>124.676</v>
      </c>
      <c r="AN33" s="687">
        <f>+AN29+AN25+AN21+AN17</f>
        <v>138.11099999999999</v>
      </c>
      <c r="AO33" s="687">
        <f>+AO29+AO25+AO21+AO17</f>
        <v>145.59</v>
      </c>
      <c r="AP33" s="687">
        <f>+AP29+AP25+AP21+AP17</f>
        <v>162.97300000000001</v>
      </c>
      <c r="AQ33" s="687">
        <f>+AQ29+AQ25+AQ21+AQ17</f>
        <v>571.35</v>
      </c>
      <c r="AR33" s="688"/>
      <c r="AS33" s="687">
        <f>+AS29+AS25+AS21+AS17</f>
        <v>188.68899999999999</v>
      </c>
      <c r="AT33" s="687">
        <f>+AT29+AT25+AT21+AT17</f>
        <v>192.98900000000003</v>
      </c>
      <c r="AU33" s="687">
        <f>+AU29+AU25+AU21+AU17</f>
        <v>169.56500000000003</v>
      </c>
      <c r="AV33" s="687">
        <f>+AV29+AV25+AV21+AV17</f>
        <v>168.87500000000003</v>
      </c>
      <c r="AW33" s="687">
        <f>+AW29+AW25+AW21+AW17</f>
        <v>720.11800000000005</v>
      </c>
      <c r="AX33" s="688"/>
      <c r="AY33" s="687">
        <f>+AY29+AY25+AY21+AY17</f>
        <v>150.56700000000001</v>
      </c>
      <c r="AZ33" s="687">
        <f>+AZ29+AZ25+AZ21+AZ17</f>
        <v>164.95499999999998</v>
      </c>
      <c r="BA33" s="687">
        <f>+BA29+BA25+BA21+BA17</f>
        <v>159</v>
      </c>
      <c r="BB33" s="687">
        <f>+BB29+BB25+BB21+BB17</f>
        <v>163.74992621898082</v>
      </c>
      <c r="BC33" s="687">
        <f>+BC29+BC25+BC21+BC17</f>
        <v>638.27192621898087</v>
      </c>
      <c r="BD33" s="688"/>
      <c r="BE33" s="687">
        <f>+BE29+BE25+BE21+BE17</f>
        <v>156.71338383668677</v>
      </c>
      <c r="BF33" s="687">
        <f>+BF29+BF25+BF21+BF17</f>
        <v>166.58922202800133</v>
      </c>
      <c r="BG33" s="687">
        <f>+BG29+BG25+BG21+BG17</f>
        <v>156.31802062257498</v>
      </c>
      <c r="BH33" s="687">
        <f>+BH29+BH25+BH21+BH17</f>
        <v>152.80000000000004</v>
      </c>
      <c r="BI33" s="687">
        <f>+BI29+BI25+BI21+BI17</f>
        <v>632.42062648726301</v>
      </c>
      <c r="BJ33" s="687"/>
      <c r="BK33" s="687">
        <f>+BK29+BK25+BK21+BK17</f>
        <v>139.30619851575017</v>
      </c>
      <c r="BL33" s="687">
        <f>+BL29+BL25+BL21+BL17</f>
        <v>143.9493528501194</v>
      </c>
      <c r="BM33" s="687">
        <f>+BM29+BM25+BM21+BM17</f>
        <v>140.81112509441613</v>
      </c>
      <c r="BN33" s="687">
        <f>+BN29+BN25+BN21+BN17</f>
        <v>144.5599443504737</v>
      </c>
      <c r="BO33" s="687">
        <f>+BO29+BO25+BO21+BO17</f>
        <v>568.62662081075939</v>
      </c>
      <c r="BP33" s="687"/>
      <c r="BQ33" s="687">
        <f>+BQ29+BQ25+BQ21+BQ17</f>
        <v>126.67363602008699</v>
      </c>
      <c r="BR33" s="687">
        <f>+BR29+BR25+BR21+BR17</f>
        <v>126.87538465031678</v>
      </c>
      <c r="BS33" s="687">
        <f>+BS29+BS25+BS21+BS17</f>
        <v>121.73885305344933</v>
      </c>
      <c r="BT33" s="687">
        <f>+BT29+BT25+BT21+BT17</f>
        <v>126.982620293114</v>
      </c>
      <c r="BU33" s="687">
        <f>+BU29+BU25+BU21+BU17</f>
        <v>502.27049401696706</v>
      </c>
      <c r="BV33" s="687"/>
      <c r="BW33" s="687">
        <f>+BW29+BW25+BW21+BW17</f>
        <v>110.16976777387158</v>
      </c>
      <c r="BX33" s="687">
        <f>+BX29+BX25+BX21+BX17</f>
        <v>111.33507328420909</v>
      </c>
      <c r="BY33" s="687">
        <f>+BY29+BY25+BY21+BY17</f>
        <v>108.5510734859464</v>
      </c>
      <c r="BZ33" s="687">
        <f>+BZ29+BZ25+BZ21+BZ17</f>
        <v>114.46306542798636</v>
      </c>
      <c r="CA33" s="687">
        <f>+CA29+CA25+CA21+CA17</f>
        <v>444.51897997201348</v>
      </c>
      <c r="CB33" s="687"/>
      <c r="CC33" s="687">
        <f>+CC29+CC25+CC21+CC17</f>
        <v>100.08915654652567</v>
      </c>
      <c r="CD33" s="687">
        <f>+CD29+CD25+CD21+CD17</f>
        <v>102.32035873971185</v>
      </c>
      <c r="CE33" s="687">
        <f>+CE29+CE25+CE21+CE17</f>
        <v>98.71805102089867</v>
      </c>
      <c r="CF33" s="687">
        <f>+CF29+CF25+CF21+CF17</f>
        <v>105.51616103016953</v>
      </c>
      <c r="CG33" s="687">
        <f>+CG29+CG25+CG21+CG17</f>
        <v>406.64372733730568</v>
      </c>
      <c r="CH33" s="687"/>
      <c r="CI33" s="687">
        <f t="shared" ref="CI33:CM33" si="28">+CI29+CI25+CI21+CI17</f>
        <v>91.220574462920666</v>
      </c>
      <c r="CJ33" s="687">
        <f t="shared" si="28"/>
        <v>94.622241733819408</v>
      </c>
      <c r="CK33" s="687">
        <f t="shared" si="28"/>
        <v>90.070519862339822</v>
      </c>
      <c r="CL33" s="687">
        <f t="shared" si="28"/>
        <v>97.893132356198436</v>
      </c>
      <c r="CM33" s="687">
        <f t="shared" si="28"/>
        <v>373.80646841527835</v>
      </c>
      <c r="CN33" s="687"/>
      <c r="CO33" s="687">
        <f t="shared" ref="CO33:CS33" si="29">+CO29+CO25+CO21+CO17</f>
        <v>83.43564606173652</v>
      </c>
      <c r="CP33" s="687">
        <f t="shared" si="29"/>
        <v>88.123167921428575</v>
      </c>
      <c r="CQ33" s="687">
        <f t="shared" si="29"/>
        <v>82.483570774714224</v>
      </c>
      <c r="CR33" s="687">
        <f t="shared" si="29"/>
        <v>91.477950653933775</v>
      </c>
      <c r="CS33" s="687">
        <f t="shared" si="29"/>
        <v>345.52033541181311</v>
      </c>
      <c r="CT33" s="39"/>
      <c r="CU33" s="348"/>
      <c r="CX33" s="348"/>
    </row>
    <row r="34" spans="1:112" ht="12.75" customHeight="1" x14ac:dyDescent="0.2">
      <c r="A34" s="300"/>
      <c r="B34" s="690" t="s">
        <v>344</v>
      </c>
      <c r="C34" s="691"/>
      <c r="D34" s="691"/>
      <c r="E34" s="691"/>
      <c r="F34" s="691"/>
      <c r="G34" s="691"/>
      <c r="H34" s="691"/>
      <c r="I34" s="691"/>
      <c r="J34" s="691"/>
      <c r="K34" s="691"/>
      <c r="L34" s="691"/>
      <c r="M34" s="683"/>
      <c r="N34" s="691"/>
      <c r="O34" s="691"/>
      <c r="P34" s="691"/>
      <c r="Q34" s="691"/>
      <c r="R34" s="691"/>
      <c r="S34" s="683"/>
      <c r="T34" s="683"/>
      <c r="U34" s="683"/>
      <c r="V34" s="683"/>
      <c r="W34" s="683"/>
      <c r="X34" s="683"/>
      <c r="Y34" s="683"/>
      <c r="Z34" s="683"/>
      <c r="AA34" s="683">
        <f>+AA33/AA$75</f>
        <v>0.95581223192318576</v>
      </c>
      <c r="AB34" s="683">
        <f>+AB33/AB$75</f>
        <v>0.95761648745519723</v>
      </c>
      <c r="AC34" s="683">
        <f>+AC33/AC$75</f>
        <v>0.95450993416297114</v>
      </c>
      <c r="AD34" s="683">
        <f>+AD33/AD$75</f>
        <v>0.93499795181171552</v>
      </c>
      <c r="AE34" s="683">
        <f>+AE33/AE$75</f>
        <v>0.95037106674227267</v>
      </c>
      <c r="AF34" s="683"/>
      <c r="AG34" s="683">
        <f>+AG33/AG$75</f>
        <v>0.92123275268895088</v>
      </c>
      <c r="AH34" s="683">
        <f>+AH33/AH$75</f>
        <v>0.93840128327267092</v>
      </c>
      <c r="AI34" s="683">
        <f>+AI33/AI$75</f>
        <v>0.92870847684874835</v>
      </c>
      <c r="AJ34" s="683">
        <f>+AJ33/AJ$75</f>
        <v>0.93873575753017713</v>
      </c>
      <c r="AK34" s="683">
        <f>+AK33/AK$75</f>
        <v>0.93213173254301873</v>
      </c>
      <c r="AL34" s="692"/>
      <c r="AM34" s="683">
        <f>+AM33/AM$75</f>
        <v>0.9343435478915143</v>
      </c>
      <c r="AN34" s="683">
        <f>+AN33/AN$75</f>
        <v>0.92604934960439855</v>
      </c>
      <c r="AO34" s="683">
        <f>+AO33/AO$75</f>
        <v>0.93045401094125468</v>
      </c>
      <c r="AP34" s="683">
        <f>+AP33/AP$75</f>
        <v>0.93600243515817039</v>
      </c>
      <c r="AQ34" s="683">
        <f>+AQ33/AQ$75</f>
        <v>0.93180465290745551</v>
      </c>
      <c r="AR34" s="692"/>
      <c r="AS34" s="683">
        <f>+AS33/AS$75</f>
        <v>0.93194940410042126</v>
      </c>
      <c r="AT34" s="683">
        <f>+AT33/AT$75</f>
        <v>0.94574634911300615</v>
      </c>
      <c r="AU34" s="683">
        <f>+AU33/AU$75</f>
        <v>0.92696967046423662</v>
      </c>
      <c r="AV34" s="683">
        <f>+AV33/AV$75</f>
        <v>0.89463089026037679</v>
      </c>
      <c r="AW34" s="683">
        <f>+AW33/AW$75</f>
        <v>0.92534463439456394</v>
      </c>
      <c r="AX34" s="692"/>
      <c r="AY34" s="683">
        <f>+AY33/AY$75</f>
        <v>0.89178384013077627</v>
      </c>
      <c r="AZ34" s="683">
        <f>+AZ33/AZ$75</f>
        <v>0.89458385079693903</v>
      </c>
      <c r="BA34" s="683">
        <f>+BA33/BA$75</f>
        <v>0.88325482179361836</v>
      </c>
      <c r="BB34" s="683">
        <f>+BB33/BB$75</f>
        <v>0.862413968467312</v>
      </c>
      <c r="BC34" s="683">
        <f>+BC33/BC$75</f>
        <v>0.88266277890248013</v>
      </c>
      <c r="BD34" s="692"/>
      <c r="BE34" s="683">
        <f>+BE33/BE$75</f>
        <v>0.85387785217233647</v>
      </c>
      <c r="BF34" s="683">
        <f>+BF33/BF$75</f>
        <v>0.86186503458463892</v>
      </c>
      <c r="BG34" s="683">
        <f>+BG33/BG$75</f>
        <v>0.82048942200721386</v>
      </c>
      <c r="BH34" s="683">
        <f>+BH33/BH$75</f>
        <v>0.81930294906166223</v>
      </c>
      <c r="BI34" s="683">
        <f>+BI33/BI$75</f>
        <v>0.83893369783161209</v>
      </c>
      <c r="BJ34" s="692"/>
      <c r="BK34" s="683">
        <f>+BK33/BK$75</f>
        <v>0.78479624757097988</v>
      </c>
      <c r="BL34" s="683">
        <f>+BL33/BL$75</f>
        <v>0.73238273625805006</v>
      </c>
      <c r="BM34" s="683">
        <f>+BM33/BM$75</f>
        <v>0.71509989609220492</v>
      </c>
      <c r="BN34" s="683">
        <f>+BN33/BN$75</f>
        <v>0.7211412974241509</v>
      </c>
      <c r="BO34" s="683">
        <f>+BO33/BO$75</f>
        <v>0.73711044637419987</v>
      </c>
      <c r="BP34" s="692"/>
      <c r="BQ34" s="683">
        <f>+BQ33/BQ$75</f>
        <v>0.66609462105834238</v>
      </c>
      <c r="BR34" s="683">
        <f>+BR33/BR$75</f>
        <v>0.65407981986496644</v>
      </c>
      <c r="BS34" s="683">
        <f>+BS33/BS$75</f>
        <v>0.64120701322123985</v>
      </c>
      <c r="BT34" s="683">
        <f>+BT33/BT$75</f>
        <v>0.64394417326988695</v>
      </c>
      <c r="BU34" s="683">
        <f>+BU33/BU$75</f>
        <v>0.65128183021693853</v>
      </c>
      <c r="BV34" s="692"/>
      <c r="BW34" s="683">
        <f>+BW33/BW$75</f>
        <v>0.57857818879606526</v>
      </c>
      <c r="BX34" s="683">
        <f>+BX33/BX$75</f>
        <v>0.55720271986674919</v>
      </c>
      <c r="BY34" s="683">
        <f>+BY33/BY$75</f>
        <v>0.54606623689973033</v>
      </c>
      <c r="BZ34" s="683">
        <f>+BZ33/BZ$75</f>
        <v>0.5486433201717047</v>
      </c>
      <c r="CA34" s="683">
        <f>+CA33/CA$75</f>
        <v>0.5572913171577718</v>
      </c>
      <c r="CB34" s="692"/>
      <c r="CC34" s="683">
        <f>+CC33/CC$75</f>
        <v>0.50166439915461047</v>
      </c>
      <c r="CD34" s="683">
        <f>+CD33/CD$75</f>
        <v>0.48342901496603202</v>
      </c>
      <c r="CE34" s="683">
        <f>+CE33/CE$75</f>
        <v>0.46850617760064533</v>
      </c>
      <c r="CF34" s="683">
        <f>+CF33/CF$75</f>
        <v>0.47514696095356973</v>
      </c>
      <c r="CG34" s="683">
        <f>+CG33/CG$75</f>
        <v>0.48183490557991404</v>
      </c>
      <c r="CH34" s="692"/>
      <c r="CI34" s="683">
        <f t="shared" ref="CI34:CM34" si="30">+CI33/CI$75</f>
        <v>0.42646513702844385</v>
      </c>
      <c r="CJ34" s="683">
        <f t="shared" si="30"/>
        <v>0.41559679595169036</v>
      </c>
      <c r="CK34" s="683">
        <f t="shared" si="30"/>
        <v>0.39949140694046298</v>
      </c>
      <c r="CL34" s="683">
        <f t="shared" si="30"/>
        <v>0.41200943582494698</v>
      </c>
      <c r="CM34" s="683">
        <f t="shared" si="30"/>
        <v>0.4132104387436869</v>
      </c>
      <c r="CN34" s="692"/>
      <c r="CO34" s="683">
        <f t="shared" ref="CO34:CS34" si="31">+CO33/CO$75</f>
        <v>0.36391330280184286</v>
      </c>
      <c r="CP34" s="683">
        <f t="shared" si="31"/>
        <v>0.35825668906735025</v>
      </c>
      <c r="CQ34" s="683">
        <f t="shared" si="31"/>
        <v>0.34216144998702447</v>
      </c>
      <c r="CR34" s="683">
        <f t="shared" si="31"/>
        <v>0.3582308161108308</v>
      </c>
      <c r="CS34" s="683">
        <f t="shared" si="31"/>
        <v>0.35559149023317305</v>
      </c>
      <c r="CT34" s="39"/>
      <c r="CU34" s="348"/>
      <c r="CX34" s="348"/>
    </row>
    <row r="35" spans="1:112" ht="12.75" customHeight="1" x14ac:dyDescent="0.2">
      <c r="A35" s="300"/>
      <c r="B35" s="693" t="s">
        <v>339</v>
      </c>
      <c r="C35" s="691"/>
      <c r="D35" s="691"/>
      <c r="E35" s="691"/>
      <c r="F35" s="691"/>
      <c r="G35" s="691"/>
      <c r="H35" s="691"/>
      <c r="I35" s="691"/>
      <c r="J35" s="691"/>
      <c r="K35" s="691"/>
      <c r="L35" s="691"/>
      <c r="M35" s="683"/>
      <c r="N35" s="691"/>
      <c r="O35" s="691"/>
      <c r="P35" s="691"/>
      <c r="Q35" s="691"/>
      <c r="R35" s="691"/>
      <c r="S35" s="683"/>
      <c r="T35" s="683"/>
      <c r="U35" s="683"/>
      <c r="V35" s="683"/>
      <c r="W35" s="683"/>
      <c r="X35" s="683"/>
      <c r="Y35" s="683"/>
      <c r="Z35" s="683"/>
      <c r="AA35" s="683">
        <f>IF(ISERROR(AA33/U33-1),"NM",AA33/U33-1)</f>
        <v>7.6997620274281697E-2</v>
      </c>
      <c r="AB35" s="683">
        <f>IF(ISERROR(AB33/V33-1),"NM",AB33/V33-1)</f>
        <v>8.0537892915721221E-2</v>
      </c>
      <c r="AC35" s="683">
        <f>IF(ISERROR(AC33/W33-1),"NM",AC33/W33-1)</f>
        <v>0.12640776475199123</v>
      </c>
      <c r="AD35" s="683">
        <f>IF(ISERROR(AD33/X33-1),"NM",AD33/X33-1)</f>
        <v>0.11742845698517956</v>
      </c>
      <c r="AE35" s="683">
        <f>IF(ISERROR(AE33/Y33-1),"NM",AE33/Y33-1)</f>
        <v>0.10071925867676002</v>
      </c>
      <c r="AF35" s="683"/>
      <c r="AG35" s="683">
        <f>IF(ISERROR(AG33/AA33-1),"NM",AG33/AA33-1)</f>
        <v>0.15891980546475448</v>
      </c>
      <c r="AH35" s="683">
        <f>IF(ISERROR(AH33/AB33-1),"NM",AH33/AB33-1)</f>
        <v>0.19819510724348355</v>
      </c>
      <c r="AI35" s="683">
        <f>IF(ISERROR(AI33/AC33-1),"NM",AI33/AC33-1)</f>
        <v>0.23340872110277644</v>
      </c>
      <c r="AJ35" s="683">
        <f>IF(ISERROR(AJ33/AD33-1),"NM",AJ33/AD33-1)</f>
        <v>0.24284576321816198</v>
      </c>
      <c r="AK35" s="683">
        <f>IF(ISERROR(AK33/AE33-1),"NM",AK33/AE33-1)</f>
        <v>0.20991078928843399</v>
      </c>
      <c r="AL35" s="692"/>
      <c r="AM35" s="683">
        <f>IF(ISERROR(AM33/AG33-1),"NM",AM33/AG33-1)</f>
        <v>0.22529286893623723</v>
      </c>
      <c r="AN35" s="683">
        <f>IF(ISERROR(AN33/AH33-1),"NM",AN33/AH33-1)</f>
        <v>0.19840167988476809</v>
      </c>
      <c r="AO35" s="683">
        <f>IF(ISERROR(AO33/AI33-1),"NM",AO33/AI33-1)</f>
        <v>0.20796515245799618</v>
      </c>
      <c r="AP35" s="683">
        <f>IF(ISERROR(AP33/AJ33-1),"NM",AP33/AJ33-1)</f>
        <v>0.30567461684519182</v>
      </c>
      <c r="AQ35" s="683">
        <f>IF(ISERROR(AQ33/AK33-1),"NM",AQ33/AK33-1)</f>
        <v>0.23577351830463167</v>
      </c>
      <c r="AR35" s="692"/>
      <c r="AS35" s="683">
        <f>IF(ISERROR(AS33/AM33-1),"NM",AS33/AM33-1)</f>
        <v>0.513434823061375</v>
      </c>
      <c r="AT35" s="683">
        <f>IF(ISERROR(AT33/AN33-1),"NM",AT33/AN33-1)</f>
        <v>0.39734706142161058</v>
      </c>
      <c r="AU35" s="683">
        <f>IF(ISERROR(AU33/AO33-1),"NM",AU33/AO33-1)</f>
        <v>0.16467477161893007</v>
      </c>
      <c r="AV35" s="683">
        <f>IF(ISERROR(AV33/AP33-1),"NM",AV33/AP33-1)</f>
        <v>3.6214587692440015E-2</v>
      </c>
      <c r="AW35" s="683">
        <f>IF(ISERROR(AW33/AQ33-1),"NM",AW33/AQ33-1)</f>
        <v>0.26037980222280566</v>
      </c>
      <c r="AX35" s="692"/>
      <c r="AY35" s="683">
        <f>IF(ISERROR(AY33/AS33-1),"NM",AY33/AS33-1)</f>
        <v>-0.20203615473080039</v>
      </c>
      <c r="AZ35" s="683">
        <f>IF(ISERROR(AZ33/AT33-1),"NM",AZ33/AT33-1)</f>
        <v>-0.14526216520112567</v>
      </c>
      <c r="BA35" s="683">
        <f>IF(ISERROR(BA33/AU33-1),"NM",BA33/AU33-1)</f>
        <v>-6.2306490136526005E-2</v>
      </c>
      <c r="BB35" s="683">
        <f>IF(ISERROR(BB33/AV33-1),"NM",BB33/AV33-1)</f>
        <v>-3.0348327348744375E-2</v>
      </c>
      <c r="BC35" s="683">
        <f>IF(ISERROR(BC33/AW33-1),"NM",BC33/AW33-1)</f>
        <v>-0.11365647544016289</v>
      </c>
      <c r="BD35" s="692"/>
      <c r="BE35" s="683">
        <f>IF(ISERROR(BE33/AY33-1),"NM",BE33/AY33-1)</f>
        <v>4.0821586647052488E-2</v>
      </c>
      <c r="BF35" s="683">
        <f>IF(ISERROR(BF33/AZ33-1),"NM",BF33/AZ33-1)</f>
        <v>9.907077857605584E-3</v>
      </c>
      <c r="BG35" s="683">
        <f>IF(ISERROR(BG33/BA33-1),"NM",BG33/BA33-1)</f>
        <v>-1.6867794826572524E-2</v>
      </c>
      <c r="BH35" s="683">
        <f>IF(ISERROR(BH33/BB33-1),"NM",BH33/BB33-1)</f>
        <v>-6.6869808566127675E-2</v>
      </c>
      <c r="BI35" s="683">
        <f>IF(ISERROR(BI33/BC33-1),"NM",BI33/BC33-1)</f>
        <v>-9.1674088916615659E-3</v>
      </c>
      <c r="BJ35" s="692"/>
      <c r="BK35" s="683">
        <f>IF(ISERROR(BK33/BE33-1),"NM",BK33/BE33-1)</f>
        <v>-0.11107657109284863</v>
      </c>
      <c r="BL35" s="683">
        <f>IF(ISERROR(BL33/BF33-1),"NM",BL33/BF33-1)</f>
        <v>-0.13590236452437776</v>
      </c>
      <c r="BM35" s="683">
        <f>IF(ISERROR(BM33/BG33-1),"NM",BM33/BG33-1)</f>
        <v>-9.9200946035516768E-2</v>
      </c>
      <c r="BN35" s="683">
        <f>IF(ISERROR(BN33/BH33-1),"NM",BN33/BH33-1)</f>
        <v>-5.3927065769151405E-2</v>
      </c>
      <c r="BO35" s="683">
        <f>IF(ISERROR(BO33/BI33-1),"NM",BO33/BI33-1)</f>
        <v>-0.1008727467205538</v>
      </c>
      <c r="BP35" s="692"/>
      <c r="BQ35" s="683">
        <f>IF(ISERROR(BQ33/BK33-1),"NM",BQ33/BK33-1)</f>
        <v>-9.068198422078777E-2</v>
      </c>
      <c r="BR35" s="683">
        <f>IF(ISERROR(BR33/BL33-1),"NM",BR33/BL33-1)</f>
        <v>-0.11861094101326108</v>
      </c>
      <c r="BS35" s="683">
        <f>IF(ISERROR(BS33/BM33-1),"NM",BS33/BM33-1)</f>
        <v>-0.13544577552504133</v>
      </c>
      <c r="BT35" s="683">
        <f>IF(ISERROR(BT33/BN33-1),"NM",BT33/BN33-1)</f>
        <v>-0.12159193984431071</v>
      </c>
      <c r="BU35" s="683">
        <f>IF(ISERROR(BU33/BO33-1),"NM",BU33/BO33-1)</f>
        <v>-0.11669542783484255</v>
      </c>
      <c r="BV35" s="692"/>
      <c r="BW35" s="683">
        <f>IF(ISERROR(BW33/BQ33-1),"NM",BW33/BQ33-1)</f>
        <v>-0.13028652815806396</v>
      </c>
      <c r="BX35" s="683">
        <f>IF(ISERROR(BX33/BR33-1),"NM",BX33/BR33-1)</f>
        <v>-0.12248484139723859</v>
      </c>
      <c r="BY35" s="683">
        <f>IF(ISERROR(BY33/BS33-1),"NM",BY33/BS33-1)</f>
        <v>-0.10832843612969512</v>
      </c>
      <c r="BZ35" s="683">
        <f>IF(ISERROR(BZ33/BT33-1),"NM",BZ33/BT33-1)</f>
        <v>-9.859266438374592E-2</v>
      </c>
      <c r="CA35" s="683">
        <f>IF(ISERROR(CA33/BU33-1),"NM",CA33/BU33-1)</f>
        <v>-0.11498090119345672</v>
      </c>
      <c r="CB35" s="692"/>
      <c r="CC35" s="683">
        <f>IF(ISERROR(CC33/BW33-1),"NM",CC33/BW33-1)</f>
        <v>-9.1500703242261672E-2</v>
      </c>
      <c r="CD35" s="683">
        <f>IF(ISERROR(CD33/BX33-1),"NM",CD33/BX33-1)</f>
        <v>-8.0969224509198856E-2</v>
      </c>
      <c r="CE35" s="683">
        <f>IF(ISERROR(CE33/BY33-1),"NM",CE33/BY33-1)</f>
        <v>-9.0584295016859162E-2</v>
      </c>
      <c r="CF35" s="683">
        <f>IF(ISERROR(CF33/BZ33-1),"NM",CF33/BZ33-1)</f>
        <v>-7.8164116646393E-2</v>
      </c>
      <c r="CG35" s="683">
        <f>IF(ISERROR(CG33/CA33-1),"NM",CG33/CA33-1)</f>
        <v>-8.5205029124048592E-2</v>
      </c>
      <c r="CH35" s="692"/>
      <c r="CI35" s="683">
        <f t="shared" ref="CI35:CM35" si="32">IF(ISERROR(CI33/CC33-1),"NM",CI33/CC33-1)</f>
        <v>-8.8606822053520995E-2</v>
      </c>
      <c r="CJ35" s="683">
        <f t="shared" si="32"/>
        <v>-7.5235437997977828E-2</v>
      </c>
      <c r="CK35" s="683">
        <f t="shared" si="32"/>
        <v>-8.7598276800746055E-2</v>
      </c>
      <c r="CL35" s="683">
        <f t="shared" si="32"/>
        <v>-7.2245129083036819E-2</v>
      </c>
      <c r="CM35" s="683">
        <f t="shared" si="32"/>
        <v>-8.0751913073994763E-2</v>
      </c>
      <c r="CN35" s="692"/>
      <c r="CO35" s="683">
        <f t="shared" ref="CO35:CS35" si="33">IF(ISERROR(CO33/CI33-1),"NM",CO33/CI33-1)</f>
        <v>-8.5341804160075307E-2</v>
      </c>
      <c r="CP35" s="683">
        <f t="shared" si="33"/>
        <v>-6.8684420209291774E-2</v>
      </c>
      <c r="CQ35" s="683">
        <f t="shared" si="33"/>
        <v>-8.4233432861508861E-2</v>
      </c>
      <c r="CR35" s="683">
        <f t="shared" si="33"/>
        <v>-6.5532500062640664E-2</v>
      </c>
      <c r="CS35" s="683">
        <f t="shared" si="33"/>
        <v>-7.5670528451211583E-2</v>
      </c>
      <c r="CT35" s="366"/>
      <c r="CU35" s="348"/>
    </row>
    <row r="36" spans="1:112" ht="12.75" customHeight="1" x14ac:dyDescent="0.2">
      <c r="A36" s="300"/>
      <c r="B36" s="693" t="s">
        <v>342</v>
      </c>
      <c r="C36" s="683"/>
      <c r="D36" s="683"/>
      <c r="E36" s="683"/>
      <c r="F36" s="683"/>
      <c r="G36" s="683"/>
      <c r="H36" s="684"/>
      <c r="I36" s="683"/>
      <c r="J36" s="683"/>
      <c r="K36" s="683"/>
      <c r="L36" s="683"/>
      <c r="M36" s="683"/>
      <c r="N36" s="684"/>
      <c r="O36" s="683"/>
      <c r="P36" s="683"/>
      <c r="Q36" s="683"/>
      <c r="R36" s="683"/>
      <c r="S36" s="683"/>
      <c r="T36" s="684"/>
      <c r="U36" s="683"/>
      <c r="V36" s="683"/>
      <c r="W36" s="683"/>
      <c r="X36" s="683"/>
      <c r="Y36" s="683"/>
      <c r="Z36" s="684"/>
      <c r="AA36" s="683">
        <f>IF(ISERROR(AA35-AA$69),"NM",AA35-AA$69)</f>
        <v>7.6997620274281697E-2</v>
      </c>
      <c r="AB36" s="683">
        <f>IF(ISERROR(AB35-AB$69),"NM",AB35-AB$69)</f>
        <v>8.0537892915721221E-2</v>
      </c>
      <c r="AC36" s="683">
        <f>IF(ISERROR(AC35-AC$69),"NM",AC35-AC$69)</f>
        <v>0.12640776475199123</v>
      </c>
      <c r="AD36" s="683">
        <f>IF(ISERROR(AD35-AD$69),"NM",AD35-AD$69)</f>
        <v>0.11742845698517956</v>
      </c>
      <c r="AE36" s="683">
        <f>IF(ISERROR(AE35-AE$69),"NM",AE35-AE$69)</f>
        <v>0.10071925867676002</v>
      </c>
      <c r="AF36" s="684"/>
      <c r="AG36" s="683">
        <f>IF(ISERROR(AG35-AG$69),"NM",AG35-AG$69)</f>
        <v>0.15891980546475448</v>
      </c>
      <c r="AH36" s="683">
        <f>IF(ISERROR(AH35-AH$69),"NM",AH35-AH$69)</f>
        <v>0.19819510724348355</v>
      </c>
      <c r="AI36" s="683">
        <f>IF(ISERROR(AI35-AI$69),"NM",AI35-AI$69)</f>
        <v>0.23340872110277644</v>
      </c>
      <c r="AJ36" s="683">
        <f>IF(ISERROR(AJ35-AJ$69),"NM",AJ35-AJ$69)</f>
        <v>0.24284576321816198</v>
      </c>
      <c r="AK36" s="683">
        <f>IF(ISERROR(AK35-AK$69),"NM",AK35-AK$69)</f>
        <v>0.20991078928843399</v>
      </c>
      <c r="AL36" s="684"/>
      <c r="AM36" s="683">
        <f>IF(ISERROR(AM35-AM$69),"NM",AM35-AM$69)</f>
        <v>0.22529286893623723</v>
      </c>
      <c r="AN36" s="683">
        <f>IF(ISERROR(AN35-AN$69),"NM",AN35-AN$69)</f>
        <v>0.19840167988476809</v>
      </c>
      <c r="AO36" s="683">
        <f>IF(ISERROR(AO35-AO$69),"NM",AO35-AO$69)</f>
        <v>0.20796515245799618</v>
      </c>
      <c r="AP36" s="683">
        <f>IF(ISERROR(AP35-AP$69),"NM",AP35-AP$69)</f>
        <v>0.30567461684519182</v>
      </c>
      <c r="AQ36" s="683">
        <f>IF(ISERROR(AQ35-AQ$69),"NM",AQ35-AQ$69)</f>
        <v>0.23577351830463167</v>
      </c>
      <c r="AR36" s="684"/>
      <c r="AS36" s="683">
        <f>IF(ISERROR(AS35-AS$69),"NM",AS35-AS$69)</f>
        <v>0.513434823061375</v>
      </c>
      <c r="AT36" s="683">
        <f>IF(ISERROR(AT35-AT$69),"NM",AT35-AT$69)</f>
        <v>0.39734706142161058</v>
      </c>
      <c r="AU36" s="683">
        <f>IF(ISERROR(AU35-AU$69),"NM",AU35-AU$69)</f>
        <v>0.16467477161893007</v>
      </c>
      <c r="AV36" s="683">
        <f>IF(ISERROR(AV35-AV$69),"NM",AV35-AV$69)</f>
        <v>3.6214587692440015E-2</v>
      </c>
      <c r="AW36" s="683">
        <f>IF(ISERROR(AW35-AW$69),"NM",AW35-AW$69)</f>
        <v>0.26037980222280566</v>
      </c>
      <c r="AX36" s="684"/>
      <c r="AY36" s="683">
        <f>IF(ISERROR(AY35-AY$69),"NM",AY35-AY$69)</f>
        <v>-0.20203615473080039</v>
      </c>
      <c r="AZ36" s="683">
        <f>IF(ISERROR(AZ35-AZ$69),"NM",AZ35-AZ$69)</f>
        <v>-0.14526216520112567</v>
      </c>
      <c r="BA36" s="683">
        <f>IF(ISERROR(BA35-BA$69),"NM",BA35-BA$69)</f>
        <v>-6.2306490136526005E-2</v>
      </c>
      <c r="BB36" s="683">
        <f>IF(ISERROR(BB35-BB$69),"NM",BB35-BB$69)</f>
        <v>-3.0348327348744375E-2</v>
      </c>
      <c r="BC36" s="683">
        <f>IF(ISERROR(BC35-BC$69),"NM",BC35-BC$69)</f>
        <v>-0.11365647544016289</v>
      </c>
      <c r="BD36" s="684"/>
      <c r="BE36" s="683">
        <f>IF(ISERROR(BE35-BE$69),"NM",BE35-BE$69)</f>
        <v>4.0821586647052488E-2</v>
      </c>
      <c r="BF36" s="683">
        <f>IF(ISERROR(BF35-BF$69),"NM",BF35-BF$69)</f>
        <v>9.907077857605584E-3</v>
      </c>
      <c r="BG36" s="683">
        <f>IF(ISERROR(BG35-BG$69),"NM",BG35-BG$69)</f>
        <v>-1.6867794826572524E-2</v>
      </c>
      <c r="BH36" s="683">
        <f>IF(ISERROR(BH35-BH$69),"NM",BH35-BH$69)</f>
        <v>-6.6869808566127675E-2</v>
      </c>
      <c r="BI36" s="683">
        <f>IF(ISERROR(BI35-BI$69),"NM",BI35-BI$69)</f>
        <v>-9.1674088916615659E-3</v>
      </c>
      <c r="BJ36" s="684"/>
      <c r="BK36" s="683">
        <f>IF(ISERROR(BK35-BK$69),"NM",BK35-BK$69)</f>
        <v>-0.11107657109284863</v>
      </c>
      <c r="BL36" s="683">
        <f>IF(ISERROR(BL35-BL$69),"NM",BL35-BL$69)</f>
        <v>-0.13590236452437776</v>
      </c>
      <c r="BM36" s="683">
        <f>IF(ISERROR(BM35-BM$69),"NM",BM35-BM$69)</f>
        <v>-9.9200946035516768E-2</v>
      </c>
      <c r="BN36" s="683">
        <f>IF(ISERROR(BN35-BN$69),"NM",BN35-BN$69)</f>
        <v>-5.3927065769151405E-2</v>
      </c>
      <c r="BO36" s="683">
        <f>IF(ISERROR(BO35-BO$69),"NM",BO35-BO$69)</f>
        <v>-0.1008727467205538</v>
      </c>
      <c r="BP36" s="684"/>
      <c r="BQ36" s="683">
        <f>IF(ISERROR(BQ35-BQ$69),"NM",BQ35-BQ$69)</f>
        <v>-9.068198422078777E-2</v>
      </c>
      <c r="BR36" s="683">
        <f>IF(ISERROR(BR35-BR$69),"NM",BR35-BR$69)</f>
        <v>-0.11861094101326108</v>
      </c>
      <c r="BS36" s="683">
        <f>IF(ISERROR(BS35-BS$69),"NM",BS35-BS$69)</f>
        <v>-0.13544577552504133</v>
      </c>
      <c r="BT36" s="683">
        <f>IF(ISERROR(BT35-BT$69),"NM",BT35-BT$69)</f>
        <v>-0.12159193984431071</v>
      </c>
      <c r="BU36" s="683">
        <f>IF(ISERROR(BU35-BU$69),"NM",BU35-BU$69)</f>
        <v>-0.11669542783484255</v>
      </c>
      <c r="BV36" s="684"/>
      <c r="BW36" s="683">
        <f>IF(ISERROR(BW35-BW$69),"NM",BW35-BW$69)</f>
        <v>-0.13028652815806396</v>
      </c>
      <c r="BX36" s="683">
        <f>IF(ISERROR(BX35-BX$69),"NM",BX35-BX$69)</f>
        <v>-0.12248484139723859</v>
      </c>
      <c r="BY36" s="683">
        <f>IF(ISERROR(BY35-BY$69),"NM",BY35-BY$69)</f>
        <v>-0.10832843612969512</v>
      </c>
      <c r="BZ36" s="683">
        <f>IF(ISERROR(BZ35-BZ$69),"NM",BZ35-BZ$69)</f>
        <v>-9.859266438374592E-2</v>
      </c>
      <c r="CA36" s="683">
        <f>IF(ISERROR(CA35-CA$69),"NM",CA35-CA$69)</f>
        <v>-0.11498090119345672</v>
      </c>
      <c r="CB36" s="684"/>
      <c r="CC36" s="683">
        <f>IF(ISERROR(CC35-CC$69),"NM",CC35-CC$69)</f>
        <v>-9.1500703242261672E-2</v>
      </c>
      <c r="CD36" s="683">
        <f>IF(ISERROR(CD35-CD$69),"NM",CD35-CD$69)</f>
        <v>-8.0969224509198856E-2</v>
      </c>
      <c r="CE36" s="683">
        <f>IF(ISERROR(CE35-CE$69),"NM",CE35-CE$69)</f>
        <v>-9.0584295016859162E-2</v>
      </c>
      <c r="CF36" s="683">
        <f>IF(ISERROR(CF35-CF$69),"NM",CF35-CF$69)</f>
        <v>-7.8164116646393E-2</v>
      </c>
      <c r="CG36" s="683">
        <f>IF(ISERROR(CG35-CG$69),"NM",CG35-CG$69)</f>
        <v>-8.5205029124048592E-2</v>
      </c>
      <c r="CH36" s="684"/>
      <c r="CI36" s="683">
        <f t="shared" ref="CI36:CM36" si="34">IF(ISERROR(CI35-CI$69),"NM",CI35-CI$69)</f>
        <v>-8.8606822053520995E-2</v>
      </c>
      <c r="CJ36" s="683">
        <f t="shared" si="34"/>
        <v>-7.5235437997977828E-2</v>
      </c>
      <c r="CK36" s="683">
        <f t="shared" si="34"/>
        <v>-8.7598276800746055E-2</v>
      </c>
      <c r="CL36" s="683">
        <f t="shared" si="34"/>
        <v>-7.2245129083036819E-2</v>
      </c>
      <c r="CM36" s="683">
        <f t="shared" si="34"/>
        <v>-8.0751913073994763E-2</v>
      </c>
      <c r="CN36" s="684"/>
      <c r="CO36" s="683">
        <f t="shared" ref="CO36:CS36" si="35">IF(ISERROR(CO35-CO$69),"NM",CO35-CO$69)</f>
        <v>-8.5341804160075307E-2</v>
      </c>
      <c r="CP36" s="683">
        <f t="shared" si="35"/>
        <v>-6.8684420209291774E-2</v>
      </c>
      <c r="CQ36" s="683">
        <f t="shared" si="35"/>
        <v>-8.4233432861508861E-2</v>
      </c>
      <c r="CR36" s="683">
        <f t="shared" si="35"/>
        <v>-6.5532500062640664E-2</v>
      </c>
      <c r="CS36" s="683">
        <f t="shared" si="35"/>
        <v>-7.5670528451211583E-2</v>
      </c>
      <c r="CT36" s="366"/>
      <c r="CU36" s="348"/>
    </row>
    <row r="37" spans="1:112" s="43" customFormat="1" ht="6.75" customHeight="1" x14ac:dyDescent="0.2">
      <c r="A37" s="300"/>
      <c r="B37" s="300"/>
      <c r="C37" s="306"/>
      <c r="D37" s="306"/>
      <c r="E37" s="306"/>
      <c r="F37" s="306"/>
      <c r="G37" s="306"/>
      <c r="H37" s="241"/>
      <c r="I37" s="306"/>
      <c r="J37" s="306"/>
      <c r="K37" s="306"/>
      <c r="L37" s="306"/>
      <c r="M37" s="306"/>
      <c r="N37" s="241"/>
      <c r="O37" s="306"/>
      <c r="P37" s="306"/>
      <c r="Q37" s="306"/>
      <c r="R37" s="306"/>
      <c r="S37" s="306"/>
      <c r="T37" s="241"/>
      <c r="U37" s="306"/>
      <c r="V37" s="306"/>
      <c r="W37" s="306"/>
      <c r="X37" s="306"/>
      <c r="Y37" s="306"/>
      <c r="Z37" s="306"/>
      <c r="AA37" s="39"/>
      <c r="AB37" s="39"/>
      <c r="AC37" s="39"/>
      <c r="AD37" s="39"/>
      <c r="AE37" s="39"/>
      <c r="AF37" s="241"/>
      <c r="AG37" s="39"/>
      <c r="AH37" s="39"/>
      <c r="AI37" s="39"/>
      <c r="AJ37" s="39"/>
      <c r="AK37" s="39"/>
      <c r="AL37" s="241"/>
      <c r="AM37" s="39"/>
      <c r="AN37" s="39"/>
      <c r="AO37" s="306"/>
      <c r="AP37" s="39"/>
      <c r="AQ37" s="306"/>
      <c r="AR37" s="241"/>
      <c r="AS37" s="39"/>
      <c r="AT37" s="39"/>
      <c r="AU37" s="39"/>
      <c r="AV37" s="39"/>
      <c r="AW37" s="306"/>
      <c r="AX37" s="241"/>
      <c r="AY37" s="39"/>
      <c r="AZ37" s="306"/>
      <c r="BA37" s="306"/>
      <c r="BB37" s="306"/>
      <c r="BC37" s="306"/>
      <c r="BD37" s="241"/>
      <c r="BF37" s="306"/>
      <c r="BG37" s="306"/>
      <c r="BH37" s="306"/>
      <c r="BI37" s="306"/>
      <c r="BJ37" s="241"/>
      <c r="BK37" s="306"/>
      <c r="BL37" s="306"/>
      <c r="BM37" s="306"/>
      <c r="BN37" s="306"/>
      <c r="BO37" s="306"/>
      <c r="BP37" s="241"/>
      <c r="BQ37" s="306"/>
      <c r="BR37" s="306"/>
      <c r="BS37" s="306"/>
      <c r="BT37" s="306"/>
      <c r="BU37" s="306"/>
      <c r="BV37" s="241"/>
      <c r="BW37" s="306"/>
      <c r="BX37" s="306"/>
      <c r="BY37" s="306"/>
      <c r="BZ37" s="306"/>
      <c r="CA37" s="306"/>
      <c r="CB37" s="241"/>
      <c r="CC37" s="306"/>
      <c r="CD37" s="306"/>
      <c r="CE37" s="306"/>
      <c r="CF37" s="306"/>
      <c r="CG37" s="306"/>
      <c r="CH37" s="241"/>
      <c r="CI37" s="510"/>
      <c r="CJ37" s="510"/>
      <c r="CK37" s="510"/>
      <c r="CL37" s="510"/>
      <c r="CM37" s="510"/>
      <c r="CN37" s="241"/>
      <c r="CO37" s="510"/>
      <c r="CP37" s="510"/>
      <c r="CQ37" s="510"/>
      <c r="CR37" s="510"/>
      <c r="CS37" s="510"/>
      <c r="CT37" s="306"/>
      <c r="CU37"/>
      <c r="CV37"/>
      <c r="CW37"/>
    </row>
    <row r="38" spans="1:112" s="43" customFormat="1" x14ac:dyDescent="0.2">
      <c r="A38" s="367"/>
      <c r="B38" s="304" t="s">
        <v>294</v>
      </c>
      <c r="C38" s="368"/>
      <c r="D38" s="368"/>
      <c r="E38" s="368"/>
      <c r="F38" s="369"/>
      <c r="G38" s="368"/>
      <c r="H38" s="253"/>
      <c r="I38" s="368"/>
      <c r="J38" s="368"/>
      <c r="K38" s="368"/>
      <c r="L38" s="368"/>
      <c r="M38" s="368"/>
      <c r="N38" s="253"/>
      <c r="O38" s="368"/>
      <c r="P38" s="368"/>
      <c r="Q38" s="368"/>
      <c r="R38" s="368"/>
      <c r="S38" s="368"/>
      <c r="T38" s="253"/>
      <c r="U38" s="368"/>
      <c r="V38" s="368"/>
      <c r="W38" s="368"/>
      <c r="X38" s="368"/>
      <c r="Y38" s="39"/>
      <c r="Z38" s="253"/>
      <c r="AA38" s="373"/>
      <c r="AB38" s="373"/>
      <c r="AC38" s="373"/>
      <c r="AD38" s="39"/>
      <c r="AE38" s="39"/>
      <c r="AF38" s="253"/>
      <c r="AG38" s="373"/>
      <c r="AH38" s="373"/>
      <c r="AI38" s="373"/>
      <c r="AJ38" s="39"/>
      <c r="AK38" s="39"/>
      <c r="AL38" s="253"/>
      <c r="AM38" s="373"/>
      <c r="AN38" s="373"/>
      <c r="AO38" s="373"/>
      <c r="AP38" s="39"/>
      <c r="AQ38" s="39"/>
      <c r="AR38" s="253"/>
      <c r="AS38" s="373"/>
      <c r="AT38" s="373"/>
      <c r="AU38" s="373">
        <v>3.1269999999999998</v>
      </c>
      <c r="AV38" s="39">
        <f>13.97-AU38-AT38-AS38</f>
        <v>10.843</v>
      </c>
      <c r="AW38" s="39">
        <f>SUM(AU38:AV38)</f>
        <v>13.969999999999999</v>
      </c>
      <c r="AX38" s="253"/>
      <c r="AY38" s="373">
        <v>10.579000000000001</v>
      </c>
      <c r="AZ38" s="373">
        <v>10.842000000000001</v>
      </c>
      <c r="BA38" s="373">
        <v>10.505000000000001</v>
      </c>
      <c r="BB38" s="373">
        <v>11.784000000000001</v>
      </c>
      <c r="BC38" s="39">
        <f>+SUM(AY38:BB38)</f>
        <v>43.71</v>
      </c>
      <c r="BD38" s="253"/>
      <c r="BE38" s="373">
        <v>11.413</v>
      </c>
      <c r="BF38" s="373">
        <v>11.3</v>
      </c>
      <c r="BG38" s="373">
        <v>12.3</v>
      </c>
      <c r="BH38" s="373">
        <v>12.7</v>
      </c>
      <c r="BI38" s="39">
        <f>+SUM(BE38:BH38)</f>
        <v>47.713000000000008</v>
      </c>
      <c r="BJ38" s="253"/>
      <c r="BK38" s="373">
        <v>11.6</v>
      </c>
      <c r="BL38" s="373">
        <v>10.7</v>
      </c>
      <c r="BM38" s="373">
        <v>11.2</v>
      </c>
      <c r="BN38" s="373">
        <v>10.3</v>
      </c>
      <c r="BO38" s="39">
        <f>+SUM(BK38:BN38)</f>
        <v>43.8</v>
      </c>
      <c r="BP38" s="253"/>
      <c r="BQ38" s="373">
        <v>16</v>
      </c>
      <c r="BR38" s="373">
        <v>11.1</v>
      </c>
      <c r="BS38" s="676">
        <v>12.854793413166503</v>
      </c>
      <c r="BT38" s="676">
        <v>13.253301991211133</v>
      </c>
      <c r="BU38" s="39">
        <f>+SUM(BQ38:BT38)</f>
        <v>53.208095404377637</v>
      </c>
      <c r="BV38" s="253"/>
      <c r="BW38" s="676">
        <v>14.239431568869463</v>
      </c>
      <c r="BX38" s="676">
        <v>14.898945805547672</v>
      </c>
      <c r="BY38" s="676">
        <v>15.65790941402965</v>
      </c>
      <c r="BZ38" s="676">
        <v>16.432083659691482</v>
      </c>
      <c r="CA38" s="39">
        <f>+SUM(BW38:BZ38)</f>
        <v>61.228370448138264</v>
      </c>
      <c r="CB38" s="253"/>
      <c r="CC38" s="676">
        <v>15.284232725732661</v>
      </c>
      <c r="CD38" s="676">
        <v>15.890258327503179</v>
      </c>
      <c r="CE38" s="676">
        <v>16.605461116148984</v>
      </c>
      <c r="CF38" s="676">
        <v>17.331105286576662</v>
      </c>
      <c r="CG38" s="39">
        <f>+SUM(CC38:CF38)</f>
        <v>65.111057455961486</v>
      </c>
      <c r="CH38" s="253"/>
      <c r="CI38" s="676">
        <v>16.25021467525276</v>
      </c>
      <c r="CJ38" s="676">
        <v>17.041844550467673</v>
      </c>
      <c r="CK38" s="676">
        <v>17.855673676661951</v>
      </c>
      <c r="CL38" s="676">
        <v>18.69182046335121</v>
      </c>
      <c r="CM38" s="39">
        <f t="shared" ref="CM38" si="36">+SUM(CI38:CL38)</f>
        <v>69.839553365733593</v>
      </c>
      <c r="CN38" s="253"/>
      <c r="CO38" s="676">
        <v>17.462941748285449</v>
      </c>
      <c r="CP38" s="676">
        <v>18.249869902352234</v>
      </c>
      <c r="CQ38" s="676">
        <v>19.056849888070825</v>
      </c>
      <c r="CR38" s="676">
        <v>19.883843910425938</v>
      </c>
      <c r="CS38" s="39">
        <f t="shared" ref="CS38" si="37">+SUM(CO38:CR38)</f>
        <v>74.653505449134443</v>
      </c>
      <c r="CT38" s="552"/>
      <c r="CU38"/>
      <c r="CV38"/>
      <c r="CW38"/>
      <c r="CX38" s="363"/>
      <c r="CY38" s="715"/>
    </row>
    <row r="39" spans="1:112" s="43" customFormat="1" ht="12.75" customHeight="1" x14ac:dyDescent="0.2">
      <c r="A39" s="300"/>
      <c r="B39" s="266" t="s">
        <v>344</v>
      </c>
      <c r="C39" s="308"/>
      <c r="D39" s="308"/>
      <c r="E39" s="308"/>
      <c r="F39" s="308"/>
      <c r="G39" s="308"/>
      <c r="H39" s="308"/>
      <c r="I39" s="308"/>
      <c r="J39" s="308"/>
      <c r="K39" s="308"/>
      <c r="L39" s="308"/>
      <c r="M39" s="306"/>
      <c r="N39" s="308"/>
      <c r="O39" s="308"/>
      <c r="P39" s="308"/>
      <c r="Q39" s="308"/>
      <c r="R39" s="308"/>
      <c r="S39" s="306"/>
      <c r="T39" s="308"/>
      <c r="U39" s="308"/>
      <c r="V39" s="308"/>
      <c r="W39" s="308"/>
      <c r="X39" s="308"/>
      <c r="Y39" s="306"/>
      <c r="Z39" s="381"/>
      <c r="AA39" s="306">
        <f>AA38/AA$75</f>
        <v>0</v>
      </c>
      <c r="AB39" s="306">
        <f>AB38/AB$75</f>
        <v>0</v>
      </c>
      <c r="AC39" s="306">
        <f>AC38/AC$75</f>
        <v>0</v>
      </c>
      <c r="AD39" s="306">
        <f>AD38/AD$75</f>
        <v>0</v>
      </c>
      <c r="AE39" s="306">
        <f>AE38/AE$75</f>
        <v>0</v>
      </c>
      <c r="AF39" s="381"/>
      <c r="AG39" s="306">
        <f>AG38/AG$75</f>
        <v>0</v>
      </c>
      <c r="AH39" s="306">
        <f>AH38/AH$75</f>
        <v>0</v>
      </c>
      <c r="AI39" s="306">
        <f>AI38/AI$75</f>
        <v>0</v>
      </c>
      <c r="AJ39" s="306">
        <f>AJ38/AJ$75</f>
        <v>0</v>
      </c>
      <c r="AK39" s="306">
        <f>AK38/AK$75</f>
        <v>0</v>
      </c>
      <c r="AL39" s="381"/>
      <c r="AM39" s="306">
        <f>AM38/AM$75</f>
        <v>0</v>
      </c>
      <c r="AN39" s="306">
        <f>AN38/AN$75</f>
        <v>0</v>
      </c>
      <c r="AO39" s="306">
        <f>AO38/AO$75</f>
        <v>0</v>
      </c>
      <c r="AP39" s="306">
        <f>AP38/AP$75</f>
        <v>0</v>
      </c>
      <c r="AQ39" s="306">
        <f>AQ38/AQ$75</f>
        <v>0</v>
      </c>
      <c r="AR39" s="381"/>
      <c r="AS39" s="306">
        <f>AS38/AS$75</f>
        <v>0</v>
      </c>
      <c r="AT39" s="306">
        <f>AT38/AT$75</f>
        <v>0</v>
      </c>
      <c r="AU39" s="306">
        <f>AU38/AU$75</f>
        <v>1.7094531062080424E-2</v>
      </c>
      <c r="AV39" s="306">
        <f>AV38/AV$75</f>
        <v>5.7441792705215475E-2</v>
      </c>
      <c r="AW39" s="306">
        <f>AW38/AW$75</f>
        <v>1.7951314288063978E-2</v>
      </c>
      <c r="AX39" s="381"/>
      <c r="AY39" s="306">
        <f>AY38/AY$75</f>
        <v>6.2657695542472677E-2</v>
      </c>
      <c r="AZ39" s="306">
        <f>AZ38/AZ$75</f>
        <v>5.8798327485316687E-2</v>
      </c>
      <c r="BA39" s="306">
        <f>BA38/BA$75</f>
        <v>5.8355923917873975E-2</v>
      </c>
      <c r="BB39" s="306">
        <f>BB38/BB$75</f>
        <v>6.2062233791961324E-2</v>
      </c>
      <c r="BC39" s="306">
        <f>BC38/BC$75</f>
        <v>6.0446321514367872E-2</v>
      </c>
      <c r="BD39" s="381"/>
      <c r="BE39" s="306">
        <f>BE38/BE$75</f>
        <v>6.2185549748569012E-2</v>
      </c>
      <c r="BF39" s="306">
        <f>BF38/BF$75</f>
        <v>5.8461614576538555E-2</v>
      </c>
      <c r="BG39" s="306">
        <f>BG38/BG$75</f>
        <v>6.4560821909686275E-2</v>
      </c>
      <c r="BH39" s="306">
        <f>BH38/BH$75</f>
        <v>6.8096514745308298E-2</v>
      </c>
      <c r="BI39" s="306">
        <f>BI38/BI$75</f>
        <v>6.3293387103726742E-2</v>
      </c>
      <c r="BJ39" s="381"/>
      <c r="BK39" s="306">
        <f>BK38/BK$75</f>
        <v>6.5349830580540141E-2</v>
      </c>
      <c r="BL39" s="306">
        <f>BL38/BL$75</f>
        <v>5.4439253270700864E-2</v>
      </c>
      <c r="BM39" s="306">
        <f>BM38/BM$75</f>
        <v>5.6878452117064264E-2</v>
      </c>
      <c r="BN39" s="306">
        <f>BN38/BN$75</f>
        <v>5.1381836073904209E-2</v>
      </c>
      <c r="BO39" s="306">
        <f>BO38/BO$75</f>
        <v>5.6777921345217218E-2</v>
      </c>
      <c r="BP39" s="381"/>
      <c r="BQ39" s="306">
        <f>BQ38/BQ$75</f>
        <v>8.4133638788449136E-2</v>
      </c>
      <c r="BR39" s="510">
        <f>BR38/BR$75</f>
        <v>5.7223755581205245E-2</v>
      </c>
      <c r="BS39" s="306">
        <f>BS38/BS$75</f>
        <v>6.7707091723738039E-2</v>
      </c>
      <c r="BT39" s="306">
        <f>BT38/BT$75</f>
        <v>6.7209091875145385E-2</v>
      </c>
      <c r="BU39" s="306">
        <f>BU38/BU$75</f>
        <v>6.8993632256148268E-2</v>
      </c>
      <c r="BV39" s="381"/>
      <c r="BW39" s="306">
        <f>BW38/BW$75</f>
        <v>7.4781173574879053E-2</v>
      </c>
      <c r="BX39" s="306">
        <f>BX38/BX$75</f>
        <v>7.4565299874607555E-2</v>
      </c>
      <c r="BY39" s="306">
        <f>BY38/BY$75</f>
        <v>7.8767122211306301E-2</v>
      </c>
      <c r="BZ39" s="306">
        <f>BZ38/BZ$75</f>
        <v>7.8762113374154702E-2</v>
      </c>
      <c r="CA39" s="306">
        <f>CA38/CA$75</f>
        <v>7.6761714913984674E-2</v>
      </c>
      <c r="CB39" s="381"/>
      <c r="CC39" s="306">
        <f>CC38/CC$75</f>
        <v>7.6607253886985305E-2</v>
      </c>
      <c r="CD39" s="306">
        <f>CD38/CD$75</f>
        <v>7.5076084812818772E-2</v>
      </c>
      <c r="CE39" s="306">
        <f>CE38/CE$75</f>
        <v>7.880788806472816E-2</v>
      </c>
      <c r="CF39" s="306">
        <f>CF38/CF$75</f>
        <v>7.8043229837832323E-2</v>
      </c>
      <c r="CG39" s="306">
        <f>CG38/CG$75</f>
        <v>7.7150532794222224E-2</v>
      </c>
      <c r="CH39" s="511"/>
      <c r="CI39" s="510">
        <f t="shared" ref="CI39:CM39" si="38">CI38/CI$75</f>
        <v>7.5971348229562669E-2</v>
      </c>
      <c r="CJ39" s="510">
        <f t="shared" si="38"/>
        <v>7.4850646766591408E-2</v>
      </c>
      <c r="CK39" s="510">
        <f t="shared" si="38"/>
        <v>7.9195592629658987E-2</v>
      </c>
      <c r="CL39" s="510">
        <f t="shared" si="38"/>
        <v>7.8669526843053394E-2</v>
      </c>
      <c r="CM39" s="510">
        <f t="shared" si="38"/>
        <v>7.7201533216535431E-2</v>
      </c>
      <c r="CN39" s="511"/>
      <c r="CO39" s="510">
        <f t="shared" ref="CO39:CS39" si="39">CO38/CO$75</f>
        <v>7.6166448133601003E-2</v>
      </c>
      <c r="CP39" s="510">
        <f t="shared" si="39"/>
        <v>7.4193178948764787E-2</v>
      </c>
      <c r="CQ39" s="510">
        <f t="shared" si="39"/>
        <v>7.9052341316511954E-2</v>
      </c>
      <c r="CR39" s="510">
        <f t="shared" si="39"/>
        <v>7.7865819911062367E-2</v>
      </c>
      <c r="CS39" s="510">
        <f t="shared" si="39"/>
        <v>7.6829490287883134E-2</v>
      </c>
      <c r="CT39" s="854"/>
      <c r="CU39" s="754"/>
      <c r="CV39"/>
      <c r="CW39"/>
      <c r="CX39"/>
      <c r="CY39"/>
      <c r="CZ39"/>
      <c r="DB39"/>
      <c r="DC39" s="579"/>
      <c r="DD39"/>
      <c r="DE39"/>
      <c r="DF39" s="348"/>
      <c r="DG39" s="51"/>
    </row>
    <row r="40" spans="1:112" ht="12.75" hidden="1" customHeight="1" outlineLevel="1" x14ac:dyDescent="0.2">
      <c r="A40" s="300"/>
      <c r="B40" s="266" t="s">
        <v>339</v>
      </c>
      <c r="C40" s="308"/>
      <c r="D40" s="308"/>
      <c r="E40" s="308"/>
      <c r="F40" s="308"/>
      <c r="G40" s="308"/>
      <c r="H40" s="308"/>
      <c r="I40" s="308"/>
      <c r="J40" s="308"/>
      <c r="K40" s="308"/>
      <c r="L40" s="308"/>
      <c r="M40" s="306"/>
      <c r="N40" s="308"/>
      <c r="O40" s="308"/>
      <c r="P40" s="308"/>
      <c r="Q40" s="308"/>
      <c r="R40" s="308"/>
      <c r="S40" s="306"/>
      <c r="T40" s="308"/>
      <c r="U40" s="308"/>
      <c r="V40" s="308"/>
      <c r="W40" s="308"/>
      <c r="X40" s="308"/>
      <c r="Y40" s="306"/>
      <c r="Z40" s="381"/>
      <c r="AA40" s="306" t="str">
        <f>IF(ISERROR(AA38/U38-1),"NM",AA38/U38-1)</f>
        <v>NM</v>
      </c>
      <c r="AB40" s="306" t="str">
        <f>IF(ISERROR(AB38/V38-1),"NM",AB38/V38-1)</f>
        <v>NM</v>
      </c>
      <c r="AC40" s="306" t="str">
        <f>IF(ISERROR(AC38/W38-1),"NM",AC38/W38-1)</f>
        <v>NM</v>
      </c>
      <c r="AD40" s="306" t="str">
        <f>IF(ISERROR(AD38/X38-1),"NM",AD38/X38-1)</f>
        <v>NM</v>
      </c>
      <c r="AE40" s="306" t="str">
        <f>IF(ISERROR(AE38/Y38-1),"NM",AE38/Y38-1)</f>
        <v>NM</v>
      </c>
      <c r="AF40" s="381"/>
      <c r="AG40" s="306" t="str">
        <f>IF(ISERROR(AG38/AA38-1),"NM",AG38/AA38-1)</f>
        <v>NM</v>
      </c>
      <c r="AH40" s="306" t="str">
        <f>IF(ISERROR(AH38/AB38-1),"NM",AH38/AB38-1)</f>
        <v>NM</v>
      </c>
      <c r="AI40" s="306" t="str">
        <f>IF(ISERROR(AI38/AC38-1),"NM",AI38/AC38-1)</f>
        <v>NM</v>
      </c>
      <c r="AJ40" s="306" t="str">
        <f>IF(ISERROR(AJ38/AD38-1),"NM",AJ38/AD38-1)</f>
        <v>NM</v>
      </c>
      <c r="AK40" s="306" t="str">
        <f>IF(ISERROR(AK38/AE38-1),"NM",AK38/AE38-1)</f>
        <v>NM</v>
      </c>
      <c r="AL40" s="381"/>
      <c r="AM40" s="306" t="str">
        <f>IF(ISERROR(AM38/AG38-1),"NM",AM38/AG38-1)</f>
        <v>NM</v>
      </c>
      <c r="AN40" s="306" t="str">
        <f>IF(ISERROR(AN38/AH38-1),"NM",AN38/AH38-1)</f>
        <v>NM</v>
      </c>
      <c r="AO40" s="306" t="str">
        <f>IF(ISERROR(AO38/AI38-1),"NM",AO38/AI38-1)</f>
        <v>NM</v>
      </c>
      <c r="AP40" s="306" t="str">
        <f>IF(ISERROR(AP38/AJ38-1),"NM",AP38/AJ38-1)</f>
        <v>NM</v>
      </c>
      <c r="AQ40" s="306" t="str">
        <f>IF(ISERROR(AQ38/AK38-1),"NM",AQ38/AK38-1)</f>
        <v>NM</v>
      </c>
      <c r="AR40" s="381"/>
      <c r="AS40" s="306" t="str">
        <f>IF(ISERROR(AS38/AM38-1),"NM",AS38/AM38-1)</f>
        <v>NM</v>
      </c>
      <c r="AT40" s="306" t="str">
        <f>IF(ISERROR(AT38/AN38-1),"NM",AT38/AN38-1)</f>
        <v>NM</v>
      </c>
      <c r="AU40" s="306" t="str">
        <f>IF(ISERROR(AU38/AO38-1),"NM",AU38/AO38-1)</f>
        <v>NM</v>
      </c>
      <c r="AV40" s="306" t="str">
        <f>IF(ISERROR(AV38/AP38-1),"NM",AV38/AP38-1)</f>
        <v>NM</v>
      </c>
      <c r="AW40" s="306" t="str">
        <f>IF(ISERROR(AW38/AQ38-1),"NM",AW38/AQ38-1)</f>
        <v>NM</v>
      </c>
      <c r="AX40" s="381"/>
      <c r="AY40" s="306" t="str">
        <f>IF(ISERROR(AY38/AS38-1),"NM",AY38/AS38-1)</f>
        <v>NM</v>
      </c>
      <c r="AZ40" s="306" t="str">
        <f>IF(ISERROR(AZ38/AT38-1),"NM",AZ38/AT38-1)</f>
        <v>NM</v>
      </c>
      <c r="BA40" s="306">
        <f>IF(ISERROR(BA38/AU38-1),"NM",BA38/AU38-1)</f>
        <v>2.3594499520307006</v>
      </c>
      <c r="BB40" s="306">
        <f>IF(ISERROR(BB38/AV38-1),"NM",BB38/AV38-1)</f>
        <v>8.6784100341233961E-2</v>
      </c>
      <c r="BC40" s="306">
        <f>IF(ISERROR(BC38/AW38-1),"NM",BC38/AW38-1)</f>
        <v>2.128847530422334</v>
      </c>
      <c r="BD40" s="381"/>
      <c r="BE40" s="306">
        <f>IF(ISERROR(BE38/AY38-1),"NM",BE38/AY38-1)</f>
        <v>7.8835428679459252E-2</v>
      </c>
      <c r="BF40" s="306">
        <f>IF(ISERROR(BF38/AZ38-1),"NM",BF38/AZ38-1)</f>
        <v>4.2243128574063871E-2</v>
      </c>
      <c r="BG40" s="306">
        <f>IF(ISERROR(BG38/BA38-1),"NM",BG38/BA38-1)</f>
        <v>0.170871013802951</v>
      </c>
      <c r="BH40" s="306">
        <f>IF(ISERROR(BH38/BB38-1),"NM",BH38/BB38-1)</f>
        <v>7.7732518669382022E-2</v>
      </c>
      <c r="BI40" s="306">
        <f>IF(ISERROR(BI38/BC38-1),"NM",BI38/BC38-1)</f>
        <v>9.1580873941889962E-2</v>
      </c>
      <c r="BJ40" s="381"/>
      <c r="BK40" s="306">
        <f>IF(ISERROR(BK38/BE38-1),"NM",BK38/BE38-1)</f>
        <v>1.6384824323140146E-2</v>
      </c>
      <c r="BL40" s="306">
        <f>IF(ISERROR(BL38/BF38-1),"NM",BL38/BF38-1)</f>
        <v>-5.3097345132743445E-2</v>
      </c>
      <c r="BM40" s="306">
        <f>IF(ISERROR(BM38/BG38-1),"NM",BM38/BG38-1)</f>
        <v>-8.9430894308943243E-2</v>
      </c>
      <c r="BN40" s="306">
        <f>IF(ISERROR(BN38/BH38-1),"NM",BN38/BH38-1)</f>
        <v>-0.18897637795275579</v>
      </c>
      <c r="BO40" s="306">
        <f>IF(ISERROR(BO38/BI38-1),"NM",BO38/BI38-1)</f>
        <v>-8.2011191918345272E-2</v>
      </c>
      <c r="BP40" s="381"/>
      <c r="BQ40" s="306">
        <f>IF(ISERROR(BQ38/BK38-1),"NM",BQ38/BK38-1)</f>
        <v>0.3793103448275863</v>
      </c>
      <c r="BR40" s="510">
        <f>IF(ISERROR(BR38/BL38-1),"NM",BR38/BL38-1)</f>
        <v>3.7383177570093462E-2</v>
      </c>
      <c r="BS40" s="306">
        <f>IF(ISERROR(BS38/BM38-1),"NM",BS38/BM38-1)</f>
        <v>0.14774941188986634</v>
      </c>
      <c r="BT40" s="306">
        <f>IF(ISERROR(BT38/BN38-1),"NM",BT38/BN38-1)</f>
        <v>0.28672834866127506</v>
      </c>
      <c r="BU40" s="306">
        <f>IF(ISERROR(BU38/BO38-1),"NM",BU38/BO38-1)</f>
        <v>0.21479669873008311</v>
      </c>
      <c r="BV40" s="381"/>
      <c r="BW40" s="306">
        <f>IF(ISERROR(BW38/BQ38-1),"NM",BW38/BQ38-1)</f>
        <v>-0.11003552694565855</v>
      </c>
      <c r="BX40" s="306">
        <f>IF(ISERROR(BX38/BR38-1),"NM",BX38/BR38-1)</f>
        <v>0.34224736986915971</v>
      </c>
      <c r="BY40" s="306">
        <f>IF(ISERROR(BY38/BS38-1),"NM",BY38/BS38-1)</f>
        <v>0.21805998048883923</v>
      </c>
      <c r="BZ40" s="306">
        <f>IF(ISERROR(BZ38/BT38-1),"NM",BZ38/BT38-1)</f>
        <v>0.23984827860923597</v>
      </c>
      <c r="CA40" s="306">
        <f>IF(ISERROR(CA38/BU38-1),"NM",CA38/BU38-1)</f>
        <v>0.15073411259709868</v>
      </c>
      <c r="CB40" s="381"/>
      <c r="CC40" s="306">
        <f>IF(ISERROR(CC38/BW38-1),"NM",CC38/BW38-1)</f>
        <v>7.3373796686334147E-2</v>
      </c>
      <c r="CD40" s="306">
        <f>IF(ISERROR(CD38/BX38-1),"NM",CD38/BX38-1)</f>
        <v>6.6535749233102681E-2</v>
      </c>
      <c r="CE40" s="306">
        <f>IF(ISERROR(CE38/BY38-1),"NM",CE38/BY38-1)</f>
        <v>6.0515850300571827E-2</v>
      </c>
      <c r="CF40" s="306">
        <f>IF(ISERROR(CF38/BZ38-1),"NM",CF38/BZ38-1)</f>
        <v>5.4711358918559716E-2</v>
      </c>
      <c r="CG40" s="306">
        <f>IF(ISERROR(CG38/CA38-1),"NM",CG38/CA38-1)</f>
        <v>6.3413201746271186E-2</v>
      </c>
      <c r="CH40" s="511"/>
      <c r="CI40" s="510">
        <f t="shared" ref="CI40:CM40" si="40">IF(ISERROR(CI38/CC38-1),"NM",CI38/CC38-1)</f>
        <v>6.3201206554108769E-2</v>
      </c>
      <c r="CJ40" s="510">
        <f t="shared" si="40"/>
        <v>7.2471208411464483E-2</v>
      </c>
      <c r="CK40" s="510">
        <f t="shared" si="40"/>
        <v>7.5289240796639012E-2</v>
      </c>
      <c r="CL40" s="510">
        <f t="shared" si="40"/>
        <v>7.8512890798052792E-2</v>
      </c>
      <c r="CM40" s="510">
        <f t="shared" si="40"/>
        <v>7.2622010677222848E-2</v>
      </c>
      <c r="CN40" s="511"/>
      <c r="CO40" s="510">
        <f t="shared" ref="CO40:CS40" si="41">IF(ISERROR(CO38/CI38-1),"NM",CO38/CI38-1)</f>
        <v>7.4628372441105872E-2</v>
      </c>
      <c r="CP40" s="510">
        <f t="shared" si="41"/>
        <v>7.0885833297394507E-2</v>
      </c>
      <c r="CQ40" s="510">
        <f t="shared" si="41"/>
        <v>6.7271402533462421E-2</v>
      </c>
      <c r="CR40" s="510">
        <f t="shared" si="41"/>
        <v>6.3772463972244564E-2</v>
      </c>
      <c r="CS40" s="510">
        <f t="shared" si="41"/>
        <v>6.892873524249632E-2</v>
      </c>
      <c r="CT40" s="306"/>
      <c r="CU40" s="51"/>
      <c r="CX40" s="363"/>
      <c r="CZ40" s="579"/>
      <c r="DA40" s="43"/>
      <c r="DB40" s="348"/>
      <c r="DD40" s="405"/>
      <c r="DF40" s="579"/>
      <c r="DG40" s="51"/>
      <c r="DH40" s="405"/>
    </row>
    <row r="41" spans="1:112" ht="12.75" customHeight="1" collapsed="1" x14ac:dyDescent="0.2">
      <c r="A41" s="300"/>
      <c r="B41" s="677" t="s">
        <v>342</v>
      </c>
      <c r="C41" s="306"/>
      <c r="D41" s="306"/>
      <c r="E41" s="306"/>
      <c r="F41" s="306"/>
      <c r="G41" s="306"/>
      <c r="H41" s="184"/>
      <c r="I41" s="306"/>
      <c r="J41" s="306"/>
      <c r="K41" s="306"/>
      <c r="L41" s="306"/>
      <c r="M41" s="306"/>
      <c r="N41" s="184"/>
      <c r="O41" s="306"/>
      <c r="P41" s="306"/>
      <c r="Q41" s="306"/>
      <c r="R41" s="306"/>
      <c r="S41" s="306"/>
      <c r="T41" s="184"/>
      <c r="U41" s="306"/>
      <c r="V41" s="306"/>
      <c r="W41" s="306"/>
      <c r="X41" s="306"/>
      <c r="Y41" s="306"/>
      <c r="Z41" s="184"/>
      <c r="AA41" s="306" t="str">
        <f>IF(ISERROR(AA40-AA$69),"NM",AA40-AA$69)</f>
        <v>NM</v>
      </c>
      <c r="AB41" s="306" t="str">
        <f>IF(ISERROR(AB40-AB$69),"NM",AB40-AB$69)</f>
        <v>NM</v>
      </c>
      <c r="AC41" s="306" t="str">
        <f>IF(ISERROR(AC40-AC$69),"NM",AC40-AC$69)</f>
        <v>NM</v>
      </c>
      <c r="AD41" s="306" t="str">
        <f>IF(ISERROR(AD40-AD$69),"NM",AD40-AD$69)</f>
        <v>NM</v>
      </c>
      <c r="AE41" s="306" t="str">
        <f>IF(ISERROR(AE40-AE$69),"NM",AE40-AE$69)</f>
        <v>NM</v>
      </c>
      <c r="AF41" s="184"/>
      <c r="AG41" s="306" t="str">
        <f>IF(ISERROR(AG40-AG$69),"NM",AG40-AG$69)</f>
        <v>NM</v>
      </c>
      <c r="AH41" s="306" t="str">
        <f>IF(ISERROR(AH40-AH$69),"NM",AH40-AH$69)</f>
        <v>NM</v>
      </c>
      <c r="AI41" s="306" t="str">
        <f>IF(ISERROR(AI40-AI$69),"NM",AI40-AI$69)</f>
        <v>NM</v>
      </c>
      <c r="AJ41" s="306" t="str">
        <f>IF(ISERROR(AJ40-AJ$69),"NM",AJ40-AJ$69)</f>
        <v>NM</v>
      </c>
      <c r="AK41" s="306" t="str">
        <f>IF(ISERROR(AK40-AK$69),"NM",AK40-AK$69)</f>
        <v>NM</v>
      </c>
      <c r="AL41" s="184"/>
      <c r="AM41" s="306" t="str">
        <f>IF(ISERROR(AM40-AM$69),"NM",AM40-AM$69)</f>
        <v>NM</v>
      </c>
      <c r="AN41" s="306" t="str">
        <f>IF(ISERROR(AN40-AN$69),"NM",AN40-AN$69)</f>
        <v>NM</v>
      </c>
      <c r="AO41" s="306" t="str">
        <f>IF(ISERROR(AO40-AO$69),"NM",AO40-AO$69)</f>
        <v>NM</v>
      </c>
      <c r="AP41" s="306" t="str">
        <f>IF(ISERROR(AP40-AP$69),"NM",AP40-AP$69)</f>
        <v>NM</v>
      </c>
      <c r="AQ41" s="306" t="str">
        <f>IF(ISERROR(AQ40-AQ$69),"NM",AQ40-AQ$69)</f>
        <v>NM</v>
      </c>
      <c r="AR41" s="184"/>
      <c r="AS41" s="306" t="str">
        <f>IF(ISERROR(AS40-AS$69),"NM",AS40-AS$69)</f>
        <v>NM</v>
      </c>
      <c r="AT41" s="306" t="str">
        <f>IF(ISERROR(AT40-AT$69),"NM",AT40-AT$69)</f>
        <v>NM</v>
      </c>
      <c r="AU41" s="306" t="str">
        <f>IF(ISERROR(AU40-AU$69),"NM",AU40-AU$69)</f>
        <v>NM</v>
      </c>
      <c r="AV41" s="306" t="str">
        <f>IF(ISERROR(AV40-AV$69),"NM",AV40-AV$69)</f>
        <v>NM</v>
      </c>
      <c r="AW41" s="306" t="str">
        <f>IF(ISERROR(AW40-AW$69),"NM",AW40-AW$69)</f>
        <v>NM</v>
      </c>
      <c r="AX41" s="184"/>
      <c r="AY41" s="306" t="str">
        <f>IF(ISERROR(AY40-AY$69),"NM",AY40-AY$69)</f>
        <v>NM</v>
      </c>
      <c r="AZ41" s="306" t="str">
        <f>IF(ISERROR(AZ40-AZ$69),"NM",AZ40-AZ$69)</f>
        <v>NM</v>
      </c>
      <c r="BA41" s="306">
        <f>IF(ISERROR(BA40-BA$69),"NM",BA40-BA$69)</f>
        <v>2.3594499520307006</v>
      </c>
      <c r="BB41" s="306">
        <f>IF(ISERROR(BB40-BB$69),"NM",BB40-BB$69)</f>
        <v>8.6784100341233961E-2</v>
      </c>
      <c r="BC41" s="306">
        <f>IF(ISERROR(BC40-BC$69),"NM",BC40-BC$69)</f>
        <v>2.128847530422334</v>
      </c>
      <c r="BD41" s="184"/>
      <c r="BE41" s="306">
        <f>IF(ISERROR(BE40-BE$69),"NM",BE40-BE$69)</f>
        <v>7.8835428679459252E-2</v>
      </c>
      <c r="BF41" s="306">
        <f>IF(ISERROR(BF40-BF$69),"NM",BF40-BF$69)</f>
        <v>4.2243128574063871E-2</v>
      </c>
      <c r="BG41" s="306">
        <f>IF(ISERROR(BG40-BG$69),"NM",BG40-BG$69)</f>
        <v>0.170871013802951</v>
      </c>
      <c r="BH41" s="306">
        <f>IF(ISERROR(BH40-BH$69),"NM",BH40-BH$69)</f>
        <v>7.7732518669382022E-2</v>
      </c>
      <c r="BI41" s="306">
        <f>IF(ISERROR(BI40-BI$69),"NM",BI40-BI$69)</f>
        <v>9.1580873941889962E-2</v>
      </c>
      <c r="BJ41" s="184"/>
      <c r="BK41" s="306">
        <f>IF(ISERROR(BK40-BK$69),"NM",BK40-BK$69)</f>
        <v>1.6384824323140146E-2</v>
      </c>
      <c r="BL41" s="306">
        <f>IF(ISERROR(BL40-BL$69),"NM",BL40-BL$69)</f>
        <v>-5.3097345132743445E-2</v>
      </c>
      <c r="BM41" s="306">
        <f>IF(ISERROR(BM40-BM$69),"NM",BM40-BM$69)</f>
        <v>-8.9430894308943243E-2</v>
      </c>
      <c r="BN41" s="306">
        <f>IF(ISERROR(BN40-BN$69),"NM",BN40-BN$69)</f>
        <v>-0.18897637795275579</v>
      </c>
      <c r="BO41" s="306">
        <f>IF(ISERROR(BO40-BO$69),"NM",BO40-BO$69)</f>
        <v>-8.2011191918345272E-2</v>
      </c>
      <c r="BP41" s="184"/>
      <c r="BQ41" s="306">
        <f>IF(ISERROR(BQ40-BQ$69),"NM",BQ40-BQ$69)</f>
        <v>0.3793103448275863</v>
      </c>
      <c r="BR41" s="510">
        <f>IF(ISERROR(BR40-BR$69),"NM",BR40-BR$69)</f>
        <v>3.7383177570093462E-2</v>
      </c>
      <c r="BS41" s="306">
        <f>IF(ISERROR(BS40-BS$69),"NM",BS40-BS$69)</f>
        <v>0.14774941188986634</v>
      </c>
      <c r="BT41" s="306">
        <f>IF(ISERROR(BT40-BT$69),"NM",BT40-BT$69)</f>
        <v>0.28672834866127506</v>
      </c>
      <c r="BU41" s="306">
        <f>IF(ISERROR(BU40-BU$69),"NM",BU40-BU$69)</f>
        <v>0.21479669873008311</v>
      </c>
      <c r="BV41" s="184"/>
      <c r="BW41" s="306">
        <f>IF(ISERROR(BW40-BW$69),"NM",BW40-BW$69)</f>
        <v>-0.11003552694565855</v>
      </c>
      <c r="BX41" s="306">
        <f>IF(ISERROR(BX40-BX$69),"NM",BX40-BX$69)</f>
        <v>0.34224736986915971</v>
      </c>
      <c r="BY41" s="306">
        <f>IF(ISERROR(BY40-BY$69),"NM",BY40-BY$69)</f>
        <v>0.21805998048883923</v>
      </c>
      <c r="BZ41" s="306">
        <f>IF(ISERROR(BZ40-BZ$69),"NM",BZ40-BZ$69)</f>
        <v>0.23984827860923597</v>
      </c>
      <c r="CA41" s="306">
        <f>IF(ISERROR(CA40-CA$69),"NM",CA40-CA$69)</f>
        <v>0.15073411259709868</v>
      </c>
      <c r="CB41" s="184"/>
      <c r="CC41" s="306">
        <f>IF(ISERROR(CC40-CC$69),"NM",CC40-CC$69)</f>
        <v>7.3373796686334147E-2</v>
      </c>
      <c r="CD41" s="306">
        <f>IF(ISERROR(CD40-CD$69),"NM",CD40-CD$69)</f>
        <v>6.6535749233102681E-2</v>
      </c>
      <c r="CE41" s="306">
        <f>IF(ISERROR(CE40-CE$69),"NM",CE40-CE$69)</f>
        <v>6.0515850300571827E-2</v>
      </c>
      <c r="CF41" s="306">
        <f>IF(ISERROR(CF40-CF$69),"NM",CF40-CF$69)</f>
        <v>5.4711358918559716E-2</v>
      </c>
      <c r="CG41" s="306">
        <f>IF(ISERROR(CG40-CG$69),"NM",CG40-CG$69)</f>
        <v>6.3413201746271186E-2</v>
      </c>
      <c r="CH41" s="184"/>
      <c r="CI41" s="510">
        <f t="shared" ref="CI41:CM41" si="42">IF(ISERROR(CI40-CI$69),"NM",CI40-CI$69)</f>
        <v>6.3201206554108769E-2</v>
      </c>
      <c r="CJ41" s="510">
        <f t="shared" si="42"/>
        <v>7.2471208411464483E-2</v>
      </c>
      <c r="CK41" s="510">
        <f t="shared" si="42"/>
        <v>7.5289240796639012E-2</v>
      </c>
      <c r="CL41" s="510">
        <f t="shared" si="42"/>
        <v>7.8512890798052792E-2</v>
      </c>
      <c r="CM41" s="510">
        <f t="shared" si="42"/>
        <v>7.2622010677222848E-2</v>
      </c>
      <c r="CN41" s="184"/>
      <c r="CO41" s="510">
        <f t="shared" ref="CO41:CS41" si="43">IF(ISERROR(CO40-CO$69),"NM",CO40-CO$69)</f>
        <v>7.4628372441105872E-2</v>
      </c>
      <c r="CP41" s="510">
        <f t="shared" si="43"/>
        <v>7.0885833297394507E-2</v>
      </c>
      <c r="CQ41" s="510">
        <f t="shared" si="43"/>
        <v>6.7271402533462421E-2</v>
      </c>
      <c r="CR41" s="510">
        <f t="shared" si="43"/>
        <v>6.3772463972244564E-2</v>
      </c>
      <c r="CS41" s="510">
        <f t="shared" si="43"/>
        <v>6.892873524249632E-2</v>
      </c>
      <c r="CT41" s="313"/>
      <c r="CU41" s="75"/>
      <c r="DA41" s="43"/>
      <c r="DD41" s="728"/>
      <c r="DE41" s="405"/>
      <c r="DG41" s="75"/>
      <c r="DH41" s="729"/>
    </row>
    <row r="42" spans="1:112" s="43" customFormat="1" ht="12.75" customHeight="1" x14ac:dyDescent="0.2">
      <c r="A42" s="300"/>
      <c r="B42" s="304" t="s">
        <v>296</v>
      </c>
      <c r="C42" s="306"/>
      <c r="D42" s="306"/>
      <c r="E42" s="306"/>
      <c r="F42" s="306"/>
      <c r="G42" s="306"/>
      <c r="H42" s="241"/>
      <c r="I42" s="306"/>
      <c r="J42" s="306"/>
      <c r="K42" s="306"/>
      <c r="L42" s="306"/>
      <c r="M42" s="306"/>
      <c r="N42" s="241"/>
      <c r="O42" s="306"/>
      <c r="P42" s="306"/>
      <c r="Q42" s="306"/>
      <c r="R42" s="306"/>
      <c r="S42" s="306"/>
      <c r="T42" s="241"/>
      <c r="U42" s="306"/>
      <c r="V42" s="306"/>
      <c r="W42" s="306"/>
      <c r="X42" s="306"/>
      <c r="Y42" s="306"/>
      <c r="Z42" s="306"/>
      <c r="AA42" s="39"/>
      <c r="AB42" s="39"/>
      <c r="AC42" s="39"/>
      <c r="AD42" s="39"/>
      <c r="AE42" s="39"/>
      <c r="AF42" s="241"/>
      <c r="AG42" s="39"/>
      <c r="AH42" s="39"/>
      <c r="AI42" s="39"/>
      <c r="AJ42" s="39"/>
      <c r="AK42" s="39"/>
      <c r="AL42" s="241"/>
      <c r="AM42" s="39"/>
      <c r="AN42" s="39"/>
      <c r="AO42" s="306"/>
      <c r="AP42" s="39"/>
      <c r="AQ42" s="306"/>
      <c r="AR42" s="241"/>
      <c r="AS42" s="39"/>
      <c r="AT42" s="39"/>
      <c r="AU42" s="306"/>
      <c r="AV42" s="39"/>
      <c r="AW42" s="39"/>
      <c r="AX42" s="241"/>
      <c r="AY42" s="373">
        <v>0</v>
      </c>
      <c r="AZ42" s="373">
        <v>0</v>
      </c>
      <c r="BA42" s="373">
        <v>0</v>
      </c>
      <c r="BB42" s="373">
        <v>0</v>
      </c>
      <c r="BC42" s="373">
        <f>+SUM(AY42:BB42)</f>
        <v>0</v>
      </c>
      <c r="BD42" s="241"/>
      <c r="BE42" s="676">
        <v>0</v>
      </c>
      <c r="BF42" s="716">
        <v>1.9</v>
      </c>
      <c r="BG42" s="707">
        <v>5.2</v>
      </c>
      <c r="BH42" s="707">
        <v>3.5</v>
      </c>
      <c r="BI42" s="39">
        <f>+SUM(BE42:BH42)</f>
        <v>10.6</v>
      </c>
      <c r="BJ42" s="241"/>
      <c r="BK42" s="373">
        <v>2.9</v>
      </c>
      <c r="BL42" s="373">
        <v>3.1</v>
      </c>
      <c r="BM42" s="373">
        <v>3.4</v>
      </c>
      <c r="BN42" s="373">
        <v>2.9</v>
      </c>
      <c r="BO42" s="39">
        <f>+SUM(BK42:BN42)</f>
        <v>12.3</v>
      </c>
      <c r="BP42" s="241"/>
      <c r="BQ42" s="373">
        <v>2.9</v>
      </c>
      <c r="BR42" s="373">
        <v>5</v>
      </c>
      <c r="BS42" s="676">
        <v>5.517060317998685</v>
      </c>
      <c r="BT42" s="676">
        <v>5.9833827682448515</v>
      </c>
      <c r="BU42" s="39">
        <f>+SUM(BQ42:BT42)</f>
        <v>19.400443086243538</v>
      </c>
      <c r="BV42" s="241"/>
      <c r="BW42" s="676">
        <v>8.0905137985151274</v>
      </c>
      <c r="BX42" s="676">
        <v>8.8436013183324018</v>
      </c>
      <c r="BY42" s="676">
        <v>9.6757901090635308</v>
      </c>
      <c r="BZ42" s="676">
        <v>10.570425257437828</v>
      </c>
      <c r="CA42" s="39">
        <f>+SUM(BW42:BZ42)</f>
        <v>37.180330483348889</v>
      </c>
      <c r="CB42" s="241"/>
      <c r="CC42" s="676">
        <v>11.528416855832042</v>
      </c>
      <c r="CD42" s="676">
        <v>12.560846404991052</v>
      </c>
      <c r="CE42" s="676">
        <v>13.598644170096009</v>
      </c>
      <c r="CF42" s="676">
        <v>14.484297909635064</v>
      </c>
      <c r="CG42" s="39">
        <f>+SUM(CC42:CF42)</f>
        <v>52.172205340554171</v>
      </c>
      <c r="CH42" s="241"/>
      <c r="CI42" s="676">
        <v>17.382987368199771</v>
      </c>
      <c r="CJ42" s="676">
        <v>17.899443351799167</v>
      </c>
      <c r="CK42" s="676">
        <v>18.795470221835476</v>
      </c>
      <c r="CL42" s="676">
        <v>19.379923156235115</v>
      </c>
      <c r="CM42" s="39">
        <f t="shared" ref="CM42" si="44">+SUM(CI42:CL42)</f>
        <v>73.457824098069523</v>
      </c>
      <c r="CN42" s="241"/>
      <c r="CO42" s="676">
        <v>22.849771616945574</v>
      </c>
      <c r="CP42" s="676">
        <v>23.796659509273976</v>
      </c>
      <c r="CQ42" s="676">
        <v>23.004148068440536</v>
      </c>
      <c r="CR42" s="676">
        <v>24.49666808402656</v>
      </c>
      <c r="CS42" s="39">
        <f t="shared" ref="CS42" si="45">+SUM(CO42:CR42)</f>
        <v>94.147247278686649</v>
      </c>
      <c r="CT42" s="306"/>
      <c r="CU42"/>
      <c r="CV42"/>
      <c r="CW42"/>
    </row>
    <row r="43" spans="1:112" s="43" customFormat="1" ht="12.75" customHeight="1" x14ac:dyDescent="0.2">
      <c r="A43" s="300"/>
      <c r="B43" s="266" t="s">
        <v>344</v>
      </c>
      <c r="C43" s="308"/>
      <c r="D43" s="308"/>
      <c r="E43" s="308"/>
      <c r="F43" s="308"/>
      <c r="G43" s="308"/>
      <c r="H43" s="308"/>
      <c r="I43" s="308"/>
      <c r="J43" s="308"/>
      <c r="K43" s="308"/>
      <c r="L43" s="308"/>
      <c r="M43" s="306"/>
      <c r="N43" s="308"/>
      <c r="O43" s="308"/>
      <c r="P43" s="308"/>
      <c r="Q43" s="308"/>
      <c r="R43" s="308"/>
      <c r="S43" s="306"/>
      <c r="T43" s="308"/>
      <c r="U43" s="308"/>
      <c r="V43" s="308"/>
      <c r="W43" s="308"/>
      <c r="X43" s="308"/>
      <c r="Y43" s="306"/>
      <c r="Z43" s="381"/>
      <c r="AA43" s="306">
        <f>AA42/AA$75</f>
        <v>0</v>
      </c>
      <c r="AB43" s="306">
        <f>AB42/AB$75</f>
        <v>0</v>
      </c>
      <c r="AC43" s="306">
        <f>AC42/AC$75</f>
        <v>0</v>
      </c>
      <c r="AD43" s="306">
        <f>AD42/AD$75</f>
        <v>0</v>
      </c>
      <c r="AE43" s="306">
        <f>AE42/AE$75</f>
        <v>0</v>
      </c>
      <c r="AF43" s="381"/>
      <c r="AG43" s="306">
        <f>AG42/AG$75</f>
        <v>0</v>
      </c>
      <c r="AH43" s="306">
        <f>AH42/AH$75</f>
        <v>0</v>
      </c>
      <c r="AI43" s="306">
        <f>AI42/AI$75</f>
        <v>0</v>
      </c>
      <c r="AJ43" s="306">
        <f>AJ42/AJ$75</f>
        <v>0</v>
      </c>
      <c r="AK43" s="306">
        <f>AK42/AK$75</f>
        <v>0</v>
      </c>
      <c r="AL43" s="381"/>
      <c r="AM43" s="306">
        <f>AM42/AM$75</f>
        <v>0</v>
      </c>
      <c r="AN43" s="306">
        <f>AN42/AN$75</f>
        <v>0</v>
      </c>
      <c r="AO43" s="306">
        <f>AO42/AO$75</f>
        <v>0</v>
      </c>
      <c r="AP43" s="306">
        <f>AP42/AP$75</f>
        <v>0</v>
      </c>
      <c r="AQ43" s="306">
        <f>AQ42/AQ$75</f>
        <v>0</v>
      </c>
      <c r="AR43" s="381"/>
      <c r="AS43" s="306">
        <f>AS42/AS$75</f>
        <v>0</v>
      </c>
      <c r="AT43" s="306">
        <f>AT42/AT$75</f>
        <v>0</v>
      </c>
      <c r="AU43" s="306">
        <f>AU42/AU$75</f>
        <v>0</v>
      </c>
      <c r="AV43" s="306">
        <f>AV42/AV$75</f>
        <v>0</v>
      </c>
      <c r="AW43" s="306">
        <f>AW42/AW$75</f>
        <v>0</v>
      </c>
      <c r="AX43" s="381"/>
      <c r="AY43" s="306">
        <f>AY42/AY$75</f>
        <v>0</v>
      </c>
      <c r="AZ43" s="306">
        <f>AZ42/AZ$75</f>
        <v>0</v>
      </c>
      <c r="BA43" s="306">
        <f>BA42/BA$75</f>
        <v>0</v>
      </c>
      <c r="BB43" s="306">
        <f>BB42/BB$75</f>
        <v>0</v>
      </c>
      <c r="BC43" s="306">
        <f>BC42/BC$75</f>
        <v>0</v>
      </c>
      <c r="BD43" s="381"/>
      <c r="BE43" s="306">
        <f>BE42/BE$75</f>
        <v>0</v>
      </c>
      <c r="BF43" s="306">
        <f>BF42/BF$75</f>
        <v>9.8298289995949768E-3</v>
      </c>
      <c r="BG43" s="306">
        <f>BG42/BG$75</f>
        <v>2.7294006010599076E-2</v>
      </c>
      <c r="BH43" s="306">
        <f>BH42/BH$75</f>
        <v>1.876675603217158E-2</v>
      </c>
      <c r="BI43" s="306">
        <f>BI42/BI$75</f>
        <v>1.4061364896349071E-2</v>
      </c>
      <c r="BJ43" s="381"/>
      <c r="BK43" s="306">
        <f>BK42/BK$75</f>
        <v>1.6337457645135035E-2</v>
      </c>
      <c r="BL43" s="306">
        <f>BL42/BL$75</f>
        <v>1.577212010646474E-2</v>
      </c>
      <c r="BM43" s="306">
        <f>BM42/BM$75</f>
        <v>1.7266672964108797E-2</v>
      </c>
      <c r="BN43" s="306">
        <f>BN42/BN$75</f>
        <v>1.4466730545079826E-2</v>
      </c>
      <c r="BO43" s="306">
        <f>BO42/BO$75</f>
        <v>1.5944484761328124E-2</v>
      </c>
      <c r="BP43" s="381"/>
      <c r="BQ43" s="306">
        <f>BQ42/BQ$75</f>
        <v>1.5249222030406406E-2</v>
      </c>
      <c r="BR43" s="510">
        <f>BR42/BR$75</f>
        <v>2.5776466478020382E-2</v>
      </c>
      <c r="BS43" s="306">
        <f>BS42/BS$75</f>
        <v>2.9058740735073217E-2</v>
      </c>
      <c r="BT43" s="306">
        <f>BT42/BT$75</f>
        <v>3.0342455220729578E-2</v>
      </c>
      <c r="BU43" s="306">
        <f>BU42/BU$75</f>
        <v>2.5156078708062468E-2</v>
      </c>
      <c r="BV43" s="381"/>
      <c r="BW43" s="306">
        <f>BW42/BW$75</f>
        <v>4.2488923364006802E-2</v>
      </c>
      <c r="BX43" s="306">
        <f>BX42/BX$75</f>
        <v>4.4259895490551475E-2</v>
      </c>
      <c r="BY43" s="306">
        <f>BY42/BY$75</f>
        <v>4.8674067645880982E-2</v>
      </c>
      <c r="BZ43" s="306">
        <f>BZ42/BZ$75</f>
        <v>5.066606583689813E-2</v>
      </c>
      <c r="CA43" s="306">
        <f>CA42/CA$75</f>
        <v>4.661280233462986E-2</v>
      </c>
      <c r="CB43" s="381"/>
      <c r="CC43" s="306">
        <f>CC42/CC$75</f>
        <v>5.7782446318213276E-2</v>
      </c>
      <c r="CD43" s="306">
        <f>CD42/CD$75</f>
        <v>5.934574193735425E-2</v>
      </c>
      <c r="CE43" s="306">
        <f>CE42/CE$75</f>
        <v>6.4537830060423559E-2</v>
      </c>
      <c r="CF43" s="306">
        <f>CF42/CF$75</f>
        <v>6.5223848803042314E-2</v>
      </c>
      <c r="CG43" s="306">
        <f>CG42/CG$75</f>
        <v>6.1819199324104755E-2</v>
      </c>
      <c r="CH43" s="511"/>
      <c r="CI43" s="510">
        <f t="shared" ref="CI43:CM43" si="46">CI42/CI$75</f>
        <v>8.1267171727320744E-2</v>
      </c>
      <c r="CJ43" s="510">
        <f t="shared" si="46"/>
        <v>7.8617364902989054E-2</v>
      </c>
      <c r="CK43" s="510">
        <f t="shared" si="46"/>
        <v>8.336388925593545E-2</v>
      </c>
      <c r="CL43" s="510">
        <f t="shared" si="46"/>
        <v>8.1565591106817589E-2</v>
      </c>
      <c r="CM43" s="510">
        <f t="shared" si="46"/>
        <v>8.1201215841451888E-2</v>
      </c>
      <c r="CN43" s="511"/>
      <c r="CO43" s="510">
        <f t="shared" ref="CO43:CS43" si="47">CO42/CO$75</f>
        <v>9.9661670399695881E-2</v>
      </c>
      <c r="CP43" s="510">
        <f t="shared" si="47"/>
        <v>9.6743145392331073E-2</v>
      </c>
      <c r="CQ43" s="510">
        <f t="shared" si="47"/>
        <v>9.5426672061907872E-2</v>
      </c>
      <c r="CR43" s="510">
        <f t="shared" si="47"/>
        <v>9.5929798787633969E-2</v>
      </c>
      <c r="CS43" s="510">
        <f t="shared" si="47"/>
        <v>9.6891431646933507E-2</v>
      </c>
      <c r="CT43" s="306"/>
      <c r="CU43"/>
      <c r="CV43"/>
      <c r="CW43"/>
    </row>
    <row r="44" spans="1:112" ht="12.75" hidden="1" customHeight="1" outlineLevel="1" x14ac:dyDescent="0.2">
      <c r="A44" s="300"/>
      <c r="B44" s="266" t="s">
        <v>339</v>
      </c>
      <c r="C44" s="308"/>
      <c r="D44" s="308"/>
      <c r="E44" s="308"/>
      <c r="F44" s="308"/>
      <c r="G44" s="308"/>
      <c r="H44" s="308"/>
      <c r="I44" s="308"/>
      <c r="J44" s="308"/>
      <c r="K44" s="308"/>
      <c r="L44" s="308"/>
      <c r="M44" s="306"/>
      <c r="N44" s="308"/>
      <c r="O44" s="308"/>
      <c r="P44" s="308"/>
      <c r="Q44" s="308"/>
      <c r="R44" s="308"/>
      <c r="S44" s="306"/>
      <c r="T44" s="308"/>
      <c r="U44" s="308"/>
      <c r="V44" s="308"/>
      <c r="W44" s="308"/>
      <c r="X44" s="308"/>
      <c r="Y44" s="306"/>
      <c r="Z44" s="381"/>
      <c r="AA44" s="306" t="str">
        <f>IF(ISERROR(AA42/U42-1),"NM",AA42/U42-1)</f>
        <v>NM</v>
      </c>
      <c r="AB44" s="306" t="str">
        <f>IF(ISERROR(AB42/V42-1),"NM",AB42/V42-1)</f>
        <v>NM</v>
      </c>
      <c r="AC44" s="306" t="str">
        <f>IF(ISERROR(AC42/W42-1),"NM",AC42/W42-1)</f>
        <v>NM</v>
      </c>
      <c r="AD44" s="306" t="str">
        <f>IF(ISERROR(AD42/X42-1),"NM",AD42/X42-1)</f>
        <v>NM</v>
      </c>
      <c r="AE44" s="306" t="str">
        <f>IF(ISERROR(AE42/Y42-1),"NM",AE42/Y42-1)</f>
        <v>NM</v>
      </c>
      <c r="AF44" s="381"/>
      <c r="AG44" s="306" t="str">
        <f>IF(ISERROR(AG42/AA42-1),"NM",AG42/AA42-1)</f>
        <v>NM</v>
      </c>
      <c r="AH44" s="306" t="str">
        <f>IF(ISERROR(AH42/AB42-1),"NM",AH42/AB42-1)</f>
        <v>NM</v>
      </c>
      <c r="AI44" s="306" t="str">
        <f>IF(ISERROR(AI42/AC42-1),"NM",AI42/AC42-1)</f>
        <v>NM</v>
      </c>
      <c r="AJ44" s="306" t="str">
        <f>IF(ISERROR(AJ42/AD42-1),"NM",AJ42/AD42-1)</f>
        <v>NM</v>
      </c>
      <c r="AK44" s="306" t="str">
        <f>IF(ISERROR(AK42/AE42-1),"NM",AK42/AE42-1)</f>
        <v>NM</v>
      </c>
      <c r="AL44" s="381"/>
      <c r="AM44" s="306" t="str">
        <f>IF(ISERROR(AM42/AG42-1),"NM",AM42/AG42-1)</f>
        <v>NM</v>
      </c>
      <c r="AN44" s="306" t="str">
        <f>IF(ISERROR(AN42/AH42-1),"NM",AN42/AH42-1)</f>
        <v>NM</v>
      </c>
      <c r="AO44" s="306" t="str">
        <f>IF(ISERROR(AO42/AI42-1),"NM",AO42/AI42-1)</f>
        <v>NM</v>
      </c>
      <c r="AP44" s="306" t="str">
        <f>IF(ISERROR(AP42/AJ42-1),"NM",AP42/AJ42-1)</f>
        <v>NM</v>
      </c>
      <c r="AQ44" s="306" t="str">
        <f>IF(ISERROR(AQ42/AK42-1),"NM",AQ42/AK42-1)</f>
        <v>NM</v>
      </c>
      <c r="AR44" s="381"/>
      <c r="AS44" s="306" t="str">
        <f>IF(ISERROR(AS42/AM42-1),"NM",AS42/AM42-1)</f>
        <v>NM</v>
      </c>
      <c r="AT44" s="306" t="str">
        <f>IF(ISERROR(AT42/AN42-1),"NM",AT42/AN42-1)</f>
        <v>NM</v>
      </c>
      <c r="AU44" s="306" t="str">
        <f>IF(ISERROR(AU42/AO42-1),"NM",AU42/AO42-1)</f>
        <v>NM</v>
      </c>
      <c r="AV44" s="306" t="str">
        <f>IF(ISERROR(AV42/AP42-1),"NM",AV42/AP42-1)</f>
        <v>NM</v>
      </c>
      <c r="AW44" s="306" t="str">
        <f>IF(ISERROR(AW42/AQ42-1),"NM",AW42/AQ42-1)</f>
        <v>NM</v>
      </c>
      <c r="AX44" s="381"/>
      <c r="AY44" s="306" t="str">
        <f>IF(ISERROR(AY42/AS42-1),"NM",AY42/AS42-1)</f>
        <v>NM</v>
      </c>
      <c r="AZ44" s="306" t="str">
        <f>IF(ISERROR(AZ42/AT42-1),"NM",AZ42/AT42-1)</f>
        <v>NM</v>
      </c>
      <c r="BA44" s="306" t="str">
        <f>IF(ISERROR(BA42/AU42-1),"NM",BA42/AU42-1)</f>
        <v>NM</v>
      </c>
      <c r="BB44" s="306" t="str">
        <f>IF(ISERROR(BB42/AV42-1),"NM",BB42/AV42-1)</f>
        <v>NM</v>
      </c>
      <c r="BC44" s="306" t="str">
        <f>IF(ISERROR(BC42/AW42-1),"NM",BC42/AW42-1)</f>
        <v>NM</v>
      </c>
      <c r="BD44" s="381"/>
      <c r="BE44" s="306" t="str">
        <f>IF(ISERROR(BE42/AY42-1),"NM",BE42/AY42-1)</f>
        <v>NM</v>
      </c>
      <c r="BF44" s="306" t="str">
        <f>IF(ISERROR(BF42/AZ42-1),"NM",BF42/AZ42-1)</f>
        <v>NM</v>
      </c>
      <c r="BG44" s="306" t="str">
        <f>IF(ISERROR(BG42/BA42-1),"NM",BG42/BA42-1)</f>
        <v>NM</v>
      </c>
      <c r="BH44" s="306" t="str">
        <f>IF(ISERROR(BH42/BB42-1),"NM",BH42/BB42-1)</f>
        <v>NM</v>
      </c>
      <c r="BI44" s="306" t="str">
        <f>IF(ISERROR(BI42/BC42-1),"NM",BI42/BC42-1)</f>
        <v>NM</v>
      </c>
      <c r="BJ44" s="381"/>
      <c r="BK44" s="306" t="str">
        <f>IF(ISERROR(BK42/BE42-1),"NM",BK42/BE42-1)</f>
        <v>NM</v>
      </c>
      <c r="BL44" s="306">
        <f>IF(ISERROR(BL42/BF42-1),"NM",BL42/BF42-1)</f>
        <v>0.63157894736842124</v>
      </c>
      <c r="BM44" s="306">
        <f>IF(ISERROR(BM42/BG42-1),"NM",BM42/BG42-1)</f>
        <v>-0.34615384615384615</v>
      </c>
      <c r="BN44" s="306">
        <f>IF(ISERROR(BN42/BH42-1),"NM",BN42/BH42-1)</f>
        <v>-0.17142857142857149</v>
      </c>
      <c r="BO44" s="306">
        <f>IF(ISERROR(BO42/BI42-1),"NM",BO42/BI42-1)</f>
        <v>0.16037735849056611</v>
      </c>
      <c r="BP44" s="381"/>
      <c r="BQ44" s="306">
        <f>IF(ISERROR(BQ42/BK42-1),"NM",BQ42/BK42-1)</f>
        <v>0</v>
      </c>
      <c r="BR44" s="510">
        <f>IF(ISERROR(BR42/BL42-1),"NM",BR42/BL42-1)</f>
        <v>0.61290322580645151</v>
      </c>
      <c r="BS44" s="306">
        <f>IF(ISERROR(BS42/BM42-1),"NM",BS42/BM42-1)</f>
        <v>0.62266479941137809</v>
      </c>
      <c r="BT44" s="306">
        <f>IF(ISERROR(BT42/BN42-1),"NM",BT42/BN42-1)</f>
        <v>1.0632354373258108</v>
      </c>
      <c r="BU44" s="306">
        <f>IF(ISERROR(BU42/BO42-1),"NM",BU42/BO42-1)</f>
        <v>0.57727179562955588</v>
      </c>
      <c r="BV44" s="381"/>
      <c r="BW44" s="306">
        <f>IF(ISERROR(BW42/BQ42-1),"NM",BW42/BQ42-1)</f>
        <v>1.7898323443155615</v>
      </c>
      <c r="BX44" s="306">
        <f>IF(ISERROR(BX42/BR42-1),"NM",BX42/BR42-1)</f>
        <v>0.76872026366648027</v>
      </c>
      <c r="BY44" s="306">
        <f>IF(ISERROR(BY42/BS42-1),"NM",BY42/BS42-1)</f>
        <v>0.75379451217843951</v>
      </c>
      <c r="BZ44" s="306">
        <f>IF(ISERROR(BZ42/BT42-1),"NM",BZ42/BT42-1)</f>
        <v>0.76663029374243541</v>
      </c>
      <c r="CA44" s="306">
        <f>IF(ISERROR(CA42/BU42-1),"NM",CA42/BU42-1)</f>
        <v>0.91646810941718693</v>
      </c>
      <c r="CB44" s="381"/>
      <c r="CC44" s="306">
        <f>IF(ISERROR(CC42/BW42-1),"NM",CC42/BW42-1)</f>
        <v>0.42493012717534473</v>
      </c>
      <c r="CD44" s="306">
        <f>IF(ISERROR(CD42/BX42-1),"NM",CD42/BX42-1)</f>
        <v>0.42033159940769416</v>
      </c>
      <c r="CE44" s="306">
        <f>IF(ISERROR(CE42/BY42-1),"NM",CE42/BY42-1)</f>
        <v>0.40542984260870352</v>
      </c>
      <c r="CF44" s="306">
        <f>IF(ISERROR(CF42/BZ42-1),"NM",CF42/BZ42-1)</f>
        <v>0.37026633809678167</v>
      </c>
      <c r="CG44" s="306">
        <f>IF(ISERROR(CG42/CA42-1),"NM",CG42/CA42-1)</f>
        <v>0.40322059170289926</v>
      </c>
      <c r="CH44" s="511"/>
      <c r="CI44" s="510">
        <f t="shared" ref="CI44:CM44" si="48">IF(ISERROR(CI42/CC42-1),"NM",CI42/CC42-1)</f>
        <v>0.50783820411611824</v>
      </c>
      <c r="CJ44" s="510">
        <f t="shared" si="48"/>
        <v>0.42501888604312721</v>
      </c>
      <c r="CK44" s="510">
        <f t="shared" si="48"/>
        <v>0.3821576612150428</v>
      </c>
      <c r="CL44" s="510">
        <f t="shared" si="48"/>
        <v>0.33799534345005733</v>
      </c>
      <c r="CM44" s="510">
        <f t="shared" si="48"/>
        <v>0.40798771335375683</v>
      </c>
      <c r="CN44" s="511"/>
      <c r="CO44" s="510">
        <f t="shared" ref="CO44:CS44" si="49">IF(ISERROR(CO42/CI42-1),"NM",CO42/CI42-1)</f>
        <v>0.3144904919361946</v>
      </c>
      <c r="CP44" s="510">
        <f t="shared" si="49"/>
        <v>0.32946366216925105</v>
      </c>
      <c r="CQ44" s="510">
        <f t="shared" si="49"/>
        <v>0.22391979540451534</v>
      </c>
      <c r="CR44" s="510">
        <f t="shared" si="49"/>
        <v>0.26402297297784849</v>
      </c>
      <c r="CS44" s="510">
        <f t="shared" si="49"/>
        <v>0.28165036787634512</v>
      </c>
      <c r="CT44" s="306"/>
    </row>
    <row r="45" spans="1:112" ht="12.75" customHeight="1" collapsed="1" x14ac:dyDescent="0.2">
      <c r="A45" s="300"/>
      <c r="B45" s="677" t="s">
        <v>342</v>
      </c>
      <c r="C45" s="306"/>
      <c r="D45" s="306"/>
      <c r="E45" s="306"/>
      <c r="F45" s="306"/>
      <c r="G45" s="306"/>
      <c r="H45" s="184"/>
      <c r="I45" s="306"/>
      <c r="J45" s="306"/>
      <c r="K45" s="306"/>
      <c r="L45" s="306"/>
      <c r="M45" s="306"/>
      <c r="N45" s="184"/>
      <c r="O45" s="306"/>
      <c r="P45" s="306"/>
      <c r="Q45" s="306"/>
      <c r="R45" s="306"/>
      <c r="S45" s="306"/>
      <c r="T45" s="184"/>
      <c r="U45" s="306"/>
      <c r="V45" s="306"/>
      <c r="W45" s="306"/>
      <c r="X45" s="306"/>
      <c r="Y45" s="306"/>
      <c r="Z45" s="184"/>
      <c r="AA45" s="306" t="str">
        <f>IF(ISERROR(AA44-AA$69),"NM",AA44-AA$69)</f>
        <v>NM</v>
      </c>
      <c r="AB45" s="306" t="str">
        <f>IF(ISERROR(AB44-AB$69),"NM",AB44-AB$69)</f>
        <v>NM</v>
      </c>
      <c r="AC45" s="306" t="str">
        <f>IF(ISERROR(AC44-AC$69),"NM",AC44-AC$69)</f>
        <v>NM</v>
      </c>
      <c r="AD45" s="306" t="str">
        <f>IF(ISERROR(AD44-AD$69),"NM",AD44-AD$69)</f>
        <v>NM</v>
      </c>
      <c r="AE45" s="306" t="str">
        <f>IF(ISERROR(AE44-AE$69),"NM",AE44-AE$69)</f>
        <v>NM</v>
      </c>
      <c r="AF45" s="184"/>
      <c r="AG45" s="306" t="str">
        <f>IF(ISERROR(AG44-AG$69),"NM",AG44-AG$69)</f>
        <v>NM</v>
      </c>
      <c r="AH45" s="306" t="str">
        <f>IF(ISERROR(AH44-AH$69),"NM",AH44-AH$69)</f>
        <v>NM</v>
      </c>
      <c r="AI45" s="306" t="str">
        <f>IF(ISERROR(AI44-AI$69),"NM",AI44-AI$69)</f>
        <v>NM</v>
      </c>
      <c r="AJ45" s="306" t="str">
        <f>IF(ISERROR(AJ44-AJ$69),"NM",AJ44-AJ$69)</f>
        <v>NM</v>
      </c>
      <c r="AK45" s="306" t="str">
        <f>IF(ISERROR(AK44-AK$69),"NM",AK44-AK$69)</f>
        <v>NM</v>
      </c>
      <c r="AL45" s="184"/>
      <c r="AM45" s="306" t="str">
        <f>IF(ISERROR(AM44-AM$69),"NM",AM44-AM$69)</f>
        <v>NM</v>
      </c>
      <c r="AN45" s="306" t="str">
        <f>IF(ISERROR(AN44-AN$69),"NM",AN44-AN$69)</f>
        <v>NM</v>
      </c>
      <c r="AO45" s="306" t="str">
        <f>IF(ISERROR(AO44-AO$69),"NM",AO44-AO$69)</f>
        <v>NM</v>
      </c>
      <c r="AP45" s="306" t="str">
        <f>IF(ISERROR(AP44-AP$69),"NM",AP44-AP$69)</f>
        <v>NM</v>
      </c>
      <c r="AQ45" s="306" t="str">
        <f>IF(ISERROR(AQ44-AQ$69),"NM",AQ44-AQ$69)</f>
        <v>NM</v>
      </c>
      <c r="AR45" s="184"/>
      <c r="AS45" s="306" t="str">
        <f>IF(ISERROR(AS44-AS$69),"NM",AS44-AS$69)</f>
        <v>NM</v>
      </c>
      <c r="AT45" s="306" t="str">
        <f>IF(ISERROR(AT44-AT$69),"NM",AT44-AT$69)</f>
        <v>NM</v>
      </c>
      <c r="AU45" s="306" t="str">
        <f>IF(ISERROR(AU44-AU$69),"NM",AU44-AU$69)</f>
        <v>NM</v>
      </c>
      <c r="AV45" s="306" t="str">
        <f>IF(ISERROR(AV44-AV$69),"NM",AV44-AV$69)</f>
        <v>NM</v>
      </c>
      <c r="AW45" s="306" t="str">
        <f>IF(ISERROR(AW44-AW$69),"NM",AW44-AW$69)</f>
        <v>NM</v>
      </c>
      <c r="AX45" s="184"/>
      <c r="AY45" s="306" t="str">
        <f>IF(ISERROR(AY44-AY$69),"NM",AY44-AY$69)</f>
        <v>NM</v>
      </c>
      <c r="AZ45" s="306" t="str">
        <f>IF(ISERROR(AZ44-AZ$69),"NM",AZ44-AZ$69)</f>
        <v>NM</v>
      </c>
      <c r="BA45" s="306" t="str">
        <f>IF(ISERROR(BA44-BA$69),"NM",BA44-BA$69)</f>
        <v>NM</v>
      </c>
      <c r="BB45" s="306" t="str">
        <f>IF(ISERROR(BB44-BB$69),"NM",BB44-BB$69)</f>
        <v>NM</v>
      </c>
      <c r="BC45" s="306" t="str">
        <f>IF(ISERROR(BC44-BC$69),"NM",BC44-BC$69)</f>
        <v>NM</v>
      </c>
      <c r="BD45" s="184"/>
      <c r="BE45" s="306" t="str">
        <f>IF(ISERROR(BE44-BE$69),"NM",BE44-BE$69)</f>
        <v>NM</v>
      </c>
      <c r="BF45" s="306" t="str">
        <f>IF(ISERROR(BF44-BF$69),"NM",BF44-BF$69)</f>
        <v>NM</v>
      </c>
      <c r="BG45" s="306" t="str">
        <f>IF(ISERROR(BG44-BG$69),"NM",BG44-BG$69)</f>
        <v>NM</v>
      </c>
      <c r="BH45" s="306" t="str">
        <f>IF(ISERROR(BH44-BH$69),"NM",BH44-BH$69)</f>
        <v>NM</v>
      </c>
      <c r="BI45" s="306" t="str">
        <f>IF(ISERROR(BI44-BI$69),"NM",BI44-BI$69)</f>
        <v>NM</v>
      </c>
      <c r="BJ45" s="184"/>
      <c r="BK45" s="306" t="str">
        <f>IF(ISERROR(BK44-BK$69),"NM",BK44-BK$69)</f>
        <v>NM</v>
      </c>
      <c r="BL45" s="306">
        <f>IF(ISERROR(BL44-BL$69),"NM",BL44-BL$69)</f>
        <v>0.63157894736842124</v>
      </c>
      <c r="BM45" s="306">
        <f>IF(ISERROR(BM44-BM$69),"NM",BM44-BM$69)</f>
        <v>-0.34615384615384615</v>
      </c>
      <c r="BN45" s="306">
        <f>IF(ISERROR(BN44-BN$69),"NM",BN44-BN$69)</f>
        <v>-0.17142857142857149</v>
      </c>
      <c r="BO45" s="306">
        <f>IF(ISERROR(BO44-BO$69),"NM",BO44-BO$69)</f>
        <v>0.16037735849056611</v>
      </c>
      <c r="BP45" s="184"/>
      <c r="BQ45" s="306">
        <f>IF(ISERROR(BQ44-BQ$69),"NM",BQ44-BQ$69)</f>
        <v>0</v>
      </c>
      <c r="BR45" s="510">
        <f>IF(ISERROR(BR44-BR$69),"NM",BR44-BR$69)</f>
        <v>0.61290322580645151</v>
      </c>
      <c r="BS45" s="306">
        <f>IF(ISERROR(BS44-BS$69),"NM",BS44-BS$69)</f>
        <v>0.62266479941137809</v>
      </c>
      <c r="BT45" s="306">
        <f>IF(ISERROR(BT44-BT$69),"NM",BT44-BT$69)</f>
        <v>1.0632354373258108</v>
      </c>
      <c r="BU45" s="306">
        <f>IF(ISERROR(BU44-BU$69),"NM",BU44-BU$69)</f>
        <v>0.57727179562955588</v>
      </c>
      <c r="BV45" s="184"/>
      <c r="BW45" s="306">
        <f>IF(ISERROR(BW44-BW$69),"NM",BW44-BW$69)</f>
        <v>1.7898323443155615</v>
      </c>
      <c r="BX45" s="306">
        <f>IF(ISERROR(BX44-BX$69),"NM",BX44-BX$69)</f>
        <v>0.76872026366648027</v>
      </c>
      <c r="BY45" s="306">
        <f>IF(ISERROR(BY44-BY$69),"NM",BY44-BY$69)</f>
        <v>0.75379451217843951</v>
      </c>
      <c r="BZ45" s="306">
        <f>IF(ISERROR(BZ44-BZ$69),"NM",BZ44-BZ$69)</f>
        <v>0.76663029374243541</v>
      </c>
      <c r="CA45" s="306">
        <f>IF(ISERROR(CA44-CA$69),"NM",CA44-CA$69)</f>
        <v>0.91646810941718693</v>
      </c>
      <c r="CB45" s="184"/>
      <c r="CC45" s="306">
        <f>IF(ISERROR(CC44-CC$69),"NM",CC44-CC$69)</f>
        <v>0.42493012717534473</v>
      </c>
      <c r="CD45" s="306">
        <f>IF(ISERROR(CD44-CD$69),"NM",CD44-CD$69)</f>
        <v>0.42033159940769416</v>
      </c>
      <c r="CE45" s="306">
        <f>IF(ISERROR(CE44-CE$69),"NM",CE44-CE$69)</f>
        <v>0.40542984260870352</v>
      </c>
      <c r="CF45" s="306">
        <f>IF(ISERROR(CF44-CF$69),"NM",CF44-CF$69)</f>
        <v>0.37026633809678167</v>
      </c>
      <c r="CG45" s="306">
        <f>IF(ISERROR(CG44-CG$69),"NM",CG44-CG$69)</f>
        <v>0.40322059170289926</v>
      </c>
      <c r="CH45" s="184"/>
      <c r="CI45" s="510">
        <f t="shared" ref="CI45:CM45" si="50">IF(ISERROR(CI44-CI$69),"NM",CI44-CI$69)</f>
        <v>0.50783820411611824</v>
      </c>
      <c r="CJ45" s="510">
        <f t="shared" si="50"/>
        <v>0.42501888604312721</v>
      </c>
      <c r="CK45" s="510">
        <f t="shared" si="50"/>
        <v>0.3821576612150428</v>
      </c>
      <c r="CL45" s="510">
        <f t="shared" si="50"/>
        <v>0.33799534345005733</v>
      </c>
      <c r="CM45" s="510">
        <f t="shared" si="50"/>
        <v>0.40798771335375683</v>
      </c>
      <c r="CN45" s="184"/>
      <c r="CO45" s="510">
        <f t="shared" ref="CO45:CS45" si="51">IF(ISERROR(CO44-CO$69),"NM",CO44-CO$69)</f>
        <v>0.3144904919361946</v>
      </c>
      <c r="CP45" s="510">
        <f t="shared" si="51"/>
        <v>0.32946366216925105</v>
      </c>
      <c r="CQ45" s="510">
        <f t="shared" si="51"/>
        <v>0.22391979540451534</v>
      </c>
      <c r="CR45" s="510">
        <f t="shared" si="51"/>
        <v>0.26402297297784849</v>
      </c>
      <c r="CS45" s="510">
        <f t="shared" si="51"/>
        <v>0.28165036787634512</v>
      </c>
      <c r="CT45" s="313"/>
    </row>
    <row r="46" spans="1:112" s="43" customFormat="1" ht="12.75" customHeight="1" x14ac:dyDescent="0.2">
      <c r="A46" s="300"/>
      <c r="B46" s="304" t="s">
        <v>302</v>
      </c>
      <c r="C46" s="306"/>
      <c r="D46" s="306"/>
      <c r="E46" s="306"/>
      <c r="F46" s="306"/>
      <c r="G46" s="306"/>
      <c r="H46" s="241"/>
      <c r="I46" s="306"/>
      <c r="J46" s="306"/>
      <c r="K46" s="306"/>
      <c r="L46" s="306"/>
      <c r="M46" s="306"/>
      <c r="N46" s="241"/>
      <c r="O46" s="306"/>
      <c r="P46" s="306"/>
      <c r="Q46" s="306"/>
      <c r="R46" s="306"/>
      <c r="S46" s="306"/>
      <c r="T46" s="241"/>
      <c r="U46" s="306"/>
      <c r="V46" s="306"/>
      <c r="W46" s="306"/>
      <c r="X46" s="306"/>
      <c r="Y46" s="306"/>
      <c r="Z46" s="306"/>
      <c r="AA46" s="39"/>
      <c r="AB46" s="39"/>
      <c r="AC46" s="39"/>
      <c r="AD46" s="39"/>
      <c r="AE46" s="39"/>
      <c r="AF46" s="241"/>
      <c r="AG46" s="39"/>
      <c r="AH46" s="39"/>
      <c r="AI46" s="39"/>
      <c r="AJ46" s="39"/>
      <c r="AK46" s="39"/>
      <c r="AL46" s="241"/>
      <c r="AM46" s="39"/>
      <c r="AN46" s="39"/>
      <c r="AO46" s="306"/>
      <c r="AP46" s="39"/>
      <c r="AQ46" s="306"/>
      <c r="AR46" s="241"/>
      <c r="AS46" s="39"/>
      <c r="AT46" s="39"/>
      <c r="AU46" s="306"/>
      <c r="AV46" s="39"/>
      <c r="AW46" s="39"/>
      <c r="AX46" s="241"/>
      <c r="AY46" s="306"/>
      <c r="AZ46" s="39"/>
      <c r="BA46" s="39"/>
      <c r="BB46" s="39"/>
      <c r="BC46" s="39"/>
      <c r="BD46" s="241"/>
      <c r="BE46" s="707">
        <v>0</v>
      </c>
      <c r="BF46" s="707">
        <v>0</v>
      </c>
      <c r="BG46" s="707">
        <v>0</v>
      </c>
      <c r="BH46" s="707">
        <v>0</v>
      </c>
      <c r="BI46" s="39">
        <f>+SUM(BE46:BH46)</f>
        <v>0</v>
      </c>
      <c r="BJ46" s="241"/>
      <c r="BK46" s="707">
        <v>0</v>
      </c>
      <c r="BL46" s="707">
        <v>0</v>
      </c>
      <c r="BM46" s="707">
        <v>0</v>
      </c>
      <c r="BN46" s="707">
        <v>0</v>
      </c>
      <c r="BO46" s="39">
        <f>+SUM(BK46:BN46)</f>
        <v>0</v>
      </c>
      <c r="BP46" s="241"/>
      <c r="BQ46" s="707">
        <v>0</v>
      </c>
      <c r="BR46" s="707">
        <v>0</v>
      </c>
      <c r="BS46" s="676">
        <v>0</v>
      </c>
      <c r="BT46" s="676">
        <v>0</v>
      </c>
      <c r="BU46" s="39">
        <f>+SUM(BQ46:BT46)</f>
        <v>0</v>
      </c>
      <c r="BV46" s="241"/>
      <c r="BW46" s="676">
        <v>1.1306773629758247</v>
      </c>
      <c r="BX46" s="676">
        <v>1.4628138383499729</v>
      </c>
      <c r="BY46" s="676">
        <v>1.5140123226922217</v>
      </c>
      <c r="BZ46" s="676">
        <v>1.8804033047837392</v>
      </c>
      <c r="CA46" s="39">
        <f>+SUM(BW46:BZ46)</f>
        <v>5.9879068288017585</v>
      </c>
      <c r="CB46" s="241"/>
      <c r="CC46" s="676">
        <v>1.9462174204511697</v>
      </c>
      <c r="CD46" s="676">
        <v>2.5179187877087008</v>
      </c>
      <c r="CE46" s="676">
        <v>2.6060459452785052</v>
      </c>
      <c r="CF46" s="676">
        <v>3.2367090640359031</v>
      </c>
      <c r="CG46" s="39">
        <f>+SUM(CC46:CF46)</f>
        <v>10.306891217474279</v>
      </c>
      <c r="CH46" s="241"/>
      <c r="CI46" s="676">
        <v>2.9777723389130308</v>
      </c>
      <c r="CJ46" s="676">
        <v>3.852492963468733</v>
      </c>
      <c r="CK46" s="676">
        <v>3.9873302171901384</v>
      </c>
      <c r="CL46" s="676">
        <v>4.9522641297501524</v>
      </c>
      <c r="CM46" s="39">
        <f t="shared" ref="CM46" si="52">+SUM(CI46:CL46)</f>
        <v>15.769859649322054</v>
      </c>
      <c r="CN46" s="241"/>
      <c r="CO46" s="676">
        <v>4.2</v>
      </c>
      <c r="CP46" s="676">
        <v>5.25</v>
      </c>
      <c r="CQ46" s="676">
        <v>5.25</v>
      </c>
      <c r="CR46" s="676">
        <v>6.3</v>
      </c>
      <c r="CS46" s="39">
        <f t="shared" ref="CS46" si="53">+SUM(CO46:CR46)</f>
        <v>21</v>
      </c>
      <c r="CT46" s="306"/>
      <c r="CU46"/>
      <c r="CV46"/>
      <c r="CW46"/>
    </row>
    <row r="47" spans="1:112" s="43" customFormat="1" ht="12.75" customHeight="1" x14ac:dyDescent="0.2">
      <c r="A47" s="300"/>
      <c r="B47" s="266" t="s">
        <v>344</v>
      </c>
      <c r="C47" s="308"/>
      <c r="D47" s="308"/>
      <c r="E47" s="308"/>
      <c r="F47" s="308"/>
      <c r="G47" s="308"/>
      <c r="H47" s="308"/>
      <c r="I47" s="308"/>
      <c r="J47" s="308"/>
      <c r="K47" s="308"/>
      <c r="L47" s="308"/>
      <c r="M47" s="306"/>
      <c r="N47" s="308"/>
      <c r="O47" s="308"/>
      <c r="P47" s="308"/>
      <c r="Q47" s="308"/>
      <c r="R47" s="308"/>
      <c r="S47" s="306"/>
      <c r="T47" s="308"/>
      <c r="U47" s="308"/>
      <c r="V47" s="308"/>
      <c r="W47" s="308"/>
      <c r="X47" s="308"/>
      <c r="Y47" s="306"/>
      <c r="Z47" s="381"/>
      <c r="AA47" s="306">
        <f>AA46/AA$75</f>
        <v>0</v>
      </c>
      <c r="AB47" s="306">
        <f>AB46/AB$75</f>
        <v>0</v>
      </c>
      <c r="AC47" s="306">
        <f>AC46/AC$75</f>
        <v>0</v>
      </c>
      <c r="AD47" s="306">
        <f>AD46/AD$75</f>
        <v>0</v>
      </c>
      <c r="AE47" s="306">
        <f>AE46/AE$75</f>
        <v>0</v>
      </c>
      <c r="AF47" s="381"/>
      <c r="AG47" s="306">
        <f>AG46/AG$75</f>
        <v>0</v>
      </c>
      <c r="AH47" s="306">
        <f>AH46/AH$75</f>
        <v>0</v>
      </c>
      <c r="AI47" s="306">
        <f>AI46/AI$75</f>
        <v>0</v>
      </c>
      <c r="AJ47" s="306">
        <f>AJ46/AJ$75</f>
        <v>0</v>
      </c>
      <c r="AK47" s="306">
        <f>AK46/AK$75</f>
        <v>0</v>
      </c>
      <c r="AL47" s="381"/>
      <c r="AM47" s="306">
        <f>AM46/AM$75</f>
        <v>0</v>
      </c>
      <c r="AN47" s="306">
        <f>AN46/AN$75</f>
        <v>0</v>
      </c>
      <c r="AO47" s="306">
        <f>AO46/AO$75</f>
        <v>0</v>
      </c>
      <c r="AP47" s="306">
        <f>AP46/AP$75</f>
        <v>0</v>
      </c>
      <c r="AQ47" s="306">
        <f>AQ46/AQ$75</f>
        <v>0</v>
      </c>
      <c r="AR47" s="381"/>
      <c r="AS47" s="306">
        <f>AS46/AS$75</f>
        <v>0</v>
      </c>
      <c r="AT47" s="306">
        <f>AT46/AT$75</f>
        <v>0</v>
      </c>
      <c r="AU47" s="306">
        <f>AU46/AU$75</f>
        <v>0</v>
      </c>
      <c r="AV47" s="306">
        <f>AV46/AV$75</f>
        <v>0</v>
      </c>
      <c r="AW47" s="306">
        <f>AW46/AW$75</f>
        <v>0</v>
      </c>
      <c r="AX47" s="381"/>
      <c r="AY47" s="306">
        <f>AY46/AY$75</f>
        <v>0</v>
      </c>
      <c r="AZ47" s="306">
        <f>AZ46/AZ$75</f>
        <v>0</v>
      </c>
      <c r="BA47" s="306">
        <f>BA46/BA$75</f>
        <v>0</v>
      </c>
      <c r="BB47" s="306">
        <f>BB46/BB$75</f>
        <v>0</v>
      </c>
      <c r="BC47" s="306">
        <f>BC46/BC$75</f>
        <v>0</v>
      </c>
      <c r="BD47" s="381"/>
      <c r="BE47" s="306">
        <f>BE46/BE$75</f>
        <v>0</v>
      </c>
      <c r="BF47" s="306">
        <f>BF46/BF$75</f>
        <v>0</v>
      </c>
      <c r="BG47" s="306">
        <f>BG46/BG$75</f>
        <v>0</v>
      </c>
      <c r="BH47" s="306">
        <f>BH46/BH$75</f>
        <v>0</v>
      </c>
      <c r="BI47" s="306">
        <f>BI46/BI$75</f>
        <v>0</v>
      </c>
      <c r="BJ47" s="381"/>
      <c r="BK47" s="306">
        <f>BK46/BK$75</f>
        <v>0</v>
      </c>
      <c r="BL47" s="306">
        <f>BL46/BL$75</f>
        <v>0</v>
      </c>
      <c r="BM47" s="306">
        <f>BM46/BM$75</f>
        <v>0</v>
      </c>
      <c r="BN47" s="306">
        <f>BN46/BN$75</f>
        <v>0</v>
      </c>
      <c r="BO47" s="306">
        <f>BO46/BO$75</f>
        <v>0</v>
      </c>
      <c r="BP47" s="381"/>
      <c r="BQ47" s="306">
        <f>BQ46/BQ$75</f>
        <v>0</v>
      </c>
      <c r="BR47" s="510">
        <f>BR46/BR$75</f>
        <v>0</v>
      </c>
      <c r="BS47" s="306">
        <f>BS46/BS$75</f>
        <v>0</v>
      </c>
      <c r="BT47" s="306">
        <f>BT46/BT$75</f>
        <v>0</v>
      </c>
      <c r="BU47" s="306">
        <f>BU46/BU$75</f>
        <v>0</v>
      </c>
      <c r="BV47" s="381"/>
      <c r="BW47" s="306">
        <f>BW46/BW$75</f>
        <v>5.9379744007993975E-3</v>
      </c>
      <c r="BX47" s="306">
        <f>BX46/BX$75</f>
        <v>7.3209980048841395E-3</v>
      </c>
      <c r="BY47" s="306">
        <f>BY46/BY$75</f>
        <v>7.6162398502617962E-3</v>
      </c>
      <c r="BZ47" s="306">
        <f>BZ46/BZ$75</f>
        <v>9.0131319525726394E-3</v>
      </c>
      <c r="CA47" s="306">
        <f>CA46/CA$75</f>
        <v>7.5070101255317444E-3</v>
      </c>
      <c r="CB47" s="381"/>
      <c r="CC47" s="306">
        <f>CC46/CC$75</f>
        <v>9.754782900993117E-3</v>
      </c>
      <c r="CD47" s="306">
        <f>CD46/CD$75</f>
        <v>1.1896312857961651E-2</v>
      </c>
      <c r="CE47" s="306">
        <f>CE46/CE$75</f>
        <v>1.2368038183975263E-2</v>
      </c>
      <c r="CF47" s="306">
        <f>CF46/CF$75</f>
        <v>1.4575136739743663E-2</v>
      </c>
      <c r="CG47" s="306">
        <f>CG46/CG$75</f>
        <v>1.2212705183264144E-2</v>
      </c>
      <c r="CH47" s="511"/>
      <c r="CI47" s="510">
        <f t="shared" ref="CI47:CM47" si="54">CI46/CI$75</f>
        <v>1.3921377891237144E-2</v>
      </c>
      <c r="CJ47" s="510">
        <f t="shared" si="54"/>
        <v>1.6920796872980728E-2</v>
      </c>
      <c r="CK47" s="510">
        <f t="shared" si="54"/>
        <v>1.7685077879377641E-2</v>
      </c>
      <c r="CL47" s="510">
        <f t="shared" si="54"/>
        <v>2.0842928416370046E-2</v>
      </c>
      <c r="CM47" s="510">
        <f t="shared" si="54"/>
        <v>1.7432204028592448E-2</v>
      </c>
      <c r="CN47" s="511"/>
      <c r="CO47" s="510">
        <f t="shared" ref="CO47:CS47" si="55">CO46/CO$75</f>
        <v>1.831873957848669E-2</v>
      </c>
      <c r="CP47" s="510">
        <f t="shared" si="55"/>
        <v>2.1343395408578252E-2</v>
      </c>
      <c r="CQ47" s="510">
        <f t="shared" si="55"/>
        <v>2.1778247420182716E-2</v>
      </c>
      <c r="CR47" s="510">
        <f t="shared" si="55"/>
        <v>2.467101771918831E-2</v>
      </c>
      <c r="CS47" s="510">
        <f t="shared" si="55"/>
        <v>2.1612103629143814E-2</v>
      </c>
      <c r="CT47" s="306"/>
      <c r="CU47"/>
      <c r="CV47"/>
      <c r="CW47"/>
    </row>
    <row r="48" spans="1:112" ht="12.75" hidden="1" customHeight="1" outlineLevel="1" x14ac:dyDescent="0.2">
      <c r="A48" s="300"/>
      <c r="B48" s="266" t="s">
        <v>339</v>
      </c>
      <c r="C48" s="308"/>
      <c r="D48" s="308"/>
      <c r="E48" s="308"/>
      <c r="F48" s="308"/>
      <c r="G48" s="308"/>
      <c r="H48" s="308"/>
      <c r="I48" s="308"/>
      <c r="J48" s="308"/>
      <c r="K48" s="308"/>
      <c r="L48" s="308"/>
      <c r="M48" s="306"/>
      <c r="N48" s="308"/>
      <c r="O48" s="308"/>
      <c r="P48" s="308"/>
      <c r="Q48" s="308"/>
      <c r="R48" s="308"/>
      <c r="S48" s="306"/>
      <c r="T48" s="308"/>
      <c r="U48" s="308"/>
      <c r="V48" s="308"/>
      <c r="W48" s="308"/>
      <c r="X48" s="308"/>
      <c r="Y48" s="306"/>
      <c r="Z48" s="381"/>
      <c r="AA48" s="306" t="str">
        <f>IF(ISERROR(AA46/U46-1),"NM",AA46/U46-1)</f>
        <v>NM</v>
      </c>
      <c r="AB48" s="306" t="str">
        <f>IF(ISERROR(AB46/V46-1),"NM",AB46/V46-1)</f>
        <v>NM</v>
      </c>
      <c r="AC48" s="306" t="str">
        <f>IF(ISERROR(AC46/W46-1),"NM",AC46/W46-1)</f>
        <v>NM</v>
      </c>
      <c r="AD48" s="306" t="str">
        <f>IF(ISERROR(AD46/X46-1),"NM",AD46/X46-1)</f>
        <v>NM</v>
      </c>
      <c r="AE48" s="306" t="str">
        <f>IF(ISERROR(AE46/Y46-1),"NM",AE46/Y46-1)</f>
        <v>NM</v>
      </c>
      <c r="AF48" s="381"/>
      <c r="AG48" s="306" t="str">
        <f>IF(ISERROR(AG46/AA46-1),"NM",AG46/AA46-1)</f>
        <v>NM</v>
      </c>
      <c r="AH48" s="306" t="str">
        <f>IF(ISERROR(AH46/AB46-1),"NM",AH46/AB46-1)</f>
        <v>NM</v>
      </c>
      <c r="AI48" s="306" t="str">
        <f>IF(ISERROR(AI46/AC46-1),"NM",AI46/AC46-1)</f>
        <v>NM</v>
      </c>
      <c r="AJ48" s="306" t="str">
        <f>IF(ISERROR(AJ46/AD46-1),"NM",AJ46/AD46-1)</f>
        <v>NM</v>
      </c>
      <c r="AK48" s="306" t="str">
        <f>IF(ISERROR(AK46/AE46-1),"NM",AK46/AE46-1)</f>
        <v>NM</v>
      </c>
      <c r="AL48" s="381"/>
      <c r="AM48" s="306" t="str">
        <f>IF(ISERROR(AM46/AG46-1),"NM",AM46/AG46-1)</f>
        <v>NM</v>
      </c>
      <c r="AN48" s="306" t="str">
        <f>IF(ISERROR(AN46/AH46-1),"NM",AN46/AH46-1)</f>
        <v>NM</v>
      </c>
      <c r="AO48" s="306" t="str">
        <f>IF(ISERROR(AO46/AI46-1),"NM",AO46/AI46-1)</f>
        <v>NM</v>
      </c>
      <c r="AP48" s="306" t="str">
        <f>IF(ISERROR(AP46/AJ46-1),"NM",AP46/AJ46-1)</f>
        <v>NM</v>
      </c>
      <c r="AQ48" s="306" t="str">
        <f>IF(ISERROR(AQ46/AK46-1),"NM",AQ46/AK46-1)</f>
        <v>NM</v>
      </c>
      <c r="AR48" s="381"/>
      <c r="AS48" s="306" t="str">
        <f>IF(ISERROR(AS46/AM46-1),"NM",AS46/AM46-1)</f>
        <v>NM</v>
      </c>
      <c r="AT48" s="306" t="str">
        <f>IF(ISERROR(AT46/AN46-1),"NM",AT46/AN46-1)</f>
        <v>NM</v>
      </c>
      <c r="AU48" s="306" t="str">
        <f>IF(ISERROR(AU46/AO46-1),"NM",AU46/AO46-1)</f>
        <v>NM</v>
      </c>
      <c r="AV48" s="306" t="str">
        <f>IF(ISERROR(AV46/AP46-1),"NM",AV46/AP46-1)</f>
        <v>NM</v>
      </c>
      <c r="AW48" s="306" t="str">
        <f>IF(ISERROR(AW46/AQ46-1),"NM",AW46/AQ46-1)</f>
        <v>NM</v>
      </c>
      <c r="AX48" s="381"/>
      <c r="AY48" s="306" t="str">
        <f>IF(ISERROR(AY46/AS46-1),"NM",AY46/AS46-1)</f>
        <v>NM</v>
      </c>
      <c r="AZ48" s="306" t="str">
        <f>IF(ISERROR(AZ46/AT46-1),"NM",AZ46/AT46-1)</f>
        <v>NM</v>
      </c>
      <c r="BA48" s="306" t="str">
        <f>IF(ISERROR(BA46/AU46-1),"NM",BA46/AU46-1)</f>
        <v>NM</v>
      </c>
      <c r="BB48" s="306" t="str">
        <f>IF(ISERROR(BB46/AV46-1),"NM",BB46/AV46-1)</f>
        <v>NM</v>
      </c>
      <c r="BC48" s="306" t="str">
        <f>IF(ISERROR(BC46/AW46-1),"NM",BC46/AW46-1)</f>
        <v>NM</v>
      </c>
      <c r="BD48" s="381"/>
      <c r="BE48" s="306" t="str">
        <f>IF(ISERROR(BE46/AY46-1),"NM",BE46/AY46-1)</f>
        <v>NM</v>
      </c>
      <c r="BF48" s="306" t="str">
        <f>IF(ISERROR(BF46/AZ46-1),"NM",BF46/AZ46-1)</f>
        <v>NM</v>
      </c>
      <c r="BG48" s="306" t="str">
        <f>IF(ISERROR(BG46/BA46-1),"NM",BG46/BA46-1)</f>
        <v>NM</v>
      </c>
      <c r="BH48" s="306" t="str">
        <f>IF(ISERROR(BH46/BB46-1),"NM",BH46/BB46-1)</f>
        <v>NM</v>
      </c>
      <c r="BI48" s="306" t="str">
        <f>IF(ISERROR(BI46/BC46-1),"NM",BI46/BC46-1)</f>
        <v>NM</v>
      </c>
      <c r="BJ48" s="381"/>
      <c r="BK48" s="306" t="str">
        <f>IF(ISERROR(BK46/BE46-1),"NM",BK46/BE46-1)</f>
        <v>NM</v>
      </c>
      <c r="BL48" s="306" t="str">
        <f>IF(ISERROR(BL46/BF46-1),"NM",BL46/BF46-1)</f>
        <v>NM</v>
      </c>
      <c r="BM48" s="306" t="str">
        <f>IF(ISERROR(BM46/BG46-1),"NM",BM46/BG46-1)</f>
        <v>NM</v>
      </c>
      <c r="BN48" s="306" t="str">
        <f>IF(ISERROR(BN46/BH46-1),"NM",BN46/BH46-1)</f>
        <v>NM</v>
      </c>
      <c r="BO48" s="306" t="str">
        <f>IF(ISERROR(BO46/BI46-1),"NM",BO46/BI46-1)</f>
        <v>NM</v>
      </c>
      <c r="BP48" s="381"/>
      <c r="BQ48" s="306" t="str">
        <f>IF(ISERROR(BQ46/BK46-1),"NM",BQ46/BK46-1)</f>
        <v>NM</v>
      </c>
      <c r="BR48" s="510" t="str">
        <f>IF(ISERROR(BR46/BL46-1),"NM",BR46/BL46-1)</f>
        <v>NM</v>
      </c>
      <c r="BS48" s="306" t="str">
        <f>IF(ISERROR(BS46/BM46-1),"NM",BS46/BM46-1)</f>
        <v>NM</v>
      </c>
      <c r="BT48" s="306" t="str">
        <f>IF(ISERROR(BT46/BN46-1),"NM",BT46/BN46-1)</f>
        <v>NM</v>
      </c>
      <c r="BU48" s="306" t="str">
        <f>IF(ISERROR(BU46/BO46-1),"NM",BU46/BO46-1)</f>
        <v>NM</v>
      </c>
      <c r="BV48" s="381"/>
      <c r="BW48" s="306" t="str">
        <f>IF(ISERROR(BW46/BQ46-1),"NM",BW46/BQ46-1)</f>
        <v>NM</v>
      </c>
      <c r="BX48" s="306" t="str">
        <f>IF(ISERROR(BX46/BR46-1),"NM",BX46/BR46-1)</f>
        <v>NM</v>
      </c>
      <c r="BY48" s="306" t="str">
        <f>IF(ISERROR(BY46/BS46-1),"NM",BY46/BS46-1)</f>
        <v>NM</v>
      </c>
      <c r="BZ48" s="306" t="str">
        <f>IF(ISERROR(BZ46/BT46-1),"NM",BZ46/BT46-1)</f>
        <v>NM</v>
      </c>
      <c r="CA48" s="306" t="str">
        <f>IF(ISERROR(CA46/BU46-1),"NM",CA46/BU46-1)</f>
        <v>NM</v>
      </c>
      <c r="CB48" s="381"/>
      <c r="CC48" s="306">
        <f>IF(ISERROR(CC46/BW46-1),"NM",CC46/BW46-1)</f>
        <v>0.72128450093749907</v>
      </c>
      <c r="CD48" s="306">
        <f>IF(ISERROR(CD46/BX46-1),"NM",CD46/BX46-1)</f>
        <v>0.7212845009374993</v>
      </c>
      <c r="CE48" s="306">
        <f>IF(ISERROR(CE46/BY46-1),"NM",CE46/BY46-1)</f>
        <v>0.7212845009374993</v>
      </c>
      <c r="CF48" s="306">
        <f>IF(ISERROR(CF46/BZ46-1),"NM",CF46/BZ46-1)</f>
        <v>0.7212845009374993</v>
      </c>
      <c r="CG48" s="306">
        <f>IF(ISERROR(CG46/CA46-1),"NM",CG46/CA46-1)</f>
        <v>0.7212845009374993</v>
      </c>
      <c r="CH48" s="511"/>
      <c r="CI48" s="510">
        <f t="shared" ref="CI48:CM48" si="56">IF(ISERROR(CI46/CC46-1),"NM",CI46/CC46-1)</f>
        <v>0.53003066749999972</v>
      </c>
      <c r="CJ48" s="510">
        <f t="shared" si="56"/>
        <v>0.5300306674999995</v>
      </c>
      <c r="CK48" s="510">
        <f t="shared" si="56"/>
        <v>0.5300306674999995</v>
      </c>
      <c r="CL48" s="510">
        <f t="shared" si="56"/>
        <v>0.53003066749999972</v>
      </c>
      <c r="CM48" s="510">
        <f t="shared" si="56"/>
        <v>0.5300306674999995</v>
      </c>
      <c r="CN48" s="511"/>
      <c r="CO48" s="510">
        <f t="shared" ref="CO48:CS48" si="57">IF(ISERROR(CO46/CI46-1),"NM",CO46/CI46-1)</f>
        <v>0.41045033735961023</v>
      </c>
      <c r="CP48" s="510">
        <f t="shared" si="57"/>
        <v>0.36275394913972026</v>
      </c>
      <c r="CQ48" s="510">
        <f t="shared" si="57"/>
        <v>0.31667048226059946</v>
      </c>
      <c r="CR48" s="510">
        <f t="shared" si="57"/>
        <v>0.27214539348850164</v>
      </c>
      <c r="CS48" s="510">
        <f t="shared" si="57"/>
        <v>0.33165421043571497</v>
      </c>
      <c r="CT48" s="306"/>
    </row>
    <row r="49" spans="1:104" ht="12.75" customHeight="1" collapsed="1" x14ac:dyDescent="0.2">
      <c r="A49" s="300"/>
      <c r="B49" s="677" t="s">
        <v>342</v>
      </c>
      <c r="C49" s="306"/>
      <c r="D49" s="306"/>
      <c r="E49" s="306"/>
      <c r="F49" s="306"/>
      <c r="G49" s="306"/>
      <c r="H49" s="184"/>
      <c r="I49" s="306"/>
      <c r="J49" s="306"/>
      <c r="K49" s="306"/>
      <c r="L49" s="306"/>
      <c r="M49" s="306"/>
      <c r="N49" s="184"/>
      <c r="O49" s="306"/>
      <c r="P49" s="306"/>
      <c r="Q49" s="306"/>
      <c r="R49" s="306"/>
      <c r="S49" s="306"/>
      <c r="T49" s="184"/>
      <c r="U49" s="306"/>
      <c r="V49" s="306"/>
      <c r="W49" s="306"/>
      <c r="X49" s="306"/>
      <c r="Y49" s="306"/>
      <c r="Z49" s="184"/>
      <c r="AA49" s="306" t="str">
        <f>IF(ISERROR(AA48-AA$69),"NM",AA48-AA$69)</f>
        <v>NM</v>
      </c>
      <c r="AB49" s="306" t="str">
        <f>IF(ISERROR(AB48-AB$69),"NM",AB48-AB$69)</f>
        <v>NM</v>
      </c>
      <c r="AC49" s="306" t="str">
        <f>IF(ISERROR(AC48-AC$69),"NM",AC48-AC$69)</f>
        <v>NM</v>
      </c>
      <c r="AD49" s="306" t="str">
        <f>IF(ISERROR(AD48-AD$69),"NM",AD48-AD$69)</f>
        <v>NM</v>
      </c>
      <c r="AE49" s="306" t="str">
        <f>IF(ISERROR(AE48-AE$69),"NM",AE48-AE$69)</f>
        <v>NM</v>
      </c>
      <c r="AF49" s="184"/>
      <c r="AG49" s="306" t="str">
        <f>IF(ISERROR(AG48-AG$69),"NM",AG48-AG$69)</f>
        <v>NM</v>
      </c>
      <c r="AH49" s="306" t="str">
        <f>IF(ISERROR(AH48-AH$69),"NM",AH48-AH$69)</f>
        <v>NM</v>
      </c>
      <c r="AI49" s="306" t="str">
        <f>IF(ISERROR(AI48-AI$69),"NM",AI48-AI$69)</f>
        <v>NM</v>
      </c>
      <c r="AJ49" s="306" t="str">
        <f>IF(ISERROR(AJ48-AJ$69),"NM",AJ48-AJ$69)</f>
        <v>NM</v>
      </c>
      <c r="AK49" s="306" t="str">
        <f>IF(ISERROR(AK48-AK$69),"NM",AK48-AK$69)</f>
        <v>NM</v>
      </c>
      <c r="AL49" s="184"/>
      <c r="AM49" s="306" t="str">
        <f>IF(ISERROR(AM48-AM$69),"NM",AM48-AM$69)</f>
        <v>NM</v>
      </c>
      <c r="AN49" s="306" t="str">
        <f>IF(ISERROR(AN48-AN$69),"NM",AN48-AN$69)</f>
        <v>NM</v>
      </c>
      <c r="AO49" s="306" t="str">
        <f>IF(ISERROR(AO48-AO$69),"NM",AO48-AO$69)</f>
        <v>NM</v>
      </c>
      <c r="AP49" s="306" t="str">
        <f>IF(ISERROR(AP48-AP$69),"NM",AP48-AP$69)</f>
        <v>NM</v>
      </c>
      <c r="AQ49" s="306" t="str">
        <f>IF(ISERROR(AQ48-AQ$69),"NM",AQ48-AQ$69)</f>
        <v>NM</v>
      </c>
      <c r="AR49" s="184"/>
      <c r="AS49" s="306" t="str">
        <f>IF(ISERROR(AS48-AS$69),"NM",AS48-AS$69)</f>
        <v>NM</v>
      </c>
      <c r="AT49" s="306" t="str">
        <f>IF(ISERROR(AT48-AT$69),"NM",AT48-AT$69)</f>
        <v>NM</v>
      </c>
      <c r="AU49" s="306" t="str">
        <f>IF(ISERROR(AU48-AU$69),"NM",AU48-AU$69)</f>
        <v>NM</v>
      </c>
      <c r="AV49" s="306" t="str">
        <f>IF(ISERROR(AV48-AV$69),"NM",AV48-AV$69)</f>
        <v>NM</v>
      </c>
      <c r="AW49" s="306" t="str">
        <f>IF(ISERROR(AW48-AW$69),"NM",AW48-AW$69)</f>
        <v>NM</v>
      </c>
      <c r="AX49" s="184"/>
      <c r="AY49" s="306" t="str">
        <f>IF(ISERROR(AY48-AY$69),"NM",AY48-AY$69)</f>
        <v>NM</v>
      </c>
      <c r="AZ49" s="306" t="str">
        <f>IF(ISERROR(AZ48-AZ$69),"NM",AZ48-AZ$69)</f>
        <v>NM</v>
      </c>
      <c r="BA49" s="306" t="str">
        <f>IF(ISERROR(BA48-BA$69),"NM",BA48-BA$69)</f>
        <v>NM</v>
      </c>
      <c r="BB49" s="306" t="str">
        <f>IF(ISERROR(BB48-BB$69),"NM",BB48-BB$69)</f>
        <v>NM</v>
      </c>
      <c r="BC49" s="306" t="str">
        <f>IF(ISERROR(BC48-BC$69),"NM",BC48-BC$69)</f>
        <v>NM</v>
      </c>
      <c r="BD49" s="184"/>
      <c r="BE49" s="306" t="str">
        <f>IF(ISERROR(BE48-BE$69),"NM",BE48-BE$69)</f>
        <v>NM</v>
      </c>
      <c r="BF49" s="306" t="str">
        <f>IF(ISERROR(BF48-BF$69),"NM",BF48-BF$69)</f>
        <v>NM</v>
      </c>
      <c r="BG49" s="306" t="str">
        <f>IF(ISERROR(BG48-BG$69),"NM",BG48-BG$69)</f>
        <v>NM</v>
      </c>
      <c r="BH49" s="306" t="str">
        <f>IF(ISERROR(BH48-BH$69),"NM",BH48-BH$69)</f>
        <v>NM</v>
      </c>
      <c r="BI49" s="306" t="str">
        <f>IF(ISERROR(BI48-BI$69),"NM",BI48-BI$69)</f>
        <v>NM</v>
      </c>
      <c r="BJ49" s="184"/>
      <c r="BK49" s="306" t="str">
        <f>IF(ISERROR(BK48-BK$69),"NM",BK48-BK$69)</f>
        <v>NM</v>
      </c>
      <c r="BL49" s="306" t="str">
        <f>IF(ISERROR(BL48-BL$69),"NM",BL48-BL$69)</f>
        <v>NM</v>
      </c>
      <c r="BM49" s="306" t="str">
        <f>IF(ISERROR(BM48-BM$69),"NM",BM48-BM$69)</f>
        <v>NM</v>
      </c>
      <c r="BN49" s="306" t="str">
        <f>IF(ISERROR(BN48-BN$69),"NM",BN48-BN$69)</f>
        <v>NM</v>
      </c>
      <c r="BO49" s="306" t="str">
        <f>IF(ISERROR(BO48-BO$69),"NM",BO48-BO$69)</f>
        <v>NM</v>
      </c>
      <c r="BP49" s="184"/>
      <c r="BQ49" s="306" t="str">
        <f>IF(ISERROR(BQ48-BQ$69),"NM",BQ48-BQ$69)</f>
        <v>NM</v>
      </c>
      <c r="BR49" s="510" t="str">
        <f>IF(ISERROR(BR48-BR$69),"NM",BR48-BR$69)</f>
        <v>NM</v>
      </c>
      <c r="BS49" s="306" t="str">
        <f>IF(ISERROR(BS48-BS$69),"NM",BS48-BS$69)</f>
        <v>NM</v>
      </c>
      <c r="BT49" s="306" t="str">
        <f>IF(ISERROR(BT48-BT$69),"NM",BT48-BT$69)</f>
        <v>NM</v>
      </c>
      <c r="BU49" s="306" t="str">
        <f>IF(ISERROR(BU48-BU$69),"NM",BU48-BU$69)</f>
        <v>NM</v>
      </c>
      <c r="BV49" s="184"/>
      <c r="BW49" s="306" t="str">
        <f>IF(ISERROR(BW48-BW$69),"NM",BW48-BW$69)</f>
        <v>NM</v>
      </c>
      <c r="BX49" s="306" t="str">
        <f>IF(ISERROR(BX48-BX$69),"NM",BX48-BX$69)</f>
        <v>NM</v>
      </c>
      <c r="BY49" s="306" t="str">
        <f>IF(ISERROR(BY48-BY$69),"NM",BY48-BY$69)</f>
        <v>NM</v>
      </c>
      <c r="BZ49" s="306" t="str">
        <f>IF(ISERROR(BZ48-BZ$69),"NM",BZ48-BZ$69)</f>
        <v>NM</v>
      </c>
      <c r="CA49" s="306" t="str">
        <f>IF(ISERROR(CA48-CA$69),"NM",CA48-CA$69)</f>
        <v>NM</v>
      </c>
      <c r="CB49" s="184"/>
      <c r="CC49" s="306">
        <f>IF(ISERROR(CC48-CC$69),"NM",CC48-CC$69)</f>
        <v>0.72128450093749907</v>
      </c>
      <c r="CD49" s="306">
        <f>IF(ISERROR(CD48-CD$69),"NM",CD48-CD$69)</f>
        <v>0.7212845009374993</v>
      </c>
      <c r="CE49" s="306">
        <f>IF(ISERROR(CE48-CE$69),"NM",CE48-CE$69)</f>
        <v>0.7212845009374993</v>
      </c>
      <c r="CF49" s="306">
        <f>IF(ISERROR(CF48-CF$69),"NM",CF48-CF$69)</f>
        <v>0.7212845009374993</v>
      </c>
      <c r="CG49" s="306">
        <f>IF(ISERROR(CG48-CG$69),"NM",CG48-CG$69)</f>
        <v>0.7212845009374993</v>
      </c>
      <c r="CH49" s="184"/>
      <c r="CI49" s="510">
        <f t="shared" ref="CI49:CM49" si="58">IF(ISERROR(CI48-CI$69),"NM",CI48-CI$69)</f>
        <v>0.53003066749999972</v>
      </c>
      <c r="CJ49" s="510">
        <f t="shared" si="58"/>
        <v>0.5300306674999995</v>
      </c>
      <c r="CK49" s="510">
        <f t="shared" si="58"/>
        <v>0.5300306674999995</v>
      </c>
      <c r="CL49" s="510">
        <f t="shared" si="58"/>
        <v>0.53003066749999972</v>
      </c>
      <c r="CM49" s="510">
        <f t="shared" si="58"/>
        <v>0.5300306674999995</v>
      </c>
      <c r="CN49" s="184"/>
      <c r="CO49" s="510">
        <f t="shared" ref="CO49:CS49" si="59">IF(ISERROR(CO48-CO$69),"NM",CO48-CO$69)</f>
        <v>0.41045033735961023</v>
      </c>
      <c r="CP49" s="510">
        <f t="shared" si="59"/>
        <v>0.36275394913972026</v>
      </c>
      <c r="CQ49" s="510">
        <f t="shared" si="59"/>
        <v>0.31667048226059946</v>
      </c>
      <c r="CR49" s="510">
        <f t="shared" si="59"/>
        <v>0.27214539348850164</v>
      </c>
      <c r="CS49" s="510">
        <f t="shared" si="59"/>
        <v>0.33165421043571497</v>
      </c>
      <c r="CT49" s="313"/>
    </row>
    <row r="50" spans="1:104" s="43" customFormat="1" ht="12.75" customHeight="1" x14ac:dyDescent="0.2">
      <c r="A50" s="367"/>
      <c r="B50" s="304" t="s">
        <v>303</v>
      </c>
      <c r="C50" s="368"/>
      <c r="D50" s="368"/>
      <c r="E50" s="368"/>
      <c r="F50" s="369"/>
      <c r="G50" s="368"/>
      <c r="H50" s="253"/>
      <c r="I50" s="368"/>
      <c r="J50" s="368"/>
      <c r="K50" s="368"/>
      <c r="L50" s="368"/>
      <c r="M50" s="368"/>
      <c r="N50" s="253"/>
      <c r="O50" s="368"/>
      <c r="P50" s="368"/>
      <c r="Q50" s="368"/>
      <c r="R50" s="368"/>
      <c r="S50" s="368"/>
      <c r="T50" s="253"/>
      <c r="U50" s="368"/>
      <c r="V50" s="368"/>
      <c r="W50" s="368"/>
      <c r="X50" s="368"/>
      <c r="Y50" s="39"/>
      <c r="Z50" s="253"/>
      <c r="AA50" s="373"/>
      <c r="AB50" s="373"/>
      <c r="AC50" s="373"/>
      <c r="AD50" s="39"/>
      <c r="AE50" s="39"/>
      <c r="AF50" s="253"/>
      <c r="AG50" s="373"/>
      <c r="AH50" s="373"/>
      <c r="AI50" s="373"/>
      <c r="AJ50" s="39"/>
      <c r="AK50" s="39"/>
      <c r="AL50" s="253"/>
      <c r="AM50" s="373"/>
      <c r="AN50" s="373"/>
      <c r="AO50" s="373"/>
      <c r="AP50" s="39"/>
      <c r="AQ50" s="39"/>
      <c r="AR50" s="253"/>
      <c r="AS50" s="373"/>
      <c r="AT50" s="373"/>
      <c r="AU50" s="373"/>
      <c r="AV50" s="39"/>
      <c r="AW50" s="39"/>
      <c r="AX50" s="253"/>
      <c r="AY50" s="373"/>
      <c r="AZ50" s="39"/>
      <c r="BA50" s="39"/>
      <c r="BB50" s="39"/>
      <c r="BC50" s="39"/>
      <c r="BD50" s="253"/>
      <c r="BE50" s="676">
        <v>0</v>
      </c>
      <c r="BF50" s="676">
        <v>0</v>
      </c>
      <c r="BG50" s="676">
        <v>0</v>
      </c>
      <c r="BH50" s="676">
        <v>0</v>
      </c>
      <c r="BI50" s="676">
        <f>+SUM(BE50:BH50)</f>
        <v>0</v>
      </c>
      <c r="BJ50" s="253"/>
      <c r="BK50" s="707">
        <v>0</v>
      </c>
      <c r="BL50" s="707">
        <v>0</v>
      </c>
      <c r="BM50" s="707">
        <v>0</v>
      </c>
      <c r="BN50" s="707">
        <v>0</v>
      </c>
      <c r="BO50" s="39">
        <f>+SUM(BK50:BN50)</f>
        <v>0</v>
      </c>
      <c r="BP50" s="253"/>
      <c r="BQ50" s="707">
        <v>0</v>
      </c>
      <c r="BR50" s="707">
        <v>0</v>
      </c>
      <c r="BS50" s="676">
        <v>0</v>
      </c>
      <c r="BT50" s="676">
        <v>0</v>
      </c>
      <c r="BU50" s="39">
        <f>+SUM(BQ50:BT50)</f>
        <v>0</v>
      </c>
      <c r="BV50" s="253"/>
      <c r="BW50" s="676">
        <v>0.34324134233194675</v>
      </c>
      <c r="BX50" s="676">
        <v>0.44406848664195608</v>
      </c>
      <c r="BY50" s="676">
        <v>0.45961088367442449</v>
      </c>
      <c r="BZ50" s="676">
        <v>0.57083671752363518</v>
      </c>
      <c r="CA50" s="39">
        <f>+SUM(BW50:BZ50)</f>
        <v>1.8177574301719623</v>
      </c>
      <c r="CB50" s="253"/>
      <c r="CC50" s="676">
        <v>0.59081600263696221</v>
      </c>
      <c r="CD50" s="676">
        <v>0.76436820341156986</v>
      </c>
      <c r="CE50" s="676">
        <v>0.79112109053097479</v>
      </c>
      <c r="CF50" s="676">
        <v>0.98257239443947064</v>
      </c>
      <c r="CG50" s="39">
        <f>+SUM(CC50:CF50)</f>
        <v>3.1288776910189773</v>
      </c>
      <c r="CH50" s="253"/>
      <c r="CI50" s="676">
        <v>0.90396660288431285</v>
      </c>
      <c r="CJ50" s="676">
        <v>1.1695067924815798</v>
      </c>
      <c r="CK50" s="676">
        <v>1.210439530218435</v>
      </c>
      <c r="CL50" s="676">
        <v>1.5033658965312962</v>
      </c>
      <c r="CM50" s="39">
        <f t="shared" ref="CM50" si="60">+SUM(CI50:CL50)</f>
        <v>4.7872788221156242</v>
      </c>
      <c r="CN50" s="253"/>
      <c r="CO50" s="676">
        <v>1.2749999999999999</v>
      </c>
      <c r="CP50" s="676">
        <v>1.59375</v>
      </c>
      <c r="CQ50" s="676">
        <v>1.59375</v>
      </c>
      <c r="CR50" s="676">
        <v>1.9125000000000001</v>
      </c>
      <c r="CS50" s="39">
        <f t="shared" ref="CS50" si="61">+SUM(CO50:CR50)</f>
        <v>6.375</v>
      </c>
      <c r="CT50" s="39"/>
      <c r="CU50"/>
      <c r="CV50"/>
      <c r="CW50"/>
    </row>
    <row r="51" spans="1:104" s="43" customFormat="1" ht="12.75" customHeight="1" x14ac:dyDescent="0.2">
      <c r="A51" s="300"/>
      <c r="B51" s="266" t="s">
        <v>344</v>
      </c>
      <c r="C51" s="308"/>
      <c r="D51" s="308"/>
      <c r="E51" s="308"/>
      <c r="F51" s="308"/>
      <c r="G51" s="308"/>
      <c r="H51" s="308"/>
      <c r="I51" s="308"/>
      <c r="J51" s="308"/>
      <c r="K51" s="308"/>
      <c r="L51" s="308"/>
      <c r="M51" s="306"/>
      <c r="N51" s="308"/>
      <c r="O51" s="308"/>
      <c r="P51" s="308"/>
      <c r="Q51" s="308"/>
      <c r="R51" s="308"/>
      <c r="S51" s="306"/>
      <c r="T51" s="308"/>
      <c r="U51" s="308"/>
      <c r="V51" s="308"/>
      <c r="W51" s="308"/>
      <c r="X51" s="308"/>
      <c r="Y51" s="306"/>
      <c r="Z51" s="381"/>
      <c r="AA51" s="306">
        <f>AA50/AA$75</f>
        <v>0</v>
      </c>
      <c r="AB51" s="306">
        <f>AB50/AB$75</f>
        <v>0</v>
      </c>
      <c r="AC51" s="306">
        <f>AC50/AC$75</f>
        <v>0</v>
      </c>
      <c r="AD51" s="306">
        <f>AD50/AD$75</f>
        <v>0</v>
      </c>
      <c r="AE51" s="306">
        <f>AE50/AE$75</f>
        <v>0</v>
      </c>
      <c r="AF51" s="381"/>
      <c r="AG51" s="306">
        <f>AG50/AG$75</f>
        <v>0</v>
      </c>
      <c r="AH51" s="306">
        <f>AH50/AH$75</f>
        <v>0</v>
      </c>
      <c r="AI51" s="306">
        <f>AI50/AI$75</f>
        <v>0</v>
      </c>
      <c r="AJ51" s="306">
        <f>AJ50/AJ$75</f>
        <v>0</v>
      </c>
      <c r="AK51" s="306">
        <f>AK50/AK$75</f>
        <v>0</v>
      </c>
      <c r="AL51" s="381"/>
      <c r="AM51" s="306">
        <f>AM50/AM$75</f>
        <v>0</v>
      </c>
      <c r="AN51" s="306">
        <f>AN50/AN$75</f>
        <v>0</v>
      </c>
      <c r="AO51" s="306">
        <f>AO50/AO$75</f>
        <v>0</v>
      </c>
      <c r="AP51" s="306">
        <f>AP50/AP$75</f>
        <v>0</v>
      </c>
      <c r="AQ51" s="306">
        <f>AQ50/AQ$75</f>
        <v>0</v>
      </c>
      <c r="AR51" s="381"/>
      <c r="AS51" s="306">
        <f>AS50/AS$75</f>
        <v>0</v>
      </c>
      <c r="AT51" s="306">
        <f>AT50/AT$75</f>
        <v>0</v>
      </c>
      <c r="AU51" s="306">
        <f>AU50/AU$75</f>
        <v>0</v>
      </c>
      <c r="AV51" s="306">
        <f>AV50/AV$75</f>
        <v>0</v>
      </c>
      <c r="AW51" s="306">
        <f>AW50/AW$75</f>
        <v>0</v>
      </c>
      <c r="AX51" s="381"/>
      <c r="AY51" s="306">
        <f>AY50/AY$75</f>
        <v>0</v>
      </c>
      <c r="AZ51" s="306">
        <f>AZ50/AZ$75</f>
        <v>0</v>
      </c>
      <c r="BA51" s="306">
        <f>BA50/BA$75</f>
        <v>0</v>
      </c>
      <c r="BB51" s="306">
        <f>BB50/BB$75</f>
        <v>0</v>
      </c>
      <c r="BC51" s="306">
        <f>BC50/BC$75</f>
        <v>0</v>
      </c>
      <c r="BD51" s="381"/>
      <c r="BE51" s="306">
        <f>BE50/BE$75</f>
        <v>0</v>
      </c>
      <c r="BF51" s="306">
        <f>BF50/BF$75</f>
        <v>0</v>
      </c>
      <c r="BG51" s="306">
        <f>BG50/BG$75</f>
        <v>0</v>
      </c>
      <c r="BH51" s="306">
        <f>BH50/BH$75</f>
        <v>0</v>
      </c>
      <c r="BI51" s="306">
        <f>BI50/BI$75</f>
        <v>0</v>
      </c>
      <c r="BJ51" s="381"/>
      <c r="BK51" s="306">
        <f>BK50/BK$75</f>
        <v>0</v>
      </c>
      <c r="BL51" s="306">
        <f>BL50/BL$75</f>
        <v>0</v>
      </c>
      <c r="BM51" s="306">
        <f>BM50/BM$75</f>
        <v>0</v>
      </c>
      <c r="BN51" s="306">
        <f>BN50/BN$75</f>
        <v>0</v>
      </c>
      <c r="BO51" s="306">
        <f>BO50/BO$75</f>
        <v>0</v>
      </c>
      <c r="BP51" s="381"/>
      <c r="BQ51" s="306">
        <f>BQ50/BQ$75</f>
        <v>0</v>
      </c>
      <c r="BR51" s="510">
        <f>BR50/BR$75</f>
        <v>0</v>
      </c>
      <c r="BS51" s="306">
        <f>BS50/BS$75</f>
        <v>0</v>
      </c>
      <c r="BT51" s="306">
        <f>BT50/BT$75</f>
        <v>0</v>
      </c>
      <c r="BU51" s="306">
        <f>BU50/BU$75</f>
        <v>0</v>
      </c>
      <c r="BV51" s="381"/>
      <c r="BW51" s="306">
        <f>BW50/BW$75</f>
        <v>1.8025993716712454E-3</v>
      </c>
      <c r="BX51" s="306">
        <f>BX50/BX$75</f>
        <v>2.2224458229112565E-3</v>
      </c>
      <c r="BY51" s="306">
        <f>BY50/BY$75</f>
        <v>2.3120728116866169E-3</v>
      </c>
      <c r="BZ51" s="306">
        <f>BZ50/BZ$75</f>
        <v>2.7361293427452661E-3</v>
      </c>
      <c r="CA51" s="306">
        <f>CA50/CA$75</f>
        <v>2.2789137881078511E-3</v>
      </c>
      <c r="CB51" s="381"/>
      <c r="CC51" s="306">
        <f>CC50/CC$75</f>
        <v>2.9612733806586248E-3</v>
      </c>
      <c r="CD51" s="306">
        <f>CD50/CD$75</f>
        <v>3.6113806890240721E-3</v>
      </c>
      <c r="CE51" s="306">
        <f>CE50/CE$75</f>
        <v>3.754583020135348E-3</v>
      </c>
      <c r="CF51" s="306">
        <f>CF50/CF$75</f>
        <v>4.4245950817078982E-3</v>
      </c>
      <c r="CG51" s="306">
        <f>CG50/CG$75</f>
        <v>3.707428359205186E-3</v>
      </c>
      <c r="CH51" s="511"/>
      <c r="CI51" s="510">
        <f t="shared" ref="CI51:CM51" si="62">CI50/CI$75</f>
        <v>4.226132574125561E-3</v>
      </c>
      <c r="CJ51" s="510">
        <f t="shared" si="62"/>
        <v>5.1366704792977216E-3</v>
      </c>
      <c r="CK51" s="510">
        <f t="shared" si="62"/>
        <v>5.3686843562396414E-3</v>
      </c>
      <c r="CL51" s="510">
        <f t="shared" si="62"/>
        <v>6.3273175549694782E-3</v>
      </c>
      <c r="CM51" s="510">
        <f t="shared" si="62"/>
        <v>5.2919190801084225E-3</v>
      </c>
      <c r="CN51" s="511"/>
      <c r="CO51" s="510">
        <f t="shared" ref="CO51:CS51" si="63">CO50/CO$75</f>
        <v>5.5610459434691732E-3</v>
      </c>
      <c r="CP51" s="510">
        <f t="shared" si="63"/>
        <v>6.479245034746969E-3</v>
      </c>
      <c r="CQ51" s="510">
        <f t="shared" si="63"/>
        <v>6.6112536811268954E-3</v>
      </c>
      <c r="CR51" s="510">
        <f t="shared" si="63"/>
        <v>7.4894160933250235E-3</v>
      </c>
      <c r="CS51" s="510">
        <f t="shared" si="63"/>
        <v>6.5608171731329429E-3</v>
      </c>
      <c r="CT51" s="306"/>
      <c r="CU51"/>
      <c r="CV51" s="732"/>
      <c r="CW51" s="733"/>
      <c r="CX51" s="733"/>
      <c r="CY51" s="733"/>
      <c r="CZ51" s="733"/>
    </row>
    <row r="52" spans="1:104" ht="12.75" hidden="1" customHeight="1" outlineLevel="1" x14ac:dyDescent="0.2">
      <c r="A52" s="300"/>
      <c r="B52" s="266" t="s">
        <v>339</v>
      </c>
      <c r="C52" s="308"/>
      <c r="D52" s="308"/>
      <c r="E52" s="308"/>
      <c r="F52" s="308"/>
      <c r="G52" s="308"/>
      <c r="H52" s="308"/>
      <c r="I52" s="308"/>
      <c r="J52" s="308"/>
      <c r="K52" s="308"/>
      <c r="L52" s="308"/>
      <c r="M52" s="306"/>
      <c r="N52" s="308"/>
      <c r="O52" s="308"/>
      <c r="P52" s="308"/>
      <c r="Q52" s="308"/>
      <c r="R52" s="308"/>
      <c r="S52" s="306"/>
      <c r="T52" s="308"/>
      <c r="U52" s="308"/>
      <c r="V52" s="308"/>
      <c r="W52" s="308"/>
      <c r="X52" s="308"/>
      <c r="Y52" s="306"/>
      <c r="Z52" s="381"/>
      <c r="AA52" s="306" t="str">
        <f>IF(ISERROR(AA50/U50-1),"NM",AA50/U50-1)</f>
        <v>NM</v>
      </c>
      <c r="AB52" s="306" t="str">
        <f>IF(ISERROR(AB50/V50-1),"NM",AB50/V50-1)</f>
        <v>NM</v>
      </c>
      <c r="AC52" s="306" t="str">
        <f>IF(ISERROR(AC50/W50-1),"NM",AC50/W50-1)</f>
        <v>NM</v>
      </c>
      <c r="AD52" s="306" t="str">
        <f>IF(ISERROR(AD50/X50-1),"NM",AD50/X50-1)</f>
        <v>NM</v>
      </c>
      <c r="AE52" s="306" t="str">
        <f>IF(ISERROR(AE50/Y50-1),"NM",AE50/Y50-1)</f>
        <v>NM</v>
      </c>
      <c r="AF52" s="381"/>
      <c r="AG52" s="306" t="str">
        <f>IF(ISERROR(AG50/AA50-1),"NM",AG50/AA50-1)</f>
        <v>NM</v>
      </c>
      <c r="AH52" s="306" t="str">
        <f>IF(ISERROR(AH50/AB50-1),"NM",AH50/AB50-1)</f>
        <v>NM</v>
      </c>
      <c r="AI52" s="306" t="str">
        <f>IF(ISERROR(AI50/AC50-1),"NM",AI50/AC50-1)</f>
        <v>NM</v>
      </c>
      <c r="AJ52" s="306" t="str">
        <f>IF(ISERROR(AJ50/AD50-1),"NM",AJ50/AD50-1)</f>
        <v>NM</v>
      </c>
      <c r="AK52" s="306" t="str">
        <f>IF(ISERROR(AK50/AE50-1),"NM",AK50/AE50-1)</f>
        <v>NM</v>
      </c>
      <c r="AL52" s="381"/>
      <c r="AM52" s="306" t="str">
        <f>IF(ISERROR(AM50/AG50-1),"NM",AM50/AG50-1)</f>
        <v>NM</v>
      </c>
      <c r="AN52" s="306" t="str">
        <f>IF(ISERROR(AN50/AH50-1),"NM",AN50/AH50-1)</f>
        <v>NM</v>
      </c>
      <c r="AO52" s="306" t="str">
        <f>IF(ISERROR(AO50/AI50-1),"NM",AO50/AI50-1)</f>
        <v>NM</v>
      </c>
      <c r="AP52" s="306" t="str">
        <f>IF(ISERROR(AP50/AJ50-1),"NM",AP50/AJ50-1)</f>
        <v>NM</v>
      </c>
      <c r="AQ52" s="306" t="str">
        <f>IF(ISERROR(AQ50/AK50-1),"NM",AQ50/AK50-1)</f>
        <v>NM</v>
      </c>
      <c r="AR52" s="381"/>
      <c r="AS52" s="306" t="str">
        <f>IF(ISERROR(AS50/AM50-1),"NM",AS50/AM50-1)</f>
        <v>NM</v>
      </c>
      <c r="AT52" s="306" t="str">
        <f>IF(ISERROR(AT50/AN50-1),"NM",AT50/AN50-1)</f>
        <v>NM</v>
      </c>
      <c r="AU52" s="306" t="str">
        <f>IF(ISERROR(AU50/AO50-1),"NM",AU50/AO50-1)</f>
        <v>NM</v>
      </c>
      <c r="AV52" s="306" t="str">
        <f>IF(ISERROR(AV50/AP50-1),"NM",AV50/AP50-1)</f>
        <v>NM</v>
      </c>
      <c r="AW52" s="306" t="str">
        <f>IF(ISERROR(AW50/AQ50-1),"NM",AW50/AQ50-1)</f>
        <v>NM</v>
      </c>
      <c r="AX52" s="381"/>
      <c r="AY52" s="306" t="str">
        <f>IF(ISERROR(AY50/AS50-1),"NM",AY50/AS50-1)</f>
        <v>NM</v>
      </c>
      <c r="AZ52" s="306" t="str">
        <f>IF(ISERROR(AZ50/AT50-1),"NM",AZ50/AT50-1)</f>
        <v>NM</v>
      </c>
      <c r="BA52" s="306" t="str">
        <f>IF(ISERROR(BA50/AU50-1),"NM",BA50/AU50-1)</f>
        <v>NM</v>
      </c>
      <c r="BB52" s="306" t="str">
        <f>IF(ISERROR(BB50/AV50-1),"NM",BB50/AV50-1)</f>
        <v>NM</v>
      </c>
      <c r="BC52" s="306" t="str">
        <f>IF(ISERROR(BC50/AW50-1),"NM",BC50/AW50-1)</f>
        <v>NM</v>
      </c>
      <c r="BD52" s="381"/>
      <c r="BE52" s="306" t="str">
        <f>IF(ISERROR(BE50/AY50-1),"NM",BE50/AY50-1)</f>
        <v>NM</v>
      </c>
      <c r="BF52" s="306" t="str">
        <f>IF(ISERROR(BF50/AZ50-1),"NM",BF50/AZ50-1)</f>
        <v>NM</v>
      </c>
      <c r="BG52" s="306" t="str">
        <f>IF(ISERROR(BG50/BA50-1),"NM",BG50/BA50-1)</f>
        <v>NM</v>
      </c>
      <c r="BH52" s="306" t="str">
        <f>IF(ISERROR(BH50/BB50-1),"NM",BH50/BB50-1)</f>
        <v>NM</v>
      </c>
      <c r="BI52" s="306" t="str">
        <f>IF(ISERROR(BI50/BC50-1),"NM",BI50/BC50-1)</f>
        <v>NM</v>
      </c>
      <c r="BJ52" s="381"/>
      <c r="BK52" s="306" t="str">
        <f>IF(ISERROR(BK50/BE50-1),"NM",BK50/BE50-1)</f>
        <v>NM</v>
      </c>
      <c r="BL52" s="306" t="str">
        <f>IF(ISERROR(BL50/BF50-1),"NM",BL50/BF50-1)</f>
        <v>NM</v>
      </c>
      <c r="BM52" s="306" t="str">
        <f>IF(ISERROR(BM50/BG50-1),"NM",BM50/BG50-1)</f>
        <v>NM</v>
      </c>
      <c r="BN52" s="306" t="str">
        <f>IF(ISERROR(BN50/BH50-1),"NM",BN50/BH50-1)</f>
        <v>NM</v>
      </c>
      <c r="BO52" s="306" t="str">
        <f>IF(ISERROR(BO50/BI50-1),"NM",BO50/BI50-1)</f>
        <v>NM</v>
      </c>
      <c r="BP52" s="381"/>
      <c r="BQ52" s="306" t="str">
        <f>IF(ISERROR(BQ50/BK50-1),"NM",BQ50/BK50-1)</f>
        <v>NM</v>
      </c>
      <c r="BR52" s="510" t="str">
        <f>IF(ISERROR(BR50/BL50-1),"NM",BR50/BL50-1)</f>
        <v>NM</v>
      </c>
      <c r="BS52" s="306" t="str">
        <f>IF(ISERROR(BS50/BM50-1),"NM",BS50/BM50-1)</f>
        <v>NM</v>
      </c>
      <c r="BT52" s="306" t="str">
        <f>IF(ISERROR(BT50/BN50-1),"NM",BT50/BN50-1)</f>
        <v>NM</v>
      </c>
      <c r="BU52" s="306" t="str">
        <f>IF(ISERROR(BU50/BO50-1),"NM",BU50/BO50-1)</f>
        <v>NM</v>
      </c>
      <c r="BV52" s="381"/>
      <c r="BW52" s="306" t="str">
        <f>IF(ISERROR(BW50/BQ50-1),"NM",BW50/BQ50-1)</f>
        <v>NM</v>
      </c>
      <c r="BX52" s="306" t="str">
        <f>IF(ISERROR(BX50/BR50-1),"NM",BX50/BR50-1)</f>
        <v>NM</v>
      </c>
      <c r="BY52" s="306" t="str">
        <f>IF(ISERROR(BY50/BS50-1),"NM",BY50/BS50-1)</f>
        <v>NM</v>
      </c>
      <c r="BZ52" s="306" t="str">
        <f>IF(ISERROR(BZ50/BT50-1),"NM",BZ50/BT50-1)</f>
        <v>NM</v>
      </c>
      <c r="CA52" s="306" t="str">
        <f>IF(ISERROR(CA50/BU50-1),"NM",CA50/BU50-1)</f>
        <v>NM</v>
      </c>
      <c r="CB52" s="381"/>
      <c r="CC52" s="306">
        <f>IF(ISERROR(CC50/BW50-1),"NM",CC50/BW50-1)</f>
        <v>0.72128450093749907</v>
      </c>
      <c r="CD52" s="306">
        <f>IF(ISERROR(CD50/BX50-1),"NM",CD50/BX50-1)</f>
        <v>0.72128450093749907</v>
      </c>
      <c r="CE52" s="306">
        <f>IF(ISERROR(CE50/BY50-1),"NM",CE50/BY50-1)</f>
        <v>0.7212845009374993</v>
      </c>
      <c r="CF52" s="306">
        <f>IF(ISERROR(CF50/BZ50-1),"NM",CF50/BZ50-1)</f>
        <v>0.7212845009374993</v>
      </c>
      <c r="CG52" s="306">
        <f>IF(ISERROR(CG50/CA50-1),"NM",CG50/CA50-1)</f>
        <v>0.7212845009374993</v>
      </c>
      <c r="CH52" s="511"/>
      <c r="CI52" s="510">
        <f t="shared" ref="CI52:CM52" si="64">IF(ISERROR(CI50/CC50-1),"NM",CI50/CC50-1)</f>
        <v>0.53003066749999972</v>
      </c>
      <c r="CJ52" s="510">
        <f t="shared" si="64"/>
        <v>0.53003066749999972</v>
      </c>
      <c r="CK52" s="510">
        <f t="shared" si="64"/>
        <v>0.5300306674999995</v>
      </c>
      <c r="CL52" s="510">
        <f t="shared" si="64"/>
        <v>0.5300306674999995</v>
      </c>
      <c r="CM52" s="510">
        <f t="shared" si="64"/>
        <v>0.53003066749999994</v>
      </c>
      <c r="CN52" s="511"/>
      <c r="CO52" s="510">
        <f t="shared" ref="CO52:CS52" si="65">IF(ISERROR(CO50/CI50-1),"NM",CO50/CI50-1)</f>
        <v>0.41045033735961023</v>
      </c>
      <c r="CP52" s="510">
        <f t="shared" si="65"/>
        <v>0.36275394913972003</v>
      </c>
      <c r="CQ52" s="510">
        <f t="shared" si="65"/>
        <v>0.31667048226059924</v>
      </c>
      <c r="CR52" s="510">
        <f t="shared" si="65"/>
        <v>0.27214539348850186</v>
      </c>
      <c r="CS52" s="510">
        <f t="shared" si="65"/>
        <v>0.33165421043571475</v>
      </c>
      <c r="CT52" s="306"/>
      <c r="CW52" s="734"/>
      <c r="CX52" s="734"/>
      <c r="CY52" s="734"/>
      <c r="CZ52" s="734"/>
    </row>
    <row r="53" spans="1:104" ht="12.75" customHeight="1" collapsed="1" x14ac:dyDescent="0.2">
      <c r="A53" s="300"/>
      <c r="B53" s="677" t="s">
        <v>342</v>
      </c>
      <c r="C53" s="306"/>
      <c r="D53" s="306"/>
      <c r="E53" s="306"/>
      <c r="F53" s="306"/>
      <c r="G53" s="306"/>
      <c r="H53" s="184"/>
      <c r="I53" s="306"/>
      <c r="J53" s="306"/>
      <c r="K53" s="306"/>
      <c r="L53" s="306"/>
      <c r="M53" s="306"/>
      <c r="N53" s="184"/>
      <c r="O53" s="306"/>
      <c r="P53" s="306"/>
      <c r="Q53" s="306"/>
      <c r="R53" s="306"/>
      <c r="S53" s="306"/>
      <c r="T53" s="184"/>
      <c r="U53" s="306"/>
      <c r="V53" s="306"/>
      <c r="W53" s="306"/>
      <c r="X53" s="306"/>
      <c r="Y53" s="306"/>
      <c r="Z53" s="184"/>
      <c r="AA53" s="306" t="str">
        <f>IF(ISERROR(AA52-AA$69),"NM",AA52-AA$69)</f>
        <v>NM</v>
      </c>
      <c r="AB53" s="306" t="str">
        <f>IF(ISERROR(AB52-AB$69),"NM",AB52-AB$69)</f>
        <v>NM</v>
      </c>
      <c r="AC53" s="306" t="str">
        <f>IF(ISERROR(AC52-AC$69),"NM",AC52-AC$69)</f>
        <v>NM</v>
      </c>
      <c r="AD53" s="306" t="str">
        <f>IF(ISERROR(AD52-AD$69),"NM",AD52-AD$69)</f>
        <v>NM</v>
      </c>
      <c r="AE53" s="306" t="str">
        <f>IF(ISERROR(AE52-AE$69),"NM",AE52-AE$69)</f>
        <v>NM</v>
      </c>
      <c r="AF53" s="184"/>
      <c r="AG53" s="306" t="str">
        <f>IF(ISERROR(AG52-AG$69),"NM",AG52-AG$69)</f>
        <v>NM</v>
      </c>
      <c r="AH53" s="306" t="str">
        <f>IF(ISERROR(AH52-AH$69),"NM",AH52-AH$69)</f>
        <v>NM</v>
      </c>
      <c r="AI53" s="306" t="str">
        <f>IF(ISERROR(AI52-AI$69),"NM",AI52-AI$69)</f>
        <v>NM</v>
      </c>
      <c r="AJ53" s="306" t="str">
        <f>IF(ISERROR(AJ52-AJ$69),"NM",AJ52-AJ$69)</f>
        <v>NM</v>
      </c>
      <c r="AK53" s="306" t="str">
        <f>IF(ISERROR(AK52-AK$69),"NM",AK52-AK$69)</f>
        <v>NM</v>
      </c>
      <c r="AL53" s="184"/>
      <c r="AM53" s="306" t="str">
        <f>IF(ISERROR(AM52-AM$69),"NM",AM52-AM$69)</f>
        <v>NM</v>
      </c>
      <c r="AN53" s="306" t="str">
        <f>IF(ISERROR(AN52-AN$69),"NM",AN52-AN$69)</f>
        <v>NM</v>
      </c>
      <c r="AO53" s="306" t="str">
        <f>IF(ISERROR(AO52-AO$69),"NM",AO52-AO$69)</f>
        <v>NM</v>
      </c>
      <c r="AP53" s="306" t="str">
        <f>IF(ISERROR(AP52-AP$69),"NM",AP52-AP$69)</f>
        <v>NM</v>
      </c>
      <c r="AQ53" s="306" t="str">
        <f>IF(ISERROR(AQ52-AQ$69),"NM",AQ52-AQ$69)</f>
        <v>NM</v>
      </c>
      <c r="AR53" s="184"/>
      <c r="AS53" s="306" t="str">
        <f>IF(ISERROR(AS52-AS$69),"NM",AS52-AS$69)</f>
        <v>NM</v>
      </c>
      <c r="AT53" s="306" t="str">
        <f>IF(ISERROR(AT52-AT$69),"NM",AT52-AT$69)</f>
        <v>NM</v>
      </c>
      <c r="AU53" s="306" t="str">
        <f>IF(ISERROR(AU52-AU$69),"NM",AU52-AU$69)</f>
        <v>NM</v>
      </c>
      <c r="AV53" s="306" t="str">
        <f>IF(ISERROR(AV52-AV$69),"NM",AV52-AV$69)</f>
        <v>NM</v>
      </c>
      <c r="AW53" s="306" t="str">
        <f>IF(ISERROR(AW52-AW$69),"NM",AW52-AW$69)</f>
        <v>NM</v>
      </c>
      <c r="AX53" s="184"/>
      <c r="AY53" s="306" t="str">
        <f>IF(ISERROR(AY52-AY$69),"NM",AY52-AY$69)</f>
        <v>NM</v>
      </c>
      <c r="AZ53" s="306" t="str">
        <f>IF(ISERROR(AZ52-AZ$69),"NM",AZ52-AZ$69)</f>
        <v>NM</v>
      </c>
      <c r="BA53" s="306" t="str">
        <f>IF(ISERROR(BA52-BA$69),"NM",BA52-BA$69)</f>
        <v>NM</v>
      </c>
      <c r="BB53" s="306" t="str">
        <f>IF(ISERROR(BB52-BB$69),"NM",BB52-BB$69)</f>
        <v>NM</v>
      </c>
      <c r="BC53" s="306" t="str">
        <f>IF(ISERROR(BC52-BC$69),"NM",BC52-BC$69)</f>
        <v>NM</v>
      </c>
      <c r="BD53" s="184"/>
      <c r="BE53" s="306" t="str">
        <f>IF(ISERROR(BE52-BE$69),"NM",BE52-BE$69)</f>
        <v>NM</v>
      </c>
      <c r="BF53" s="306" t="str">
        <f>IF(ISERROR(BF52-BF$69),"NM",BF52-BF$69)</f>
        <v>NM</v>
      </c>
      <c r="BG53" s="306" t="str">
        <f>IF(ISERROR(BG52-BG$69),"NM",BG52-BG$69)</f>
        <v>NM</v>
      </c>
      <c r="BH53" s="306" t="str">
        <f>IF(ISERROR(BH52-BH$69),"NM",BH52-BH$69)</f>
        <v>NM</v>
      </c>
      <c r="BI53" s="306" t="str">
        <f>IF(ISERROR(BI52-BI$69),"NM",BI52-BI$69)</f>
        <v>NM</v>
      </c>
      <c r="BJ53" s="184"/>
      <c r="BK53" s="306" t="str">
        <f>IF(ISERROR(BK52-BK$69),"NM",BK52-BK$69)</f>
        <v>NM</v>
      </c>
      <c r="BL53" s="306" t="str">
        <f>IF(ISERROR(BL52-BL$69),"NM",BL52-BL$69)</f>
        <v>NM</v>
      </c>
      <c r="BM53" s="306" t="str">
        <f>IF(ISERROR(BM52-BM$69),"NM",BM52-BM$69)</f>
        <v>NM</v>
      </c>
      <c r="BN53" s="306" t="str">
        <f>IF(ISERROR(BN52-BN$69),"NM",BN52-BN$69)</f>
        <v>NM</v>
      </c>
      <c r="BO53" s="306" t="str">
        <f>IF(ISERROR(BO52-BO$69),"NM",BO52-BO$69)</f>
        <v>NM</v>
      </c>
      <c r="BP53" s="184"/>
      <c r="BQ53" s="306" t="str">
        <f>IF(ISERROR(BQ52-BQ$69),"NM",BQ52-BQ$69)</f>
        <v>NM</v>
      </c>
      <c r="BR53" s="510" t="str">
        <f>IF(ISERROR(BR52-BR$69),"NM",BR52-BR$69)</f>
        <v>NM</v>
      </c>
      <c r="BS53" s="306" t="str">
        <f>IF(ISERROR(BS52-BS$69),"NM",BS52-BS$69)</f>
        <v>NM</v>
      </c>
      <c r="BT53" s="306" t="str">
        <f>IF(ISERROR(BT52-BT$69),"NM",BT52-BT$69)</f>
        <v>NM</v>
      </c>
      <c r="BU53" s="306" t="str">
        <f>IF(ISERROR(BU52-BU$69),"NM",BU52-BU$69)</f>
        <v>NM</v>
      </c>
      <c r="BV53" s="184"/>
      <c r="BW53" s="306" t="str">
        <f>IF(ISERROR(BW52-BW$69),"NM",BW52-BW$69)</f>
        <v>NM</v>
      </c>
      <c r="BX53" s="306" t="str">
        <f>IF(ISERROR(BX52-BX$69),"NM",BX52-BX$69)</f>
        <v>NM</v>
      </c>
      <c r="BY53" s="306" t="str">
        <f>IF(ISERROR(BY52-BY$69),"NM",BY52-BY$69)</f>
        <v>NM</v>
      </c>
      <c r="BZ53" s="306" t="str">
        <f>IF(ISERROR(BZ52-BZ$69),"NM",BZ52-BZ$69)</f>
        <v>NM</v>
      </c>
      <c r="CA53" s="306" t="str">
        <f>IF(ISERROR(CA52-CA$69),"NM",CA52-CA$69)</f>
        <v>NM</v>
      </c>
      <c r="CB53" s="184"/>
      <c r="CC53" s="306">
        <f>IF(ISERROR(CC52-CC$69),"NM",CC52-CC$69)</f>
        <v>0.72128450093749907</v>
      </c>
      <c r="CD53" s="306">
        <f>IF(ISERROR(CD52-CD$69),"NM",CD52-CD$69)</f>
        <v>0.72128450093749907</v>
      </c>
      <c r="CE53" s="306">
        <f>IF(ISERROR(CE52-CE$69),"NM",CE52-CE$69)</f>
        <v>0.7212845009374993</v>
      </c>
      <c r="CF53" s="306">
        <f>IF(ISERROR(CF52-CF$69),"NM",CF52-CF$69)</f>
        <v>0.7212845009374993</v>
      </c>
      <c r="CG53" s="306">
        <f>IF(ISERROR(CG52-CG$69),"NM",CG52-CG$69)</f>
        <v>0.7212845009374993</v>
      </c>
      <c r="CH53" s="184"/>
      <c r="CI53" s="510">
        <f t="shared" ref="CI53:CM53" si="66">IF(ISERROR(CI52-CI$69),"NM",CI52-CI$69)</f>
        <v>0.53003066749999972</v>
      </c>
      <c r="CJ53" s="510">
        <f t="shared" si="66"/>
        <v>0.53003066749999972</v>
      </c>
      <c r="CK53" s="510">
        <f t="shared" si="66"/>
        <v>0.5300306674999995</v>
      </c>
      <c r="CL53" s="510">
        <f t="shared" si="66"/>
        <v>0.5300306674999995</v>
      </c>
      <c r="CM53" s="510">
        <f t="shared" si="66"/>
        <v>0.53003066749999994</v>
      </c>
      <c r="CN53" s="184"/>
      <c r="CO53" s="510">
        <f t="shared" ref="CO53:CS53" si="67">IF(ISERROR(CO52-CO$69),"NM",CO52-CO$69)</f>
        <v>0.41045033735961023</v>
      </c>
      <c r="CP53" s="510">
        <f t="shared" si="67"/>
        <v>0.36275394913972003</v>
      </c>
      <c r="CQ53" s="510">
        <f t="shared" si="67"/>
        <v>0.31667048226059924</v>
      </c>
      <c r="CR53" s="510">
        <f t="shared" si="67"/>
        <v>0.27214539348850186</v>
      </c>
      <c r="CS53" s="510">
        <f t="shared" si="67"/>
        <v>0.33165421043571475</v>
      </c>
      <c r="CT53" s="313"/>
      <c r="CV53" s="735"/>
      <c r="CW53" s="736"/>
      <c r="CX53" s="736"/>
      <c r="CY53" s="736"/>
      <c r="CZ53" s="736"/>
    </row>
    <row r="54" spans="1:104" s="43" customFormat="1" ht="12.75" customHeight="1" x14ac:dyDescent="0.2">
      <c r="A54" s="367"/>
      <c r="B54" s="304" t="s">
        <v>304</v>
      </c>
      <c r="C54" s="368"/>
      <c r="D54" s="368"/>
      <c r="E54" s="368"/>
      <c r="F54" s="369"/>
      <c r="G54" s="368"/>
      <c r="H54" s="253"/>
      <c r="I54" s="368"/>
      <c r="J54" s="368"/>
      <c r="K54" s="368"/>
      <c r="L54" s="368"/>
      <c r="M54" s="368"/>
      <c r="N54" s="253"/>
      <c r="O54" s="368"/>
      <c r="P54" s="368"/>
      <c r="Q54" s="368"/>
      <c r="R54" s="368"/>
      <c r="S54" s="368"/>
      <c r="T54" s="253"/>
      <c r="U54" s="368"/>
      <c r="V54" s="368"/>
      <c r="W54" s="368"/>
      <c r="X54" s="368"/>
      <c r="Y54" s="39"/>
      <c r="Z54" s="253"/>
      <c r="AA54" s="373"/>
      <c r="AB54" s="373"/>
      <c r="AC54" s="373"/>
      <c r="AD54" s="39"/>
      <c r="AE54" s="39"/>
      <c r="AF54" s="253"/>
      <c r="AG54" s="373"/>
      <c r="AH54" s="373"/>
      <c r="AI54" s="373"/>
      <c r="AJ54" s="39"/>
      <c r="AK54" s="39"/>
      <c r="AL54" s="253"/>
      <c r="AM54" s="373"/>
      <c r="AN54" s="373"/>
      <c r="AO54" s="373"/>
      <c r="AP54" s="39"/>
      <c r="AQ54" s="39"/>
      <c r="AR54" s="253"/>
      <c r="AS54" s="373"/>
      <c r="AT54" s="373"/>
      <c r="AU54" s="373"/>
      <c r="AV54" s="39"/>
      <c r="AW54" s="39"/>
      <c r="AX54" s="253"/>
      <c r="AY54" s="373"/>
      <c r="AZ54" s="39"/>
      <c r="BA54" s="39"/>
      <c r="BB54" s="39"/>
      <c r="BC54" s="39"/>
      <c r="BD54" s="253"/>
      <c r="BE54" s="676">
        <v>0</v>
      </c>
      <c r="BF54" s="676">
        <v>0</v>
      </c>
      <c r="BG54" s="676">
        <v>0</v>
      </c>
      <c r="BH54" s="676">
        <v>0</v>
      </c>
      <c r="BI54" s="676">
        <f>+SUM(BE54:BH54)</f>
        <v>0</v>
      </c>
      <c r="BJ54" s="253"/>
      <c r="BK54" s="707">
        <v>0</v>
      </c>
      <c r="BL54" s="707">
        <v>0</v>
      </c>
      <c r="BM54" s="707">
        <v>0</v>
      </c>
      <c r="BN54" s="707">
        <v>0</v>
      </c>
      <c r="BO54" s="39">
        <f>+SUM(BK54:BN54)</f>
        <v>0</v>
      </c>
      <c r="BP54" s="253"/>
      <c r="BQ54" s="707">
        <v>0</v>
      </c>
      <c r="BR54" s="707">
        <v>0</v>
      </c>
      <c r="BS54" s="676">
        <v>0</v>
      </c>
      <c r="BT54" s="676">
        <v>0</v>
      </c>
      <c r="BU54" s="39">
        <f>+SUM(BQ54:BT54)</f>
        <v>0</v>
      </c>
      <c r="BV54" s="253"/>
      <c r="BW54" s="676">
        <v>1.1508680301718215</v>
      </c>
      <c r="BX54" s="676">
        <v>1.488935514034794</v>
      </c>
      <c r="BY54" s="676">
        <v>1.5410482570260113</v>
      </c>
      <c r="BZ54" s="676">
        <v>1.9139819352263059</v>
      </c>
      <c r="CA54" s="39">
        <f>+SUM(BW54:BZ54)</f>
        <v>6.0948337364589324</v>
      </c>
      <c r="CB54" s="253"/>
      <c r="CC54" s="676">
        <v>1.9809713029592266</v>
      </c>
      <c r="CD54" s="676">
        <v>2.562881623203499</v>
      </c>
      <c r="CE54" s="676">
        <v>2.6525824800156217</v>
      </c>
      <c r="CF54" s="676">
        <v>3.2945074401794017</v>
      </c>
      <c r="CG54" s="39">
        <f>+SUM(CC54:CF54)</f>
        <v>10.490942846357749</v>
      </c>
      <c r="CH54" s="253"/>
      <c r="CI54" s="676">
        <v>3.0309468449650492</v>
      </c>
      <c r="CJ54" s="676">
        <v>3.9212874806735321</v>
      </c>
      <c r="CK54" s="676">
        <v>4.0585325424971055</v>
      </c>
      <c r="CL54" s="676">
        <v>5.0406974177814048</v>
      </c>
      <c r="CM54" s="39">
        <f t="shared" ref="CM54" si="68">+SUM(CI54:CL54)</f>
        <v>16.051464285917092</v>
      </c>
      <c r="CN54" s="253"/>
      <c r="CO54" s="676">
        <v>4.2750000000000004</v>
      </c>
      <c r="CP54" s="676">
        <v>5.34375</v>
      </c>
      <c r="CQ54" s="676">
        <v>5.34375</v>
      </c>
      <c r="CR54" s="676">
        <v>6.4124999999999996</v>
      </c>
      <c r="CS54" s="39">
        <f t="shared" ref="CS54" si="69">+SUM(CO54:CR54)</f>
        <v>21.375</v>
      </c>
      <c r="CT54" s="39"/>
      <c r="CU54"/>
      <c r="CV54" s="735"/>
      <c r="CW54" s="735"/>
      <c r="CX54" s="736"/>
      <c r="CY54" s="736"/>
      <c r="CZ54" s="736"/>
    </row>
    <row r="55" spans="1:104" s="43" customFormat="1" ht="12.75" customHeight="1" x14ac:dyDescent="0.2">
      <c r="A55" s="300"/>
      <c r="B55" s="266" t="s">
        <v>344</v>
      </c>
      <c r="C55" s="308"/>
      <c r="D55" s="308"/>
      <c r="E55" s="308"/>
      <c r="F55" s="308"/>
      <c r="G55" s="308"/>
      <c r="H55" s="308"/>
      <c r="I55" s="308"/>
      <c r="J55" s="308"/>
      <c r="K55" s="308"/>
      <c r="L55" s="308"/>
      <c r="M55" s="306"/>
      <c r="N55" s="308"/>
      <c r="O55" s="308"/>
      <c r="P55" s="308"/>
      <c r="Q55" s="308"/>
      <c r="R55" s="308"/>
      <c r="S55" s="306"/>
      <c r="T55" s="308"/>
      <c r="U55" s="308"/>
      <c r="V55" s="308"/>
      <c r="W55" s="308"/>
      <c r="X55" s="308"/>
      <c r="Y55" s="306"/>
      <c r="Z55" s="381"/>
      <c r="AA55" s="306">
        <f>AA54/AA$75</f>
        <v>0</v>
      </c>
      <c r="AB55" s="306">
        <f>AB54/AB$75</f>
        <v>0</v>
      </c>
      <c r="AC55" s="306">
        <f>AC54/AC$75</f>
        <v>0</v>
      </c>
      <c r="AD55" s="306">
        <f>AD54/AD$75</f>
        <v>0</v>
      </c>
      <c r="AE55" s="306">
        <f>AE54/AE$75</f>
        <v>0</v>
      </c>
      <c r="AF55" s="381"/>
      <c r="AG55" s="306">
        <f>AG54/AG$75</f>
        <v>0</v>
      </c>
      <c r="AH55" s="306">
        <f>AH54/AH$75</f>
        <v>0</v>
      </c>
      <c r="AI55" s="306">
        <f>AI54/AI$75</f>
        <v>0</v>
      </c>
      <c r="AJ55" s="306">
        <f>AJ54/AJ$75</f>
        <v>0</v>
      </c>
      <c r="AK55" s="306">
        <f>AK54/AK$75</f>
        <v>0</v>
      </c>
      <c r="AL55" s="381"/>
      <c r="AM55" s="306">
        <f>AM54/AM$75</f>
        <v>0</v>
      </c>
      <c r="AN55" s="306">
        <f>AN54/AN$75</f>
        <v>0</v>
      </c>
      <c r="AO55" s="306">
        <f>AO54/AO$75</f>
        <v>0</v>
      </c>
      <c r="AP55" s="306">
        <f>AP54/AP$75</f>
        <v>0</v>
      </c>
      <c r="AQ55" s="306">
        <f>AQ54/AQ$75</f>
        <v>0</v>
      </c>
      <c r="AR55" s="381"/>
      <c r="AS55" s="306">
        <f>AS54/AS$75</f>
        <v>0</v>
      </c>
      <c r="AT55" s="306">
        <f>AT54/AT$75</f>
        <v>0</v>
      </c>
      <c r="AU55" s="306">
        <f>AU54/AU$75</f>
        <v>0</v>
      </c>
      <c r="AV55" s="306">
        <f>AV54/AV$75</f>
        <v>0</v>
      </c>
      <c r="AW55" s="306">
        <f>AW54/AW$75</f>
        <v>0</v>
      </c>
      <c r="AX55" s="381"/>
      <c r="AY55" s="306">
        <f>AY54/AY$75</f>
        <v>0</v>
      </c>
      <c r="AZ55" s="306">
        <f>AZ54/AZ$75</f>
        <v>0</v>
      </c>
      <c r="BA55" s="306">
        <f>BA54/BA$75</f>
        <v>0</v>
      </c>
      <c r="BB55" s="306">
        <f>BB54/BB$75</f>
        <v>0</v>
      </c>
      <c r="BC55" s="306">
        <f>BC54/BC$75</f>
        <v>0</v>
      </c>
      <c r="BD55" s="381"/>
      <c r="BE55" s="306">
        <f>BE54/BE$75</f>
        <v>0</v>
      </c>
      <c r="BF55" s="306">
        <f>BF54/BF$75</f>
        <v>0</v>
      </c>
      <c r="BG55" s="306">
        <f>BG54/BG$75</f>
        <v>0</v>
      </c>
      <c r="BH55" s="306">
        <f>BH54/BH$75</f>
        <v>0</v>
      </c>
      <c r="BI55" s="306">
        <f>BI54/BI$75</f>
        <v>0</v>
      </c>
      <c r="BJ55" s="381"/>
      <c r="BK55" s="306">
        <f>BK54/BK$75</f>
        <v>0</v>
      </c>
      <c r="BL55" s="306">
        <f>BL54/BL$75</f>
        <v>0</v>
      </c>
      <c r="BM55" s="306">
        <f>BM54/BM$75</f>
        <v>0</v>
      </c>
      <c r="BN55" s="306">
        <f>BN54/BN$75</f>
        <v>0</v>
      </c>
      <c r="BO55" s="306">
        <f>BO54/BO$75</f>
        <v>0</v>
      </c>
      <c r="BP55" s="381"/>
      <c r="BQ55" s="306">
        <f>BQ54/BQ$75</f>
        <v>0</v>
      </c>
      <c r="BR55" s="510">
        <f>BR54/BR$75</f>
        <v>0</v>
      </c>
      <c r="BS55" s="306">
        <f>BS54/BS$75</f>
        <v>0</v>
      </c>
      <c r="BT55" s="306">
        <f>BT54/BT$75</f>
        <v>0</v>
      </c>
      <c r="BU55" s="306">
        <f>BU54/BU$75</f>
        <v>0</v>
      </c>
      <c r="BV55" s="381"/>
      <c r="BW55" s="306">
        <f>BW54/BW$75</f>
        <v>6.044009657956529E-3</v>
      </c>
      <c r="BX55" s="306">
        <f>BX54/BX$75</f>
        <v>7.4517301121142139E-3</v>
      </c>
      <c r="BY55" s="306">
        <f>BY54/BY$75</f>
        <v>7.7522441333021845E-3</v>
      </c>
      <c r="BZ55" s="306">
        <f>BZ54/BZ$75</f>
        <v>9.1740807374400078E-3</v>
      </c>
      <c r="CA55" s="306">
        <f>CA54/CA$75</f>
        <v>7.6410638777733826E-3</v>
      </c>
      <c r="CB55" s="381"/>
      <c r="CC55" s="306">
        <f>CC54/CC$75</f>
        <v>9.9289754527965672E-3</v>
      </c>
      <c r="CD55" s="306">
        <f>CD54/CD$75</f>
        <v>1.2108747016139537E-2</v>
      </c>
      <c r="CE55" s="306">
        <f>CE54/CE$75</f>
        <v>1.2588896008689109E-2</v>
      </c>
      <c r="CF55" s="306">
        <f>CF54/CF$75</f>
        <v>1.4835407038667658E-2</v>
      </c>
      <c r="CG55" s="306">
        <f>CG54/CG$75</f>
        <v>1.2430789204393861E-2</v>
      </c>
      <c r="CH55" s="511"/>
      <c r="CI55" s="510">
        <f t="shared" ref="CI55:CM55" si="70">CI54/CI$75</f>
        <v>1.4169973925009237E-2</v>
      </c>
      <c r="CJ55" s="510">
        <f t="shared" si="70"/>
        <v>1.7222953959998243E-2</v>
      </c>
      <c r="CK55" s="510">
        <f t="shared" si="70"/>
        <v>1.8000882841509386E-2</v>
      </c>
      <c r="CL55" s="510">
        <f t="shared" si="70"/>
        <v>2.1215123566662369E-2</v>
      </c>
      <c r="CM55" s="510">
        <f t="shared" si="70"/>
        <v>1.7743493386245885E-2</v>
      </c>
      <c r="CN55" s="511"/>
      <c r="CO55" s="510">
        <f t="shared" ref="CO55:CS55" si="71">CO54/CO$75</f>
        <v>1.8645859928102526E-2</v>
      </c>
      <c r="CP55" s="510">
        <f t="shared" si="71"/>
        <v>2.1724527469445719E-2</v>
      </c>
      <c r="CQ55" s="510">
        <f t="shared" si="71"/>
        <v>2.2167144695543123E-2</v>
      </c>
      <c r="CR55" s="510">
        <f t="shared" si="71"/>
        <v>2.5111571607030956E-2</v>
      </c>
      <c r="CS55" s="510">
        <f t="shared" si="71"/>
        <v>2.199803405109281E-2</v>
      </c>
      <c r="CT55" s="306"/>
      <c r="CU55"/>
      <c r="CV55" s="737"/>
      <c r="CW55" s="738"/>
      <c r="CX55" s="738"/>
      <c r="CY55" s="738"/>
      <c r="CZ55" s="738"/>
    </row>
    <row r="56" spans="1:104" ht="12.75" hidden="1" customHeight="1" outlineLevel="1" x14ac:dyDescent="0.2">
      <c r="A56" s="300"/>
      <c r="B56" s="266" t="s">
        <v>339</v>
      </c>
      <c r="C56" s="308"/>
      <c r="D56" s="308"/>
      <c r="E56" s="308"/>
      <c r="F56" s="308"/>
      <c r="G56" s="308"/>
      <c r="H56" s="308"/>
      <c r="I56" s="308"/>
      <c r="J56" s="308"/>
      <c r="K56" s="308"/>
      <c r="L56" s="308"/>
      <c r="M56" s="306"/>
      <c r="N56" s="308"/>
      <c r="O56" s="308"/>
      <c r="P56" s="308"/>
      <c r="Q56" s="308"/>
      <c r="R56" s="308"/>
      <c r="S56" s="306"/>
      <c r="T56" s="308"/>
      <c r="U56" s="308"/>
      <c r="V56" s="308"/>
      <c r="W56" s="308"/>
      <c r="X56" s="308"/>
      <c r="Y56" s="306"/>
      <c r="Z56" s="381"/>
      <c r="AA56" s="306" t="str">
        <f>IF(ISERROR(AA54/U54-1),"NM",AA54/U54-1)</f>
        <v>NM</v>
      </c>
      <c r="AB56" s="306" t="str">
        <f>IF(ISERROR(AB54/V54-1),"NM",AB54/V54-1)</f>
        <v>NM</v>
      </c>
      <c r="AC56" s="306" t="str">
        <f>IF(ISERROR(AC54/W54-1),"NM",AC54/W54-1)</f>
        <v>NM</v>
      </c>
      <c r="AD56" s="306" t="str">
        <f>IF(ISERROR(AD54/X54-1),"NM",AD54/X54-1)</f>
        <v>NM</v>
      </c>
      <c r="AE56" s="306" t="str">
        <f>IF(ISERROR(AE54/Y54-1),"NM",AE54/Y54-1)</f>
        <v>NM</v>
      </c>
      <c r="AF56" s="381"/>
      <c r="AG56" s="306" t="str">
        <f>IF(ISERROR(AG54/AA54-1),"NM",AG54/AA54-1)</f>
        <v>NM</v>
      </c>
      <c r="AH56" s="306" t="str">
        <f>IF(ISERROR(AH54/AB54-1),"NM",AH54/AB54-1)</f>
        <v>NM</v>
      </c>
      <c r="AI56" s="306" t="str">
        <f>IF(ISERROR(AI54/AC54-1),"NM",AI54/AC54-1)</f>
        <v>NM</v>
      </c>
      <c r="AJ56" s="306" t="str">
        <f>IF(ISERROR(AJ54/AD54-1),"NM",AJ54/AD54-1)</f>
        <v>NM</v>
      </c>
      <c r="AK56" s="306" t="str">
        <f>IF(ISERROR(AK54/AE54-1),"NM",AK54/AE54-1)</f>
        <v>NM</v>
      </c>
      <c r="AL56" s="381"/>
      <c r="AM56" s="306" t="str">
        <f>IF(ISERROR(AM54/AG54-1),"NM",AM54/AG54-1)</f>
        <v>NM</v>
      </c>
      <c r="AN56" s="306" t="str">
        <f>IF(ISERROR(AN54/AH54-1),"NM",AN54/AH54-1)</f>
        <v>NM</v>
      </c>
      <c r="AO56" s="306" t="str">
        <f>IF(ISERROR(AO54/AI54-1),"NM",AO54/AI54-1)</f>
        <v>NM</v>
      </c>
      <c r="AP56" s="306" t="str">
        <f>IF(ISERROR(AP54/AJ54-1),"NM",AP54/AJ54-1)</f>
        <v>NM</v>
      </c>
      <c r="AQ56" s="306" t="str">
        <f>IF(ISERROR(AQ54/AK54-1),"NM",AQ54/AK54-1)</f>
        <v>NM</v>
      </c>
      <c r="AR56" s="381"/>
      <c r="AS56" s="306" t="str">
        <f>IF(ISERROR(AS54/AM54-1),"NM",AS54/AM54-1)</f>
        <v>NM</v>
      </c>
      <c r="AT56" s="306" t="str">
        <f>IF(ISERROR(AT54/AN54-1),"NM",AT54/AN54-1)</f>
        <v>NM</v>
      </c>
      <c r="AU56" s="306" t="str">
        <f>IF(ISERROR(AU54/AO54-1),"NM",AU54/AO54-1)</f>
        <v>NM</v>
      </c>
      <c r="AV56" s="306" t="str">
        <f>IF(ISERROR(AV54/AP54-1),"NM",AV54/AP54-1)</f>
        <v>NM</v>
      </c>
      <c r="AW56" s="306" t="str">
        <f>IF(ISERROR(AW54/AQ54-1),"NM",AW54/AQ54-1)</f>
        <v>NM</v>
      </c>
      <c r="AX56" s="381"/>
      <c r="AY56" s="306" t="str">
        <f>IF(ISERROR(AY54/AS54-1),"NM",AY54/AS54-1)</f>
        <v>NM</v>
      </c>
      <c r="AZ56" s="306" t="str">
        <f>IF(ISERROR(AZ54/AT54-1),"NM",AZ54/AT54-1)</f>
        <v>NM</v>
      </c>
      <c r="BA56" s="306" t="str">
        <f>IF(ISERROR(BA54/AU54-1),"NM",BA54/AU54-1)</f>
        <v>NM</v>
      </c>
      <c r="BB56" s="306" t="str">
        <f>IF(ISERROR(BB54/AV54-1),"NM",BB54/AV54-1)</f>
        <v>NM</v>
      </c>
      <c r="BC56" s="306" t="str">
        <f>IF(ISERROR(BC54/AW54-1),"NM",BC54/AW54-1)</f>
        <v>NM</v>
      </c>
      <c r="BD56" s="381"/>
      <c r="BE56" s="306" t="str">
        <f>IF(ISERROR(BE54/AY54-1),"NM",BE54/AY54-1)</f>
        <v>NM</v>
      </c>
      <c r="BF56" s="306" t="str">
        <f>IF(ISERROR(BF54/AZ54-1),"NM",BF54/AZ54-1)</f>
        <v>NM</v>
      </c>
      <c r="BG56" s="306" t="str">
        <f>IF(ISERROR(BG54/BA54-1),"NM",BG54/BA54-1)</f>
        <v>NM</v>
      </c>
      <c r="BH56" s="306" t="str">
        <f>IF(ISERROR(BH54/BB54-1),"NM",BH54/BB54-1)</f>
        <v>NM</v>
      </c>
      <c r="BI56" s="306" t="str">
        <f>IF(ISERROR(BI54/BC54-1),"NM",BI54/BC54-1)</f>
        <v>NM</v>
      </c>
      <c r="BJ56" s="381"/>
      <c r="BK56" s="306" t="str">
        <f>IF(ISERROR(BK54/BE54-1),"NM",BK54/BE54-1)</f>
        <v>NM</v>
      </c>
      <c r="BL56" s="306" t="str">
        <f>IF(ISERROR(BL54/BF54-1),"NM",BL54/BF54-1)</f>
        <v>NM</v>
      </c>
      <c r="BM56" s="306" t="str">
        <f>IF(ISERROR(BM54/BG54-1),"NM",BM54/BG54-1)</f>
        <v>NM</v>
      </c>
      <c r="BN56" s="306" t="str">
        <f>IF(ISERROR(BN54/BH54-1),"NM",BN54/BH54-1)</f>
        <v>NM</v>
      </c>
      <c r="BO56" s="306" t="str">
        <f>IF(ISERROR(BO54/BI54-1),"NM",BO54/BI54-1)</f>
        <v>NM</v>
      </c>
      <c r="BP56" s="381"/>
      <c r="BQ56" s="306" t="str">
        <f>IF(ISERROR(BQ54/BK54-1),"NM",BQ54/BK54-1)</f>
        <v>NM</v>
      </c>
      <c r="BR56" s="510" t="str">
        <f>IF(ISERROR(BR54/BL54-1),"NM",BR54/BL54-1)</f>
        <v>NM</v>
      </c>
      <c r="BS56" s="306" t="str">
        <f>IF(ISERROR(BS54/BM54-1),"NM",BS54/BM54-1)</f>
        <v>NM</v>
      </c>
      <c r="BT56" s="306" t="str">
        <f>IF(ISERROR(BT54/BN54-1),"NM",BT54/BN54-1)</f>
        <v>NM</v>
      </c>
      <c r="BU56" s="306" t="str">
        <f>IF(ISERROR(BU54/BO54-1),"NM",BU54/BO54-1)</f>
        <v>NM</v>
      </c>
      <c r="BV56" s="381"/>
      <c r="BW56" s="306" t="str">
        <f>IF(ISERROR(BW54/BQ54-1),"NM",BW54/BQ54-1)</f>
        <v>NM</v>
      </c>
      <c r="BX56" s="306" t="str">
        <f>IF(ISERROR(BX54/BR54-1),"NM",BX54/BR54-1)</f>
        <v>NM</v>
      </c>
      <c r="BY56" s="306" t="str">
        <f>IF(ISERROR(BY54/BS54-1),"NM",BY54/BS54-1)</f>
        <v>NM</v>
      </c>
      <c r="BZ56" s="306" t="str">
        <f>IF(ISERROR(BZ54/BT54-1),"NM",BZ54/BT54-1)</f>
        <v>NM</v>
      </c>
      <c r="CA56" s="306" t="str">
        <f>IF(ISERROR(CA54/BU54-1),"NM",CA54/BU54-1)</f>
        <v>NM</v>
      </c>
      <c r="CB56" s="381"/>
      <c r="CC56" s="306">
        <f>IF(ISERROR(CC54/BW54-1),"NM",CC54/BW54-1)</f>
        <v>0.7212845009374993</v>
      </c>
      <c r="CD56" s="306">
        <f>IF(ISERROR(CD54/BX54-1),"NM",CD54/BX54-1)</f>
        <v>0.72128450093749907</v>
      </c>
      <c r="CE56" s="306">
        <f>IF(ISERROR(CE54/BY54-1),"NM",CE54/BY54-1)</f>
        <v>0.72128450093749974</v>
      </c>
      <c r="CF56" s="306">
        <f>IF(ISERROR(CF54/BZ54-1),"NM",CF54/BZ54-1)</f>
        <v>0.72128450093749974</v>
      </c>
      <c r="CG56" s="306">
        <f>IF(ISERROR(CG54/CA54-1),"NM",CG54/CA54-1)</f>
        <v>0.72128450093749952</v>
      </c>
      <c r="CH56" s="511"/>
      <c r="CI56" s="510">
        <f t="shared" ref="CI56:CM56" si="72">IF(ISERROR(CI54/CC54-1),"NM",CI54/CC54-1)</f>
        <v>0.5300306674999995</v>
      </c>
      <c r="CJ56" s="510">
        <f t="shared" si="72"/>
        <v>0.53003066749999972</v>
      </c>
      <c r="CK56" s="510">
        <f t="shared" si="72"/>
        <v>0.5300306674999995</v>
      </c>
      <c r="CL56" s="510">
        <f t="shared" si="72"/>
        <v>0.5300306674999995</v>
      </c>
      <c r="CM56" s="510">
        <f t="shared" si="72"/>
        <v>0.5300306674999995</v>
      </c>
      <c r="CN56" s="511"/>
      <c r="CO56" s="510">
        <f t="shared" ref="CO56:CS56" si="73">IF(ISERROR(CO54/CI54-1),"NM",CO54/CI54-1)</f>
        <v>0.41045033735961045</v>
      </c>
      <c r="CP56" s="510">
        <f t="shared" si="73"/>
        <v>0.36275394913972026</v>
      </c>
      <c r="CQ56" s="510">
        <f t="shared" si="73"/>
        <v>0.31667048226059924</v>
      </c>
      <c r="CR56" s="510">
        <f t="shared" si="73"/>
        <v>0.27214539348850164</v>
      </c>
      <c r="CS56" s="510">
        <f t="shared" si="73"/>
        <v>0.33165421043571475</v>
      </c>
      <c r="CT56" s="306"/>
    </row>
    <row r="57" spans="1:104" ht="12.75" customHeight="1" collapsed="1" x14ac:dyDescent="0.2">
      <c r="A57" s="300"/>
      <c r="B57" s="677" t="s">
        <v>342</v>
      </c>
      <c r="C57" s="306"/>
      <c r="D57" s="306"/>
      <c r="E57" s="306"/>
      <c r="F57" s="306"/>
      <c r="G57" s="306"/>
      <c r="H57" s="184"/>
      <c r="I57" s="306"/>
      <c r="J57" s="306"/>
      <c r="K57" s="306"/>
      <c r="L57" s="306"/>
      <c r="M57" s="306"/>
      <c r="N57" s="184"/>
      <c r="O57" s="306"/>
      <c r="P57" s="306"/>
      <c r="Q57" s="306"/>
      <c r="R57" s="306"/>
      <c r="S57" s="306"/>
      <c r="T57" s="184"/>
      <c r="U57" s="306"/>
      <c r="V57" s="306"/>
      <c r="W57" s="306"/>
      <c r="X57" s="306"/>
      <c r="Y57" s="306"/>
      <c r="Z57" s="184"/>
      <c r="AA57" s="306" t="str">
        <f>IF(ISERROR(AA56-AA$69),"NM",AA56-AA$69)</f>
        <v>NM</v>
      </c>
      <c r="AB57" s="306" t="str">
        <f>IF(ISERROR(AB56-AB$69),"NM",AB56-AB$69)</f>
        <v>NM</v>
      </c>
      <c r="AC57" s="306" t="str">
        <f>IF(ISERROR(AC56-AC$69),"NM",AC56-AC$69)</f>
        <v>NM</v>
      </c>
      <c r="AD57" s="306" t="str">
        <f>IF(ISERROR(AD56-AD$69),"NM",AD56-AD$69)</f>
        <v>NM</v>
      </c>
      <c r="AE57" s="306" t="str">
        <f>IF(ISERROR(AE56-AE$69),"NM",AE56-AE$69)</f>
        <v>NM</v>
      </c>
      <c r="AF57" s="184"/>
      <c r="AG57" s="306" t="str">
        <f>IF(ISERROR(AG56-AG$69),"NM",AG56-AG$69)</f>
        <v>NM</v>
      </c>
      <c r="AH57" s="306" t="str">
        <f>IF(ISERROR(AH56-AH$69),"NM",AH56-AH$69)</f>
        <v>NM</v>
      </c>
      <c r="AI57" s="306" t="str">
        <f>IF(ISERROR(AI56-AI$69),"NM",AI56-AI$69)</f>
        <v>NM</v>
      </c>
      <c r="AJ57" s="306" t="str">
        <f>IF(ISERROR(AJ56-AJ$69),"NM",AJ56-AJ$69)</f>
        <v>NM</v>
      </c>
      <c r="AK57" s="306" t="str">
        <f>IF(ISERROR(AK56-AK$69),"NM",AK56-AK$69)</f>
        <v>NM</v>
      </c>
      <c r="AL57" s="184"/>
      <c r="AM57" s="306" t="str">
        <f>IF(ISERROR(AM56-AM$69),"NM",AM56-AM$69)</f>
        <v>NM</v>
      </c>
      <c r="AN57" s="306" t="str">
        <f>IF(ISERROR(AN56-AN$69),"NM",AN56-AN$69)</f>
        <v>NM</v>
      </c>
      <c r="AO57" s="306" t="str">
        <f>IF(ISERROR(AO56-AO$69),"NM",AO56-AO$69)</f>
        <v>NM</v>
      </c>
      <c r="AP57" s="306" t="str">
        <f>IF(ISERROR(AP56-AP$69),"NM",AP56-AP$69)</f>
        <v>NM</v>
      </c>
      <c r="AQ57" s="306" t="str">
        <f>IF(ISERROR(AQ56-AQ$69),"NM",AQ56-AQ$69)</f>
        <v>NM</v>
      </c>
      <c r="AR57" s="184"/>
      <c r="AS57" s="306" t="str">
        <f>IF(ISERROR(AS56-AS$69),"NM",AS56-AS$69)</f>
        <v>NM</v>
      </c>
      <c r="AT57" s="306" t="str">
        <f>IF(ISERROR(AT56-AT$69),"NM",AT56-AT$69)</f>
        <v>NM</v>
      </c>
      <c r="AU57" s="306" t="str">
        <f>IF(ISERROR(AU56-AU$69),"NM",AU56-AU$69)</f>
        <v>NM</v>
      </c>
      <c r="AV57" s="306" t="str">
        <f>IF(ISERROR(AV56-AV$69),"NM",AV56-AV$69)</f>
        <v>NM</v>
      </c>
      <c r="AW57" s="306" t="str">
        <f>IF(ISERROR(AW56-AW$69),"NM",AW56-AW$69)</f>
        <v>NM</v>
      </c>
      <c r="AX57" s="184"/>
      <c r="AY57" s="306" t="str">
        <f>IF(ISERROR(AY56-AY$69),"NM",AY56-AY$69)</f>
        <v>NM</v>
      </c>
      <c r="AZ57" s="306" t="str">
        <f>IF(ISERROR(AZ56-AZ$69),"NM",AZ56-AZ$69)</f>
        <v>NM</v>
      </c>
      <c r="BA57" s="306" t="str">
        <f>IF(ISERROR(BA56-BA$69),"NM",BA56-BA$69)</f>
        <v>NM</v>
      </c>
      <c r="BB57" s="306" t="str">
        <f>IF(ISERROR(BB56-BB$69),"NM",BB56-BB$69)</f>
        <v>NM</v>
      </c>
      <c r="BC57" s="306" t="str">
        <f>IF(ISERROR(BC56-BC$69),"NM",BC56-BC$69)</f>
        <v>NM</v>
      </c>
      <c r="BD57" s="184"/>
      <c r="BE57" s="306" t="str">
        <f>IF(ISERROR(BE56-BE$69),"NM",BE56-BE$69)</f>
        <v>NM</v>
      </c>
      <c r="BF57" s="306" t="str">
        <f>IF(ISERROR(BF56-BF$69),"NM",BF56-BF$69)</f>
        <v>NM</v>
      </c>
      <c r="BG57" s="306" t="str">
        <f>IF(ISERROR(BG56-BG$69),"NM",BG56-BG$69)</f>
        <v>NM</v>
      </c>
      <c r="BH57" s="306" t="str">
        <f>IF(ISERROR(BH56-BH$69),"NM",BH56-BH$69)</f>
        <v>NM</v>
      </c>
      <c r="BI57" s="306" t="str">
        <f>IF(ISERROR(BI56-BI$69),"NM",BI56-BI$69)</f>
        <v>NM</v>
      </c>
      <c r="BJ57" s="184"/>
      <c r="BK57" s="306" t="str">
        <f>IF(ISERROR(BK56-BK$69),"NM",BK56-BK$69)</f>
        <v>NM</v>
      </c>
      <c r="BL57" s="306" t="str">
        <f>IF(ISERROR(BL56-BL$69),"NM",BL56-BL$69)</f>
        <v>NM</v>
      </c>
      <c r="BM57" s="306" t="str">
        <f>IF(ISERROR(BM56-BM$69),"NM",BM56-BM$69)</f>
        <v>NM</v>
      </c>
      <c r="BN57" s="306" t="str">
        <f>IF(ISERROR(BN56-BN$69),"NM",BN56-BN$69)</f>
        <v>NM</v>
      </c>
      <c r="BO57" s="306" t="str">
        <f>IF(ISERROR(BO56-BO$69),"NM",BO56-BO$69)</f>
        <v>NM</v>
      </c>
      <c r="BP57" s="184"/>
      <c r="BQ57" s="306" t="str">
        <f>IF(ISERROR(BQ56-BQ$69),"NM",BQ56-BQ$69)</f>
        <v>NM</v>
      </c>
      <c r="BR57" s="510" t="str">
        <f>IF(ISERROR(BR56-BR$69),"NM",BR56-BR$69)</f>
        <v>NM</v>
      </c>
      <c r="BS57" s="306" t="str">
        <f>IF(ISERROR(BS56-BS$69),"NM",BS56-BS$69)</f>
        <v>NM</v>
      </c>
      <c r="BT57" s="306" t="str">
        <f>IF(ISERROR(BT56-BT$69),"NM",BT56-BT$69)</f>
        <v>NM</v>
      </c>
      <c r="BU57" s="306" t="str">
        <f>IF(ISERROR(BU56-BU$69),"NM",BU56-BU$69)</f>
        <v>NM</v>
      </c>
      <c r="BV57" s="184"/>
      <c r="BW57" s="306" t="str">
        <f>IF(ISERROR(BW56-BW$69),"NM",BW56-BW$69)</f>
        <v>NM</v>
      </c>
      <c r="BX57" s="306" t="str">
        <f>IF(ISERROR(BX56-BX$69),"NM",BX56-BX$69)</f>
        <v>NM</v>
      </c>
      <c r="BY57" s="306" t="str">
        <f>IF(ISERROR(BY56-BY$69),"NM",BY56-BY$69)</f>
        <v>NM</v>
      </c>
      <c r="BZ57" s="306" t="str">
        <f>IF(ISERROR(BZ56-BZ$69),"NM",BZ56-BZ$69)</f>
        <v>NM</v>
      </c>
      <c r="CA57" s="306" t="str">
        <f>IF(ISERROR(CA56-CA$69),"NM",CA56-CA$69)</f>
        <v>NM</v>
      </c>
      <c r="CB57" s="184"/>
      <c r="CC57" s="306">
        <f>IF(ISERROR(CC56-CC$69),"NM",CC56-CC$69)</f>
        <v>0.7212845009374993</v>
      </c>
      <c r="CD57" s="306">
        <f>IF(ISERROR(CD56-CD$69),"NM",CD56-CD$69)</f>
        <v>0.72128450093749907</v>
      </c>
      <c r="CE57" s="306">
        <f>IF(ISERROR(CE56-CE$69),"NM",CE56-CE$69)</f>
        <v>0.72128450093749974</v>
      </c>
      <c r="CF57" s="306">
        <f>IF(ISERROR(CF56-CF$69),"NM",CF56-CF$69)</f>
        <v>0.72128450093749974</v>
      </c>
      <c r="CG57" s="306">
        <f>IF(ISERROR(CG56-CG$69),"NM",CG56-CG$69)</f>
        <v>0.72128450093749952</v>
      </c>
      <c r="CH57" s="184"/>
      <c r="CI57" s="510">
        <f t="shared" ref="CI57:CM57" si="74">IF(ISERROR(CI56-CI$69),"NM",CI56-CI$69)</f>
        <v>0.5300306674999995</v>
      </c>
      <c r="CJ57" s="510">
        <f t="shared" si="74"/>
        <v>0.53003066749999972</v>
      </c>
      <c r="CK57" s="510">
        <f t="shared" si="74"/>
        <v>0.5300306674999995</v>
      </c>
      <c r="CL57" s="510">
        <f t="shared" si="74"/>
        <v>0.5300306674999995</v>
      </c>
      <c r="CM57" s="510">
        <f t="shared" si="74"/>
        <v>0.5300306674999995</v>
      </c>
      <c r="CN57" s="184"/>
      <c r="CO57" s="510">
        <f t="shared" ref="CO57:CS57" si="75">IF(ISERROR(CO56-CO$69),"NM",CO56-CO$69)</f>
        <v>0.41045033735961045</v>
      </c>
      <c r="CP57" s="510">
        <f t="shared" si="75"/>
        <v>0.36275394913972026</v>
      </c>
      <c r="CQ57" s="510">
        <f t="shared" si="75"/>
        <v>0.31667048226059924</v>
      </c>
      <c r="CR57" s="510">
        <f t="shared" si="75"/>
        <v>0.27214539348850164</v>
      </c>
      <c r="CS57" s="510">
        <f t="shared" si="75"/>
        <v>0.33165421043571475</v>
      </c>
      <c r="CT57" s="313"/>
    </row>
    <row r="58" spans="1:104" s="43" customFormat="1" ht="12" customHeight="1" x14ac:dyDescent="0.2">
      <c r="A58" s="367"/>
      <c r="B58" s="304" t="s">
        <v>382</v>
      </c>
      <c r="C58" s="368"/>
      <c r="D58" s="368"/>
      <c r="E58" s="368"/>
      <c r="F58" s="369"/>
      <c r="G58" s="368"/>
      <c r="H58" s="253"/>
      <c r="I58" s="368"/>
      <c r="J58" s="368"/>
      <c r="K58" s="368"/>
      <c r="L58" s="368"/>
      <c r="M58" s="368"/>
      <c r="N58" s="253"/>
      <c r="O58" s="368"/>
      <c r="P58" s="368"/>
      <c r="Q58" s="368"/>
      <c r="R58" s="368"/>
      <c r="S58" s="368"/>
      <c r="T58" s="253"/>
      <c r="U58" s="368">
        <v>3.6</v>
      </c>
      <c r="V58" s="368">
        <v>3.754</v>
      </c>
      <c r="W58" s="368">
        <v>4.0789999999999997</v>
      </c>
      <c r="X58" s="368">
        <f>15.485-W58-V58-U58</f>
        <v>4.0519999999999996</v>
      </c>
      <c r="Y58" s="39">
        <f>+SUM(U58:X58)</f>
        <v>15.484999999999999</v>
      </c>
      <c r="Z58" s="253"/>
      <c r="AA58" s="373">
        <v>4.0590000000000002</v>
      </c>
      <c r="AB58" s="373">
        <v>4.2569999999999997</v>
      </c>
      <c r="AC58" s="373">
        <v>4.657</v>
      </c>
      <c r="AD58" s="39">
        <f>17.917-AC58-AB58-AA58</f>
        <v>4.9440000000000017</v>
      </c>
      <c r="AE58" s="39">
        <f>+SUM(AA58:AD58)</f>
        <v>17.917000000000002</v>
      </c>
      <c r="AF58" s="253"/>
      <c r="AG58" s="373">
        <v>2.2170000000000001</v>
      </c>
      <c r="AH58" s="373">
        <v>2.3639999999999999</v>
      </c>
      <c r="AI58" s="373">
        <v>2.7869999999999999</v>
      </c>
      <c r="AJ58" s="39">
        <f>10.048-AI58-AH58-AG58</f>
        <v>2.68</v>
      </c>
      <c r="AK58" s="39">
        <f>+SUM(AG58:AJ58)</f>
        <v>10.048</v>
      </c>
      <c r="AL58" s="253"/>
      <c r="AM58" s="373">
        <v>2.5920000000000001</v>
      </c>
      <c r="AN58" s="373">
        <v>2.54</v>
      </c>
      <c r="AO58" s="373">
        <v>2.794</v>
      </c>
      <c r="AP58" s="39">
        <f>11.042-AO58-AN58-AM58</f>
        <v>3.1159999999999992</v>
      </c>
      <c r="AQ58" s="39">
        <f>+SUM(AM58:AP58)</f>
        <v>11.042</v>
      </c>
      <c r="AR58" s="253"/>
      <c r="AS58" s="373">
        <v>4.298</v>
      </c>
      <c r="AT58" s="373">
        <v>3.169</v>
      </c>
      <c r="AU58" s="373">
        <v>3.4990000000000001</v>
      </c>
      <c r="AV58" s="39">
        <f>14.11-AU58-AT58-AS58</f>
        <v>3.1439999999999984</v>
      </c>
      <c r="AW58" s="39">
        <f>+SUM(AS58:AV58)</f>
        <v>14.11</v>
      </c>
      <c r="AX58" s="253"/>
      <c r="AY58" s="373">
        <v>3.3610000000000002</v>
      </c>
      <c r="AZ58" s="373">
        <v>3.3530000000000002</v>
      </c>
      <c r="BA58" s="373">
        <v>3.5030000000000001</v>
      </c>
      <c r="BB58" s="373">
        <v>3.2709999999999999</v>
      </c>
      <c r="BC58" s="39">
        <f>+SUM(AY58:BB58)</f>
        <v>13.488</v>
      </c>
      <c r="BD58" s="253"/>
      <c r="BE58" s="373">
        <v>3.8</v>
      </c>
      <c r="BF58" s="373">
        <v>2.8</v>
      </c>
      <c r="BG58" s="373">
        <v>3.6</v>
      </c>
      <c r="BH58" s="373">
        <v>4.8</v>
      </c>
      <c r="BI58" s="39">
        <f>+SUM(BE58:BH58)</f>
        <v>15</v>
      </c>
      <c r="BJ58" s="253"/>
      <c r="BK58" s="373">
        <v>4.0999999999999996</v>
      </c>
      <c r="BL58" s="373">
        <f>2.9+1.6</f>
        <v>4.5</v>
      </c>
      <c r="BM58" s="373">
        <f>3.6+2.3</f>
        <v>5.9</v>
      </c>
      <c r="BN58" s="373">
        <f>2.6+2</f>
        <v>4.5999999999999996</v>
      </c>
      <c r="BO58" s="39">
        <f>+SUM(BK58:BN58)</f>
        <v>19.100000000000001</v>
      </c>
      <c r="BP58" s="253"/>
      <c r="BQ58" s="373">
        <f>2.5+1.9</f>
        <v>4.4000000000000004</v>
      </c>
      <c r="BR58" s="373">
        <f>2.5+2</f>
        <v>4.5</v>
      </c>
      <c r="BS58" s="39">
        <f>+BM58*(1+BS60)</f>
        <v>5.9</v>
      </c>
      <c r="BT58" s="39">
        <f>+BN58*(1+BT60)</f>
        <v>4.5999999999999996</v>
      </c>
      <c r="BU58" s="39">
        <f>+SUM(BQ58:BT58)</f>
        <v>19.399999999999999</v>
      </c>
      <c r="BV58" s="253"/>
      <c r="BW58" s="39">
        <f>+BQ58*(1+BW60)</f>
        <v>5.7200000000000006</v>
      </c>
      <c r="BX58" s="39">
        <f>+BR58*(1+BX60)</f>
        <v>5.8500000000000005</v>
      </c>
      <c r="BY58" s="39">
        <f>+BS58*(1+BY60)</f>
        <v>7.6700000000000008</v>
      </c>
      <c r="BZ58" s="39">
        <f>+BT58*(1+BZ60)</f>
        <v>5.9799999999999995</v>
      </c>
      <c r="CA58" s="39">
        <f>+SUM(BW58:BZ58)</f>
        <v>25.220000000000002</v>
      </c>
      <c r="CB58" s="253"/>
      <c r="CC58" s="39">
        <f>+BW58*(1+CC60)</f>
        <v>7.4360000000000008</v>
      </c>
      <c r="CD58" s="39">
        <f>+BX58*(1+CD60)</f>
        <v>7.6050000000000013</v>
      </c>
      <c r="CE58" s="39">
        <f>+BY58*(1+CE60)</f>
        <v>9.9710000000000019</v>
      </c>
      <c r="CF58" s="39">
        <f>+BZ58*(1+CF60)</f>
        <v>7.774</v>
      </c>
      <c r="CG58" s="39">
        <f>+SUM(CC58:CF58)</f>
        <v>32.786000000000001</v>
      </c>
      <c r="CH58" s="253"/>
      <c r="CI58" s="39">
        <f t="shared" ref="CI58:CL58" si="76">+CC58*(1+CI60)</f>
        <v>8.9232000000000014</v>
      </c>
      <c r="CJ58" s="39">
        <f t="shared" si="76"/>
        <v>9.1260000000000012</v>
      </c>
      <c r="CK58" s="39">
        <f t="shared" si="76"/>
        <v>11.965200000000001</v>
      </c>
      <c r="CL58" s="39">
        <f t="shared" si="76"/>
        <v>9.3287999999999993</v>
      </c>
      <c r="CM58" s="39">
        <f t="shared" ref="CM58" si="77">+SUM(CI58:CL58)</f>
        <v>39.343200000000003</v>
      </c>
      <c r="CN58" s="253"/>
      <c r="CO58" s="39">
        <f t="shared" ref="CO58:CR58" si="78">+CI58*(1+CO60)</f>
        <v>10.707840000000001</v>
      </c>
      <c r="CP58" s="39">
        <f t="shared" si="78"/>
        <v>10.951200000000002</v>
      </c>
      <c r="CQ58" s="39">
        <f t="shared" si="78"/>
        <v>14.35824</v>
      </c>
      <c r="CR58" s="39">
        <f t="shared" si="78"/>
        <v>11.194559999999999</v>
      </c>
      <c r="CS58" s="39">
        <f t="shared" ref="CS58" si="79">+SUM(CO58:CR58)</f>
        <v>47.211840000000009</v>
      </c>
      <c r="CT58" s="39"/>
      <c r="CU58"/>
      <c r="CV58"/>
      <c r="CW58"/>
    </row>
    <row r="59" spans="1:104" s="43" customFormat="1" ht="12" customHeight="1" x14ac:dyDescent="0.2">
      <c r="A59" s="300"/>
      <c r="B59" s="266" t="s">
        <v>344</v>
      </c>
      <c r="C59" s="308"/>
      <c r="D59" s="308"/>
      <c r="E59" s="308"/>
      <c r="F59" s="308"/>
      <c r="G59" s="308"/>
      <c r="H59" s="308"/>
      <c r="I59" s="308"/>
      <c r="J59" s="308"/>
      <c r="K59" s="308"/>
      <c r="L59" s="308"/>
      <c r="M59" s="306"/>
      <c r="N59" s="308"/>
      <c r="O59" s="308"/>
      <c r="P59" s="308"/>
      <c r="Q59" s="308"/>
      <c r="R59" s="308"/>
      <c r="S59" s="306"/>
      <c r="T59" s="308"/>
      <c r="U59" s="308"/>
      <c r="V59" s="308"/>
      <c r="W59" s="308"/>
      <c r="X59" s="308"/>
      <c r="Y59" s="306"/>
      <c r="Z59" s="381"/>
      <c r="AA59" s="306">
        <f>AA58/AA$75</f>
        <v>4.418776807681421E-2</v>
      </c>
      <c r="AB59" s="306">
        <f>AB58/AB$75</f>
        <v>4.2383512544802868E-2</v>
      </c>
      <c r="AC59" s="306">
        <f>AC58/AC$75</f>
        <v>4.5490065837028935E-2</v>
      </c>
      <c r="AD59" s="306">
        <f>AD58/AD$75</f>
        <v>4.6028376717685185E-2</v>
      </c>
      <c r="AE59" s="306">
        <f>AE58/AE$75</f>
        <v>4.4560340625341963E-2</v>
      </c>
      <c r="AF59" s="381"/>
      <c r="AG59" s="306">
        <f>AG58/AG$75</f>
        <v>2.0072067504436318E-2</v>
      </c>
      <c r="AH59" s="306">
        <f>AH58/AH$75</f>
        <v>1.9249090065222168E-2</v>
      </c>
      <c r="AI59" s="306">
        <f>AI58/AI$75</f>
        <v>2.1475299937585245E-2</v>
      </c>
      <c r="AJ59" s="306">
        <f>AJ58/AJ$75</f>
        <v>2.0155680066182832E-2</v>
      </c>
      <c r="AK59" s="306">
        <f>AK58/AK$75</f>
        <v>2.025786030382758E-2</v>
      </c>
      <c r="AL59" s="381"/>
      <c r="AM59" s="306">
        <f>AM58/AM$75</f>
        <v>1.9424897142471729E-2</v>
      </c>
      <c r="AN59" s="306">
        <f>AN58/AN$75</f>
        <v>1.7030977604934962E-2</v>
      </c>
      <c r="AO59" s="306">
        <f>AO58/AO$75</f>
        <v>1.7856229868602688E-2</v>
      </c>
      <c r="AP59" s="306">
        <f>AP58/AP$75</f>
        <v>1.7896115233522473E-2</v>
      </c>
      <c r="AQ59" s="306">
        <f>AQ58/AQ$75</f>
        <v>1.8008203338416247E-2</v>
      </c>
      <c r="AR59" s="381"/>
      <c r="AS59" s="306">
        <f>AS58/AS$75</f>
        <v>2.1228150760370823E-2</v>
      </c>
      <c r="AT59" s="306">
        <f>AT58/AT$75</f>
        <v>1.5529746153092229E-2</v>
      </c>
      <c r="AU59" s="306">
        <f>AU58/AU$75</f>
        <v>1.9128162515580242E-2</v>
      </c>
      <c r="AV59" s="306">
        <f>AV58/AV$75</f>
        <v>1.6655630016157646E-2</v>
      </c>
      <c r="AW59" s="306">
        <f>AW58/AW$75</f>
        <v>1.8131212928030261E-2</v>
      </c>
      <c r="AX59" s="381"/>
      <c r="AY59" s="306">
        <f>AY58/AY$75</f>
        <v>1.9906656084530735E-2</v>
      </c>
      <c r="AZ59" s="306">
        <f>AZ58/AZ$75</f>
        <v>1.8183987461563075E-2</v>
      </c>
      <c r="BA59" s="306">
        <f>BA58/BA$75</f>
        <v>1.945938138832104E-2</v>
      </c>
      <c r="BB59" s="306">
        <f>BB58/BB$75</f>
        <v>1.7227220530677653E-2</v>
      </c>
      <c r="BC59" s="306">
        <f>BC58/BC$75</f>
        <v>1.8652481916856412E-2</v>
      </c>
      <c r="BD59" s="381"/>
      <c r="BE59" s="306">
        <f>BE58/BE$75</f>
        <v>2.0704905725450119E-2</v>
      </c>
      <c r="BF59" s="306">
        <f>BF58/BF$75</f>
        <v>1.4486063788876808E-2</v>
      </c>
      <c r="BG59" s="306">
        <f>BG58/BG$75</f>
        <v>1.8895850315030129E-2</v>
      </c>
      <c r="BH59" s="306">
        <f>BH58/BH$75</f>
        <v>2.5737265415549593E-2</v>
      </c>
      <c r="BI59" s="306">
        <f>BI58/BI$75</f>
        <v>1.9898157872192082E-2</v>
      </c>
      <c r="BK59" s="306">
        <f>BK58/BK$75</f>
        <v>2.3097784946570225E-2</v>
      </c>
      <c r="BL59" s="306">
        <f>BL58/BL$75</f>
        <v>2.2895013057771394E-2</v>
      </c>
      <c r="BM59" s="306">
        <f>BM58/BM$75</f>
        <v>2.99627560259535E-2</v>
      </c>
      <c r="BN59" s="306">
        <f>BN58/BN$75</f>
        <v>2.29472277611611E-2</v>
      </c>
      <c r="BO59" s="306">
        <f>BO58/BO$75</f>
        <v>2.4759321865151805E-2</v>
      </c>
      <c r="BQ59" s="306">
        <f>BQ58/BQ$75</f>
        <v>2.3136750666823514E-2</v>
      </c>
      <c r="BR59" s="510">
        <f>BR58/BR$75</f>
        <v>2.3198819830218344E-2</v>
      </c>
      <c r="BS59" s="306">
        <f>BS58/BS$75</f>
        <v>3.1075710696439201E-2</v>
      </c>
      <c r="BT59" s="306">
        <f>BT58/BT$75</f>
        <v>2.3327154457861748E-2</v>
      </c>
      <c r="BU59" s="306">
        <f>BU58/BU$75</f>
        <v>2.5155504168998213E-2</v>
      </c>
      <c r="BW59" s="306">
        <f>BW58/BW$75</f>
        <v>3.0039704238156554E-2</v>
      </c>
      <c r="BX59" s="306">
        <f>BX58/BX$75</f>
        <v>2.9277709306388046E-2</v>
      </c>
      <c r="BY59" s="306">
        <f>BY58/BY$75</f>
        <v>3.858393936162386E-2</v>
      </c>
      <c r="BZ59" s="306">
        <f>BZ58/BZ$75</f>
        <v>2.8663281403125976E-2</v>
      </c>
      <c r="CA59" s="306">
        <f>CA58/CA$75</f>
        <v>3.1618193265007241E-2</v>
      </c>
      <c r="CC59" s="306">
        <f>CC58/CC$75</f>
        <v>3.7270535598725396E-2</v>
      </c>
      <c r="CD59" s="306">
        <f>CD58/CD$75</f>
        <v>3.5931047389787793E-2</v>
      </c>
      <c r="CE59" s="306">
        <f>CE58/CE$75</f>
        <v>4.7321387006182707E-2</v>
      </c>
      <c r="CF59" s="306">
        <f>CF58/CF$75</f>
        <v>3.500688840827814E-2</v>
      </c>
      <c r="CG59" s="306">
        <f>CG58/CG$75</f>
        <v>3.8848353367662528E-2</v>
      </c>
      <c r="CI59" s="510">
        <f t="shared" ref="CI59:CM59" si="80">CI58/CI$75</f>
        <v>4.1716835627680061E-2</v>
      </c>
      <c r="CJ59" s="510">
        <f t="shared" si="80"/>
        <v>4.0082926491262216E-2</v>
      </c>
      <c r="CK59" s="510">
        <f t="shared" si="80"/>
        <v>5.3069468119308967E-2</v>
      </c>
      <c r="CL59" s="510">
        <f t="shared" si="80"/>
        <v>3.9262750434202423E-2</v>
      </c>
      <c r="CM59" s="510">
        <f t="shared" si="80"/>
        <v>4.3490475171553133E-2</v>
      </c>
      <c r="CO59" s="510">
        <f t="shared" ref="CO59:CS59" si="81">CO58/CO$75</f>
        <v>4.670336485907213E-2</v>
      </c>
      <c r="CP59" s="510">
        <f t="shared" si="81"/>
        <v>4.4521103199699465E-2</v>
      </c>
      <c r="CQ59" s="510">
        <f t="shared" si="81"/>
        <v>5.9561391093021769E-2</v>
      </c>
      <c r="CR59" s="510">
        <f t="shared" si="81"/>
        <v>4.3838283828335982E-2</v>
      </c>
      <c r="CS59" s="510">
        <f t="shared" si="81"/>
        <v>4.8587960885836057E-2</v>
      </c>
      <c r="CT59" s="306"/>
      <c r="CU59"/>
      <c r="CV59"/>
      <c r="CW59"/>
    </row>
    <row r="60" spans="1:104" ht="12" hidden="1" customHeight="1" outlineLevel="1" x14ac:dyDescent="0.2">
      <c r="A60" s="300"/>
      <c r="B60" s="266" t="s">
        <v>339</v>
      </c>
      <c r="C60" s="308"/>
      <c r="D60" s="308"/>
      <c r="E60" s="308"/>
      <c r="F60" s="308"/>
      <c r="G60" s="308"/>
      <c r="H60" s="308"/>
      <c r="I60" s="308"/>
      <c r="J60" s="308"/>
      <c r="K60" s="308"/>
      <c r="L60" s="308"/>
      <c r="M60" s="306"/>
      <c r="N60" s="308"/>
      <c r="O60" s="308"/>
      <c r="P60" s="308"/>
      <c r="Q60" s="308"/>
      <c r="R60" s="308"/>
      <c r="S60" s="306"/>
      <c r="T60" s="308"/>
      <c r="U60" s="308"/>
      <c r="V60" s="308"/>
      <c r="W60" s="308"/>
      <c r="X60" s="308"/>
      <c r="Y60" s="306"/>
      <c r="Z60" s="381"/>
      <c r="AA60" s="306">
        <f>IF(ISERROR(AA58/U58-1),"NM",AA58/U58-1)</f>
        <v>0.12749999999999995</v>
      </c>
      <c r="AB60" s="306">
        <f>IF(ISERROR(AB58/V58-1),"NM",AB58/V58-1)</f>
        <v>0.13399041022908897</v>
      </c>
      <c r="AC60" s="306">
        <f>IF(ISERROR(AC58/W58-1),"NM",AC58/W58-1)</f>
        <v>0.14170139740132393</v>
      </c>
      <c r="AD60" s="306">
        <f>IF(ISERROR(AD58/X58-1),"NM",AD58/X58-1)</f>
        <v>0.22013820335636769</v>
      </c>
      <c r="AE60" s="306">
        <f>IF(ISERROR(AE58/Y58-1),"NM",AE58/Y58-1)</f>
        <v>0.15705521472392658</v>
      </c>
      <c r="AF60" s="381"/>
      <c r="AG60" s="306">
        <f>IF(ISERROR(AG58/AA58-1),"NM",AG58/AA58-1)</f>
        <v>-0.45380635624538068</v>
      </c>
      <c r="AH60" s="306">
        <f>IF(ISERROR(AH58/AB58-1),"NM",AH58/AB58-1)</f>
        <v>-0.44467935165609584</v>
      </c>
      <c r="AI60" s="306">
        <f>IF(ISERROR(AI58/AC58-1),"NM",AI58/AC58-1)</f>
        <v>-0.40154605969508272</v>
      </c>
      <c r="AJ60" s="306">
        <f>IF(ISERROR(AJ58/AD58-1),"NM",AJ58/AD58-1)</f>
        <v>-0.45792880258899693</v>
      </c>
      <c r="AK60" s="306">
        <f>IF(ISERROR(AK58/AE58-1),"NM",AK58/AE58-1)</f>
        <v>-0.43919182898922815</v>
      </c>
      <c r="AL60" s="381"/>
      <c r="AM60" s="306">
        <f>IF(ISERROR(AM58/AG58-1),"NM",AM58/AG58-1)</f>
        <v>0.16914749661705009</v>
      </c>
      <c r="AN60" s="306">
        <f>IF(ISERROR(AN58/AH58-1),"NM",AN58/AH58-1)</f>
        <v>7.4450084602369015E-2</v>
      </c>
      <c r="AO60" s="306">
        <f>IF(ISERROR(AO58/AI58-1),"NM",AO58/AI58-1)</f>
        <v>2.5116612845352826E-3</v>
      </c>
      <c r="AP60" s="306">
        <f>IF(ISERROR(AP58/AJ58-1),"NM",AP58/AJ58-1)</f>
        <v>0.16268656716417884</v>
      </c>
      <c r="AQ60" s="306">
        <f>IF(ISERROR(AQ58/AK58-1),"NM",AQ58/AK58-1)</f>
        <v>9.8925159235668803E-2</v>
      </c>
      <c r="AR60" s="381"/>
      <c r="AS60" s="306">
        <f>IF(ISERROR(AS58/AM58-1),"NM",AS58/AM58-1)</f>
        <v>0.65817901234567899</v>
      </c>
      <c r="AT60" s="306">
        <f>IF(ISERROR(AT58/AN58-1),"NM",AT58/AN58-1)</f>
        <v>0.2476377952755906</v>
      </c>
      <c r="AU60" s="306">
        <f>IF(ISERROR(AU58/AO58-1),"NM",AU58/AO58-1)</f>
        <v>0.25232641374373665</v>
      </c>
      <c r="AV60" s="306">
        <f>IF(ISERROR(AV58/AP58-1),"NM",AV58/AP58-1)</f>
        <v>8.9858793324772979E-3</v>
      </c>
      <c r="AW60" s="306">
        <f>IF(ISERROR(AW58/AQ58-1),"NM",AW58/AQ58-1)</f>
        <v>0.27784821590291608</v>
      </c>
      <c r="AX60" s="381"/>
      <c r="AY60" s="306">
        <f>IF(ISERROR(AY58/AS58-1),"NM",AY58/AS58-1)</f>
        <v>-0.21800837598883194</v>
      </c>
      <c r="AZ60" s="306">
        <f>IF(ISERROR(AZ58/AT58-1),"NM",AZ58/AT58-1)</f>
        <v>5.8062480277690121E-2</v>
      </c>
      <c r="BA60" s="306">
        <f>IF(ISERROR(BA58/AU58-1),"NM",BA58/AU58-1)</f>
        <v>1.1431837667905675E-3</v>
      </c>
      <c r="BB60" s="306">
        <f>IF(ISERROR(BB58/AV58-1),"NM",BB58/AV58-1)</f>
        <v>4.0394402035623944E-2</v>
      </c>
      <c r="BC60" s="306">
        <f>IF(ISERROR(BC58/AW58-1),"NM",BC58/AW58-1)</f>
        <v>-4.4082211197732146E-2</v>
      </c>
      <c r="BD60" s="184"/>
      <c r="BE60" s="306">
        <f>IF(ISERROR(BE58/AY58-1),"NM",BE58/AY58-1)</f>
        <v>0.13061588812853309</v>
      </c>
      <c r="BF60" s="306">
        <f>IF(ISERROR(BF58/AZ58-1),"NM",BF58/AZ58-1)</f>
        <v>-0.16492693110647194</v>
      </c>
      <c r="BG60" s="306">
        <f>IF(ISERROR(BG58/BA58-1),"NM",BG58/BA58-1)</f>
        <v>2.7690550956323223E-2</v>
      </c>
      <c r="BH60" s="306">
        <f>IF(ISERROR(BH58/BB58-1),"NM",BH58/BB58-1)</f>
        <v>0.46744114949556703</v>
      </c>
      <c r="BI60" s="306">
        <f>+BI58/BC58-1</f>
        <v>0.11209964412811391</v>
      </c>
      <c r="BJ60" s="381"/>
      <c r="BK60" s="306">
        <f>IF(ISERROR(BK58/BE58-1),"NM",BK58/BE58-1)</f>
        <v>7.8947368421052655E-2</v>
      </c>
      <c r="BL60" s="306">
        <f>IF(ISERROR(BL58/BF58-1),"NM",BL58/BF58-1)</f>
        <v>0.60714285714285721</v>
      </c>
      <c r="BM60" s="306">
        <f>IF(ISERROR(BM58/BG58-1),"NM",BM58/BG58-1)</f>
        <v>0.63888888888888884</v>
      </c>
      <c r="BN60" s="306">
        <f>IF(ISERROR(BN58/BH58-1),"NM",BN58/BH58-1)</f>
        <v>-4.1666666666666741E-2</v>
      </c>
      <c r="BO60" s="306">
        <f>+BO58/BI58-1</f>
        <v>0.27333333333333343</v>
      </c>
      <c r="BP60" s="381"/>
      <c r="BQ60" s="306">
        <f>IF(ISERROR(BQ58/BK58-1),"NM",BQ58/BK58-1)</f>
        <v>7.317073170731736E-2</v>
      </c>
      <c r="BR60" s="510">
        <f>IF(ISERROR(BR58/BL58-1),"NM",BR58/BL58-1)</f>
        <v>0</v>
      </c>
      <c r="BS60" s="306">
        <f>+BS61+BS69</f>
        <v>0</v>
      </c>
      <c r="BT60" s="306">
        <f>+BT61+BT69</f>
        <v>0</v>
      </c>
      <c r="BU60" s="306">
        <f>+BU58/BO58-1</f>
        <v>1.5706806282722363E-2</v>
      </c>
      <c r="BV60" s="381"/>
      <c r="BW60" s="306">
        <f>+BW61+BW69</f>
        <v>0.3</v>
      </c>
      <c r="BX60" s="306">
        <f>+BX61+BX69</f>
        <v>0.3</v>
      </c>
      <c r="BY60" s="306">
        <f>+BY61+BY69</f>
        <v>0.3</v>
      </c>
      <c r="BZ60" s="306">
        <f>+BZ61+BZ69</f>
        <v>0.3</v>
      </c>
      <c r="CA60" s="306">
        <f>+CA58/BU58-1</f>
        <v>0.30000000000000027</v>
      </c>
      <c r="CB60" s="381"/>
      <c r="CC60" s="306">
        <f>+CC61+CC69</f>
        <v>0.3</v>
      </c>
      <c r="CD60" s="306">
        <f>+CD61+CD69</f>
        <v>0.3</v>
      </c>
      <c r="CE60" s="306">
        <f>+CE61+CE69</f>
        <v>0.3</v>
      </c>
      <c r="CF60" s="306">
        <f>+CF61+CF69</f>
        <v>0.3</v>
      </c>
      <c r="CG60" s="306">
        <f>+CG58/CA58-1</f>
        <v>0.29999999999999982</v>
      </c>
      <c r="CH60" s="511"/>
      <c r="CI60" s="510">
        <f t="shared" ref="CI60:CL60" si="82">+CI61+CI69</f>
        <v>0.2</v>
      </c>
      <c r="CJ60" s="510">
        <f t="shared" si="82"/>
        <v>0.2</v>
      </c>
      <c r="CK60" s="510">
        <f t="shared" si="82"/>
        <v>0.2</v>
      </c>
      <c r="CL60" s="510">
        <f t="shared" si="82"/>
        <v>0.2</v>
      </c>
      <c r="CM60" s="510">
        <f t="shared" ref="CM60" si="83">+CM58/CG58-1</f>
        <v>0.19999999999999996</v>
      </c>
      <c r="CN60" s="511"/>
      <c r="CO60" s="510">
        <f t="shared" ref="CO60:CR60" si="84">+CO61+CO69</f>
        <v>0.2</v>
      </c>
      <c r="CP60" s="510">
        <f t="shared" si="84"/>
        <v>0.2</v>
      </c>
      <c r="CQ60" s="510">
        <f t="shared" si="84"/>
        <v>0.2</v>
      </c>
      <c r="CR60" s="510">
        <f t="shared" si="84"/>
        <v>0.2</v>
      </c>
      <c r="CS60" s="510">
        <f t="shared" ref="CS60" si="85">+CS58/CM58-1</f>
        <v>0.20000000000000018</v>
      </c>
      <c r="CT60" s="306"/>
    </row>
    <row r="61" spans="1:104" ht="12" customHeight="1" collapsed="1" x14ac:dyDescent="0.2">
      <c r="A61" s="300"/>
      <c r="B61" s="677" t="s">
        <v>342</v>
      </c>
      <c r="C61" s="306"/>
      <c r="D61" s="306"/>
      <c r="E61" s="306"/>
      <c r="F61" s="306"/>
      <c r="G61" s="306"/>
      <c r="H61" s="184"/>
      <c r="I61" s="306"/>
      <c r="J61" s="306"/>
      <c r="K61" s="306"/>
      <c r="L61" s="306"/>
      <c r="M61" s="306"/>
      <c r="N61" s="184"/>
      <c r="O61" s="306"/>
      <c r="P61" s="306"/>
      <c r="Q61" s="306"/>
      <c r="R61" s="306"/>
      <c r="S61" s="306"/>
      <c r="T61" s="184"/>
      <c r="U61" s="306"/>
      <c r="V61" s="306"/>
      <c r="W61" s="306"/>
      <c r="X61" s="306"/>
      <c r="Y61" s="306"/>
      <c r="Z61" s="184"/>
      <c r="AA61" s="306">
        <f>IF(ISERROR(AA60-AA$69),"NM",AA60-AA$69)</f>
        <v>0.12749999999999995</v>
      </c>
      <c r="AB61" s="306">
        <f>IF(ISERROR(AB60-AB$69),"NM",AB60-AB$69)</f>
        <v>0.13399041022908897</v>
      </c>
      <c r="AC61" s="306">
        <f>IF(ISERROR(AC60-AC$69),"NM",AC60-AC$69)</f>
        <v>0.14170139740132393</v>
      </c>
      <c r="AD61" s="306">
        <f>IF(ISERROR(AD60-AD$69),"NM",AD60-AD$69)</f>
        <v>0.22013820335636769</v>
      </c>
      <c r="AE61" s="306">
        <f>IF(ISERROR(AE60-AE$69),"NM",AE60-AE$69)</f>
        <v>0.15705521472392658</v>
      </c>
      <c r="AF61" s="184"/>
      <c r="AG61" s="306">
        <f>IF(ISERROR(AG60-AG$69),"NM",AG60-AG$69)</f>
        <v>-0.45380635624538068</v>
      </c>
      <c r="AH61" s="306">
        <f>IF(ISERROR(AH60-AH$69),"NM",AH60-AH$69)</f>
        <v>-0.44467935165609584</v>
      </c>
      <c r="AI61" s="306">
        <f>IF(ISERROR(AI60-AI$69),"NM",AI60-AI$69)</f>
        <v>-0.40154605969508272</v>
      </c>
      <c r="AJ61" s="306">
        <f>IF(ISERROR(AJ60-AJ$69),"NM",AJ60-AJ$69)</f>
        <v>-0.45792880258899693</v>
      </c>
      <c r="AK61" s="306">
        <f>IF(ISERROR(AK60-AK$69),"NM",AK60-AK$69)</f>
        <v>-0.43919182898922815</v>
      </c>
      <c r="AL61" s="184"/>
      <c r="AM61" s="306">
        <f>IF(ISERROR(AM60-AM$69),"NM",AM60-AM$69)</f>
        <v>0.16914749661705009</v>
      </c>
      <c r="AN61" s="306">
        <f>IF(ISERROR(AN60-AN$69),"NM",AN60-AN$69)</f>
        <v>7.4450084602369015E-2</v>
      </c>
      <c r="AO61" s="306">
        <f>IF(ISERROR(AO60-AO$69),"NM",AO60-AO$69)</f>
        <v>2.5116612845352826E-3</v>
      </c>
      <c r="AP61" s="306">
        <f>IF(ISERROR(AP60-AP$69),"NM",AP60-AP$69)</f>
        <v>0.16268656716417884</v>
      </c>
      <c r="AQ61" s="306">
        <f>IF(ISERROR(AQ60-AQ$69),"NM",AQ60-AQ$69)</f>
        <v>9.8925159235668803E-2</v>
      </c>
      <c r="AR61" s="184"/>
      <c r="AS61" s="306">
        <f>IF(ISERROR(AS60-AS$69),"NM",AS60-AS$69)</f>
        <v>0.65817901234567899</v>
      </c>
      <c r="AT61" s="306">
        <f>IF(ISERROR(AT60-AT$69),"NM",AT60-AT$69)</f>
        <v>0.2476377952755906</v>
      </c>
      <c r="AU61" s="306">
        <f>IF(ISERROR(AU60-AU$69),"NM",AU60-AU$69)</f>
        <v>0.25232641374373665</v>
      </c>
      <c r="AV61" s="306">
        <f>IF(ISERROR(AV60-AV$69),"NM",AV60-AV$69)</f>
        <v>8.9858793324772979E-3</v>
      </c>
      <c r="AW61" s="306">
        <f>IF(ISERROR(AW60-AW$69),"NM",AW60-AW$69)</f>
        <v>0.27784821590291608</v>
      </c>
      <c r="AX61" s="184"/>
      <c r="AY61" s="306">
        <f>IF(ISERROR(AY60-AY$69),"NM",AY60-AY$69)</f>
        <v>-0.21800837598883194</v>
      </c>
      <c r="AZ61" s="306">
        <f>IF(ISERROR(AZ60-AZ$69),"NM",AZ60-AZ$69)</f>
        <v>5.8062480277690121E-2</v>
      </c>
      <c r="BA61" s="306">
        <f>IF(ISERROR(BA60-BA$69),"NM",BA60-BA$69)</f>
        <v>1.1431837667905675E-3</v>
      </c>
      <c r="BB61" s="306">
        <f>IF(ISERROR(BB60-BB$69),"NM",BB60-BB$69)</f>
        <v>4.0394402035623944E-2</v>
      </c>
      <c r="BC61" s="306">
        <f>IF(ISERROR(BC60-BC$69),"NM",BC60-BC$69)</f>
        <v>-4.4082211197732146E-2</v>
      </c>
      <c r="BD61" s="313"/>
      <c r="BE61" s="306">
        <f>IF(ISERROR(BE60-BE$69),"NM",BE60-BE$69)</f>
        <v>0.13061588812853309</v>
      </c>
      <c r="BF61" s="306">
        <f>IF(ISERROR(BF60-BF$69),"NM",BF60-BF$69)</f>
        <v>-0.16492693110647194</v>
      </c>
      <c r="BG61" s="306">
        <f>IF(ISERROR(BG60-BG$69),"NM",BG60-BG$69)</f>
        <v>2.7690550956323223E-2</v>
      </c>
      <c r="BH61" s="306">
        <f>IF(ISERROR(BH60-BH$69),"NM",BH60-BH$69)</f>
        <v>0.46744114949556703</v>
      </c>
      <c r="BI61" s="306">
        <f>+BI60-BI$69</f>
        <v>0.11209964412811391</v>
      </c>
      <c r="BJ61" s="381"/>
      <c r="BK61" s="306">
        <f>IF(ISERROR(BK60-BK$69),"NM",BK60-BK$69)</f>
        <v>7.8947368421052655E-2</v>
      </c>
      <c r="BL61" s="306">
        <f>IF(ISERROR(BL60-BL$69),"NM",BL60-BL$69)</f>
        <v>0.60714285714285721</v>
      </c>
      <c r="BM61" s="306">
        <f>IF(ISERROR(BM60-BM$69),"NM",BM60-BM$69)</f>
        <v>0.63888888888888884</v>
      </c>
      <c r="BN61" s="306">
        <f>IF(ISERROR(BN60-BN$69),"NM",BN60-BN$69)</f>
        <v>-4.1666666666666741E-2</v>
      </c>
      <c r="BO61" s="306">
        <f>+BO60-BO$69</f>
        <v>0.27333333333333343</v>
      </c>
      <c r="BP61" s="381"/>
      <c r="BQ61" s="306">
        <f>IF(ISERROR(BQ60-BQ$69),"NM",BQ60-BQ$69)</f>
        <v>7.317073170731736E-2</v>
      </c>
      <c r="BR61" s="510">
        <f>IF(ISERROR(BR60-BR$69),"NM",BR60-BR$69)</f>
        <v>0</v>
      </c>
      <c r="BS61" s="381">
        <f>+BR61</f>
        <v>0</v>
      </c>
      <c r="BT61" s="381">
        <f>+BS61</f>
        <v>0</v>
      </c>
      <c r="BU61" s="306">
        <f>+BU60-BU$69</f>
        <v>1.5706806282722363E-2</v>
      </c>
      <c r="BV61" s="381"/>
      <c r="BW61" s="381">
        <v>0.3</v>
      </c>
      <c r="BX61" s="381">
        <v>0.3</v>
      </c>
      <c r="BY61" s="381">
        <v>0.3</v>
      </c>
      <c r="BZ61" s="381">
        <v>0.3</v>
      </c>
      <c r="CA61" s="306">
        <f>+CA60-CA$69</f>
        <v>0.30000000000000027</v>
      </c>
      <c r="CB61" s="381"/>
      <c r="CC61" s="381">
        <v>0.3</v>
      </c>
      <c r="CD61" s="381">
        <v>0.3</v>
      </c>
      <c r="CE61" s="381">
        <v>0.3</v>
      </c>
      <c r="CF61" s="381">
        <v>0.3</v>
      </c>
      <c r="CG61" s="306">
        <f>+CG60-CG$69</f>
        <v>0.29999999999999982</v>
      </c>
      <c r="CH61" s="511"/>
      <c r="CI61" s="511">
        <v>0.2</v>
      </c>
      <c r="CJ61" s="511">
        <f>+CI61</f>
        <v>0.2</v>
      </c>
      <c r="CK61" s="511">
        <f>+CJ61</f>
        <v>0.2</v>
      </c>
      <c r="CL61" s="511">
        <f>+CK61</f>
        <v>0.2</v>
      </c>
      <c r="CM61" s="510">
        <f t="shared" ref="CM61" si="86">+CM60-CM$69</f>
        <v>0.19999999999999996</v>
      </c>
      <c r="CN61" s="511"/>
      <c r="CO61" s="511">
        <v>0.2</v>
      </c>
      <c r="CP61" s="511">
        <f t="shared" ref="CP61:CR61" si="87">+CO61</f>
        <v>0.2</v>
      </c>
      <c r="CQ61" s="511">
        <f t="shared" si="87"/>
        <v>0.2</v>
      </c>
      <c r="CR61" s="511">
        <f t="shared" si="87"/>
        <v>0.2</v>
      </c>
      <c r="CS61" s="510">
        <f t="shared" ref="CS61" si="88">+CS60-CS$69</f>
        <v>0.20000000000000018</v>
      </c>
      <c r="CT61" s="313"/>
    </row>
    <row r="62" spans="1:104" ht="12" customHeight="1" x14ac:dyDescent="0.2">
      <c r="A62" s="300"/>
      <c r="B62" s="304" t="s">
        <v>357</v>
      </c>
      <c r="C62" s="306"/>
      <c r="D62" s="306"/>
      <c r="E62" s="306"/>
      <c r="F62" s="306"/>
      <c r="G62" s="306"/>
      <c r="H62" s="184"/>
      <c r="I62" s="306"/>
      <c r="J62" s="306"/>
      <c r="K62" s="306"/>
      <c r="L62" s="306"/>
      <c r="M62" s="306"/>
      <c r="N62" s="184"/>
      <c r="O62" s="306"/>
      <c r="P62" s="306"/>
      <c r="Q62" s="306"/>
      <c r="R62" s="306"/>
      <c r="S62" s="306"/>
      <c r="T62" s="184"/>
      <c r="U62" s="306"/>
      <c r="V62" s="306"/>
      <c r="W62" s="306"/>
      <c r="X62" s="306"/>
      <c r="Y62" s="306"/>
      <c r="Z62" s="184"/>
      <c r="AA62" s="707">
        <v>0</v>
      </c>
      <c r="AB62" s="707">
        <v>0</v>
      </c>
      <c r="AC62" s="707">
        <v>0</v>
      </c>
      <c r="AD62" s="707">
        <v>0</v>
      </c>
      <c r="AE62" s="39">
        <f>+SUM(AA62:AD62)</f>
        <v>0</v>
      </c>
      <c r="AF62" s="184"/>
      <c r="AG62" s="707">
        <v>0</v>
      </c>
      <c r="AH62" s="707">
        <v>0</v>
      </c>
      <c r="AI62" s="707">
        <v>0</v>
      </c>
      <c r="AJ62" s="707">
        <v>0</v>
      </c>
      <c r="AK62" s="39">
        <f>+SUM(AG62:AJ62)</f>
        <v>0</v>
      </c>
      <c r="AL62" s="184"/>
      <c r="AM62" s="707">
        <v>0</v>
      </c>
      <c r="AN62" s="707">
        <v>0</v>
      </c>
      <c r="AO62" s="707">
        <v>0</v>
      </c>
      <c r="AP62" s="707">
        <v>0</v>
      </c>
      <c r="AQ62" s="39">
        <f>+SUM(AM62:AP62)</f>
        <v>0</v>
      </c>
      <c r="AR62" s="184"/>
      <c r="AS62" s="707">
        <v>0</v>
      </c>
      <c r="AT62" s="707">
        <v>0</v>
      </c>
      <c r="AU62" s="707">
        <v>0</v>
      </c>
      <c r="AV62" s="707">
        <v>0</v>
      </c>
      <c r="AW62" s="39">
        <f>+SUM(AS62:AV62)</f>
        <v>0</v>
      </c>
      <c r="AX62" s="184"/>
      <c r="AY62" s="707">
        <v>0</v>
      </c>
      <c r="AZ62" s="707">
        <v>0</v>
      </c>
      <c r="BA62" s="707">
        <v>0</v>
      </c>
      <c r="BB62" s="707">
        <v>0</v>
      </c>
      <c r="BC62" s="39">
        <f>+SUM(AY62:BB62)</f>
        <v>0</v>
      </c>
      <c r="BD62" s="313"/>
      <c r="BE62" s="707">
        <v>0</v>
      </c>
      <c r="BF62" s="707">
        <v>0</v>
      </c>
      <c r="BG62" s="707">
        <v>0</v>
      </c>
      <c r="BH62" s="707">
        <v>0</v>
      </c>
      <c r="BI62" s="39">
        <f>+SUM(BE62:BH62)</f>
        <v>0</v>
      </c>
      <c r="BJ62" s="184"/>
      <c r="BK62" s="759">
        <v>7.2</v>
      </c>
      <c r="BL62" s="759">
        <v>21.7</v>
      </c>
      <c r="BM62" s="759">
        <v>23.9</v>
      </c>
      <c r="BN62" s="759">
        <v>25.5</v>
      </c>
      <c r="BO62" s="39">
        <f>+SUM(BK62:BN62)</f>
        <v>78.3</v>
      </c>
      <c r="BP62" s="184"/>
      <c r="BQ62" s="759">
        <v>28.8</v>
      </c>
      <c r="BR62" s="759">
        <v>31.7</v>
      </c>
      <c r="BS62" s="676">
        <v>32.733185185185185</v>
      </c>
      <c r="BT62" s="676">
        <v>34.405771111111115</v>
      </c>
      <c r="BU62" s="39">
        <f>+SUM(BQ62:BT62)</f>
        <v>127.6389562962963</v>
      </c>
      <c r="BV62" s="184"/>
      <c r="BW62" s="676">
        <v>37.030157826</v>
      </c>
      <c r="BX62" s="676">
        <v>39.207275725769996</v>
      </c>
      <c r="BY62" s="676">
        <v>41.491429935187043</v>
      </c>
      <c r="BZ62" s="676">
        <v>43.651492015604056</v>
      </c>
      <c r="CA62" s="39">
        <f>+SUM(BW62:BZ62)</f>
        <v>161.38035550256109</v>
      </c>
      <c r="CB62" s="184"/>
      <c r="CC62" s="676">
        <v>46.864359804957964</v>
      </c>
      <c r="CD62" s="676">
        <v>49.525762132828994</v>
      </c>
      <c r="CE62" s="676">
        <v>52.316053782889924</v>
      </c>
      <c r="CF62" s="676">
        <v>54.967526508704566</v>
      </c>
      <c r="CG62" s="39">
        <f>+SUM(CC62:CF62)</f>
        <v>203.67370222938143</v>
      </c>
      <c r="CH62" s="184"/>
      <c r="CI62" s="676">
        <v>58.036191227408423</v>
      </c>
      <c r="CJ62" s="676">
        <v>60.346369713159639</v>
      </c>
      <c r="CK62" s="676">
        <v>62.725740861849935</v>
      </c>
      <c r="CL62" s="676">
        <v>64.877175151223668</v>
      </c>
      <c r="CM62" s="39">
        <f t="shared" ref="CM62" si="89">+SUM(CI62:CL62)</f>
        <v>245.98547695364167</v>
      </c>
      <c r="CN62" s="184"/>
      <c r="CO62" s="676">
        <v>68.376476574449384</v>
      </c>
      <c r="CP62" s="676">
        <v>71.000654864603931</v>
      </c>
      <c r="CQ62" s="676">
        <v>73.702449695734884</v>
      </c>
      <c r="CR62" s="676">
        <v>76.157061716036324</v>
      </c>
      <c r="CS62" s="39">
        <f t="shared" ref="CS62" si="90">+SUM(CO62:CR62)</f>
        <v>289.23664285082452</v>
      </c>
      <c r="CT62" s="313"/>
    </row>
    <row r="63" spans="1:104" ht="12" customHeight="1" x14ac:dyDescent="0.2">
      <c r="A63" s="300"/>
      <c r="B63" s="266" t="s">
        <v>344</v>
      </c>
      <c r="C63" s="306"/>
      <c r="D63" s="306"/>
      <c r="E63" s="306"/>
      <c r="F63" s="306"/>
      <c r="G63" s="306"/>
      <c r="H63" s="184"/>
      <c r="I63" s="306"/>
      <c r="J63" s="306"/>
      <c r="K63" s="306"/>
      <c r="L63" s="306"/>
      <c r="M63" s="306"/>
      <c r="N63" s="184"/>
      <c r="O63" s="306"/>
      <c r="P63" s="306"/>
      <c r="Q63" s="306"/>
      <c r="R63" s="306"/>
      <c r="S63" s="306"/>
      <c r="T63" s="184"/>
      <c r="U63" s="306"/>
      <c r="V63" s="306"/>
      <c r="W63" s="306"/>
      <c r="X63" s="306"/>
      <c r="Y63" s="306"/>
      <c r="Z63" s="184"/>
      <c r="AA63" s="306">
        <f>AA62/AA$75</f>
        <v>0</v>
      </c>
      <c r="AB63" s="306">
        <f>AB62/AB$75</f>
        <v>0</v>
      </c>
      <c r="AC63" s="306">
        <f>AC62/AC$75</f>
        <v>0</v>
      </c>
      <c r="AD63" s="306">
        <f>AD62/AD$75</f>
        <v>0</v>
      </c>
      <c r="AE63" s="306">
        <f>AE62/AE$75</f>
        <v>0</v>
      </c>
      <c r="AF63" s="184"/>
      <c r="AG63" s="306">
        <f>AG62/AG$75</f>
        <v>0</v>
      </c>
      <c r="AH63" s="306">
        <f>AH62/AH$75</f>
        <v>0</v>
      </c>
      <c r="AI63" s="306">
        <f>AI62/AI$75</f>
        <v>0</v>
      </c>
      <c r="AJ63" s="306">
        <f>AJ62/AJ$75</f>
        <v>0</v>
      </c>
      <c r="AK63" s="306">
        <f>AK62/AK$75</f>
        <v>0</v>
      </c>
      <c r="AL63" s="184"/>
      <c r="AM63" s="306">
        <f>AM62/AM$75</f>
        <v>0</v>
      </c>
      <c r="AN63" s="306">
        <f>AN62/AN$75</f>
        <v>0</v>
      </c>
      <c r="AO63" s="306">
        <f>AO62/AO$75</f>
        <v>0</v>
      </c>
      <c r="AP63" s="306">
        <f>AP62/AP$75</f>
        <v>0</v>
      </c>
      <c r="AQ63" s="306">
        <f>AQ62/AQ$75</f>
        <v>0</v>
      </c>
      <c r="AR63" s="184"/>
      <c r="AS63" s="306">
        <f>AS62/AS$75</f>
        <v>0</v>
      </c>
      <c r="AT63" s="306">
        <f>AT62/AT$75</f>
        <v>0</v>
      </c>
      <c r="AU63" s="306">
        <f>AU62/AU$75</f>
        <v>0</v>
      </c>
      <c r="AV63" s="306">
        <f>AV62/AV$75</f>
        <v>0</v>
      </c>
      <c r="AW63" s="306">
        <f>AW62/AW$75</f>
        <v>0</v>
      </c>
      <c r="AX63" s="184"/>
      <c r="AY63" s="306">
        <f>AY62/AY$75</f>
        <v>0</v>
      </c>
      <c r="AZ63" s="306">
        <f>AZ62/AZ$75</f>
        <v>0</v>
      </c>
      <c r="BA63" s="306">
        <f>BA62/BA$75</f>
        <v>0</v>
      </c>
      <c r="BB63" s="306">
        <f>BB62/BB$75</f>
        <v>0</v>
      </c>
      <c r="BC63" s="306">
        <f>BC62/BC$75</f>
        <v>0</v>
      </c>
      <c r="BD63" s="313"/>
      <c r="BE63" s="306">
        <f>BE62/BE$75</f>
        <v>0</v>
      </c>
      <c r="BF63" s="306">
        <f>BF62/BF$75</f>
        <v>0</v>
      </c>
      <c r="BG63" s="306">
        <f>BG62/BG$75</f>
        <v>0</v>
      </c>
      <c r="BH63" s="306">
        <f>BH62/BH$75</f>
        <v>0</v>
      </c>
      <c r="BI63" s="306">
        <f>BI62/BI$75</f>
        <v>0</v>
      </c>
      <c r="BJ63" s="184"/>
      <c r="BK63" s="306">
        <f>BK62/BK$75</f>
        <v>4.0561963808611129E-2</v>
      </c>
      <c r="BL63" s="306">
        <f>BL62/BL$75</f>
        <v>0.11040484074525317</v>
      </c>
      <c r="BM63" s="306">
        <f>BM62/BM$75</f>
        <v>0.12137455407123536</v>
      </c>
      <c r="BN63" s="306">
        <f>BN62/BN$75</f>
        <v>0.12720745824121915</v>
      </c>
      <c r="BO63" s="306">
        <f>BO62/BO$75</f>
        <v>0.10150025665138147</v>
      </c>
      <c r="BP63" s="184"/>
      <c r="BQ63" s="306">
        <f>BQ62/BQ$75</f>
        <v>0.15144054981920846</v>
      </c>
      <c r="BR63" s="510">
        <f>BR62/BR$75</f>
        <v>0.16342279747064922</v>
      </c>
      <c r="BS63" s="306">
        <f>BS62/BS$75</f>
        <v>0.17240796491318378</v>
      </c>
      <c r="BT63" s="306">
        <f>BT62/BT$75</f>
        <v>0.17447581238059273</v>
      </c>
      <c r="BU63" s="306">
        <f>BU62/BU$75</f>
        <v>0.16550630398134342</v>
      </c>
      <c r="BV63" s="184"/>
      <c r="BW63" s="306">
        <f>BW62/BW$75</f>
        <v>0.19447115192050668</v>
      </c>
      <c r="BX63" s="306">
        <f>BX62/BX$75</f>
        <v>0.19622208912726466</v>
      </c>
      <c r="BY63" s="306">
        <f>BY62/BY$75</f>
        <v>0.20872266188348393</v>
      </c>
      <c r="BZ63" s="306">
        <f>BZ62/BZ$75</f>
        <v>0.20922993299491069</v>
      </c>
      <c r="CA63" s="306">
        <f>CA62/CA$75</f>
        <v>0.20232177912194887</v>
      </c>
      <c r="CB63" s="184"/>
      <c r="CC63" s="306">
        <f>CC62/CC$75</f>
        <v>0.23489238709281349</v>
      </c>
      <c r="CD63" s="306">
        <f>CD62/CD$75</f>
        <v>0.23399244000131969</v>
      </c>
      <c r="CE63" s="306">
        <f>CE62/CE$75</f>
        <v>0.24828685464811978</v>
      </c>
      <c r="CF63" s="306">
        <f>CF62/CF$75</f>
        <v>0.24752277676476603</v>
      </c>
      <c r="CG63" s="306">
        <f>CG62/CG$75</f>
        <v>0.24133434868258052</v>
      </c>
      <c r="CH63" s="184"/>
      <c r="CI63" s="510">
        <f t="shared" ref="CI63:CM63" si="91">CI62/CI$75</f>
        <v>0.27132488904097235</v>
      </c>
      <c r="CJ63" s="510">
        <f t="shared" si="91"/>
        <v>0.265051402720481</v>
      </c>
      <c r="CK63" s="510">
        <f t="shared" si="91"/>
        <v>0.2782086137237974</v>
      </c>
      <c r="CL63" s="510">
        <f t="shared" si="91"/>
        <v>0.27305294752149623</v>
      </c>
      <c r="CM63" s="510">
        <f t="shared" si="91"/>
        <v>0.2719154842009549</v>
      </c>
      <c r="CN63" s="184"/>
      <c r="CO63" s="510">
        <f t="shared" ref="CO63:CS63" si="92">CO62/CO$75</f>
        <v>0.29823115896710334</v>
      </c>
      <c r="CP63" s="510">
        <f t="shared" si="92"/>
        <v>0.28864667638918795</v>
      </c>
      <c r="CQ63" s="510">
        <f t="shared" si="92"/>
        <v>0.30573527332329231</v>
      </c>
      <c r="CR63" s="510">
        <f t="shared" si="92"/>
        <v>0.29823368556153174</v>
      </c>
      <c r="CS63" s="510">
        <f t="shared" si="92"/>
        <v>0.29766725231607988</v>
      </c>
      <c r="CT63" s="313"/>
    </row>
    <row r="64" spans="1:104" ht="12" hidden="1" customHeight="1" outlineLevel="1" x14ac:dyDescent="0.2">
      <c r="A64" s="300"/>
      <c r="B64" s="266" t="s">
        <v>339</v>
      </c>
      <c r="C64" s="306"/>
      <c r="D64" s="306"/>
      <c r="E64" s="306"/>
      <c r="F64" s="306"/>
      <c r="G64" s="306"/>
      <c r="H64" s="184"/>
      <c r="I64" s="306"/>
      <c r="J64" s="306"/>
      <c r="K64" s="306"/>
      <c r="L64" s="306"/>
      <c r="M64" s="306"/>
      <c r="N64" s="184"/>
      <c r="O64" s="306"/>
      <c r="P64" s="306"/>
      <c r="Q64" s="306"/>
      <c r="R64" s="306"/>
      <c r="S64" s="306"/>
      <c r="T64" s="184"/>
      <c r="U64" s="306"/>
      <c r="V64" s="306"/>
      <c r="W64" s="306"/>
      <c r="X64" s="306"/>
      <c r="Y64" s="306"/>
      <c r="Z64" s="184"/>
      <c r="AA64" s="306" t="str">
        <f>IF(ISERROR(AA62/U62-1),"NM",AA62/U62-1)</f>
        <v>NM</v>
      </c>
      <c r="AB64" s="306" t="str">
        <f>IF(ISERROR(AB62/V62-1),"NM",AB62/V62-1)</f>
        <v>NM</v>
      </c>
      <c r="AC64" s="306" t="str">
        <f>IF(ISERROR(AC62/W62-1),"NM",AC62/W62-1)</f>
        <v>NM</v>
      </c>
      <c r="AD64" s="306" t="str">
        <f>IF(ISERROR(AD62/X62-1),"NM",AD62/X62-1)</f>
        <v>NM</v>
      </c>
      <c r="AE64" s="306" t="str">
        <f>IF(ISERROR(AE62/Y62-1),"NM",AE62/Y62-1)</f>
        <v>NM</v>
      </c>
      <c r="AF64" s="184"/>
      <c r="AG64" s="306" t="str">
        <f>IF(ISERROR(AG62/AA62-1),"NM",AG62/AA62-1)</f>
        <v>NM</v>
      </c>
      <c r="AH64" s="306" t="str">
        <f>IF(ISERROR(AH62/AB62-1),"NM",AH62/AB62-1)</f>
        <v>NM</v>
      </c>
      <c r="AI64" s="306" t="str">
        <f>IF(ISERROR(AI62/AC62-1),"NM",AI62/AC62-1)</f>
        <v>NM</v>
      </c>
      <c r="AJ64" s="306" t="str">
        <f>IF(ISERROR(AJ62/AD62-1),"NM",AJ62/AD62-1)</f>
        <v>NM</v>
      </c>
      <c r="AK64" s="306" t="str">
        <f>IF(ISERROR(AK62/AE62-1),"NM",AK62/AE62-1)</f>
        <v>NM</v>
      </c>
      <c r="AL64" s="184"/>
      <c r="AM64" s="306" t="str">
        <f>IF(ISERROR(AM62/AG62-1),"NM",AM62/AG62-1)</f>
        <v>NM</v>
      </c>
      <c r="AN64" s="306" t="str">
        <f>IF(ISERROR(AN62/AH62-1),"NM",AN62/AH62-1)</f>
        <v>NM</v>
      </c>
      <c r="AO64" s="306" t="str">
        <f>IF(ISERROR(AO62/AI62-1),"NM",AO62/AI62-1)</f>
        <v>NM</v>
      </c>
      <c r="AP64" s="306" t="str">
        <f>IF(ISERROR(AP62/AJ62-1),"NM",AP62/AJ62-1)</f>
        <v>NM</v>
      </c>
      <c r="AQ64" s="306" t="str">
        <f>IF(ISERROR(AQ62/AK62-1),"NM",AQ62/AK62-1)</f>
        <v>NM</v>
      </c>
      <c r="AR64" s="184"/>
      <c r="AS64" s="306" t="str">
        <f>IF(ISERROR(AS62/AM62-1),"NM",AS62/AM62-1)</f>
        <v>NM</v>
      </c>
      <c r="AT64" s="306" t="str">
        <f>IF(ISERROR(AT62/AN62-1),"NM",AT62/AN62-1)</f>
        <v>NM</v>
      </c>
      <c r="AU64" s="306" t="str">
        <f>IF(ISERROR(AU62/AO62-1),"NM",AU62/AO62-1)</f>
        <v>NM</v>
      </c>
      <c r="AV64" s="306" t="str">
        <f>IF(ISERROR(AV62/AP62-1),"NM",AV62/AP62-1)</f>
        <v>NM</v>
      </c>
      <c r="AW64" s="306" t="str">
        <f>IF(ISERROR(AW62/AQ62-1),"NM",AW62/AQ62-1)</f>
        <v>NM</v>
      </c>
      <c r="AX64" s="184"/>
      <c r="AY64" s="306" t="str">
        <f>IF(ISERROR(AY62/AS62-1),"NM",AY62/AS62-1)</f>
        <v>NM</v>
      </c>
      <c r="AZ64" s="306" t="str">
        <f>IF(ISERROR(AZ62/AT62-1),"NM",AZ62/AT62-1)</f>
        <v>NM</v>
      </c>
      <c r="BA64" s="306" t="str">
        <f>IF(ISERROR(BA62/AU62-1),"NM",BA62/AU62-1)</f>
        <v>NM</v>
      </c>
      <c r="BB64" s="306" t="str">
        <f>IF(ISERROR(BB62/AV62-1),"NM",BB62/AV62-1)</f>
        <v>NM</v>
      </c>
      <c r="BC64" s="306" t="str">
        <f>IF(ISERROR(BC62/AW62-1),"NM",BC62/AW62-1)</f>
        <v>NM</v>
      </c>
      <c r="BD64" s="313"/>
      <c r="BE64" s="306" t="str">
        <f>IF(ISERROR(BE62/AY62-1),"NM",BE62/AY62-1)</f>
        <v>NM</v>
      </c>
      <c r="BF64" s="306" t="str">
        <f>IF(ISERROR(BF62/AZ62-1),"NM",BF62/AZ62-1)</f>
        <v>NM</v>
      </c>
      <c r="BG64" s="306" t="str">
        <f>IF(ISERROR(BG62/BA62-1),"NM",BG62/BA62-1)</f>
        <v>NM</v>
      </c>
      <c r="BH64" s="306" t="str">
        <f>IF(ISERROR(BH62/BB62-1),"NM",BH62/BB62-1)</f>
        <v>NM</v>
      </c>
      <c r="BI64" s="306" t="str">
        <f>IF(ISERROR(BI62/BC62-1),"NM",BI62/BC62-1)</f>
        <v>NM</v>
      </c>
      <c r="BJ64" s="184"/>
      <c r="BK64" s="306" t="str">
        <f>IF(ISERROR(BK62/BE62-1),"NM",BK62/BE62-1)</f>
        <v>NM</v>
      </c>
      <c r="BL64" s="306" t="str">
        <f>IF(ISERROR(BL62/BF62-1),"NM",BL62/BF62-1)</f>
        <v>NM</v>
      </c>
      <c r="BM64" s="306" t="str">
        <f>IF(ISERROR(BM62/BG62-1),"NM",BM62/BG62-1)</f>
        <v>NM</v>
      </c>
      <c r="BN64" s="306" t="str">
        <f>IF(ISERROR(BN62/BH62-1),"NM",BN62/BH62-1)</f>
        <v>NM</v>
      </c>
      <c r="BO64" s="306" t="str">
        <f>IF(ISERROR(BO62/BI62-1),"NM",BO62/BI62-1)</f>
        <v>NM</v>
      </c>
      <c r="BP64" s="184"/>
      <c r="BQ64" s="306">
        <f>IF(ISERROR(BQ62/BK62-1),"NM",BQ62/BK62-1)</f>
        <v>3</v>
      </c>
      <c r="BR64" s="510">
        <f>IF(ISERROR(BR62/BL62-1),"NM",BR62/BL62-1)</f>
        <v>0.46082949308755761</v>
      </c>
      <c r="BS64" s="306">
        <f>IF(ISERROR(BS62/BM62-1),"NM",BS62/BM62-1)</f>
        <v>0.36958933829226726</v>
      </c>
      <c r="BT64" s="306">
        <f>IF(ISERROR(BT62/BN62-1),"NM",BT62/BN62-1)</f>
        <v>0.34924592592592596</v>
      </c>
      <c r="BU64" s="306">
        <f>IF(ISERROR(BU62/BO62-1),"NM",BU62/BO62-1)</f>
        <v>0.63012715576368206</v>
      </c>
      <c r="BV64" s="184"/>
      <c r="BW64" s="306">
        <f>IF(ISERROR(BW62/BQ62-1),"NM",BW62/BQ62-1)</f>
        <v>0.28576936895833338</v>
      </c>
      <c r="BX64" s="306">
        <f>IF(ISERROR(BX62/BR62-1),"NM",BX62/BR62-1)</f>
        <v>0.23682257809999996</v>
      </c>
      <c r="BY64" s="306">
        <f>IF(ISERROR(BY62/BS62-1),"NM",BY62/BS62-1)</f>
        <v>0.26756469620823142</v>
      </c>
      <c r="BZ64" s="306">
        <f>IF(ISERROR(BZ62/BT62-1),"NM",BZ62/BT62-1)</f>
        <v>0.26872587376793589</v>
      </c>
      <c r="CA64" s="306">
        <f>IF(ISERROR(CA62/BU62-1),"NM",CA62/BU62-1)</f>
        <v>0.26435032207517239</v>
      </c>
      <c r="CB64" s="184"/>
      <c r="CC64" s="306">
        <f>IF(ISERROR(CC62/BW62-1),"NM",CC62/BW62-1)</f>
        <v>0.26557278057435307</v>
      </c>
      <c r="CD64" s="306">
        <f>IF(ISERROR(CD62/BX62-1),"NM",CD62/BX62-1)</f>
        <v>0.26317784686776657</v>
      </c>
      <c r="CE64" s="306">
        <f>IF(ISERROR(CE62/BY62-1),"NM",CE62/BY62-1)</f>
        <v>0.26088818497245847</v>
      </c>
      <c r="CF64" s="306">
        <f>IF(ISERROR(CF62/BZ62-1),"NM",CF62/BZ62-1)</f>
        <v>0.25923591544260116</v>
      </c>
      <c r="CG64" s="306">
        <f>IF(ISERROR(CG62/CA62-1),"NM",CG62/CA62-1)</f>
        <v>0.26207245978057814</v>
      </c>
      <c r="CH64" s="184"/>
      <c r="CI64" s="510">
        <f t="shared" ref="CI64:CM64" si="93">IF(ISERROR(CI62/CC62-1),"NM",CI62/CC62-1)</f>
        <v>0.23838651523131538</v>
      </c>
      <c r="CJ64" s="510">
        <f t="shared" si="93"/>
        <v>0.21848442334536067</v>
      </c>
      <c r="CK64" s="510">
        <f t="shared" si="93"/>
        <v>0.19897691676363638</v>
      </c>
      <c r="CL64" s="510">
        <f t="shared" si="93"/>
        <v>0.18028187317014943</v>
      </c>
      <c r="CM64" s="510">
        <f t="shared" si="93"/>
        <v>0.20774294502000989</v>
      </c>
      <c r="CN64" s="184"/>
      <c r="CO64" s="510">
        <f t="shared" ref="CO64:CS64" si="94">IF(ISERROR(CO62/CI62-1),"NM",CO62/CI62-1)</f>
        <v>0.17816960638446599</v>
      </c>
      <c r="CP64" s="510">
        <f t="shared" si="94"/>
        <v>0.17655221353142858</v>
      </c>
      <c r="CQ64" s="510">
        <f t="shared" si="94"/>
        <v>0.17499528396261677</v>
      </c>
      <c r="CR64" s="510">
        <f t="shared" si="94"/>
        <v>0.1738652544368664</v>
      </c>
      <c r="CS64" s="510">
        <f t="shared" si="94"/>
        <v>0.1758281278749394</v>
      </c>
      <c r="CT64" s="313"/>
    </row>
    <row r="65" spans="1:274" ht="12" customHeight="1" collapsed="1" x14ac:dyDescent="0.2">
      <c r="A65" s="300"/>
      <c r="B65" s="677" t="s">
        <v>342</v>
      </c>
      <c r="C65" s="306"/>
      <c r="D65" s="306"/>
      <c r="E65" s="306"/>
      <c r="F65" s="306"/>
      <c r="G65" s="306"/>
      <c r="H65" s="184"/>
      <c r="I65" s="306"/>
      <c r="J65" s="306"/>
      <c r="K65" s="306"/>
      <c r="L65" s="306"/>
      <c r="M65" s="306"/>
      <c r="N65" s="184"/>
      <c r="O65" s="306"/>
      <c r="P65" s="306"/>
      <c r="Q65" s="306"/>
      <c r="R65" s="306"/>
      <c r="S65" s="306"/>
      <c r="T65" s="184"/>
      <c r="U65" s="306"/>
      <c r="V65" s="306"/>
      <c r="W65" s="306"/>
      <c r="X65" s="306"/>
      <c r="Y65" s="306"/>
      <c r="Z65" s="184"/>
      <c r="AA65" s="306" t="str">
        <f>IF(ISERROR(AA64-AA$69),"NM",AA64-AA$69)</f>
        <v>NM</v>
      </c>
      <c r="AB65" s="306" t="str">
        <f>IF(ISERROR(AB64-AB$69),"NM",AB64-AB$69)</f>
        <v>NM</v>
      </c>
      <c r="AC65" s="306" t="str">
        <f>IF(ISERROR(AC64-AC$69),"NM",AC64-AC$69)</f>
        <v>NM</v>
      </c>
      <c r="AD65" s="306" t="str">
        <f>IF(ISERROR(AD64-AD$69),"NM",AD64-AD$69)</f>
        <v>NM</v>
      </c>
      <c r="AE65" s="306" t="str">
        <f>IF(ISERROR(AE64-AE$69),"NM",AE64-AE$69)</f>
        <v>NM</v>
      </c>
      <c r="AF65" s="184"/>
      <c r="AG65" s="306" t="str">
        <f>IF(ISERROR(AG64-AG$69),"NM",AG64-AG$69)</f>
        <v>NM</v>
      </c>
      <c r="AH65" s="306" t="str">
        <f>IF(ISERROR(AH64-AH$69),"NM",AH64-AH$69)</f>
        <v>NM</v>
      </c>
      <c r="AI65" s="306" t="str">
        <f>IF(ISERROR(AI64-AI$69),"NM",AI64-AI$69)</f>
        <v>NM</v>
      </c>
      <c r="AJ65" s="306" t="str">
        <f>IF(ISERROR(AJ64-AJ$69),"NM",AJ64-AJ$69)</f>
        <v>NM</v>
      </c>
      <c r="AK65" s="306" t="str">
        <f>IF(ISERROR(AK64-AK$69),"NM",AK64-AK$69)</f>
        <v>NM</v>
      </c>
      <c r="AL65" s="184"/>
      <c r="AM65" s="306" t="str">
        <f>IF(ISERROR(AM64-AM$69),"NM",AM64-AM$69)</f>
        <v>NM</v>
      </c>
      <c r="AN65" s="306" t="str">
        <f>IF(ISERROR(AN64-AN$69),"NM",AN64-AN$69)</f>
        <v>NM</v>
      </c>
      <c r="AO65" s="306" t="str">
        <f>IF(ISERROR(AO64-AO$69),"NM",AO64-AO$69)</f>
        <v>NM</v>
      </c>
      <c r="AP65" s="306" t="str">
        <f>IF(ISERROR(AP64-AP$69),"NM",AP64-AP$69)</f>
        <v>NM</v>
      </c>
      <c r="AQ65" s="306" t="str">
        <f>IF(ISERROR(AQ64-AQ$69),"NM",AQ64-AQ$69)</f>
        <v>NM</v>
      </c>
      <c r="AR65" s="184"/>
      <c r="AS65" s="306" t="str">
        <f>IF(ISERROR(AS64-AS$69),"NM",AS64-AS$69)</f>
        <v>NM</v>
      </c>
      <c r="AT65" s="306" t="str">
        <f>IF(ISERROR(AT64-AT$69),"NM",AT64-AT$69)</f>
        <v>NM</v>
      </c>
      <c r="AU65" s="306" t="str">
        <f>IF(ISERROR(AU64-AU$69),"NM",AU64-AU$69)</f>
        <v>NM</v>
      </c>
      <c r="AV65" s="306" t="str">
        <f>IF(ISERROR(AV64-AV$69),"NM",AV64-AV$69)</f>
        <v>NM</v>
      </c>
      <c r="AW65" s="306" t="str">
        <f>IF(ISERROR(AW64-AW$69),"NM",AW64-AW$69)</f>
        <v>NM</v>
      </c>
      <c r="AX65" s="184"/>
      <c r="AY65" s="306" t="str">
        <f>IF(ISERROR(AY64-AY$69),"NM",AY64-AY$69)</f>
        <v>NM</v>
      </c>
      <c r="AZ65" s="306" t="str">
        <f>IF(ISERROR(AZ64-AZ$69),"NM",AZ64-AZ$69)</f>
        <v>NM</v>
      </c>
      <c r="BA65" s="306" t="str">
        <f>IF(ISERROR(BA64-BA$69),"NM",BA64-BA$69)</f>
        <v>NM</v>
      </c>
      <c r="BB65" s="306" t="str">
        <f>IF(ISERROR(BB64-BB$69),"NM",BB64-BB$69)</f>
        <v>NM</v>
      </c>
      <c r="BC65" s="306" t="str">
        <f>IF(ISERROR(BC64-BC$69),"NM",BC64-BC$69)</f>
        <v>NM</v>
      </c>
      <c r="BD65" s="313"/>
      <c r="BE65" s="306" t="str">
        <f>IF(ISERROR(BE64-BE$69),"NM",BE64-BE$69)</f>
        <v>NM</v>
      </c>
      <c r="BF65" s="306" t="str">
        <f>IF(ISERROR(BF64-BF$69),"NM",BF64-BF$69)</f>
        <v>NM</v>
      </c>
      <c r="BG65" s="306" t="str">
        <f>IF(ISERROR(BG64-BG$69),"NM",BG64-BG$69)</f>
        <v>NM</v>
      </c>
      <c r="BH65" s="306" t="str">
        <f>IF(ISERROR(BH64-BH$69),"NM",BH64-BH$69)</f>
        <v>NM</v>
      </c>
      <c r="BI65" s="306" t="str">
        <f>IF(ISERROR(BI64-BI$69),"NM",BI64-BI$69)</f>
        <v>NM</v>
      </c>
      <c r="BJ65" s="184"/>
      <c r="BK65" s="306" t="str">
        <f>IF(ISERROR(BK64-BK$69),"NM",BK64-BK$69)</f>
        <v>NM</v>
      </c>
      <c r="BL65" s="306" t="str">
        <f>IF(ISERROR(BL64-BL$69),"NM",BL64-BL$69)</f>
        <v>NM</v>
      </c>
      <c r="BM65" s="306" t="str">
        <f>IF(ISERROR(BM64-BM$69),"NM",BM64-BM$69)</f>
        <v>NM</v>
      </c>
      <c r="BN65" s="306" t="str">
        <f>IF(ISERROR(BN64-BN$69),"NM",BN64-BN$69)</f>
        <v>NM</v>
      </c>
      <c r="BO65" s="306" t="str">
        <f>IF(ISERROR(BO64-BO$69),"NM",BO64-BO$69)</f>
        <v>NM</v>
      </c>
      <c r="BP65" s="184"/>
      <c r="BQ65" s="306">
        <f>IF(ISERROR(BQ64-BQ$69),"NM",BQ64-BQ$69)</f>
        <v>3</v>
      </c>
      <c r="BR65" s="510">
        <f>IF(ISERROR(BR64-BR$69),"NM",BR64-BR$69)</f>
        <v>0.46082949308755761</v>
      </c>
      <c r="BS65" s="306">
        <f>IF(ISERROR(BS64-BS$69),"NM",BS64-BS$69)</f>
        <v>0.36958933829226726</v>
      </c>
      <c r="BT65" s="306">
        <f>IF(ISERROR(BT64-BT$69),"NM",BT64-BT$69)</f>
        <v>0.34924592592592596</v>
      </c>
      <c r="BU65" s="306">
        <f>IF(ISERROR(BU64-BU$69),"NM",BU64-BU$69)</f>
        <v>0.63012715576368206</v>
      </c>
      <c r="BV65" s="184"/>
      <c r="BW65" s="306">
        <f>IF(ISERROR(BW64-BW$69),"NM",BW64-BW$69)</f>
        <v>0.28576936895833338</v>
      </c>
      <c r="BX65" s="306">
        <f>IF(ISERROR(BX64-BX$69),"NM",BX64-BX$69)</f>
        <v>0.23682257809999996</v>
      </c>
      <c r="BY65" s="306">
        <f>IF(ISERROR(BY64-BY$69),"NM",BY64-BY$69)</f>
        <v>0.26756469620823142</v>
      </c>
      <c r="BZ65" s="306">
        <f>IF(ISERROR(BZ64-BZ$69),"NM",BZ64-BZ$69)</f>
        <v>0.26872587376793589</v>
      </c>
      <c r="CA65" s="306">
        <f>IF(ISERROR(CA64-CA$69),"NM",CA64-CA$69)</f>
        <v>0.26435032207517239</v>
      </c>
      <c r="CB65" s="184"/>
      <c r="CC65" s="306">
        <f>IF(ISERROR(CC64-CC$69),"NM",CC64-CC$69)</f>
        <v>0.26557278057435307</v>
      </c>
      <c r="CD65" s="306">
        <f>IF(ISERROR(CD64-CD$69),"NM",CD64-CD$69)</f>
        <v>0.26317784686776657</v>
      </c>
      <c r="CE65" s="306">
        <f>IF(ISERROR(CE64-CE$69),"NM",CE64-CE$69)</f>
        <v>0.26088818497245847</v>
      </c>
      <c r="CF65" s="306">
        <f>IF(ISERROR(CF64-CF$69),"NM",CF64-CF$69)</f>
        <v>0.25923591544260116</v>
      </c>
      <c r="CG65" s="306">
        <f>IF(ISERROR(CG64-CG$69),"NM",CG64-CG$69)</f>
        <v>0.26207245978057814</v>
      </c>
      <c r="CH65" s="184"/>
      <c r="CI65" s="510">
        <f t="shared" ref="CI65:CM65" si="95">IF(ISERROR(CI64-CI$69),"NM",CI64-CI$69)</f>
        <v>0.23838651523131538</v>
      </c>
      <c r="CJ65" s="510">
        <f t="shared" si="95"/>
        <v>0.21848442334536067</v>
      </c>
      <c r="CK65" s="510">
        <f t="shared" si="95"/>
        <v>0.19897691676363638</v>
      </c>
      <c r="CL65" s="510">
        <f t="shared" si="95"/>
        <v>0.18028187317014943</v>
      </c>
      <c r="CM65" s="510">
        <f t="shared" si="95"/>
        <v>0.20774294502000989</v>
      </c>
      <c r="CN65" s="184"/>
      <c r="CO65" s="510">
        <f t="shared" ref="CO65:CS65" si="96">IF(ISERROR(CO64-CO$69),"NM",CO64-CO$69)</f>
        <v>0.17816960638446599</v>
      </c>
      <c r="CP65" s="510">
        <f t="shared" si="96"/>
        <v>0.17655221353142858</v>
      </c>
      <c r="CQ65" s="510">
        <f t="shared" si="96"/>
        <v>0.17499528396261677</v>
      </c>
      <c r="CR65" s="510">
        <f t="shared" si="96"/>
        <v>0.1738652544368664</v>
      </c>
      <c r="CS65" s="510">
        <f t="shared" si="96"/>
        <v>0.1758281278749394</v>
      </c>
      <c r="CT65" s="313"/>
    </row>
    <row r="66" spans="1:274" s="43" customFormat="1" ht="12" customHeight="1" x14ac:dyDescent="0.2">
      <c r="A66" s="300"/>
      <c r="B66" s="685" t="s">
        <v>343</v>
      </c>
      <c r="C66" s="687">
        <f>C75</f>
        <v>33.542999999999999</v>
      </c>
      <c r="D66" s="687">
        <f>D75</f>
        <v>37.134999999999998</v>
      </c>
      <c r="E66" s="687">
        <f>E75</f>
        <v>40.97</v>
      </c>
      <c r="F66" s="687">
        <f>F75</f>
        <v>45.478000000000002</v>
      </c>
      <c r="G66" s="687">
        <f>G75</f>
        <v>157.126</v>
      </c>
      <c r="H66" s="688"/>
      <c r="I66" s="687">
        <f>I75</f>
        <v>48.265999999999998</v>
      </c>
      <c r="J66" s="687">
        <f>J75</f>
        <v>56.741999999999997</v>
      </c>
      <c r="K66" s="687">
        <f>K75</f>
        <v>61.765000000000001</v>
      </c>
      <c r="L66" s="687">
        <f>L75</f>
        <v>64.677999999999997</v>
      </c>
      <c r="M66" s="687">
        <f>M75</f>
        <v>231.45099999999999</v>
      </c>
      <c r="N66" s="688"/>
      <c r="O66" s="687">
        <f>O75</f>
        <v>69.965000000000003</v>
      </c>
      <c r="P66" s="687">
        <f>P75</f>
        <v>83.951999999999998</v>
      </c>
      <c r="Q66" s="687">
        <f>Q75</f>
        <v>86.531000000000006</v>
      </c>
      <c r="R66" s="687">
        <f>R75</f>
        <v>86.078999999999994</v>
      </c>
      <c r="S66" s="687">
        <f>S75</f>
        <v>326.52699999999999</v>
      </c>
      <c r="T66" s="688"/>
      <c r="U66" s="687">
        <f>U33+U58+U38+U42+U46+U50+U54</f>
        <v>85.122</v>
      </c>
      <c r="V66" s="687">
        <f>V33+V58+V38+V42+V46+V50+V54</f>
        <v>92.768000000000001</v>
      </c>
      <c r="W66" s="687">
        <f>W33+W58+W38+W42+W46+W50+W54</f>
        <v>90.83</v>
      </c>
      <c r="X66" s="687">
        <f>X33+X58+X38+X42+X46+X50+X54</f>
        <v>93.927999999999997</v>
      </c>
      <c r="Y66" s="687">
        <f>Y33+Y58+Y38+Y42+Y46+Y50+Y54</f>
        <v>362.64800000000002</v>
      </c>
      <c r="Z66" s="688"/>
      <c r="AA66" s="687">
        <f>AA33+AA58+AA38+AA42+AA46+AA50+AA54+AA62</f>
        <v>91.858000000000004</v>
      </c>
      <c r="AB66" s="687">
        <f>AB33+AB58+AB38+AB42+AB46+AB50+AB54+AB62</f>
        <v>100.44000000000001</v>
      </c>
      <c r="AC66" s="687">
        <f>AC33+AC58+AC38+AC42+AC46+AC50+AC54+AC62</f>
        <v>102.374</v>
      </c>
      <c r="AD66" s="687">
        <f>AD33+AD58+AD38+AD42+AD46+AD50+AD54+AD62</f>
        <v>105.374</v>
      </c>
      <c r="AE66" s="687">
        <f>AE33+AE58+AE38+AE42+AE46+AE50+AE54+AE62</f>
        <v>400.04600000000005</v>
      </c>
      <c r="AF66" s="688"/>
      <c r="AG66" s="687">
        <f>AG33+AG58+AG38+AG42+AG46+AG50+AG54+AG62</f>
        <v>103.96899999999999</v>
      </c>
      <c r="AH66" s="687">
        <f>AH33+AH58+AH38+AH42+AH46+AH50+AH54+AH62</f>
        <v>117.61</v>
      </c>
      <c r="AI66" s="687">
        <f>AI33+AI58+AI38+AI42+AI46+AI50+AI54+AI62</f>
        <v>123.31200000000001</v>
      </c>
      <c r="AJ66" s="687">
        <f>AJ33+AJ58+AJ38+AJ42+AJ46+AJ50+AJ54+AJ62</f>
        <v>127.49900000000001</v>
      </c>
      <c r="AK66" s="687">
        <f>AK33+AK58+AK38+AK42+AK46+AK50+AK54+AK62</f>
        <v>472.39000000000004</v>
      </c>
      <c r="AL66" s="688"/>
      <c r="AM66" s="687">
        <f>AM33+AM58+AM38+AM42+AM46+AM50+AM54+AM62</f>
        <v>127.268</v>
      </c>
      <c r="AN66" s="687">
        <f>AN33+AN58+AN38+AN42+AN46+AN50+AN54+AN62</f>
        <v>140.65099999999998</v>
      </c>
      <c r="AO66" s="687">
        <f>AO33+AO58+AO38+AO42+AO46+AO50+AO54+AO62</f>
        <v>148.38400000000001</v>
      </c>
      <c r="AP66" s="687">
        <f>AP33+AP58+AP38+AP42+AP46+AP50+AP54+AP62</f>
        <v>166.089</v>
      </c>
      <c r="AQ66" s="687">
        <f>AQ33+AQ58+AQ38+AQ42+AQ46+AQ50+AQ54+AQ62</f>
        <v>582.39200000000005</v>
      </c>
      <c r="AR66" s="688"/>
      <c r="AS66" s="687">
        <f>AS33+AS58+AS38+AS42+AS46+AS50+AS54+AS62</f>
        <v>192.98699999999999</v>
      </c>
      <c r="AT66" s="687">
        <f>AT33+AT58+AT38+AT42+AT46+AT50+AT54+AT62</f>
        <v>196.15800000000004</v>
      </c>
      <c r="AU66" s="687">
        <f>AU33+AU58+AU38+AU42+AU46+AU50+AU54+AU62</f>
        <v>176.19100000000003</v>
      </c>
      <c r="AV66" s="687">
        <f>AV33+AV58+AV38+AV42+AV46+AV50+AV54+AV62</f>
        <v>182.86200000000002</v>
      </c>
      <c r="AW66" s="687">
        <f>AW33+AW58+AW38+AW42+AW46+AW50+AW54+AW62</f>
        <v>748.19800000000009</v>
      </c>
      <c r="AX66" s="688"/>
      <c r="AY66" s="687">
        <f>AY33+AY58+AY38+AY42+AY46+AY50+AY54+AY62</f>
        <v>164.50700000000001</v>
      </c>
      <c r="AZ66" s="687">
        <f>AZ33+AZ58+AZ38+AZ42+AZ46+AZ50+AZ54+AZ62</f>
        <v>179.15</v>
      </c>
      <c r="BA66" s="687">
        <f>BA33+BA58+BA38+BA42+BA46+BA50+BA54+BA62</f>
        <v>173.00799999999998</v>
      </c>
      <c r="BB66" s="687">
        <f>BB33+BB58+BB38+BB42+BB46+BB50+BB54+BB62</f>
        <v>178.8049262189808</v>
      </c>
      <c r="BC66" s="687">
        <f>BC33+BC58+BC38+BC42+BC46+BC50+BC54+BC62</f>
        <v>695.46992621898085</v>
      </c>
      <c r="BD66" s="688"/>
      <c r="BE66" s="687">
        <f>BE33+BE58+BE38+BE42+BE46+BE50+BE54+BE62</f>
        <v>171.9263838366868</v>
      </c>
      <c r="BF66" s="687">
        <f>BF33+BF58+BF38+BF42+BF46+BF50+BF54+BF62</f>
        <v>182.58922202800136</v>
      </c>
      <c r="BG66" s="687">
        <f>BG33+BG58+BG38+BG42+BG46+BG50+BG54+BG62</f>
        <v>177.41802062257497</v>
      </c>
      <c r="BH66" s="687">
        <f>BH33+BH58+BH38+BH42+BH46+BH50+BH54+BH62</f>
        <v>173.80000000000004</v>
      </c>
      <c r="BI66" s="687">
        <f>BI33+BI58+BI38+BI42+BI46+BI50+BI54+BI62</f>
        <v>705.733626487263</v>
      </c>
      <c r="BJ66" s="688"/>
      <c r="BK66" s="687">
        <f>BK33+BK58+BK38+BK42+BK46+BK50+BK54+BK62</f>
        <v>165.10619851575015</v>
      </c>
      <c r="BL66" s="687">
        <f>BL33+BL58+BL38+BL42+BL46+BL50+BL54+BL62</f>
        <v>183.94935285011937</v>
      </c>
      <c r="BM66" s="687">
        <f>BM33+BM58+BM38+BM42+BM46+BM50+BM54+BM62</f>
        <v>185.21112509441613</v>
      </c>
      <c r="BN66" s="687">
        <f>BN33+BN58+BN38+BN42+BN46+BN50+BN54+BN62</f>
        <v>187.85994435047371</v>
      </c>
      <c r="BO66" s="687">
        <f>BO33+BO58+BO38+BO42+BO46+BO50+BO54+BO62</f>
        <v>722.12662081075928</v>
      </c>
      <c r="BP66" s="688"/>
      <c r="BQ66" s="687">
        <f>BQ33+BQ58+BQ38+BQ42+BQ46+BQ50+BQ54+BQ62</f>
        <v>178.773636020087</v>
      </c>
      <c r="BR66" s="687">
        <f>BR33+BR58+BR38+BR42+BR46+BR50+BR54+BR62</f>
        <v>179.17538465031677</v>
      </c>
      <c r="BS66" s="687">
        <f>BS33+BS58+BS38+BS42+BS46+BS50+BS54+BS62</f>
        <v>178.74389196979973</v>
      </c>
      <c r="BT66" s="687">
        <f>BT33+BT58+BT38+BT42+BT46+BT50+BT54+BT62</f>
        <v>185.22507616368108</v>
      </c>
      <c r="BU66" s="687">
        <f>BU33+BU58+BU38+BU42+BU46+BU50+BU54+BU62</f>
        <v>721.91798880388455</v>
      </c>
      <c r="BV66" s="688"/>
      <c r="BW66" s="687">
        <f>BW33+BW58+BW38+BW42+BW46+BW50+BW54+BW62</f>
        <v>177.87465770273576</v>
      </c>
      <c r="BX66" s="687">
        <f>BX33+BX58+BX38+BX42+BX46+BX50+BX54+BX62</f>
        <v>183.53071397288588</v>
      </c>
      <c r="BY66" s="687">
        <f>BY33+BY58+BY38+BY42+BY46+BY50+BY54+BY62</f>
        <v>186.56087440761928</v>
      </c>
      <c r="BZ66" s="687">
        <f>BZ33+BZ58+BZ38+BZ42+BZ46+BZ50+BZ54+BZ62</f>
        <v>195.46228831825337</v>
      </c>
      <c r="CA66" s="687">
        <f>CA33+CA58+CA38+CA42+CA46+CA50+CA54+CA62</f>
        <v>743.4285344014944</v>
      </c>
      <c r="CB66" s="688"/>
      <c r="CC66" s="687">
        <f>CC33+CC58+CC38+CC42+CC46+CC50+CC54+CC62</f>
        <v>185.72017065909571</v>
      </c>
      <c r="CD66" s="687">
        <f>CD33+CD58+CD38+CD42+CD46+CD50+CD54+CD62</f>
        <v>193.74739421935885</v>
      </c>
      <c r="CE66" s="687">
        <f>CE33+CE58+CE38+CE42+CE46+CE50+CE54+CE62</f>
        <v>197.25895960585868</v>
      </c>
      <c r="CF66" s="687">
        <f>CF33+CF58+CF38+CF42+CF46+CF50+CF54+CF62</f>
        <v>207.58687963374058</v>
      </c>
      <c r="CG66" s="687">
        <f>CG33+CG58+CG38+CG42+CG46+CG50+CG54+CG62</f>
        <v>784.31340411805365</v>
      </c>
      <c r="CH66" s="688"/>
      <c r="CI66" s="687">
        <f t="shared" ref="CI66:CM66" si="97">CI33+CI58+CI38+CI42+CI46+CI50+CI54+CI62</f>
        <v>198.72585352054404</v>
      </c>
      <c r="CJ66" s="687">
        <f t="shared" si="97"/>
        <v>207.97918658586974</v>
      </c>
      <c r="CK66" s="687">
        <f t="shared" si="97"/>
        <v>210.66890691259286</v>
      </c>
      <c r="CL66" s="687">
        <f t="shared" si="97"/>
        <v>221.6671785710713</v>
      </c>
      <c r="CM66" s="687">
        <f t="shared" si="97"/>
        <v>839.04112559007785</v>
      </c>
      <c r="CN66" s="688"/>
      <c r="CO66" s="687">
        <f t="shared" ref="CO66:CS66" si="98">CO33+CO58+CO38+CO42+CO46+CO50+CO54+CO62</f>
        <v>212.58267600141693</v>
      </c>
      <c r="CP66" s="687">
        <f t="shared" si="98"/>
        <v>224.30905219765873</v>
      </c>
      <c r="CQ66" s="687">
        <f t="shared" si="98"/>
        <v>224.79275842696046</v>
      </c>
      <c r="CR66" s="687">
        <f t="shared" si="98"/>
        <v>237.83508436442258</v>
      </c>
      <c r="CS66" s="687">
        <f t="shared" si="98"/>
        <v>899.51957099045876</v>
      </c>
      <c r="CT66" s="306"/>
      <c r="CU66"/>
      <c r="CV66"/>
      <c r="CW66"/>
    </row>
    <row r="67" spans="1:274" s="43" customFormat="1" ht="12" customHeight="1" x14ac:dyDescent="0.2">
      <c r="A67" s="300"/>
      <c r="B67" s="693" t="s">
        <v>339</v>
      </c>
      <c r="C67" s="691"/>
      <c r="D67" s="691"/>
      <c r="E67" s="691"/>
      <c r="F67" s="691"/>
      <c r="G67" s="691"/>
      <c r="H67" s="691"/>
      <c r="I67" s="691"/>
      <c r="J67" s="691"/>
      <c r="K67" s="691"/>
      <c r="L67" s="691"/>
      <c r="M67" s="683"/>
      <c r="N67" s="691"/>
      <c r="O67" s="691"/>
      <c r="P67" s="691"/>
      <c r="Q67" s="691"/>
      <c r="R67" s="691"/>
      <c r="S67" s="683"/>
      <c r="T67" s="683"/>
      <c r="U67" s="683"/>
      <c r="V67" s="683"/>
      <c r="W67" s="683"/>
      <c r="X67" s="683"/>
      <c r="Y67" s="683"/>
      <c r="Z67" s="683"/>
      <c r="AA67" s="683">
        <f>+AA66/U66-1</f>
        <v>7.9133479006602281E-2</v>
      </c>
      <c r="AB67" s="683">
        <f>+AB66/V66-1</f>
        <v>8.2700931355639939E-2</v>
      </c>
      <c r="AC67" s="683">
        <f>+AC66/W66-1</f>
        <v>0.12709457227788179</v>
      </c>
      <c r="AD67" s="683">
        <f>+AD66/X66-1</f>
        <v>0.12185929648241212</v>
      </c>
      <c r="AE67" s="683">
        <f>+AE66/Y66-1</f>
        <v>0.1031247931878847</v>
      </c>
      <c r="AF67" s="683"/>
      <c r="AG67" s="683">
        <f>+AG66/AA66-1</f>
        <v>0.13184480393651055</v>
      </c>
      <c r="AH67" s="683">
        <f>+AH66/AB66-1</f>
        <v>0.17094782954998</v>
      </c>
      <c r="AI67" s="683">
        <f>+AI66/AC66-1</f>
        <v>0.20452458632074566</v>
      </c>
      <c r="AJ67" s="683">
        <f>+AJ66/AD66-1</f>
        <v>0.20996640537514022</v>
      </c>
      <c r="AK67" s="683">
        <f>+AK66/AE66-1</f>
        <v>0.18083920349159843</v>
      </c>
      <c r="AL67" s="692"/>
      <c r="AM67" s="683">
        <f>+AM66/AG66-1</f>
        <v>0.22409564389385306</v>
      </c>
      <c r="AN67" s="683">
        <f>+AN66/AH66-1</f>
        <v>0.19591021171669065</v>
      </c>
      <c r="AO67" s="683">
        <f>+AO66/AI66-1</f>
        <v>0.20332165563773197</v>
      </c>
      <c r="AP67" s="683">
        <f>+AP66/AJ66-1</f>
        <v>0.30266904054149424</v>
      </c>
      <c r="AQ67" s="683">
        <f>+AQ66/AK66-1</f>
        <v>0.23286267702533925</v>
      </c>
      <c r="AR67" s="692"/>
      <c r="AS67" s="683">
        <f>+AS66/AM66-1</f>
        <v>0.5163827513593362</v>
      </c>
      <c r="AT67" s="683">
        <f>+AT66/AN66-1</f>
        <v>0.39464347925005905</v>
      </c>
      <c r="AU67" s="683">
        <f>+AU66/AO66-1</f>
        <v>0.18739891093379346</v>
      </c>
      <c r="AV67" s="683">
        <f>+AV66/AP66-1</f>
        <v>0.10098802449289246</v>
      </c>
      <c r="AW67" s="683">
        <f>+AW66/AQ66-1</f>
        <v>0.28469827882251142</v>
      </c>
      <c r="AX67" s="692"/>
      <c r="AY67" s="683">
        <f>+AY66/AS66-1</f>
        <v>-0.14757470710462361</v>
      </c>
      <c r="AZ67" s="683">
        <f>+AZ66/AT66-1</f>
        <v>-8.6705614861489422E-2</v>
      </c>
      <c r="BA67" s="683">
        <f>+BA66/AU66-1</f>
        <v>-1.8065621967070067E-2</v>
      </c>
      <c r="BB67" s="683">
        <f>+BB66/AV66-1</f>
        <v>-2.2186532910168477E-2</v>
      </c>
      <c r="BC67" s="683">
        <f>+BC66/AW66-1</f>
        <v>-7.0473422517861928E-2</v>
      </c>
      <c r="BD67" s="692"/>
      <c r="BE67" s="683">
        <f>+BE66/AY66-1</f>
        <v>4.5100718125592243E-2</v>
      </c>
      <c r="BF67" s="683">
        <f>+BF66/AZ66-1</f>
        <v>1.9197443639415779E-2</v>
      </c>
      <c r="BG67" s="683">
        <f>+BG66/BA66-1</f>
        <v>2.5490269944597799E-2</v>
      </c>
      <c r="BH67" s="683">
        <f>+BH66/BB66-1</f>
        <v>-2.7990986181506416E-2</v>
      </c>
      <c r="BI67" s="683">
        <f>+BI66/BC66-1</f>
        <v>1.4757935435227409E-2</v>
      </c>
      <c r="BJ67" s="692"/>
      <c r="BK67" s="683">
        <f>+BK66/BE66-1</f>
        <v>-3.9669218701273601E-2</v>
      </c>
      <c r="BL67" s="683">
        <f>+BL66/BF66-1</f>
        <v>7.4491298391612393E-3</v>
      </c>
      <c r="BM67" s="683">
        <f>+BM66/BG66-1</f>
        <v>4.3925100981819565E-2</v>
      </c>
      <c r="BN67" s="683">
        <f>+BN66/BH66-1</f>
        <v>8.0897263236327177E-2</v>
      </c>
      <c r="BO67" s="683">
        <f>+BO66/BI66-1</f>
        <v>2.3228302731005179E-2</v>
      </c>
      <c r="BP67" s="692"/>
      <c r="BQ67" s="683">
        <f>+BQ66/BK66-1</f>
        <v>8.2779675307181444E-2</v>
      </c>
      <c r="BR67" s="683">
        <f>+BR66/BL66-1</f>
        <v>-2.5952622968412387E-2</v>
      </c>
      <c r="BS67" s="683">
        <f>+BS66/BM66-1</f>
        <v>-3.4918167692786106E-2</v>
      </c>
      <c r="BT67" s="683">
        <f>+BT66/BN66-1</f>
        <v>-1.4025705138488664E-2</v>
      </c>
      <c r="BU67" s="683">
        <f>+BU66/BO66-1</f>
        <v>-2.8891333024183563E-4</v>
      </c>
      <c r="BV67" s="692"/>
      <c r="BW67" s="683">
        <f>+BW66/BQ66-1</f>
        <v>-5.0285844007235125E-3</v>
      </c>
      <c r="BX67" s="683">
        <f>+BX66/BR66-1</f>
        <v>2.4307632050401873E-2</v>
      </c>
      <c r="BY67" s="683">
        <f>+BY66/BS66-1</f>
        <v>4.3732864668406535E-2</v>
      </c>
      <c r="BZ67" s="683">
        <f>+BZ66/BT66-1</f>
        <v>5.5269040059812369E-2</v>
      </c>
      <c r="CA67" s="683">
        <f>+CA66/BU66-1</f>
        <v>2.9796383981579133E-2</v>
      </c>
      <c r="CB67" s="692"/>
      <c r="CC67" s="683">
        <f>+CC66/BW66-1</f>
        <v>4.410697430249666E-2</v>
      </c>
      <c r="CD67" s="683">
        <f>+CD66/BX66-1</f>
        <v>5.5667414054643372E-2</v>
      </c>
      <c r="CE67" s="683">
        <f>+CE66/BY66-1</f>
        <v>5.7343669899750926E-2</v>
      </c>
      <c r="CF67" s="683">
        <f>+CF66/BZ66-1</f>
        <v>6.203033546678749E-2</v>
      </c>
      <c r="CG67" s="683">
        <f>+CG66/CA66-1</f>
        <v>5.4995023495397755E-2</v>
      </c>
      <c r="CH67" s="692"/>
      <c r="CI67" s="683">
        <f t="shared" ref="CI67:CM67" si="99">+CI66/CC66-1</f>
        <v>7.0028380952337654E-2</v>
      </c>
      <c r="CJ67" s="683">
        <f t="shared" si="99"/>
        <v>7.3455400129912363E-2</v>
      </c>
      <c r="CK67" s="683">
        <f t="shared" si="99"/>
        <v>6.7981435842146221E-2</v>
      </c>
      <c r="CL67" s="683">
        <f t="shared" si="99"/>
        <v>6.7828462772664411E-2</v>
      </c>
      <c r="CM67" s="683">
        <f t="shared" si="99"/>
        <v>6.9777873468278351E-2</v>
      </c>
      <c r="CN67" s="692"/>
      <c r="CO67" s="683">
        <f t="shared" ref="CO67:CS67" si="100">+CO66/CI66-1</f>
        <v>6.9728332954123617E-2</v>
      </c>
      <c r="CP67" s="683">
        <f t="shared" si="100"/>
        <v>7.8516826033679932E-2</v>
      </c>
      <c r="CQ67" s="683">
        <f t="shared" si="100"/>
        <v>6.7042886021275283E-2</v>
      </c>
      <c r="CR67" s="683">
        <f t="shared" si="100"/>
        <v>7.2937752433960279E-2</v>
      </c>
      <c r="CS67" s="683">
        <f t="shared" si="100"/>
        <v>7.2080430333909762E-2</v>
      </c>
      <c r="CT67" s="306"/>
      <c r="CU67"/>
      <c r="CV67"/>
      <c r="CW67"/>
    </row>
    <row r="68" spans="1:274" s="43" customFormat="1" ht="12" customHeight="1" x14ac:dyDescent="0.2">
      <c r="A68" s="300"/>
      <c r="B68" s="693" t="s">
        <v>342</v>
      </c>
      <c r="C68" s="683"/>
      <c r="D68" s="683"/>
      <c r="E68" s="683"/>
      <c r="F68" s="683"/>
      <c r="G68" s="683"/>
      <c r="H68" s="684"/>
      <c r="I68" s="683"/>
      <c r="J68" s="683"/>
      <c r="K68" s="683"/>
      <c r="L68" s="683"/>
      <c r="M68" s="683"/>
      <c r="N68" s="684"/>
      <c r="O68" s="683"/>
      <c r="P68" s="683"/>
      <c r="Q68" s="683"/>
      <c r="R68" s="683"/>
      <c r="S68" s="683"/>
      <c r="T68" s="684"/>
      <c r="U68" s="683"/>
      <c r="V68" s="683"/>
      <c r="W68" s="683"/>
      <c r="X68" s="683"/>
      <c r="Y68" s="683"/>
      <c r="Z68" s="684"/>
      <c r="AA68" s="683">
        <f>+AA67-AA69</f>
        <v>7.9133479006602281E-2</v>
      </c>
      <c r="AB68" s="683">
        <f>+AB67-AB69</f>
        <v>8.2700931355639939E-2</v>
      </c>
      <c r="AC68" s="683">
        <f>+AC67-AC69</f>
        <v>0.12709457227788179</v>
      </c>
      <c r="AD68" s="683">
        <f>+AD67-AD69</f>
        <v>0.12185929648241212</v>
      </c>
      <c r="AE68" s="683">
        <f>+AE67-AE69</f>
        <v>0.1031247931878847</v>
      </c>
      <c r="AF68" s="684"/>
      <c r="AG68" s="683">
        <f>+AG67-AG69</f>
        <v>0.13184480393651055</v>
      </c>
      <c r="AH68" s="683">
        <f>+AH67-AH69</f>
        <v>0.17094782954998</v>
      </c>
      <c r="AI68" s="683">
        <f>+AI67-AI69</f>
        <v>0.20452458632074566</v>
      </c>
      <c r="AJ68" s="683">
        <f>+AJ67-AJ69</f>
        <v>0.20996640537514022</v>
      </c>
      <c r="AK68" s="683">
        <f>+AK67-AK69</f>
        <v>0.18083920349159843</v>
      </c>
      <c r="AL68" s="684"/>
      <c r="AM68" s="683">
        <f>+AM67-AM69</f>
        <v>0.22409564389385306</v>
      </c>
      <c r="AN68" s="683">
        <f>+AN67-AN69</f>
        <v>0.19591021171669065</v>
      </c>
      <c r="AO68" s="683">
        <f>+AO67-AO69</f>
        <v>0.20332165563773197</v>
      </c>
      <c r="AP68" s="683">
        <f>+AP67-AP69</f>
        <v>0.30266904054149424</v>
      </c>
      <c r="AQ68" s="683">
        <f>+AQ67-AQ69</f>
        <v>0.23286267702533925</v>
      </c>
      <c r="AR68" s="684"/>
      <c r="AS68" s="683">
        <f>+AS67-AS69</f>
        <v>0.5163827513593362</v>
      </c>
      <c r="AT68" s="683">
        <f>+AT67-AT69</f>
        <v>0.39464347925005905</v>
      </c>
      <c r="AU68" s="683">
        <f>+AU67-AU69</f>
        <v>0.18739891093379346</v>
      </c>
      <c r="AV68" s="683">
        <f>+AV67-AV69</f>
        <v>0.10098802449289246</v>
      </c>
      <c r="AW68" s="683">
        <f>+AW67-AW69</f>
        <v>0.28469827882251142</v>
      </c>
      <c r="AX68" s="684"/>
      <c r="AY68" s="683">
        <f>+AY67-AY69</f>
        <v>-0.14757470710462361</v>
      </c>
      <c r="AZ68" s="683">
        <f>+AZ67-AZ69</f>
        <v>-8.6705614861489422E-2</v>
      </c>
      <c r="BA68" s="683">
        <f>+BA67-BA69</f>
        <v>-1.8065621967070067E-2</v>
      </c>
      <c r="BB68" s="683">
        <f>+BB67-BB69</f>
        <v>-2.2186532910168477E-2</v>
      </c>
      <c r="BC68" s="683">
        <f>+BC67-BC69</f>
        <v>-7.0473422517861928E-2</v>
      </c>
      <c r="BD68" s="684"/>
      <c r="BE68" s="683">
        <f>+BE67-BE69</f>
        <v>4.5100718125592243E-2</v>
      </c>
      <c r="BF68" s="683">
        <f>+BF67-BF69</f>
        <v>1.9197443639415779E-2</v>
      </c>
      <c r="BG68" s="683">
        <f>+BG67-BG69</f>
        <v>2.5490269944597799E-2</v>
      </c>
      <c r="BH68" s="683">
        <f>+BH67-BH69</f>
        <v>-2.7990986181506416E-2</v>
      </c>
      <c r="BI68" s="683">
        <f>+BI67-BI69</f>
        <v>1.4757935435227409E-2</v>
      </c>
      <c r="BJ68" s="684"/>
      <c r="BK68" s="683">
        <f>+BK67-BK69</f>
        <v>-3.9669218701273601E-2</v>
      </c>
      <c r="BL68" s="683">
        <f>+BL67-BL69</f>
        <v>7.4491298391612393E-3</v>
      </c>
      <c r="BM68" s="683">
        <f>+BM67-BM69</f>
        <v>4.3925100981819565E-2</v>
      </c>
      <c r="BN68" s="683">
        <f>+BN67-BN69</f>
        <v>8.0897263236327177E-2</v>
      </c>
      <c r="BO68" s="683">
        <f>+BO67-BO69</f>
        <v>2.3228302731005179E-2</v>
      </c>
      <c r="BP68" s="684"/>
      <c r="BQ68" s="683">
        <f>+BQ67-BQ69</f>
        <v>8.2779675307181444E-2</v>
      </c>
      <c r="BR68" s="683">
        <f>+BR67-BR69</f>
        <v>-2.5952622968412387E-2</v>
      </c>
      <c r="BS68" s="683">
        <f>+BS67-BS69</f>
        <v>-3.4918167692786106E-2</v>
      </c>
      <c r="BT68" s="683">
        <f>+BT67-BT69</f>
        <v>-1.4025705138488664E-2</v>
      </c>
      <c r="BU68" s="683">
        <f>+BU67-BU69</f>
        <v>-2.8891333024183563E-4</v>
      </c>
      <c r="BV68" s="684"/>
      <c r="BW68" s="683">
        <f>+BW67-BW69</f>
        <v>-5.0285844007235125E-3</v>
      </c>
      <c r="BX68" s="683">
        <f>+BX67-BX69</f>
        <v>2.4307632050401873E-2</v>
      </c>
      <c r="BY68" s="683">
        <f>+BY67-BY69</f>
        <v>4.3732864668406535E-2</v>
      </c>
      <c r="BZ68" s="683">
        <f>+BZ67-BZ69</f>
        <v>5.5269040059812369E-2</v>
      </c>
      <c r="CA68" s="683">
        <f>+CA67-CA69</f>
        <v>2.9796383981579133E-2</v>
      </c>
      <c r="CB68" s="684"/>
      <c r="CC68" s="683">
        <f>+CC67-CC69</f>
        <v>4.410697430249666E-2</v>
      </c>
      <c r="CD68" s="683">
        <f>+CD67-CD69</f>
        <v>5.5667414054643372E-2</v>
      </c>
      <c r="CE68" s="683">
        <f>+CE67-CE69</f>
        <v>5.7343669899750926E-2</v>
      </c>
      <c r="CF68" s="683">
        <f>+CF67-CF69</f>
        <v>6.203033546678749E-2</v>
      </c>
      <c r="CG68" s="683">
        <f>+CG67-CG69</f>
        <v>5.4995023495397755E-2</v>
      </c>
      <c r="CH68" s="684"/>
      <c r="CI68" s="683">
        <f t="shared" ref="CI68:CM68" si="101">+CI67-CI69</f>
        <v>7.0028380952337654E-2</v>
      </c>
      <c r="CJ68" s="683">
        <f t="shared" si="101"/>
        <v>7.3455400129912363E-2</v>
      </c>
      <c r="CK68" s="683">
        <f t="shared" si="101"/>
        <v>6.7981435842146221E-2</v>
      </c>
      <c r="CL68" s="683">
        <f t="shared" si="101"/>
        <v>6.7828462772664411E-2</v>
      </c>
      <c r="CM68" s="683">
        <f t="shared" si="101"/>
        <v>6.9777873468278351E-2</v>
      </c>
      <c r="CN68" s="684"/>
      <c r="CO68" s="683">
        <f t="shared" ref="CO68:CS68" si="102">+CO67-CO69</f>
        <v>6.9728332954123617E-2</v>
      </c>
      <c r="CP68" s="683">
        <f t="shared" si="102"/>
        <v>7.8516826033679932E-2</v>
      </c>
      <c r="CQ68" s="683">
        <f t="shared" si="102"/>
        <v>6.7042886021275283E-2</v>
      </c>
      <c r="CR68" s="683">
        <f t="shared" si="102"/>
        <v>7.2937752433960279E-2</v>
      </c>
      <c r="CS68" s="683">
        <f t="shared" si="102"/>
        <v>7.2080430333909762E-2</v>
      </c>
      <c r="CT68" s="306"/>
      <c r="CU68"/>
      <c r="CV68"/>
      <c r="CW68"/>
    </row>
    <row r="69" spans="1:274" s="43" customFormat="1" ht="12" customHeight="1" x14ac:dyDescent="0.2">
      <c r="A69" s="300"/>
      <c r="B69" s="693" t="s">
        <v>70</v>
      </c>
      <c r="C69" s="694"/>
      <c r="D69" s="694"/>
      <c r="E69" s="694"/>
      <c r="F69" s="694"/>
      <c r="G69" s="694"/>
      <c r="H69" s="694"/>
      <c r="I69" s="694"/>
      <c r="J69" s="694"/>
      <c r="K69" s="694"/>
      <c r="L69" s="694"/>
      <c r="M69" s="695"/>
      <c r="N69" s="694"/>
      <c r="O69" s="694"/>
      <c r="P69" s="694"/>
      <c r="Q69" s="694"/>
      <c r="R69" s="694"/>
      <c r="S69" s="695"/>
      <c r="T69" s="694"/>
      <c r="U69" s="694"/>
      <c r="V69" s="694"/>
      <c r="W69" s="694"/>
      <c r="X69" s="694"/>
      <c r="Y69" s="694"/>
      <c r="Z69" s="694"/>
      <c r="AA69" s="696">
        <f>+AA$80</f>
        <v>0</v>
      </c>
      <c r="AB69" s="696">
        <f>+AB$80</f>
        <v>0</v>
      </c>
      <c r="AC69" s="696">
        <f>+AC$80</f>
        <v>0</v>
      </c>
      <c r="AD69" s="696">
        <f>+AD$80</f>
        <v>0</v>
      </c>
      <c r="AE69" s="696">
        <f>+AE$80</f>
        <v>0</v>
      </c>
      <c r="AF69" s="694"/>
      <c r="AG69" s="696">
        <f>+AG$80</f>
        <v>0</v>
      </c>
      <c r="AH69" s="696">
        <f>+AH$80</f>
        <v>0</v>
      </c>
      <c r="AI69" s="696">
        <f>+AI$80</f>
        <v>0</v>
      </c>
      <c r="AJ69" s="696">
        <f>+AJ$80</f>
        <v>0</v>
      </c>
      <c r="AK69" s="696">
        <f>+AK$80</f>
        <v>0</v>
      </c>
      <c r="AL69" s="694"/>
      <c r="AM69" s="696">
        <f>+AM$80</f>
        <v>0</v>
      </c>
      <c r="AN69" s="696">
        <f>+AN$80</f>
        <v>0</v>
      </c>
      <c r="AO69" s="696">
        <f>+AO$80</f>
        <v>0</v>
      </c>
      <c r="AP69" s="696">
        <f>+AP$80</f>
        <v>0</v>
      </c>
      <c r="AQ69" s="696">
        <f>+AQ$80</f>
        <v>0</v>
      </c>
      <c r="AR69" s="694"/>
      <c r="AS69" s="696">
        <f>+AS$80</f>
        <v>0</v>
      </c>
      <c r="AT69" s="696">
        <f>+AT$80</f>
        <v>0</v>
      </c>
      <c r="AU69" s="696">
        <f>+AU$80</f>
        <v>0</v>
      </c>
      <c r="AV69" s="696">
        <f>+AV$80</f>
        <v>0</v>
      </c>
      <c r="AW69" s="696">
        <f>+AW$80</f>
        <v>0</v>
      </c>
      <c r="AX69" s="694"/>
      <c r="AY69" s="696">
        <f>+AY$80</f>
        <v>0</v>
      </c>
      <c r="AZ69" s="696">
        <f>+AZ$80</f>
        <v>0</v>
      </c>
      <c r="BA69" s="696">
        <f>+BA$80</f>
        <v>0</v>
      </c>
      <c r="BB69" s="696">
        <f>+BB$80</f>
        <v>0</v>
      </c>
      <c r="BC69" s="696">
        <f>+BC$80</f>
        <v>0</v>
      </c>
      <c r="BD69" s="694"/>
      <c r="BE69" s="696">
        <f>+BE$80</f>
        <v>0</v>
      </c>
      <c r="BF69" s="696">
        <f>+BF$80</f>
        <v>0</v>
      </c>
      <c r="BG69" s="696">
        <f>+BG$80</f>
        <v>0</v>
      </c>
      <c r="BH69" s="696">
        <f>+BH$80</f>
        <v>0</v>
      </c>
      <c r="BI69" s="696">
        <f>+BI$80</f>
        <v>0</v>
      </c>
      <c r="BJ69" s="694"/>
      <c r="BK69" s="696">
        <f>+BK$80</f>
        <v>0</v>
      </c>
      <c r="BL69" s="696">
        <f>+BL$80</f>
        <v>0</v>
      </c>
      <c r="BM69" s="696">
        <f>+BM$80</f>
        <v>0</v>
      </c>
      <c r="BN69" s="696">
        <f>+BN$80</f>
        <v>0</v>
      </c>
      <c r="BO69" s="696">
        <f>+BO$80</f>
        <v>0</v>
      </c>
      <c r="BP69" s="694"/>
      <c r="BQ69" s="696">
        <f>+BQ$80</f>
        <v>0</v>
      </c>
      <c r="BR69" s="696">
        <f>+BR$80</f>
        <v>0</v>
      </c>
      <c r="BS69" s="696">
        <f>+BS$80</f>
        <v>0</v>
      </c>
      <c r="BT69" s="696">
        <f>+BT$80</f>
        <v>0</v>
      </c>
      <c r="BU69" s="696">
        <f>+BU$80</f>
        <v>0</v>
      </c>
      <c r="BV69" s="694"/>
      <c r="BW69" s="696">
        <f>+BW$80</f>
        <v>0</v>
      </c>
      <c r="BX69" s="696">
        <f>+BX$80</f>
        <v>0</v>
      </c>
      <c r="BY69" s="696">
        <f>+BY$80</f>
        <v>0</v>
      </c>
      <c r="BZ69" s="696">
        <f>+BZ$80</f>
        <v>0</v>
      </c>
      <c r="CA69" s="696">
        <f>+CA$80</f>
        <v>0</v>
      </c>
      <c r="CB69" s="694"/>
      <c r="CC69" s="696">
        <f>+CC$80</f>
        <v>0</v>
      </c>
      <c r="CD69" s="696">
        <f>+CD$80</f>
        <v>0</v>
      </c>
      <c r="CE69" s="696">
        <f>+CE$80</f>
        <v>0</v>
      </c>
      <c r="CF69" s="696">
        <f>+CF$80</f>
        <v>0</v>
      </c>
      <c r="CG69" s="696">
        <f>+CG$80</f>
        <v>0</v>
      </c>
      <c r="CH69" s="694"/>
      <c r="CI69" s="696">
        <f t="shared" ref="CI69:CM69" si="103">+CI$80</f>
        <v>0</v>
      </c>
      <c r="CJ69" s="696">
        <f t="shared" si="103"/>
        <v>0</v>
      </c>
      <c r="CK69" s="696">
        <f t="shared" si="103"/>
        <v>0</v>
      </c>
      <c r="CL69" s="696">
        <f t="shared" si="103"/>
        <v>0</v>
      </c>
      <c r="CM69" s="696">
        <f t="shared" si="103"/>
        <v>0</v>
      </c>
      <c r="CN69" s="694"/>
      <c r="CO69" s="696">
        <f t="shared" ref="CO69:CS69" si="104">+CO$80</f>
        <v>0</v>
      </c>
      <c r="CP69" s="696">
        <f t="shared" si="104"/>
        <v>0</v>
      </c>
      <c r="CQ69" s="696">
        <f t="shared" si="104"/>
        <v>0</v>
      </c>
      <c r="CR69" s="696">
        <f t="shared" si="104"/>
        <v>0</v>
      </c>
      <c r="CS69" s="696">
        <f t="shared" si="104"/>
        <v>0</v>
      </c>
      <c r="CT69" s="306"/>
      <c r="CU69"/>
      <c r="CV69"/>
      <c r="CW69"/>
    </row>
    <row r="70" spans="1:274" s="43" customFormat="1" ht="12" customHeight="1" x14ac:dyDescent="0.2">
      <c r="A70" s="300"/>
      <c r="B70" s="675" t="s">
        <v>43</v>
      </c>
      <c r="C70" s="675"/>
      <c r="D70" s="675"/>
      <c r="E70" s="675"/>
      <c r="F70" s="675"/>
      <c r="G70" s="675"/>
      <c r="H70" s="675"/>
      <c r="I70" s="675"/>
      <c r="J70" s="675"/>
      <c r="K70" s="675"/>
      <c r="L70" s="675"/>
      <c r="M70" s="675"/>
      <c r="N70" s="675"/>
      <c r="O70" s="675"/>
      <c r="P70" s="675"/>
      <c r="Q70" s="675"/>
      <c r="R70" s="675"/>
      <c r="S70" s="675"/>
      <c r="T70" s="675"/>
      <c r="U70" s="675"/>
      <c r="V70" s="675"/>
      <c r="W70" s="675"/>
      <c r="X70" s="675"/>
      <c r="Y70" s="675"/>
      <c r="Z70" s="675"/>
      <c r="AA70" s="675"/>
      <c r="AB70" s="675"/>
      <c r="AC70" s="675"/>
      <c r="AD70" s="675"/>
      <c r="AE70" s="675"/>
      <c r="AF70" s="675"/>
      <c r="AG70" s="675"/>
      <c r="AH70" s="675"/>
      <c r="AI70" s="675"/>
      <c r="AJ70" s="675"/>
      <c r="AK70" s="675"/>
      <c r="AL70" s="675"/>
      <c r="AM70" s="675"/>
      <c r="AN70" s="675"/>
      <c r="AO70" s="675"/>
      <c r="AP70" s="675"/>
      <c r="AQ70" s="675"/>
      <c r="AR70" s="675"/>
      <c r="AS70" s="675"/>
      <c r="AT70" s="675"/>
      <c r="AU70" s="675"/>
      <c r="AV70" s="675"/>
      <c r="AW70" s="675"/>
      <c r="AX70" s="675"/>
      <c r="AY70" s="675"/>
      <c r="AZ70" s="675"/>
      <c r="BA70" s="675"/>
      <c r="BB70" s="675"/>
      <c r="BC70" s="675"/>
      <c r="BD70" s="675"/>
      <c r="BE70" s="675"/>
      <c r="BF70" s="675"/>
      <c r="BG70" s="675"/>
      <c r="BH70" s="675"/>
      <c r="BI70" s="675"/>
      <c r="BJ70" s="675"/>
      <c r="BK70" s="675"/>
      <c r="BL70" s="675"/>
      <c r="BM70" s="675"/>
      <c r="BN70" s="675"/>
      <c r="BO70" s="675"/>
      <c r="BP70" s="675"/>
      <c r="BQ70" s="675"/>
      <c r="BR70" s="675"/>
      <c r="BS70" s="675"/>
      <c r="BT70" s="675"/>
      <c r="BU70" s="675"/>
      <c r="BV70" s="675"/>
      <c r="BW70" s="675"/>
      <c r="BX70" s="675"/>
      <c r="BY70" s="675"/>
      <c r="BZ70" s="675"/>
      <c r="CA70" s="675"/>
      <c r="CB70" s="675"/>
      <c r="CC70" s="675"/>
      <c r="CD70" s="675"/>
      <c r="CE70" s="675"/>
      <c r="CF70" s="675"/>
      <c r="CG70" s="675"/>
      <c r="CH70" s="675"/>
      <c r="CI70" s="675"/>
      <c r="CJ70" s="675"/>
      <c r="CK70" s="675"/>
      <c r="CL70" s="675"/>
      <c r="CM70" s="675"/>
      <c r="CN70" s="675"/>
      <c r="CO70" s="675"/>
      <c r="CP70" s="675"/>
      <c r="CQ70" s="675"/>
      <c r="CR70" s="675"/>
      <c r="CS70" s="675"/>
      <c r="CT70" s="168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</row>
    <row r="71" spans="1:274" s="43" customFormat="1" ht="12" customHeight="1" x14ac:dyDescent="0.2">
      <c r="A71" s="367"/>
      <c r="B71" s="650" t="s">
        <v>297</v>
      </c>
      <c r="C71" s="373">
        <v>0</v>
      </c>
      <c r="D71" s="373">
        <v>0</v>
      </c>
      <c r="E71" s="373">
        <v>0</v>
      </c>
      <c r="F71" s="39">
        <f>0-E71-D71-C71</f>
        <v>0</v>
      </c>
      <c r="G71" s="39">
        <f>+SUM(C71:F71)</f>
        <v>0</v>
      </c>
      <c r="H71" s="253"/>
      <c r="I71" s="373">
        <v>0</v>
      </c>
      <c r="J71" s="373">
        <v>0</v>
      </c>
      <c r="K71" s="373">
        <v>0</v>
      </c>
      <c r="L71" s="39">
        <f>0-K71-J71-I71</f>
        <v>0</v>
      </c>
      <c r="M71" s="39">
        <f>+SUM(I71:L71)</f>
        <v>0</v>
      </c>
      <c r="N71" s="253"/>
      <c r="O71" s="373">
        <v>0</v>
      </c>
      <c r="P71" s="373">
        <v>0</v>
      </c>
      <c r="Q71" s="373">
        <v>0</v>
      </c>
      <c r="R71" s="39">
        <f>0-Q71-P71-O71</f>
        <v>0</v>
      </c>
      <c r="S71" s="39">
        <f>+SUM(O71:R71)</f>
        <v>0</v>
      </c>
      <c r="T71" s="253"/>
      <c r="U71" s="373">
        <v>0</v>
      </c>
      <c r="V71" s="373">
        <v>0</v>
      </c>
      <c r="W71" s="373">
        <v>0</v>
      </c>
      <c r="X71" s="39">
        <f>0-W71-V71-U71</f>
        <v>0</v>
      </c>
      <c r="Y71" s="39">
        <f>+SUM(U71:X71)</f>
        <v>0</v>
      </c>
      <c r="Z71" s="253"/>
      <c r="AA71" s="373">
        <v>0</v>
      </c>
      <c r="AB71" s="373">
        <v>0</v>
      </c>
      <c r="AC71" s="373">
        <v>0</v>
      </c>
      <c r="AD71" s="39">
        <f>2.038-AC71-AB71-AA71</f>
        <v>2.0379999999999998</v>
      </c>
      <c r="AE71" s="39">
        <f>+SUM(AA71:AD71)</f>
        <v>2.0379999999999998</v>
      </c>
      <c r="AF71" s="253"/>
      <c r="AG71" s="373">
        <v>6.4829999999999997</v>
      </c>
      <c r="AH71" s="373">
        <v>5.2009999999999996</v>
      </c>
      <c r="AI71" s="373">
        <v>6.4649999999999999</v>
      </c>
      <c r="AJ71" s="39">
        <f>23.615-AI71-AH71-AG71</f>
        <v>5.4659999999999984</v>
      </c>
      <c r="AK71" s="39">
        <f>+SUM(AG71:AJ71)</f>
        <v>23.614999999999998</v>
      </c>
      <c r="AL71" s="253"/>
      <c r="AM71" s="373">
        <v>6.1689999999999996</v>
      </c>
      <c r="AN71" s="373">
        <v>8.4890000000000008</v>
      </c>
      <c r="AO71" s="373">
        <v>8.0879999999999992</v>
      </c>
      <c r="AP71" s="39">
        <f>30.773-AO71-AN71-AM71</f>
        <v>8.027000000000001</v>
      </c>
      <c r="AQ71" s="39">
        <f>+SUM(AM71:AP71)</f>
        <v>30.773000000000003</v>
      </c>
      <c r="AR71" s="253"/>
      <c r="AS71" s="373">
        <v>9.48</v>
      </c>
      <c r="AT71" s="373">
        <v>7.9020000000000001</v>
      </c>
      <c r="AU71" s="373">
        <v>6.7329999999999997</v>
      </c>
      <c r="AV71" s="39">
        <f>30.018-AU71-AT71-AS71</f>
        <v>5.9029999999999987</v>
      </c>
      <c r="AW71" s="39">
        <f>+SUM(AS71:AV71)</f>
        <v>30.018000000000001</v>
      </c>
      <c r="AX71" s="253"/>
      <c r="AY71" s="373">
        <v>4.3310000000000004</v>
      </c>
      <c r="AZ71" s="373">
        <v>5.2430000000000003</v>
      </c>
      <c r="BA71" s="373">
        <v>7.008</v>
      </c>
      <c r="BB71" s="373">
        <v>11.069000000000001</v>
      </c>
      <c r="BC71" s="39">
        <f>+SUM(AY71:BB71)</f>
        <v>27.651000000000003</v>
      </c>
      <c r="BD71" s="253"/>
      <c r="BE71" s="373">
        <v>11.605</v>
      </c>
      <c r="BF71" s="373">
        <v>10.7</v>
      </c>
      <c r="BG71" s="373">
        <v>13.1</v>
      </c>
      <c r="BH71" s="373">
        <v>12.7</v>
      </c>
      <c r="BI71" s="39">
        <f>+SUM(BE71:BH71)</f>
        <v>48.105000000000004</v>
      </c>
      <c r="BJ71" s="253"/>
      <c r="BK71" s="373">
        <v>12.4</v>
      </c>
      <c r="BL71" s="373">
        <v>12.6</v>
      </c>
      <c r="BM71" s="373">
        <v>11.7</v>
      </c>
      <c r="BN71" s="373">
        <v>12.6</v>
      </c>
      <c r="BO71" s="39">
        <f>+SUM(BK71:BN71)</f>
        <v>49.300000000000004</v>
      </c>
      <c r="BP71" s="253"/>
      <c r="BQ71" s="373">
        <v>11.4</v>
      </c>
      <c r="BR71" s="373">
        <v>14.8</v>
      </c>
      <c r="BS71" s="39">
        <f>+BM71*(1+BS73)</f>
        <v>11.114999999999998</v>
      </c>
      <c r="BT71" s="39">
        <f>+BN71*(1+BT73)</f>
        <v>11.969999999999999</v>
      </c>
      <c r="BU71" s="39">
        <f>+SUM(BQ71:BT71)</f>
        <v>49.284999999999997</v>
      </c>
      <c r="BV71" s="253"/>
      <c r="BW71" s="39">
        <f>+BQ71*(1+BW73)</f>
        <v>12.540000000000001</v>
      </c>
      <c r="BX71" s="39">
        <f>+BR71*(1+BX73)</f>
        <v>16.28</v>
      </c>
      <c r="BY71" s="39">
        <f>+BS71*(1+BY73)</f>
        <v>12.2265</v>
      </c>
      <c r="BZ71" s="39">
        <f>+BT71*(1+BZ73)</f>
        <v>13.167</v>
      </c>
      <c r="CA71" s="39">
        <f>+SUM(BW71:BZ71)</f>
        <v>54.213500000000003</v>
      </c>
      <c r="CB71" s="253"/>
      <c r="CC71" s="39">
        <f>+BW71*(1+CC73)</f>
        <v>13.794000000000002</v>
      </c>
      <c r="CD71" s="39">
        <f>+BX71*(1+CD73)</f>
        <v>17.908000000000001</v>
      </c>
      <c r="CE71" s="39">
        <f>+BY71*(1+CE73)</f>
        <v>13.449150000000001</v>
      </c>
      <c r="CF71" s="39">
        <f>+BZ71*(1+CF73)</f>
        <v>14.483700000000001</v>
      </c>
      <c r="CG71" s="39">
        <f>+SUM(CC71:CF71)</f>
        <v>59.634850000000007</v>
      </c>
      <c r="CH71" s="253"/>
      <c r="CI71" s="39">
        <f t="shared" ref="CI71:CL71" si="105">+CC71*(1+CI73)</f>
        <v>15.173400000000004</v>
      </c>
      <c r="CJ71" s="39">
        <f t="shared" si="105"/>
        <v>19.698800000000002</v>
      </c>
      <c r="CK71" s="39">
        <f t="shared" si="105"/>
        <v>14.794065000000003</v>
      </c>
      <c r="CL71" s="39">
        <f t="shared" si="105"/>
        <v>15.932070000000001</v>
      </c>
      <c r="CM71" s="39">
        <f t="shared" ref="CM71" si="106">+SUM(CI71:CL71)</f>
        <v>65.598335000000006</v>
      </c>
      <c r="CN71" s="253"/>
      <c r="CO71" s="39">
        <f t="shared" ref="CO71:CR71" si="107">+CI71*(1+CO73)</f>
        <v>16.690740000000005</v>
      </c>
      <c r="CP71" s="39">
        <f t="shared" si="107"/>
        <v>21.668680000000005</v>
      </c>
      <c r="CQ71" s="39">
        <f t="shared" si="107"/>
        <v>16.273471500000007</v>
      </c>
      <c r="CR71" s="39">
        <f t="shared" si="107"/>
        <v>17.525277000000003</v>
      </c>
      <c r="CS71" s="39">
        <f t="shared" ref="CS71" si="108">+SUM(CO71:CR71)</f>
        <v>72.158168500000016</v>
      </c>
      <c r="CT71" s="39"/>
      <c r="CU71"/>
      <c r="CV71"/>
      <c r="CW71"/>
    </row>
    <row r="72" spans="1:274" s="43" customFormat="1" ht="12.75" customHeight="1" x14ac:dyDescent="0.2">
      <c r="A72" s="300"/>
      <c r="B72" s="266" t="s">
        <v>344</v>
      </c>
      <c r="C72" s="308"/>
      <c r="D72" s="308"/>
      <c r="E72" s="308"/>
      <c r="F72" s="308"/>
      <c r="G72" s="308"/>
      <c r="H72" s="308"/>
      <c r="I72" s="308"/>
      <c r="J72" s="308"/>
      <c r="K72" s="308"/>
      <c r="L72" s="308"/>
      <c r="M72" s="306"/>
      <c r="N72" s="308"/>
      <c r="O72" s="308"/>
      <c r="P72" s="308"/>
      <c r="Q72" s="308"/>
      <c r="R72" s="308"/>
      <c r="S72" s="306"/>
      <c r="T72" s="308"/>
      <c r="U72" s="308"/>
      <c r="V72" s="308"/>
      <c r="W72" s="308"/>
      <c r="X72" s="308"/>
      <c r="Y72" s="306"/>
      <c r="Z72" s="308"/>
      <c r="AA72" s="306">
        <f>AA71/AA$75</f>
        <v>0</v>
      </c>
      <c r="AB72" s="306">
        <f>AB71/AB$75</f>
        <v>0</v>
      </c>
      <c r="AC72" s="306">
        <f>AC71/AC$75</f>
        <v>0</v>
      </c>
      <c r="AD72" s="306">
        <f>AD71/AD$75</f>
        <v>1.8973671470599186E-2</v>
      </c>
      <c r="AE72" s="306">
        <f>AE71/AE$75</f>
        <v>5.0685926323852711E-3</v>
      </c>
      <c r="AF72" s="381"/>
      <c r="AG72" s="306">
        <f>AG71/AG$75</f>
        <v>5.8695179806612825E-2</v>
      </c>
      <c r="AH72" s="306">
        <f>AH71/AH$75</f>
        <v>4.2349626662106808E-2</v>
      </c>
      <c r="AI72" s="306">
        <f>AI71/AI$75</f>
        <v>4.9816223213666522E-2</v>
      </c>
      <c r="AJ72" s="306">
        <f>AJ71/AJ$75</f>
        <v>4.1108562403640039E-2</v>
      </c>
      <c r="AK72" s="306">
        <f>AK71/AK$75</f>
        <v>4.7610407153153692E-2</v>
      </c>
      <c r="AL72" s="381"/>
      <c r="AM72" s="306">
        <f>AM71/AM$75</f>
        <v>4.6231554966013916E-2</v>
      </c>
      <c r="AN72" s="306">
        <f>AN71/AN$75</f>
        <v>5.6919672790666495E-2</v>
      </c>
      <c r="AO72" s="306">
        <f>AO71/AO$75</f>
        <v>5.168975919014264E-2</v>
      </c>
      <c r="AP72" s="306">
        <f>AP71/AP$75</f>
        <v>4.6101449608307109E-2</v>
      </c>
      <c r="AQ72" s="306">
        <f>AQ71/AQ$75</f>
        <v>5.0187143754128173E-2</v>
      </c>
      <c r="AR72" s="381"/>
      <c r="AS72" s="306">
        <f>AS71/AS$75</f>
        <v>4.6822445139207872E-2</v>
      </c>
      <c r="AT72" s="306">
        <f>AT71/AT$75</f>
        <v>3.8723904733901797E-2</v>
      </c>
      <c r="AU72" s="306">
        <f>AU71/AU$75</f>
        <v>3.6807635958102818E-2</v>
      </c>
      <c r="AV72" s="306">
        <f>AV71/AV$75</f>
        <v>3.1271687018250199E-2</v>
      </c>
      <c r="AW72" s="306">
        <f>AW71/AW$75</f>
        <v>3.8572838389341772E-2</v>
      </c>
      <c r="AX72" s="381"/>
      <c r="AY72" s="306">
        <f>AY71/AY$75</f>
        <v>2.5651808242220357E-2</v>
      </c>
      <c r="AZ72" s="306">
        <f>AZ71/AZ$75</f>
        <v>2.8433834256181092E-2</v>
      </c>
      <c r="BA72" s="306">
        <f>BA71/BA$75</f>
        <v>3.8929872900186652E-2</v>
      </c>
      <c r="BB72" s="306">
        <f>BB71/BB$75</f>
        <v>5.8296577210049209E-2</v>
      </c>
      <c r="BC72" s="306">
        <f>BC71/BC$75</f>
        <v>3.8238417666295724E-2</v>
      </c>
      <c r="BD72" s="494"/>
      <c r="BE72" s="306">
        <f>BE71/BE$75</f>
        <v>6.3231692353644384E-2</v>
      </c>
      <c r="BF72" s="306">
        <f>BF71/BF$75</f>
        <v>5.5357458050350659E-2</v>
      </c>
      <c r="BG72" s="306">
        <f>BG71/BG$75</f>
        <v>6.8759899757470752E-2</v>
      </c>
      <c r="BH72" s="306">
        <f>BH71/BH$75</f>
        <v>6.8096514745308298E-2</v>
      </c>
      <c r="BI72" s="306">
        <f>BI71/BI$75</f>
        <v>6.3813392296120014E-2</v>
      </c>
      <c r="BK72" s="306">
        <f>BK71/BK$75</f>
        <v>6.9856715448163603E-2</v>
      </c>
      <c r="BL72" s="306">
        <f>BL71/BL$75</f>
        <v>6.4106036561759908E-2</v>
      </c>
      <c r="BM72" s="306">
        <f>BM71/BM$75</f>
        <v>5.9417668729433208E-2</v>
      </c>
      <c r="BN72" s="306">
        <f>BN71/BN$75</f>
        <v>6.2855449954484763E-2</v>
      </c>
      <c r="BO72" s="306">
        <f>BO71/BO$75</f>
        <v>6.3907569002721681E-2</v>
      </c>
      <c r="BQ72" s="306">
        <f>BQ71/BQ$75</f>
        <v>5.9945217636770014E-2</v>
      </c>
      <c r="BR72" s="510">
        <f>BR71/BR$75</f>
        <v>7.629834077494034E-2</v>
      </c>
      <c r="BS72" s="306">
        <f>BS71/BS$75</f>
        <v>5.8543478710325704E-2</v>
      </c>
      <c r="BT72" s="306">
        <f>BT71/BT$75</f>
        <v>6.0701312795783717E-2</v>
      </c>
      <c r="BU72" s="306">
        <f>BU71/BU$75</f>
        <v>6.3906650668509118E-2</v>
      </c>
      <c r="BW72" s="306">
        <f>BW71/BW$75</f>
        <v>6.5856274675958601E-2</v>
      </c>
      <c r="BX72" s="306">
        <f>BX71/BX$75</f>
        <v>8.1477112394529455E-2</v>
      </c>
      <c r="BY72" s="306">
        <f>BY71/BY$75</f>
        <v>6.150541520272413E-2</v>
      </c>
      <c r="BZ72" s="306">
        <f>BZ71/BZ$75</f>
        <v>6.3111944186448124E-2</v>
      </c>
      <c r="CA72" s="306">
        <f>CA71/CA$75</f>
        <v>6.7967205415244647E-2</v>
      </c>
      <c r="CC72" s="306">
        <f>CC71/CC$75</f>
        <v>6.9137946214203619E-2</v>
      </c>
      <c r="CD72" s="306">
        <f>CD71/CD$75</f>
        <v>8.4609230329562107E-2</v>
      </c>
      <c r="CE72" s="306">
        <f>CE71/CE$75</f>
        <v>6.3828345407100792E-2</v>
      </c>
      <c r="CF72" s="306">
        <f>CF71/CF$75</f>
        <v>6.5221156372392342E-2</v>
      </c>
      <c r="CG72" s="306">
        <f>CG71/CG$75</f>
        <v>7.0661737504652891E-2</v>
      </c>
      <c r="CI72" s="510">
        <f t="shared" ref="CI72:CM72" si="109">CI71/CI$75</f>
        <v>7.0937133955648282E-2</v>
      </c>
      <c r="CJ72" s="510">
        <f t="shared" si="109"/>
        <v>8.6520441854709196E-2</v>
      </c>
      <c r="CK72" s="510">
        <f t="shared" si="109"/>
        <v>6.5616384253709484E-2</v>
      </c>
      <c r="CL72" s="510">
        <f t="shared" si="109"/>
        <v>6.7054378731481373E-2</v>
      </c>
      <c r="CM72" s="510">
        <f t="shared" si="109"/>
        <v>7.2513236330871034E-2</v>
      </c>
      <c r="CO72" s="510">
        <f t="shared" ref="CO72:CS72" si="110">CO71/CO$75</f>
        <v>7.2798409388626431E-2</v>
      </c>
      <c r="CP72" s="510">
        <f t="shared" si="110"/>
        <v>8.8092039089895519E-2</v>
      </c>
      <c r="CQ72" s="510">
        <f t="shared" si="110"/>
        <v>6.7506226421388968E-2</v>
      </c>
      <c r="CR72" s="510">
        <f t="shared" si="110"/>
        <v>6.8629590381060854E-2</v>
      </c>
      <c r="CS72" s="510">
        <f t="shared" si="110"/>
        <v>7.4261419776724819E-2</v>
      </c>
      <c r="CT72" s="306"/>
      <c r="CU72"/>
      <c r="CV72"/>
      <c r="CW72"/>
    </row>
    <row r="73" spans="1:274" s="43" customFormat="1" ht="12.75" hidden="1" customHeight="1" outlineLevel="1" x14ac:dyDescent="0.2">
      <c r="A73" s="300"/>
      <c r="B73" s="266" t="s">
        <v>339</v>
      </c>
      <c r="C73" s="306"/>
      <c r="D73" s="306"/>
      <c r="E73" s="306"/>
      <c r="F73" s="306"/>
      <c r="G73" s="306"/>
      <c r="H73" s="184"/>
      <c r="I73" s="306"/>
      <c r="J73" s="306"/>
      <c r="K73" s="306"/>
      <c r="L73" s="306"/>
      <c r="M73" s="306"/>
      <c r="N73" s="184"/>
      <c r="O73" s="306"/>
      <c r="P73" s="306"/>
      <c r="Q73" s="306"/>
      <c r="R73" s="306"/>
      <c r="S73" s="306"/>
      <c r="T73" s="184"/>
      <c r="U73" s="306"/>
      <c r="V73" s="306"/>
      <c r="W73" s="306"/>
      <c r="X73" s="306"/>
      <c r="Y73" s="306"/>
      <c r="Z73" s="184"/>
      <c r="AA73" s="306" t="str">
        <f>IF(ISERROR(AA71/U71-1),"NM",AA71/U71-1)</f>
        <v>NM</v>
      </c>
      <c r="AB73" s="306" t="str">
        <f>IF(ISERROR(AB71/V71-1),"NM",AB71/V71-1)</f>
        <v>NM</v>
      </c>
      <c r="AC73" s="306" t="str">
        <f>IF(ISERROR(AC71/W71-1),"NM",AC71/W71-1)</f>
        <v>NM</v>
      </c>
      <c r="AD73" s="306" t="str">
        <f>IF(ISERROR(AD71/X71-1),"NM",AD71/X71-1)</f>
        <v>NM</v>
      </c>
      <c r="AE73" s="306" t="str">
        <f>IF(ISERROR(AE71/Y71-1),"NM",AE71/Y71-1)</f>
        <v>NM</v>
      </c>
      <c r="AF73" s="381"/>
      <c r="AG73" s="306" t="str">
        <f>IF(ISERROR(AG71/AA71-1),"NM",AG71/AA71-1)</f>
        <v>NM</v>
      </c>
      <c r="AH73" s="306" t="str">
        <f>IF(ISERROR(AH71/AB71-1),"NM",AH71/AB71-1)</f>
        <v>NM</v>
      </c>
      <c r="AI73" s="306" t="str">
        <f>IF(ISERROR(AI71/AC71-1),"NM",AI71/AC71-1)</f>
        <v>NM</v>
      </c>
      <c r="AJ73" s="306">
        <f>IF(ISERROR(AJ71/AD71-1),"NM",AJ71/AD71-1)</f>
        <v>1.6820412168792931</v>
      </c>
      <c r="AK73" s="306">
        <f>IF(ISERROR(AK71/AE71-1),"NM",AK71/AE71-1)</f>
        <v>10.587340529931305</v>
      </c>
      <c r="AL73" s="381"/>
      <c r="AM73" s="306">
        <f>IF(ISERROR(AM71/AG71-1),"NM",AM71/AG71-1)</f>
        <v>-4.8434366805491291E-2</v>
      </c>
      <c r="AN73" s="306">
        <f>IF(ISERROR(AN71/AH71-1),"NM",AN71/AH71-1)</f>
        <v>0.63218611805422054</v>
      </c>
      <c r="AO73" s="306">
        <f>IF(ISERROR(AO71/AI71-1),"NM",AO71/AI71-1)</f>
        <v>0.25104408352668206</v>
      </c>
      <c r="AP73" s="306">
        <f>IF(ISERROR(AP71/AJ71-1),"NM",AP71/AJ71-1)</f>
        <v>0.46853274789608546</v>
      </c>
      <c r="AQ73" s="306">
        <f>IF(ISERROR(AQ71/AK71-1),"NM",AQ71/AK71-1)</f>
        <v>0.3031124285411817</v>
      </c>
      <c r="AR73" s="381"/>
      <c r="AS73" s="306">
        <f>IF(ISERROR(AS71/AM71-1),"NM",AS71/AM71-1)</f>
        <v>0.5367158372507701</v>
      </c>
      <c r="AT73" s="306">
        <f>IF(ISERROR(AT71/AN71-1),"NM",AT71/AN71-1)</f>
        <v>-6.9148309577099831E-2</v>
      </c>
      <c r="AU73" s="306">
        <f>IF(ISERROR(AU71/AO71-1),"NM",AU71/AO71-1)</f>
        <v>-0.16753214638971314</v>
      </c>
      <c r="AV73" s="306">
        <f>IF(ISERROR(AV71/AP71-1),"NM",AV71/AP71-1)</f>
        <v>-0.26460695153855762</v>
      </c>
      <c r="AW73" s="306">
        <f>IF(ISERROR(AW71/AQ71-1),"NM",AW71/AQ71-1)</f>
        <v>-2.4534494524420802E-2</v>
      </c>
      <c r="AX73" s="381"/>
      <c r="AY73" s="306">
        <f>IF(ISERROR(AY71/AS71-1),"NM",AY71/AS71-1)</f>
        <v>-0.54314345991561175</v>
      </c>
      <c r="AZ73" s="306">
        <f>IF(ISERROR(AZ71/AT71-1),"NM",AZ71/AT71-1)</f>
        <v>-0.33649708934446976</v>
      </c>
      <c r="BA73" s="306">
        <f>IF(ISERROR(BA71/AU71-1),"NM",BA71/AU71-1)</f>
        <v>4.0843606119114861E-2</v>
      </c>
      <c r="BB73" s="306">
        <f>IF(ISERROR(BB71/AV71-1),"NM",BB71/AV71-1)</f>
        <v>0.87514822971370543</v>
      </c>
      <c r="BC73" s="306">
        <f>IF(ISERROR(BC71/AW71-1),"NM",BC71/AW71-1)</f>
        <v>-7.8852688386967684E-2</v>
      </c>
      <c r="BD73" s="184"/>
      <c r="BE73" s="306">
        <f>IF(ISERROR(BE71/AY71-1),"NM",BE71/AY71-1)</f>
        <v>1.6795197413992149</v>
      </c>
      <c r="BF73" s="306">
        <f>IF(ISERROR(BF71/AZ71-1),"NM",BF71/AZ71-1)</f>
        <v>1.0408163265306118</v>
      </c>
      <c r="BG73" s="306">
        <f>IF(ISERROR(BG71/BA71-1),"NM",BG71/BA71-1)</f>
        <v>0.86929223744292239</v>
      </c>
      <c r="BH73" s="306">
        <f>IF(ISERROR(BH71/BB71-1),"NM",BH71/BB71-1)</f>
        <v>0.14734845062787949</v>
      </c>
      <c r="BI73" s="306">
        <f>+BI71/BC71-1</f>
        <v>0.73972008245633059</v>
      </c>
      <c r="BJ73" s="184"/>
      <c r="BK73" s="306">
        <f>IF(ISERROR(BK71/BE71-1),"NM",BK71/BE71-1)</f>
        <v>6.8504954760878922E-2</v>
      </c>
      <c r="BL73" s="306">
        <f>IF(ISERROR(BL71/BF71-1),"NM",BL71/BF71-1)</f>
        <v>0.17757009345794406</v>
      </c>
      <c r="BM73" s="306">
        <f>IF(ISERROR(BM71/BG71-1),"NM",BM71/BG71-1)</f>
        <v>-0.10687022900763365</v>
      </c>
      <c r="BN73" s="306">
        <f>IF(ISERROR(BN71/BH71-1),"NM",BN71/BH71-1)</f>
        <v>-7.8740157480314821E-3</v>
      </c>
      <c r="BO73" s="306">
        <f>+BO71/BI71-1</f>
        <v>2.4841492568340007E-2</v>
      </c>
      <c r="BP73" s="184"/>
      <c r="BQ73" s="306">
        <f>IF(ISERROR(BQ71/BK71-1),"NM",BQ71/BK71-1)</f>
        <v>-8.064516129032262E-2</v>
      </c>
      <c r="BR73" s="510">
        <f>IF(ISERROR(BR71/BL71-1),"NM",BR71/BL71-1)</f>
        <v>0.17460317460317465</v>
      </c>
      <c r="BS73" s="306">
        <f>+BS74+BS$69</f>
        <v>-0.05</v>
      </c>
      <c r="BT73" s="306">
        <f>+BT74+BT$69</f>
        <v>-0.05</v>
      </c>
      <c r="BU73" s="306">
        <f>+BU71/BO71-1</f>
        <v>-3.0425963488855956E-4</v>
      </c>
      <c r="BV73" s="184"/>
      <c r="BW73" s="306">
        <f>+BW74+BW$69</f>
        <v>0.1</v>
      </c>
      <c r="BX73" s="306">
        <f>+BX74+BX$69</f>
        <v>0.1</v>
      </c>
      <c r="BY73" s="306">
        <f>+BY74+BY$69</f>
        <v>0.1</v>
      </c>
      <c r="BZ73" s="306">
        <f>+BZ74+BZ$69</f>
        <v>0.1</v>
      </c>
      <c r="CA73" s="306">
        <f>+CA71/BU71-1</f>
        <v>0.10000000000000009</v>
      </c>
      <c r="CB73" s="184"/>
      <c r="CC73" s="306">
        <f>+CC74+CC$69</f>
        <v>0.1</v>
      </c>
      <c r="CD73" s="306">
        <f>+CD74+CD$69</f>
        <v>0.1</v>
      </c>
      <c r="CE73" s="306">
        <f>+CE74+CE$69</f>
        <v>0.1</v>
      </c>
      <c r="CF73" s="306">
        <f>+CF74+CF$69</f>
        <v>0.1</v>
      </c>
      <c r="CG73" s="306">
        <f>+CG71/CA71-1</f>
        <v>0.10000000000000009</v>
      </c>
      <c r="CH73" s="184"/>
      <c r="CI73" s="510">
        <f t="shared" ref="CI73:CL73" si="111">+CI74+CI$69</f>
        <v>0.1</v>
      </c>
      <c r="CJ73" s="510">
        <f t="shared" si="111"/>
        <v>0.1</v>
      </c>
      <c r="CK73" s="510">
        <f t="shared" si="111"/>
        <v>0.1</v>
      </c>
      <c r="CL73" s="510">
        <f t="shared" si="111"/>
        <v>0.1</v>
      </c>
      <c r="CM73" s="510">
        <f t="shared" ref="CM73" si="112">+CM71/CG71-1</f>
        <v>9.9999999999999867E-2</v>
      </c>
      <c r="CN73" s="184"/>
      <c r="CO73" s="510">
        <f t="shared" ref="CO73:CR73" si="113">+CO74+CO$69</f>
        <v>0.1</v>
      </c>
      <c r="CP73" s="510">
        <f t="shared" si="113"/>
        <v>0.1</v>
      </c>
      <c r="CQ73" s="510">
        <f t="shared" si="113"/>
        <v>0.1</v>
      </c>
      <c r="CR73" s="510">
        <f t="shared" si="113"/>
        <v>0.1</v>
      </c>
      <c r="CS73" s="510">
        <f t="shared" ref="CS73" si="114">+CS71/CM71-1</f>
        <v>0.10000000000000009</v>
      </c>
      <c r="CT73" s="306"/>
      <c r="CU73"/>
      <c r="CV73"/>
      <c r="CW73"/>
    </row>
    <row r="74" spans="1:274" s="43" customFormat="1" ht="12.75" customHeight="1" collapsed="1" x14ac:dyDescent="0.2">
      <c r="A74" s="300"/>
      <c r="B74" s="677" t="s">
        <v>342</v>
      </c>
      <c r="C74" s="313"/>
      <c r="D74" s="313"/>
      <c r="E74" s="313"/>
      <c r="F74" s="313"/>
      <c r="G74" s="313"/>
      <c r="H74" s="313"/>
      <c r="I74" s="313"/>
      <c r="J74" s="313"/>
      <c r="K74" s="313"/>
      <c r="L74" s="313"/>
      <c r="M74" s="391"/>
      <c r="N74" s="313"/>
      <c r="O74" s="313"/>
      <c r="P74" s="313"/>
      <c r="Q74" s="313"/>
      <c r="R74" s="313"/>
      <c r="S74" s="391"/>
      <c r="T74" s="313"/>
      <c r="U74" s="313"/>
      <c r="V74" s="313"/>
      <c r="W74" s="313"/>
      <c r="X74" s="313"/>
      <c r="Y74" s="313"/>
      <c r="Z74" s="313"/>
      <c r="AA74" s="306" t="str">
        <f>IF(ISERROR(AA73-AA$69),"NM",AA73-AA$69)</f>
        <v>NM</v>
      </c>
      <c r="AB74" s="306" t="str">
        <f>IF(ISERROR(AB73-AB$69),"NM",AB73-AB$69)</f>
        <v>NM</v>
      </c>
      <c r="AC74" s="306" t="str">
        <f>IF(ISERROR(AC73-AC$69),"NM",AC73-AC$69)</f>
        <v>NM</v>
      </c>
      <c r="AD74" s="306" t="str">
        <f>IF(ISERROR(AD73-AD$69),"NM",AD73-AD$69)</f>
        <v>NM</v>
      </c>
      <c r="AE74" s="306" t="str">
        <f>IF(ISERROR(AE73-AE$69),"NM",AE73-AE$69)</f>
        <v>NM</v>
      </c>
      <c r="AF74" s="184"/>
      <c r="AG74" s="306" t="str">
        <f>IF(ISERROR(AG73-AG$69),"NM",AG73-AG$69)</f>
        <v>NM</v>
      </c>
      <c r="AH74" s="306" t="str">
        <f>IF(ISERROR(AH73-AH$69),"NM",AH73-AH$69)</f>
        <v>NM</v>
      </c>
      <c r="AI74" s="306" t="str">
        <f>IF(ISERROR(AI73-AI$69),"NM",AI73-AI$69)</f>
        <v>NM</v>
      </c>
      <c r="AJ74" s="306">
        <f>IF(ISERROR(AJ73-AJ$69),"NM",AJ73-AJ$69)</f>
        <v>1.6820412168792931</v>
      </c>
      <c r="AK74" s="306" t="s">
        <v>88</v>
      </c>
      <c r="AL74" s="184"/>
      <c r="AM74" s="306">
        <f>IF(ISERROR(AM73-AM$69),"NM",AM73-AM$69)</f>
        <v>-4.8434366805491291E-2</v>
      </c>
      <c r="AN74" s="306">
        <f>IF(ISERROR(AN73-AN$69),"NM",AN73-AN$69)</f>
        <v>0.63218611805422054</v>
      </c>
      <c r="AO74" s="306">
        <f>IF(ISERROR(AO73-AO$69),"NM",AO73-AO$69)</f>
        <v>0.25104408352668206</v>
      </c>
      <c r="AP74" s="306">
        <f>IF(ISERROR(AP73-AP$69),"NM",AP73-AP$69)</f>
        <v>0.46853274789608546</v>
      </c>
      <c r="AQ74" s="306">
        <f>IF(ISERROR(AQ73-AQ$69),"NM",AQ73-AQ$69)</f>
        <v>0.3031124285411817</v>
      </c>
      <c r="AR74" s="184"/>
      <c r="AS74" s="306">
        <f>IF(ISERROR(AS73-AS$69),"NM",AS73-AS$69)</f>
        <v>0.5367158372507701</v>
      </c>
      <c r="AT74" s="306">
        <f>IF(ISERROR(AT73-AT$69),"NM",AT73-AT$69)</f>
        <v>-6.9148309577099831E-2</v>
      </c>
      <c r="AU74" s="306">
        <f>IF(ISERROR(AU73-AU$69),"NM",AU73-AU$69)</f>
        <v>-0.16753214638971314</v>
      </c>
      <c r="AV74" s="306">
        <f>IF(ISERROR(AV73-AV$69),"NM",AV73-AV$69)</f>
        <v>-0.26460695153855762</v>
      </c>
      <c r="AW74" s="306">
        <f>IF(ISERROR(AW73-AW$69),"NM",AW73-AW$69)</f>
        <v>-2.4534494524420802E-2</v>
      </c>
      <c r="AX74" s="184"/>
      <c r="AY74" s="306">
        <f>IF(ISERROR(AY73-AY$69),"NM",AY73-AY$69)</f>
        <v>-0.54314345991561175</v>
      </c>
      <c r="AZ74" s="306">
        <f>IF(ISERROR(AZ73-AZ$69),"NM",AZ73-AZ$69)</f>
        <v>-0.33649708934446976</v>
      </c>
      <c r="BA74" s="306">
        <f>IF(ISERROR(BA73-BA$69),"NM",BA73-BA$69)</f>
        <v>4.0843606119114861E-2</v>
      </c>
      <c r="BB74" s="306">
        <f>IF(ISERROR(BB73-BB$69),"NM",BB73-BB$69)</f>
        <v>0.87514822971370543</v>
      </c>
      <c r="BC74" s="306">
        <f>IF(ISERROR(BC73-BC$69),"NM",BC73-BC$69)</f>
        <v>-7.8852688386967684E-2</v>
      </c>
      <c r="BD74" s="313"/>
      <c r="BE74" s="306">
        <f>IF(ISERROR(BE73-BE$69),"NM",BE73-BE$69)</f>
        <v>1.6795197413992149</v>
      </c>
      <c r="BF74" s="306">
        <f>IF(ISERROR(BF73-BF$69),"NM",BF73-BF$69)</f>
        <v>1.0408163265306118</v>
      </c>
      <c r="BG74" s="306">
        <f>IF(ISERROR(BG73-BG$69),"NM",BG73-BG$69)</f>
        <v>0.86929223744292239</v>
      </c>
      <c r="BH74" s="306">
        <f>IF(ISERROR(BH73-BH$69),"NM",BH73-BH$69)</f>
        <v>0.14734845062787949</v>
      </c>
      <c r="BI74" s="306">
        <f>+BI73-BI$69</f>
        <v>0.73972008245633059</v>
      </c>
      <c r="BJ74" s="494"/>
      <c r="BK74" s="306">
        <f>IF(ISERROR(BK73-BK$69),"NM",BK73-BK$69)</f>
        <v>6.8504954760878922E-2</v>
      </c>
      <c r="BL74" s="306">
        <f>IF(ISERROR(BL73-BL$69),"NM",BL73-BL$69)</f>
        <v>0.17757009345794406</v>
      </c>
      <c r="BM74" s="306">
        <f>IF(ISERROR(BM73-BM$69),"NM",BM73-BM$69)</f>
        <v>-0.10687022900763365</v>
      </c>
      <c r="BN74" s="306">
        <f>IF(ISERROR(BN73-BN$69),"NM",BN73-BN$69)</f>
        <v>-7.8740157480314821E-3</v>
      </c>
      <c r="BO74" s="306">
        <f>+BO73-BO$69</f>
        <v>2.4841492568340007E-2</v>
      </c>
      <c r="BP74" s="494"/>
      <c r="BQ74" s="306">
        <f>IF(ISERROR(BQ73-BQ$69),"NM",BQ73-BQ$69)</f>
        <v>-8.064516129032262E-2</v>
      </c>
      <c r="BR74" s="510">
        <f>IF(ISERROR(BR73-BR$69),"NM",BR73-BR$69)</f>
        <v>0.17460317460317465</v>
      </c>
      <c r="BS74" s="381">
        <v>-0.05</v>
      </c>
      <c r="BT74" s="381">
        <f>+BS74</f>
        <v>-0.05</v>
      </c>
      <c r="BU74" s="306">
        <f>+BU73-BU$69</f>
        <v>-3.0425963488855956E-4</v>
      </c>
      <c r="BV74" s="494"/>
      <c r="BW74" s="381">
        <v>0.1</v>
      </c>
      <c r="BX74" s="381">
        <f>+BW74</f>
        <v>0.1</v>
      </c>
      <c r="BY74" s="381">
        <f>+BX74</f>
        <v>0.1</v>
      </c>
      <c r="BZ74" s="381">
        <f>+BY74</f>
        <v>0.1</v>
      </c>
      <c r="CA74" s="306">
        <f t="shared" ref="CA74" si="115">+CA73-CA$69</f>
        <v>0.10000000000000009</v>
      </c>
      <c r="CB74" s="494"/>
      <c r="CC74" s="381">
        <v>0.1</v>
      </c>
      <c r="CD74" s="381">
        <f t="shared" ref="CD74:CF74" si="116">+CC74</f>
        <v>0.1</v>
      </c>
      <c r="CE74" s="381">
        <f t="shared" si="116"/>
        <v>0.1</v>
      </c>
      <c r="CF74" s="381">
        <f t="shared" si="116"/>
        <v>0.1</v>
      </c>
      <c r="CG74" s="306">
        <f t="shared" ref="CG74" si="117">+CG73-CG$69</f>
        <v>0.10000000000000009</v>
      </c>
      <c r="CH74" s="494"/>
      <c r="CI74" s="511">
        <v>0.1</v>
      </c>
      <c r="CJ74" s="511">
        <f t="shared" ref="CJ74" si="118">+CI74</f>
        <v>0.1</v>
      </c>
      <c r="CK74" s="511">
        <f t="shared" ref="CK74" si="119">+CJ74</f>
        <v>0.1</v>
      </c>
      <c r="CL74" s="511">
        <f t="shared" ref="CL74" si="120">+CK74</f>
        <v>0.1</v>
      </c>
      <c r="CM74" s="510">
        <f t="shared" ref="CM74:CS74" si="121">+CM73-CM$69</f>
        <v>9.9999999999999867E-2</v>
      </c>
      <c r="CN74" s="494"/>
      <c r="CO74" s="511">
        <v>0.1</v>
      </c>
      <c r="CP74" s="511">
        <f t="shared" ref="CP74" si="122">+CO74</f>
        <v>0.1</v>
      </c>
      <c r="CQ74" s="511">
        <f t="shared" ref="CQ74" si="123">+CP74</f>
        <v>0.1</v>
      </c>
      <c r="CR74" s="511">
        <f t="shared" ref="CR74" si="124">+CQ74</f>
        <v>0.1</v>
      </c>
      <c r="CS74" s="510">
        <f t="shared" si="121"/>
        <v>0.10000000000000009</v>
      </c>
      <c r="CT74" s="313"/>
      <c r="CU74"/>
      <c r="CV74"/>
      <c r="CW74"/>
    </row>
    <row r="75" spans="1:274" x14ac:dyDescent="0.2">
      <c r="A75" s="334"/>
      <c r="B75" s="697" t="s">
        <v>43</v>
      </c>
      <c r="C75" s="698">
        <f>+'P&amp;L'!C8</f>
        <v>33.542999999999999</v>
      </c>
      <c r="D75" s="698">
        <f>+'P&amp;L'!D8</f>
        <v>37.134999999999998</v>
      </c>
      <c r="E75" s="698">
        <f>+'P&amp;L'!E8</f>
        <v>40.97</v>
      </c>
      <c r="F75" s="698">
        <f>+'P&amp;L'!F8</f>
        <v>45.478000000000002</v>
      </c>
      <c r="G75" s="698">
        <f>+'P&amp;L'!G8</f>
        <v>157.126</v>
      </c>
      <c r="H75" s="687"/>
      <c r="I75" s="698">
        <f>+'P&amp;L'!I8</f>
        <v>48.265999999999998</v>
      </c>
      <c r="J75" s="698">
        <f>+'P&amp;L'!J8</f>
        <v>56.741999999999997</v>
      </c>
      <c r="K75" s="698">
        <f>+'P&amp;L'!K8</f>
        <v>61.765000000000001</v>
      </c>
      <c r="L75" s="698">
        <f>+'P&amp;L'!L8</f>
        <v>64.677999999999997</v>
      </c>
      <c r="M75" s="698">
        <f>+'P&amp;L'!M8</f>
        <v>231.45099999999999</v>
      </c>
      <c r="N75" s="687"/>
      <c r="O75" s="698">
        <f>+'P&amp;L'!O8</f>
        <v>69.965000000000003</v>
      </c>
      <c r="P75" s="698">
        <f>+'P&amp;L'!P8</f>
        <v>83.951999999999998</v>
      </c>
      <c r="Q75" s="698">
        <f>+'P&amp;L'!Q8</f>
        <v>86.531000000000006</v>
      </c>
      <c r="R75" s="698">
        <f>+'P&amp;L'!R8</f>
        <v>86.078999999999994</v>
      </c>
      <c r="S75" s="698">
        <f>+'P&amp;L'!S8</f>
        <v>326.52699999999999</v>
      </c>
      <c r="T75" s="687"/>
      <c r="U75" s="698">
        <f>+'P&amp;L'!U8</f>
        <v>85.122</v>
      </c>
      <c r="V75" s="698">
        <f>+'P&amp;L'!V8</f>
        <v>92.768000000000001</v>
      </c>
      <c r="W75" s="698">
        <f>+'P&amp;L'!W8</f>
        <v>90.83</v>
      </c>
      <c r="X75" s="698">
        <f>+'P&amp;L'!X8</f>
        <v>93.92800000000004</v>
      </c>
      <c r="Y75" s="698">
        <f>+'P&amp;L'!Y8</f>
        <v>362.64800000000002</v>
      </c>
      <c r="Z75" s="687"/>
      <c r="AA75" s="698">
        <f>+'P&amp;L'!AA8</f>
        <v>91.858000000000004</v>
      </c>
      <c r="AB75" s="698">
        <f>+'P&amp;L'!AB8</f>
        <v>100.44</v>
      </c>
      <c r="AC75" s="698">
        <f>+'P&amp;L'!AC8</f>
        <v>102.374</v>
      </c>
      <c r="AD75" s="698">
        <f>+'P&amp;L'!AD8</f>
        <v>107.41200000000001</v>
      </c>
      <c r="AE75" s="687">
        <f>+AE66+AE71</f>
        <v>402.08400000000006</v>
      </c>
      <c r="AF75" s="687"/>
      <c r="AG75" s="698">
        <f>+'P&amp;L'!AG8</f>
        <v>110.452</v>
      </c>
      <c r="AH75" s="698">
        <f>+'P&amp;L'!AH8</f>
        <v>122.81100000000001</v>
      </c>
      <c r="AI75" s="698">
        <f>+'P&amp;L'!AI8</f>
        <v>129.77699999999999</v>
      </c>
      <c r="AJ75" s="698">
        <f>+'P&amp;L'!AJ8</f>
        <v>132.965</v>
      </c>
      <c r="AK75" s="687">
        <f>+AK66+AK71</f>
        <v>496.00500000000005</v>
      </c>
      <c r="AL75" s="687"/>
      <c r="AM75" s="698">
        <f>+'P&amp;L'!AM8</f>
        <v>133.43700000000001</v>
      </c>
      <c r="AN75" s="698">
        <f>+'P&amp;L'!AN8</f>
        <v>149.13999999999999</v>
      </c>
      <c r="AO75" s="698">
        <f>+'P&amp;L'!AO8</f>
        <v>156.47200000000001</v>
      </c>
      <c r="AP75" s="698">
        <f>+'P&amp;L'!AP8</f>
        <v>174.11600000000001</v>
      </c>
      <c r="AQ75" s="687">
        <f>+AQ66+AQ71</f>
        <v>613.16500000000008</v>
      </c>
      <c r="AR75" s="687"/>
      <c r="AS75" s="698">
        <f>+'P&amp;L'!AS8</f>
        <v>202.46700000000001</v>
      </c>
      <c r="AT75" s="698">
        <f>+'P&amp;L'!AT8</f>
        <v>204.06</v>
      </c>
      <c r="AU75" s="698">
        <f>+'P&amp;L'!AU8</f>
        <v>182.92400000000001</v>
      </c>
      <c r="AV75" s="698">
        <f>+'P&amp;L'!AV8</f>
        <v>188.76500000000001</v>
      </c>
      <c r="AW75" s="687">
        <f>+AW66+AW71</f>
        <v>778.21600000000012</v>
      </c>
      <c r="AX75" s="687"/>
      <c r="AY75" s="687">
        <f>+AY66+AY71</f>
        <v>168.83799999999999</v>
      </c>
      <c r="AZ75" s="687">
        <f>+AZ66+AZ71</f>
        <v>184.393</v>
      </c>
      <c r="BA75" s="687">
        <f>+BA66+BA71</f>
        <v>180.01599999999999</v>
      </c>
      <c r="BB75" s="687">
        <f>+BB66+BB71</f>
        <v>189.87392621898078</v>
      </c>
      <c r="BC75" s="687">
        <f>+BC66+BC71</f>
        <v>723.1209262189808</v>
      </c>
      <c r="BD75" s="687"/>
      <c r="BE75" s="687">
        <f>+BE66+BE71</f>
        <v>183.53138383668679</v>
      </c>
      <c r="BF75" s="687">
        <f>+BF66+BF71</f>
        <v>193.28922202800135</v>
      </c>
      <c r="BG75" s="687">
        <f>+BG66+BG71</f>
        <v>190.51802062257497</v>
      </c>
      <c r="BH75" s="687">
        <f>+BH66+BH71</f>
        <v>186.50000000000003</v>
      </c>
      <c r="BI75" s="687">
        <f>+BI66+BI71</f>
        <v>753.83862648726301</v>
      </c>
      <c r="BJ75" s="687"/>
      <c r="BK75" s="687">
        <f>+BK66+BK71</f>
        <v>177.50619851575016</v>
      </c>
      <c r="BL75" s="687">
        <f>+BL66+BL71</f>
        <v>196.54935285011936</v>
      </c>
      <c r="BM75" s="687">
        <f>+BM66+BM71</f>
        <v>196.91112509441612</v>
      </c>
      <c r="BN75" s="687">
        <f>+BN66+BN71</f>
        <v>200.45994435047371</v>
      </c>
      <c r="BO75" s="687">
        <f>+BO66+BO71</f>
        <v>771.42662081075923</v>
      </c>
      <c r="BP75" s="687"/>
      <c r="BQ75" s="687">
        <f>+BQ66+BQ71</f>
        <v>190.173636020087</v>
      </c>
      <c r="BR75" s="687">
        <f>+BR66+BR71</f>
        <v>193.97538465031678</v>
      </c>
      <c r="BS75" s="687">
        <f>+BS66+BS71</f>
        <v>189.85889196979974</v>
      </c>
      <c r="BT75" s="687">
        <f>+BT66+BT71</f>
        <v>197.19507616368108</v>
      </c>
      <c r="BU75" s="687">
        <f>+BU66+BU71</f>
        <v>771.20298880388452</v>
      </c>
      <c r="BV75" s="687"/>
      <c r="BW75" s="687">
        <f>+BW66+BW71</f>
        <v>190.41465770273575</v>
      </c>
      <c r="BX75" s="687">
        <f>+BX66+BX71</f>
        <v>199.81071397288588</v>
      </c>
      <c r="BY75" s="687">
        <f>+BY66+BY71</f>
        <v>198.78737440761927</v>
      </c>
      <c r="BZ75" s="687">
        <f>+BZ66+BZ71</f>
        <v>208.62928831825337</v>
      </c>
      <c r="CA75" s="687">
        <f>+CA66+CA71</f>
        <v>797.64203440149436</v>
      </c>
      <c r="CB75" s="687"/>
      <c r="CC75" s="687">
        <f>+CC66+CC71</f>
        <v>199.51417065909573</v>
      </c>
      <c r="CD75" s="687">
        <f>+CD66+CD71</f>
        <v>211.65539421935887</v>
      </c>
      <c r="CE75" s="687">
        <f>+CE66+CE71</f>
        <v>210.70810960585868</v>
      </c>
      <c r="CF75" s="687">
        <f>+CF66+CF71</f>
        <v>222.07057963374058</v>
      </c>
      <c r="CG75" s="687">
        <f>+CG66+CG71</f>
        <v>843.94825411805368</v>
      </c>
      <c r="CH75" s="687"/>
      <c r="CI75" s="687">
        <f t="shared" ref="CI75:CM75" si="125">+CI66+CI71</f>
        <v>213.89925352054405</v>
      </c>
      <c r="CJ75" s="687">
        <f t="shared" si="125"/>
        <v>227.67798658586975</v>
      </c>
      <c r="CK75" s="687">
        <f t="shared" si="125"/>
        <v>225.46297191259288</v>
      </c>
      <c r="CL75" s="687">
        <f t="shared" si="125"/>
        <v>237.59924857107131</v>
      </c>
      <c r="CM75" s="687">
        <f t="shared" si="125"/>
        <v>904.63946059007787</v>
      </c>
      <c r="CN75" s="687"/>
      <c r="CO75" s="687">
        <f t="shared" ref="CO75:CS75" si="126">+CO66+CO71</f>
        <v>229.27341600141693</v>
      </c>
      <c r="CP75" s="687">
        <f t="shared" si="126"/>
        <v>245.97773219765872</v>
      </c>
      <c r="CQ75" s="687">
        <f t="shared" si="126"/>
        <v>241.06622992696046</v>
      </c>
      <c r="CR75" s="687">
        <f t="shared" si="126"/>
        <v>255.3603613644226</v>
      </c>
      <c r="CS75" s="900">
        <f t="shared" si="126"/>
        <v>971.67773949045875</v>
      </c>
      <c r="CT75" s="307"/>
    </row>
    <row r="76" spans="1:274" x14ac:dyDescent="0.2">
      <c r="A76" s="334"/>
      <c r="B76" s="693" t="s">
        <v>339</v>
      </c>
      <c r="C76" s="691"/>
      <c r="D76" s="691"/>
      <c r="E76" s="691"/>
      <c r="F76" s="691"/>
      <c r="G76" s="691"/>
      <c r="H76" s="683"/>
      <c r="I76" s="683">
        <f>IF(ISERROR(I75/C75-1),"NM",I75/C75-1)</f>
        <v>0.43892913573621906</v>
      </c>
      <c r="J76" s="683">
        <f>IF(ISERROR(J75/D75-1),"NM",J75/D75-1)</f>
        <v>0.52799245994344957</v>
      </c>
      <c r="K76" s="683">
        <f>IF(ISERROR(K75/E75-1),"NM",K75/E75-1)</f>
        <v>0.5075665120820112</v>
      </c>
      <c r="L76" s="683">
        <f>IF(ISERROR(L75/F75-1),"NM",L75/F75-1)</f>
        <v>0.42218215400853154</v>
      </c>
      <c r="M76" s="683">
        <f>IF(ISERROR(M75/G75-1),"NM",M75/G75-1)</f>
        <v>0.47302801573259678</v>
      </c>
      <c r="N76" s="683"/>
      <c r="O76" s="683">
        <f>IF(ISERROR(O75/I75-1),"NM",O75/I75-1)</f>
        <v>0.44957112667302046</v>
      </c>
      <c r="P76" s="683">
        <f>IF(ISERROR(P75/J75-1),"NM",P75/J75-1)</f>
        <v>0.47953896584540545</v>
      </c>
      <c r="Q76" s="683">
        <f>IF(ISERROR(Q75/K75-1),"NM",Q75/K75-1)</f>
        <v>0.40097142394560037</v>
      </c>
      <c r="R76" s="683">
        <f>IF(ISERROR(R75/L75-1),"NM",R75/L75-1)</f>
        <v>0.3308853087603203</v>
      </c>
      <c r="S76" s="683">
        <f>IF(ISERROR(S75/M75-1),"NM",S75/M75-1)</f>
        <v>0.41078241182798947</v>
      </c>
      <c r="T76" s="683"/>
      <c r="U76" s="683">
        <f>IF(ISERROR(U75/O75-1),"NM",U75/O75-1)</f>
        <v>0.21663688987350804</v>
      </c>
      <c r="V76" s="683">
        <f>IF(ISERROR(V75/P75-1),"NM",V75/P75-1)</f>
        <v>0.1050123880312559</v>
      </c>
      <c r="W76" s="683">
        <f>IF(ISERROR(W75/Q75-1),"NM",W75/Q75-1)</f>
        <v>4.9681616992753863E-2</v>
      </c>
      <c r="X76" s="683">
        <f>IF(ISERROR(X75/R75-1),"NM",X75/R75-1)</f>
        <v>9.1183680107808529E-2</v>
      </c>
      <c r="Y76" s="683">
        <f>IF(ISERROR(Y75/S75-1),"NM",Y75/S75-1)</f>
        <v>0.1106217862535106</v>
      </c>
      <c r="Z76" s="683"/>
      <c r="AA76" s="683">
        <f>IF(ISERROR(AA75/U75-1),"NM",AA75/U75-1)</f>
        <v>7.9133479006602281E-2</v>
      </c>
      <c r="AB76" s="683">
        <f>IF(ISERROR(AB75/V75-1),"NM",AB75/V75-1)</f>
        <v>8.2700931355639939E-2</v>
      </c>
      <c r="AC76" s="683">
        <f>IF(ISERROR(AC75/W75-1),"NM",AC75/W75-1)</f>
        <v>0.12709457227788179</v>
      </c>
      <c r="AD76" s="683">
        <f>IF(ISERROR(AD75/X75-1),"NM",AD75/X75-1)</f>
        <v>0.1435567668852733</v>
      </c>
      <c r="AE76" s="683">
        <f>IF(ISERROR(AE75/Y75-1),"NM",AE75/Y75-1)</f>
        <v>0.10874456773510421</v>
      </c>
      <c r="AF76" s="683"/>
      <c r="AG76" s="683">
        <f>IF(ISERROR(AG75/AA75-1),"NM",AG75/AA75-1)</f>
        <v>0.2024211282631887</v>
      </c>
      <c r="AH76" s="683">
        <f>IF(ISERROR(AH75/AB75-1),"NM",AH75/AB75-1)</f>
        <v>0.22272998805256883</v>
      </c>
      <c r="AI76" s="683">
        <f>IF(ISERROR(AI75/AC75-1),"NM",AI75/AC75-1)</f>
        <v>0.26767538632855992</v>
      </c>
      <c r="AJ76" s="683">
        <f>IF(ISERROR(AJ75/AD75-1),"NM",AJ75/AD75-1)</f>
        <v>0.23789706922876408</v>
      </c>
      <c r="AK76" s="683">
        <f>IF(ISERROR(AK75/AE75-1),"NM",AK75/AE75-1)</f>
        <v>0.23358551944369821</v>
      </c>
      <c r="AL76" s="683"/>
      <c r="AM76" s="683">
        <f>IF(ISERROR(AM75/AG75-1),"NM",AM75/AG75-1)</f>
        <v>0.20809944591315688</v>
      </c>
      <c r="AN76" s="683">
        <f>IF(ISERROR(AN75/AH75-1),"NM",AN75/AH75-1)</f>
        <v>0.21438633347175728</v>
      </c>
      <c r="AO76" s="683">
        <f>IF(ISERROR(AO75/AI75-1),"NM",AO75/AI75-1)</f>
        <v>0.20569900675774622</v>
      </c>
      <c r="AP76" s="683">
        <f>IF(ISERROR(AP75/AJ75-1),"NM",AP75/AJ75-1)</f>
        <v>0.30948745910577968</v>
      </c>
      <c r="AQ76" s="683">
        <f>IF(ISERROR(AQ75/AK75-1),"NM",AQ75/AK75-1)</f>
        <v>0.23620729629741644</v>
      </c>
      <c r="AR76" s="683"/>
      <c r="AS76" s="683">
        <f>IF(ISERROR(AS75/AM75-1),"NM",AS75/AM75-1)</f>
        <v>0.51732278153735467</v>
      </c>
      <c r="AT76" s="683">
        <f>IF(ISERROR(AT75/AN75-1),"NM",AT75/AN75-1)</f>
        <v>0.36824460238701895</v>
      </c>
      <c r="AU76" s="683">
        <f>IF(ISERROR(AU75/AO75-1),"NM",AU75/AO75-1)</f>
        <v>0.16905261005163852</v>
      </c>
      <c r="AV76" s="683">
        <f>IF(ISERROR(AV75/AP75-1),"NM",AV75/AP75-1)</f>
        <v>8.413356612832823E-2</v>
      </c>
      <c r="AW76" s="683">
        <f>IF(ISERROR(AW75/AQ75-1),"NM",AW75/AQ75-1)</f>
        <v>0.26917876917306116</v>
      </c>
      <c r="AX76" s="683"/>
      <c r="AY76" s="683">
        <f>IF(ISERROR(AY75/AS75-1),"NM",AY75/AS75-1)</f>
        <v>-0.16609620333190112</v>
      </c>
      <c r="AZ76" s="683">
        <f>IF(ISERROR(AZ75/AT75-1),"NM",AZ75/AT75-1)</f>
        <v>-9.6378516122708979E-2</v>
      </c>
      <c r="BA76" s="683">
        <f>IF(ISERROR(BA75/AU75-1),"NM",BA75/AU75-1)</f>
        <v>-1.5897312545100739E-2</v>
      </c>
      <c r="BB76" s="683">
        <f>IF(ISERROR(BB75/AV75-1),"NM",BB75/AV75-1)</f>
        <v>5.8746389372010821E-3</v>
      </c>
      <c r="BC76" s="683">
        <f>IF(ISERROR(BC75/AW75-1),"NM",BC75/AW75-1)</f>
        <v>-7.0796634586052343E-2</v>
      </c>
      <c r="BD76" s="683"/>
      <c r="BE76" s="683">
        <f>IF(ISERROR(BE75/AY75-1),"NM",BE75/AY75-1)</f>
        <v>8.7026521498044129E-2</v>
      </c>
      <c r="BF76" s="683">
        <f>IF(ISERROR(BF75/AZ75-1),"NM",BF75/AZ75-1)</f>
        <v>4.8245985628528887E-2</v>
      </c>
      <c r="BG76" s="683">
        <f>IF(ISERROR(BG75/BA75-1),"NM",BG75/BA75-1)</f>
        <v>5.8339373292235042E-2</v>
      </c>
      <c r="BH76" s="683">
        <f>IF(ISERROR(BH75/BB75-1),"NM",BH75/BB75-1)</f>
        <v>-1.7769297165581399E-2</v>
      </c>
      <c r="BI76" s="683">
        <f>IF(ISERROR(BI75/BC75-1),"NM",BI75/BC75-1)</f>
        <v>4.2479340805275045E-2</v>
      </c>
      <c r="BJ76" s="683"/>
      <c r="BK76" s="683">
        <f>IF(ISERROR(BK75/BE75-1),"NM",BK75/BE75-1)</f>
        <v>-3.2829182644305011E-2</v>
      </c>
      <c r="BL76" s="683">
        <f>IF(ISERROR(BL75/BF75-1),"NM",BL75/BF75-1)</f>
        <v>1.6866593946173181E-2</v>
      </c>
      <c r="BM76" s="683">
        <f>IF(ISERROR(BM75/BG75-1),"NM",BM75/BG75-1)</f>
        <v>3.3556429207850069E-2</v>
      </c>
      <c r="BN76" s="683">
        <f>IF(ISERROR(BN75/BH75-1),"NM",BN75/BH75-1)</f>
        <v>7.485224852800898E-2</v>
      </c>
      <c r="BO76" s="683">
        <f>IF(ISERROR(BO75/BI75-1),"NM",BO75/BI75-1)</f>
        <v>2.3331245846943016E-2</v>
      </c>
      <c r="BP76" s="683"/>
      <c r="BQ76" s="683">
        <f>IF(ISERROR(BQ75/BK75-1),"NM",BQ75/BK75-1)</f>
        <v>7.136335299982699E-2</v>
      </c>
      <c r="BR76" s="683">
        <f>IF(ISERROR(BR75/BL75-1),"NM",BR75/BL75-1)</f>
        <v>-1.3095785676615179E-2</v>
      </c>
      <c r="BS76" s="683">
        <f>IF(ISERROR(BS75/BM75-1),"NM",BS75/BM75-1)</f>
        <v>-3.5814295008648855E-2</v>
      </c>
      <c r="BT76" s="683">
        <f>IF(ISERROR(BT75/BN75-1),"NM",BT75/BN75-1)</f>
        <v>-1.6286885628804204E-2</v>
      </c>
      <c r="BU76" s="683">
        <f>IF(ISERROR(BU75/BO75-1),"NM",BU75/BO75-1)</f>
        <v>-2.8989407526491817E-4</v>
      </c>
      <c r="BV76" s="683"/>
      <c r="BW76" s="683">
        <f>IF(ISERROR(BW75/BQ75-1),"NM",BW75/BQ75-1)</f>
        <v>1.2673769492597131E-3</v>
      </c>
      <c r="BX76" s="683">
        <f>IF(ISERROR(BX75/BR75-1),"NM",BX75/BR75-1)</f>
        <v>3.0082834134282255E-2</v>
      </c>
      <c r="BY76" s="683">
        <f>IF(ISERROR(BY75/BS75-1),"NM",BY75/BS75-1)</f>
        <v>4.7026938507782612E-2</v>
      </c>
      <c r="BZ76" s="683">
        <f>IF(ISERROR(BZ75/BT75-1),"NM",BZ75/BT75-1)</f>
        <v>5.7984268050797372E-2</v>
      </c>
      <c r="CA76" s="683">
        <f>IF(ISERROR(CA75/BU75-1),"NM",CA75/BU75-1)</f>
        <v>3.4282861946134391E-2</v>
      </c>
      <c r="CB76" s="683"/>
      <c r="CC76" s="683">
        <f>IF(ISERROR(CC75/BW75-1),"NM",CC75/BW75-1)</f>
        <v>4.7787880755302048E-2</v>
      </c>
      <c r="CD76" s="683">
        <f>IF(ISERROR(CD75/BX75-1),"NM",CD75/BX75-1)</f>
        <v>5.9279505142453504E-2</v>
      </c>
      <c r="CE76" s="683">
        <f>IF(ISERROR(CE75/BY75-1),"NM",CE75/BY75-1)</f>
        <v>5.996726519359119E-2</v>
      </c>
      <c r="CF76" s="683">
        <f>IF(ISERROR(CF75/BZ75-1),"NM",CF75/BZ75-1)</f>
        <v>6.4426674815585727E-2</v>
      </c>
      <c r="CG76" s="683">
        <f>IF(ISERROR(CG75/CA75-1),"NM",CG75/CA75-1)</f>
        <v>5.8053885978194275E-2</v>
      </c>
      <c r="CH76" s="683"/>
      <c r="CI76" s="683">
        <f t="shared" ref="CI76:CM76" si="127">IF(ISERROR(CI75/CC75-1),"NM",CI75/CC75-1)</f>
        <v>7.2100557138007559E-2</v>
      </c>
      <c r="CJ76" s="683">
        <f t="shared" si="127"/>
        <v>7.5701318294326692E-2</v>
      </c>
      <c r="CK76" s="683">
        <f t="shared" si="127"/>
        <v>7.0025127814653088E-2</v>
      </c>
      <c r="CL76" s="683">
        <f t="shared" si="127"/>
        <v>6.9926727632908747E-2</v>
      </c>
      <c r="CM76" s="683">
        <f t="shared" si="127"/>
        <v>7.191342144009516E-2</v>
      </c>
      <c r="CN76" s="683"/>
      <c r="CO76" s="683">
        <f t="shared" ref="CO76:CS76" si="128">IF(ISERROR(CO75/CI75-1),"NM",CO75/CI75-1)</f>
        <v>7.1875718254417631E-2</v>
      </c>
      <c r="CP76" s="683">
        <f t="shared" si="128"/>
        <v>8.0375559737687396E-2</v>
      </c>
      <c r="CQ76" s="683">
        <f t="shared" si="128"/>
        <v>6.9205412675996447E-2</v>
      </c>
      <c r="CR76" s="683">
        <f t="shared" si="128"/>
        <v>7.4752394631578678E-2</v>
      </c>
      <c r="CS76" s="683">
        <f t="shared" si="128"/>
        <v>7.410496868736316E-2</v>
      </c>
      <c r="CT76" s="306"/>
    </row>
    <row r="77" spans="1:274" x14ac:dyDescent="0.2">
      <c r="A77" s="334"/>
      <c r="B77" s="693" t="s">
        <v>342</v>
      </c>
      <c r="C77" s="683">
        <f t="shared" ref="C77:G78" si="129">+C76</f>
        <v>0</v>
      </c>
      <c r="D77" s="683">
        <f t="shared" si="129"/>
        <v>0</v>
      </c>
      <c r="E77" s="683">
        <f t="shared" si="129"/>
        <v>0</v>
      </c>
      <c r="F77" s="683">
        <f t="shared" si="129"/>
        <v>0</v>
      </c>
      <c r="G77" s="683">
        <f t="shared" si="129"/>
        <v>0</v>
      </c>
      <c r="H77" s="683"/>
      <c r="I77" s="683">
        <f>+I76-I80</f>
        <v>0.43892913573621906</v>
      </c>
      <c r="J77" s="683">
        <f>+J76-J80</f>
        <v>0.52799245994344957</v>
      </c>
      <c r="K77" s="683">
        <f>+K76-K80</f>
        <v>0.5075665120820112</v>
      </c>
      <c r="L77" s="683">
        <f>+L76-L80</f>
        <v>0.42218215400853154</v>
      </c>
      <c r="M77" s="683">
        <f>+SUMPRODUCT(I77:L77,C$75:F$75)/G$75</f>
        <v>0.47302801573259678</v>
      </c>
      <c r="N77" s="683"/>
      <c r="O77" s="683">
        <f>+O76-O80</f>
        <v>0.44957112667302046</v>
      </c>
      <c r="P77" s="683">
        <f>+P76-P80</f>
        <v>0.47953896584540545</v>
      </c>
      <c r="Q77" s="683">
        <f>+Q76-Q80</f>
        <v>0.40097142394560037</v>
      </c>
      <c r="R77" s="683">
        <f>+R76-R80</f>
        <v>0.3308853087603203</v>
      </c>
      <c r="S77" s="683">
        <f>+SUMPRODUCT(O77:R77,I$75:L$75)/M$75</f>
        <v>0.41078241182798958</v>
      </c>
      <c r="T77" s="683"/>
      <c r="U77" s="683">
        <f>+U76-U80</f>
        <v>0.21663688987350804</v>
      </c>
      <c r="V77" s="683">
        <f>+V76-V80</f>
        <v>0.1050123880312559</v>
      </c>
      <c r="W77" s="683">
        <f>+W76-W80</f>
        <v>4.9681616992753863E-2</v>
      </c>
      <c r="X77" s="683">
        <f>+X76-X80</f>
        <v>9.1183680107808529E-2</v>
      </c>
      <c r="Y77" s="683">
        <f>+SUMPRODUCT(U77:X77,O$75:R$75)/S$75</f>
        <v>0.1106217862535105</v>
      </c>
      <c r="Z77" s="683"/>
      <c r="AA77" s="683">
        <f>+AA76-AA80</f>
        <v>7.9133479006602281E-2</v>
      </c>
      <c r="AB77" s="683">
        <f>+AB76-AB80</f>
        <v>8.2700931355639939E-2</v>
      </c>
      <c r="AC77" s="683">
        <f>+AC76-AC80</f>
        <v>0.12709457227788179</v>
      </c>
      <c r="AD77" s="683">
        <f>+AD76-AD80</f>
        <v>0.1435567668852733</v>
      </c>
      <c r="AE77" s="683">
        <f>+SUMPRODUCT(AA77:AD77,U$75:X$75)/Y$75</f>
        <v>0.10874456773510391</v>
      </c>
      <c r="AF77" s="683"/>
      <c r="AG77" s="683">
        <f>+AG76-AG80</f>
        <v>0.2024211282631887</v>
      </c>
      <c r="AH77" s="683">
        <f>+AH76-AH80</f>
        <v>0.22272998805256883</v>
      </c>
      <c r="AI77" s="683">
        <f>+AI76-AI80</f>
        <v>0.26767538632855992</v>
      </c>
      <c r="AJ77" s="683">
        <f>+AJ76-AJ80</f>
        <v>0.23789706922876408</v>
      </c>
      <c r="AK77" s="683">
        <f>+SUMPRODUCT(AG77:AJ77,AA$75:AD$75)/AE$75</f>
        <v>0.23358551944369832</v>
      </c>
      <c r="AL77" s="683"/>
      <c r="AM77" s="683">
        <f>+AM76-AM80</f>
        <v>0.20809944591315688</v>
      </c>
      <c r="AN77" s="683">
        <f>+AN76-AN80</f>
        <v>0.21438633347175728</v>
      </c>
      <c r="AO77" s="683">
        <f>+AO76-AO80</f>
        <v>0.20569900675774622</v>
      </c>
      <c r="AP77" s="683">
        <f>+AP76-AP80</f>
        <v>0.30948745910577968</v>
      </c>
      <c r="AQ77" s="683">
        <f>+SUMPRODUCT(AM77:AP77,AG$75:AJ$75)/AK$75</f>
        <v>0.23620729629741635</v>
      </c>
      <c r="AR77" s="683"/>
      <c r="AS77" s="683">
        <f>+AS76-AS80</f>
        <v>0.51732278153735467</v>
      </c>
      <c r="AT77" s="683">
        <f>+AT76-AT80</f>
        <v>0.36824460238701895</v>
      </c>
      <c r="AU77" s="683">
        <f>+AU76-AU80</f>
        <v>0.16905261005163852</v>
      </c>
      <c r="AV77" s="683">
        <f>+AV76-AV80</f>
        <v>8.413356612832823E-2</v>
      </c>
      <c r="AW77" s="683">
        <f>+SUMPRODUCT(AS77:AV77,AM$75:AP$75)/AQ$75</f>
        <v>0.26917876917306105</v>
      </c>
      <c r="AX77" s="683"/>
      <c r="AY77" s="683">
        <f>+AY76-AY80</f>
        <v>-0.16609620333190112</v>
      </c>
      <c r="AZ77" s="683">
        <f>+AZ76-AZ80</f>
        <v>-9.6378516122708979E-2</v>
      </c>
      <c r="BA77" s="683">
        <f>+BA76-BA80</f>
        <v>-1.5897312545100739E-2</v>
      </c>
      <c r="BB77" s="683">
        <f>+BB76-BB80</f>
        <v>5.8746389372010821E-3</v>
      </c>
      <c r="BC77" s="683">
        <f>+SUMPRODUCT(AY77:BB77,AS$75:AV$75)/AW$75</f>
        <v>-7.0796634586052273E-2</v>
      </c>
      <c r="BD77" s="683"/>
      <c r="BE77" s="683">
        <f>+BE76-BE80</f>
        <v>8.7026521498044129E-2</v>
      </c>
      <c r="BF77" s="683">
        <f>+BF76-BF80</f>
        <v>4.8245985628528887E-2</v>
      </c>
      <c r="BG77" s="683">
        <f>+BG76-BG80</f>
        <v>5.8339373292235042E-2</v>
      </c>
      <c r="BH77" s="683">
        <f>+BH76-BH80</f>
        <v>-1.7769297165581399E-2</v>
      </c>
      <c r="BI77" s="683">
        <f>+SUMPRODUCT(BE77:BH77,AY$75:BB$75)/BC$75</f>
        <v>4.2479340805275184E-2</v>
      </c>
      <c r="BJ77" s="683"/>
      <c r="BK77" s="683">
        <f>+BK76-BK80</f>
        <v>-3.2829182644305011E-2</v>
      </c>
      <c r="BL77" s="683">
        <f>+BL76-BL80</f>
        <v>1.6866593946173181E-2</v>
      </c>
      <c r="BM77" s="683">
        <f>+BM76-BM80</f>
        <v>3.3556429207850069E-2</v>
      </c>
      <c r="BN77" s="683">
        <f>+BN76-BN80</f>
        <v>7.485224852800898E-2</v>
      </c>
      <c r="BO77" s="683">
        <f>+SUMPRODUCT(BK77:BN77,BE$75:BH$75)/BI$75</f>
        <v>2.3331245846943044E-2</v>
      </c>
      <c r="BP77" s="683"/>
      <c r="BQ77" s="683">
        <f>+BQ76-BQ80</f>
        <v>7.136335299982699E-2</v>
      </c>
      <c r="BR77" s="683">
        <f>+BR76-BR80</f>
        <v>-1.3095785676615179E-2</v>
      </c>
      <c r="BS77" s="683">
        <f>+BS76-BS80</f>
        <v>-3.5814295008648855E-2</v>
      </c>
      <c r="BT77" s="683">
        <f>+BT76-BT80</f>
        <v>-1.6286885628804204E-2</v>
      </c>
      <c r="BU77" s="683">
        <f>+SUMPRODUCT(BQ77:BT77,BK$75:BN$75)/BO$75</f>
        <v>-2.8989407526499076E-4</v>
      </c>
      <c r="BV77" s="683"/>
      <c r="BW77" s="683">
        <f>+BW76-BW80</f>
        <v>1.2673769492597131E-3</v>
      </c>
      <c r="BX77" s="683">
        <f>+BX76-BX80</f>
        <v>3.0082834134282255E-2</v>
      </c>
      <c r="BY77" s="683">
        <f>+BY76-BY80</f>
        <v>4.7026938507782612E-2</v>
      </c>
      <c r="BZ77" s="683">
        <f>+BZ76-BZ80</f>
        <v>5.7984268050797372E-2</v>
      </c>
      <c r="CA77" s="683">
        <f>+SUMPRODUCT(BW77:BZ77,BQ$75:BT$75)/BU$75</f>
        <v>3.4282861946134197E-2</v>
      </c>
      <c r="CB77" s="683"/>
      <c r="CC77" s="683">
        <f>+CC76-CC80</f>
        <v>4.7787880755302048E-2</v>
      </c>
      <c r="CD77" s="683">
        <f>+CD76-CD80</f>
        <v>5.9279505142453504E-2</v>
      </c>
      <c r="CE77" s="683">
        <f>+CE76-CE80</f>
        <v>5.996726519359119E-2</v>
      </c>
      <c r="CF77" s="683">
        <f>+CF76-CF80</f>
        <v>6.4426674815585727E-2</v>
      </c>
      <c r="CG77" s="683">
        <f>+SUMPRODUCT(CC77:CF77,BW$75:BZ$75)/CA$75</f>
        <v>5.8053885978194671E-2</v>
      </c>
      <c r="CH77" s="683"/>
      <c r="CI77" s="683">
        <f t="shared" ref="CI77:CL77" si="130">+CI76-CI80</f>
        <v>7.2100557138007559E-2</v>
      </c>
      <c r="CJ77" s="683">
        <f t="shared" si="130"/>
        <v>7.5701318294326692E-2</v>
      </c>
      <c r="CK77" s="683">
        <f t="shared" si="130"/>
        <v>7.0025127814653088E-2</v>
      </c>
      <c r="CL77" s="683">
        <f t="shared" si="130"/>
        <v>6.9926727632908747E-2</v>
      </c>
      <c r="CM77" s="683">
        <f t="shared" ref="CM77:CM78" si="131">+SUMPRODUCT(CI77:CL77,CC$75:CF$75)/CG$75</f>
        <v>7.1913421440095174E-2</v>
      </c>
      <c r="CN77" s="683"/>
      <c r="CO77" s="683">
        <f t="shared" ref="CO77:CR77" si="132">+CO76-CO80</f>
        <v>7.1875718254417631E-2</v>
      </c>
      <c r="CP77" s="683">
        <f t="shared" si="132"/>
        <v>8.0375559737687396E-2</v>
      </c>
      <c r="CQ77" s="683">
        <f t="shared" si="132"/>
        <v>6.9205412675996447E-2</v>
      </c>
      <c r="CR77" s="683">
        <f t="shared" si="132"/>
        <v>7.4752394631578678E-2</v>
      </c>
      <c r="CS77" s="683">
        <f t="shared" ref="CS77:CS78" si="133">+SUMPRODUCT(CO77:CR77,CI$75:CL$75)/CM$75</f>
        <v>7.4104968687363035E-2</v>
      </c>
      <c r="CT77" s="306"/>
    </row>
    <row r="78" spans="1:274" x14ac:dyDescent="0.2">
      <c r="A78" s="334"/>
      <c r="B78" s="693" t="s">
        <v>345</v>
      </c>
      <c r="C78" s="683">
        <f t="shared" si="129"/>
        <v>0</v>
      </c>
      <c r="D78" s="683">
        <f t="shared" si="129"/>
        <v>0</v>
      </c>
      <c r="E78" s="683">
        <f t="shared" si="129"/>
        <v>0</v>
      </c>
      <c r="F78" s="683">
        <f t="shared" si="129"/>
        <v>0</v>
      </c>
      <c r="G78" s="683">
        <f t="shared" si="129"/>
        <v>0</v>
      </c>
      <c r="H78" s="683"/>
      <c r="I78" s="683">
        <f>+I77-I79</f>
        <v>0.43892913573621906</v>
      </c>
      <c r="J78" s="683">
        <f>+J77-J79</f>
        <v>0.52799245994344957</v>
      </c>
      <c r="K78" s="683">
        <f>+K77-K79</f>
        <v>0.5075665120820112</v>
      </c>
      <c r="L78" s="683">
        <f>+L77-L79</f>
        <v>0.42218215400853154</v>
      </c>
      <c r="M78" s="683">
        <f>+SUMPRODUCT(I78:L78,C$75:F$75)/G$75</f>
        <v>0.47302801573259678</v>
      </c>
      <c r="N78" s="683"/>
      <c r="O78" s="683">
        <f>+O77-O79</f>
        <v>0.44957112667302046</v>
      </c>
      <c r="P78" s="683">
        <f>+P77-P79</f>
        <v>0.47953896584540545</v>
      </c>
      <c r="Q78" s="683">
        <f>+Q77-Q79</f>
        <v>0.40097142394560037</v>
      </c>
      <c r="R78" s="683">
        <f>+R77-R79</f>
        <v>0.3308853087603203</v>
      </c>
      <c r="S78" s="683">
        <f>+SUMPRODUCT(O78:R78,I$75:L$75)/M$75</f>
        <v>0.41078241182798958</v>
      </c>
      <c r="T78" s="683"/>
      <c r="U78" s="683">
        <f>+U77-U79</f>
        <v>0.21663688987350804</v>
      </c>
      <c r="V78" s="683">
        <f>+V77-V79</f>
        <v>0.1050123880312559</v>
      </c>
      <c r="W78" s="683">
        <f>+W77-W79</f>
        <v>4.9681616992753863E-2</v>
      </c>
      <c r="X78" s="683">
        <f>+X77-X79</f>
        <v>9.1183680107808529E-2</v>
      </c>
      <c r="Y78" s="683">
        <f>+SUMPRODUCT(U78:X78,O$75:R$75)/S$75</f>
        <v>0.1106217862535105</v>
      </c>
      <c r="Z78" s="683"/>
      <c r="AA78" s="683">
        <f>+AA77-AA79</f>
        <v>7.9133479006602281E-2</v>
      </c>
      <c r="AB78" s="683">
        <f>+AB77-AB79</f>
        <v>8.2700931355639939E-2</v>
      </c>
      <c r="AC78" s="683">
        <f>+AC77-AC79</f>
        <v>0.12709457227788179</v>
      </c>
      <c r="AD78" s="683">
        <f>+AD77-AD79</f>
        <v>0.1435567668852733</v>
      </c>
      <c r="AE78" s="683">
        <f>+SUMPRODUCT(AA78:AD78,U$75:X$75)/Y$75</f>
        <v>0.10874456773510391</v>
      </c>
      <c r="AF78" s="683"/>
      <c r="AG78" s="683">
        <f>+AG77-AG79</f>
        <v>0.2024211282631887</v>
      </c>
      <c r="AH78" s="683">
        <f>+AH77-AH79</f>
        <v>0.22272998805256883</v>
      </c>
      <c r="AI78" s="683">
        <f>+AI77-AI79</f>
        <v>0.26767538632855992</v>
      </c>
      <c r="AJ78" s="683">
        <f>+AJ77-AJ79</f>
        <v>0.23789706922876408</v>
      </c>
      <c r="AK78" s="683">
        <f>+SUMPRODUCT(AG78:AJ78,AA$75:AD$75)/AE$75</f>
        <v>0.23358551944369832</v>
      </c>
      <c r="AL78" s="683"/>
      <c r="AM78" s="683">
        <f>+AM77-AM79</f>
        <v>0.20809944591315688</v>
      </c>
      <c r="AN78" s="683">
        <f>+AN77-AN79</f>
        <v>0.21438633347175728</v>
      </c>
      <c r="AO78" s="683">
        <f>+AO77-AO79</f>
        <v>0.20569900675774622</v>
      </c>
      <c r="AP78" s="683">
        <f>+AP77-AP79</f>
        <v>0.30948745910577968</v>
      </c>
      <c r="AQ78" s="683">
        <f>+SUMPRODUCT(AM78:AP78,AG$75:AJ$75)/AK$75</f>
        <v>0.23620729629741635</v>
      </c>
      <c r="AR78" s="683"/>
      <c r="AS78" s="683">
        <f>+AS77-AS79</f>
        <v>0.51732278153735467</v>
      </c>
      <c r="AT78" s="683">
        <f>+AT77-AT79</f>
        <v>0.36824460238701895</v>
      </c>
      <c r="AU78" s="683">
        <f>+AU77-AU79</f>
        <v>0.14906820389590458</v>
      </c>
      <c r="AV78" s="683">
        <f>+AV77-AV79</f>
        <v>2.1858990558018786E-2</v>
      </c>
      <c r="AW78" s="683">
        <f>+SUMPRODUCT(AS78:AV78,AM$75:AP$75)/AQ$75</f>
        <v>0.2463953421998972</v>
      </c>
      <c r="AX78" s="683"/>
      <c r="AY78" s="683">
        <f>+AY77-AY79</f>
        <v>-0.21834669353524289</v>
      </c>
      <c r="AZ78" s="683">
        <f>+AZ77-AZ79</f>
        <v>-0.14950994805449375</v>
      </c>
      <c r="BA78" s="683">
        <f>+BA77-BA79</f>
        <v>-2.6830814983271785E-2</v>
      </c>
      <c r="BB78" s="683">
        <f>+BB77-BB79</f>
        <v>-1.5315730040098733E-2</v>
      </c>
      <c r="BC78" s="683">
        <f>+SUMPRODUCT(AY78:BB78,AS$75:AV$75)/AW$75</f>
        <v>-0.10603235320401953</v>
      </c>
      <c r="BD78" s="683"/>
      <c r="BE78" s="683">
        <f>+BE77-BE79</f>
        <v>6.4198964546585205E-2</v>
      </c>
      <c r="BF78" s="683">
        <f>+BF77-BF79</f>
        <v>3.2518707478056796E-2</v>
      </c>
      <c r="BG78" s="683">
        <f>+BG77-BG79</f>
        <v>2.7647531466760227E-2</v>
      </c>
      <c r="BH78" s="683">
        <f>+BH77-BH79</f>
        <v>-3.8835907414040777E-2</v>
      </c>
      <c r="BI78" s="683">
        <f>+SUMPRODUCT(BE78:BH78,AY$75:BB$75)/BC$75</f>
        <v>1.9966948937783696E-2</v>
      </c>
      <c r="BJ78" s="683"/>
      <c r="BK78" s="683">
        <f>+BK77-BK79</f>
        <v>-9.1402946681745451E-2</v>
      </c>
      <c r="BL78" s="683">
        <f>+BL77-BL79</f>
        <v>-0.11573773229654555</v>
      </c>
      <c r="BM78" s="683">
        <f>+BM77-BM79</f>
        <v>-0.11256215007886808</v>
      </c>
      <c r="BN78" s="683">
        <f>+BN77-BN79</f>
        <v>-8.3374018962658419E-2</v>
      </c>
      <c r="BO78" s="683">
        <f>+SUMPRODUCT(BK78:BN78,BE$75:BH$75)/BI$75</f>
        <v>-0.10100376316283849</v>
      </c>
      <c r="BP78" s="683"/>
      <c r="BQ78" s="683">
        <f>+BQ77-BQ79</f>
        <v>-9.0884502234617526E-2</v>
      </c>
      <c r="BR78" s="683">
        <f>+BR77-BR79</f>
        <v>-0.17437843321691587</v>
      </c>
      <c r="BS78" s="683">
        <f>+BS77-BS79</f>
        <v>-3.5814295008648855E-2</v>
      </c>
      <c r="BT78" s="683">
        <f>+BT77-BT79</f>
        <v>-1.6286885628804204E-2</v>
      </c>
      <c r="BU78" s="683">
        <f>+SUMPRODUCT(BQ78:BT78,BK$75:BN$75)/BO$75</f>
        <v>-7.8716018307813898E-2</v>
      </c>
      <c r="BV78" s="683"/>
      <c r="BW78" s="683">
        <f>+BW77-BW79</f>
        <v>1.2673769492597131E-3</v>
      </c>
      <c r="BX78" s="683">
        <f>+BX77-BX79</f>
        <v>3.0082834134282255E-2</v>
      </c>
      <c r="BY78" s="683">
        <f>+BY77-BY79</f>
        <v>4.7026938507782612E-2</v>
      </c>
      <c r="BZ78" s="683">
        <f>+BZ77-BZ79</f>
        <v>5.7984268050797372E-2</v>
      </c>
      <c r="CA78" s="683">
        <f>+SUMPRODUCT(BW78:BZ78,BQ$75:BT$75)/BU$75</f>
        <v>3.4282861946134197E-2</v>
      </c>
      <c r="CB78" s="683"/>
      <c r="CC78" s="683">
        <f>+CC77-CC79</f>
        <v>4.7787880755302048E-2</v>
      </c>
      <c r="CD78" s="683">
        <f>+CD77-CD79</f>
        <v>5.9279505142453504E-2</v>
      </c>
      <c r="CE78" s="683">
        <f>+CE77-CE79</f>
        <v>5.996726519359119E-2</v>
      </c>
      <c r="CF78" s="683">
        <f>+CF77-CF79</f>
        <v>6.4426674815585727E-2</v>
      </c>
      <c r="CG78" s="683">
        <f>+SUMPRODUCT(CC78:CF78,BW$75:BZ$75)/CA$75</f>
        <v>5.8053885978194671E-2</v>
      </c>
      <c r="CH78" s="683"/>
      <c r="CI78" s="683">
        <f t="shared" ref="CI78:CL78" si="134">+CI77-CI79</f>
        <v>7.2100557138007559E-2</v>
      </c>
      <c r="CJ78" s="683">
        <f t="shared" si="134"/>
        <v>7.5701318294326692E-2</v>
      </c>
      <c r="CK78" s="683">
        <f t="shared" si="134"/>
        <v>7.0025127814653088E-2</v>
      </c>
      <c r="CL78" s="683">
        <f t="shared" si="134"/>
        <v>6.9926727632908747E-2</v>
      </c>
      <c r="CM78" s="683">
        <f t="shared" si="131"/>
        <v>7.1913421440095174E-2</v>
      </c>
      <c r="CN78" s="683"/>
      <c r="CO78" s="683">
        <f t="shared" ref="CO78:CR78" si="135">+CO77-CO79</f>
        <v>7.1875718254417631E-2</v>
      </c>
      <c r="CP78" s="683">
        <f t="shared" si="135"/>
        <v>8.0375559737687396E-2</v>
      </c>
      <c r="CQ78" s="683">
        <f t="shared" si="135"/>
        <v>6.9205412675996447E-2</v>
      </c>
      <c r="CR78" s="683">
        <f t="shared" si="135"/>
        <v>7.4752394631578678E-2</v>
      </c>
      <c r="CS78" s="683">
        <f t="shared" si="133"/>
        <v>7.4104968687363035E-2</v>
      </c>
      <c r="CT78" s="306"/>
    </row>
    <row r="79" spans="1:274" x14ac:dyDescent="0.2">
      <c r="A79" s="334"/>
      <c r="B79" s="693" t="s">
        <v>346</v>
      </c>
      <c r="C79" s="683"/>
      <c r="D79" s="683"/>
      <c r="E79" s="683"/>
      <c r="F79" s="683"/>
      <c r="G79" s="683"/>
      <c r="H79" s="683"/>
      <c r="I79" s="683">
        <f>I88/C75</f>
        <v>0</v>
      </c>
      <c r="J79" s="683">
        <f>J88/D75</f>
        <v>0</v>
      </c>
      <c r="K79" s="683">
        <f>K88/E75</f>
        <v>0</v>
      </c>
      <c r="L79" s="683">
        <f>L88/F75</f>
        <v>0</v>
      </c>
      <c r="M79" s="683">
        <f>M88/G75</f>
        <v>0</v>
      </c>
      <c r="N79" s="683"/>
      <c r="O79" s="683">
        <f>O88/I75</f>
        <v>0</v>
      </c>
      <c r="P79" s="683">
        <f>P88/J75</f>
        <v>0</v>
      </c>
      <c r="Q79" s="683">
        <f>Q88/K75</f>
        <v>0</v>
      </c>
      <c r="R79" s="683">
        <f>R88/L75</f>
        <v>0</v>
      </c>
      <c r="S79" s="683">
        <f>S88/M75</f>
        <v>0</v>
      </c>
      <c r="T79" s="683"/>
      <c r="U79" s="683">
        <f>U88/O75</f>
        <v>0</v>
      </c>
      <c r="V79" s="683">
        <f>V88/P75</f>
        <v>0</v>
      </c>
      <c r="W79" s="683">
        <f>W88/Q75</f>
        <v>0</v>
      </c>
      <c r="X79" s="683">
        <f>X88/R75</f>
        <v>0</v>
      </c>
      <c r="Y79" s="683">
        <f>Y88/S75</f>
        <v>0</v>
      </c>
      <c r="Z79" s="683"/>
      <c r="AA79" s="683">
        <f>AA88/U75</f>
        <v>0</v>
      </c>
      <c r="AB79" s="683">
        <f>AB88/V75</f>
        <v>0</v>
      </c>
      <c r="AC79" s="683">
        <f>AC88/W75</f>
        <v>0</v>
      </c>
      <c r="AD79" s="683">
        <f>AD88/X75</f>
        <v>0</v>
      </c>
      <c r="AE79" s="683">
        <f>AE88/Y75</f>
        <v>0</v>
      </c>
      <c r="AF79" s="683"/>
      <c r="AG79" s="683">
        <f>AG88/AA75</f>
        <v>0</v>
      </c>
      <c r="AH79" s="683">
        <f>AH88/AB75</f>
        <v>0</v>
      </c>
      <c r="AI79" s="683">
        <f>AI88/AC75</f>
        <v>0</v>
      </c>
      <c r="AJ79" s="683">
        <f>AJ88/AD75</f>
        <v>0</v>
      </c>
      <c r="AK79" s="683">
        <f>AK88/AE75</f>
        <v>0</v>
      </c>
      <c r="AL79" s="683"/>
      <c r="AM79" s="683">
        <f>AM88/AG75</f>
        <v>0</v>
      </c>
      <c r="AN79" s="683">
        <f>AN88/AH75</f>
        <v>0</v>
      </c>
      <c r="AO79" s="683">
        <f>AO88/AI75</f>
        <v>0</v>
      </c>
      <c r="AP79" s="683">
        <f>AP88/AJ75</f>
        <v>0</v>
      </c>
      <c r="AQ79" s="683">
        <f>AQ88/AK75</f>
        <v>0</v>
      </c>
      <c r="AR79" s="683"/>
      <c r="AS79" s="683">
        <f>AS88/AM75</f>
        <v>0</v>
      </c>
      <c r="AT79" s="683">
        <f>AT88/AN75</f>
        <v>0</v>
      </c>
      <c r="AU79" s="683">
        <f>AU88/AO75</f>
        <v>1.9984406155733932E-2</v>
      </c>
      <c r="AV79" s="683">
        <f>AV88/AP75</f>
        <v>6.2274575570309444E-2</v>
      </c>
      <c r="AW79" s="683">
        <f>AW88/AQ75</f>
        <v>2.2783426973163826E-2</v>
      </c>
      <c r="AX79" s="683"/>
      <c r="AY79" s="683">
        <f>AY88/AS75</f>
        <v>5.2250490203341778E-2</v>
      </c>
      <c r="AZ79" s="683">
        <f>AZ88/AT75</f>
        <v>5.3131431931784774E-2</v>
      </c>
      <c r="BA79" s="683">
        <f>BA88/AU75</f>
        <v>1.0933502438171044E-2</v>
      </c>
      <c r="BB79" s="683">
        <f>BB88/AV75</f>
        <v>2.1190368977299815E-2</v>
      </c>
      <c r="BC79" s="683">
        <f>BC88/AW75</f>
        <v>3.5235718617967239E-2</v>
      </c>
      <c r="BD79" s="683"/>
      <c r="BE79" s="683">
        <f>BE88/AY75</f>
        <v>2.2827556951458928E-2</v>
      </c>
      <c r="BF79" s="683">
        <f>BF88/AZ75</f>
        <v>1.572727815047209E-2</v>
      </c>
      <c r="BG79" s="683">
        <f>BG88/BA75</f>
        <v>3.0691841825474814E-2</v>
      </c>
      <c r="BH79" s="683">
        <f>BH88/BB75</f>
        <v>2.1066610248459378E-2</v>
      </c>
      <c r="BI79" s="683">
        <f>BI88/BC75</f>
        <v>2.2512391867491491E-2</v>
      </c>
      <c r="BJ79" s="683"/>
      <c r="BK79" s="683">
        <f>BK88/BE75</f>
        <v>5.8573764037440447E-2</v>
      </c>
      <c r="BL79" s="683">
        <f>BL88/BF75</f>
        <v>0.13260432624271873</v>
      </c>
      <c r="BM79" s="683">
        <f>BM88/BG75</f>
        <v>0.14611857928671815</v>
      </c>
      <c r="BN79" s="683">
        <f>BN88/BH75</f>
        <v>0.1582262674906674</v>
      </c>
      <c r="BO79" s="683">
        <f>BO88/BI75</f>
        <v>0.12433500900978155</v>
      </c>
      <c r="BP79" s="683"/>
      <c r="BQ79" s="683">
        <f>BQ88/BK75</f>
        <v>0.16224785523444452</v>
      </c>
      <c r="BR79" s="683">
        <f>BR88/BL75</f>
        <v>0.16128264754030069</v>
      </c>
      <c r="BS79" s="683">
        <f>BS88/BM75</f>
        <v>0</v>
      </c>
      <c r="BT79" s="683">
        <f>BT88/BN75</f>
        <v>0</v>
      </c>
      <c r="BU79" s="683">
        <f>BU88/BO75</f>
        <v>7.8426124232548911E-2</v>
      </c>
      <c r="BV79" s="683"/>
      <c r="BW79" s="683">
        <f>BW88/BQ75</f>
        <v>0</v>
      </c>
      <c r="BX79" s="683">
        <f>BX88/BR75</f>
        <v>0</v>
      </c>
      <c r="BY79" s="683">
        <f>BY88/BS75</f>
        <v>0</v>
      </c>
      <c r="BZ79" s="683">
        <f>BZ88/BT75</f>
        <v>0</v>
      </c>
      <c r="CA79" s="683">
        <f>CA88/BU75</f>
        <v>0</v>
      </c>
      <c r="CB79" s="683"/>
      <c r="CC79" s="683">
        <f>CC88/BW75</f>
        <v>0</v>
      </c>
      <c r="CD79" s="683">
        <f>CD88/BX75</f>
        <v>0</v>
      </c>
      <c r="CE79" s="683">
        <f>CE88/BY75</f>
        <v>0</v>
      </c>
      <c r="CF79" s="683">
        <f>CF88/BZ75</f>
        <v>0</v>
      </c>
      <c r="CG79" s="683">
        <f>CG88/CA75</f>
        <v>0</v>
      </c>
      <c r="CH79" s="683"/>
      <c r="CI79" s="683">
        <f t="shared" ref="CI79:CM79" si="136">CI88/CC75</f>
        <v>0</v>
      </c>
      <c r="CJ79" s="683">
        <f t="shared" si="136"/>
        <v>0</v>
      </c>
      <c r="CK79" s="683">
        <f t="shared" si="136"/>
        <v>0</v>
      </c>
      <c r="CL79" s="683">
        <f t="shared" si="136"/>
        <v>0</v>
      </c>
      <c r="CM79" s="683">
        <f t="shared" si="136"/>
        <v>0</v>
      </c>
      <c r="CN79" s="683"/>
      <c r="CO79" s="683">
        <f t="shared" ref="CO79:CS79" si="137">CO88/CI75</f>
        <v>0</v>
      </c>
      <c r="CP79" s="683">
        <f t="shared" si="137"/>
        <v>0</v>
      </c>
      <c r="CQ79" s="683">
        <f t="shared" si="137"/>
        <v>0</v>
      </c>
      <c r="CR79" s="683">
        <f t="shared" si="137"/>
        <v>0</v>
      </c>
      <c r="CS79" s="683">
        <f t="shared" si="137"/>
        <v>0</v>
      </c>
      <c r="CT79" s="306"/>
    </row>
    <row r="80" spans="1:274" x14ac:dyDescent="0.2">
      <c r="A80" s="334"/>
      <c r="B80" s="690" t="s">
        <v>70</v>
      </c>
      <c r="C80" s="683"/>
      <c r="D80" s="683"/>
      <c r="E80" s="683"/>
      <c r="F80" s="683"/>
      <c r="G80" s="683"/>
      <c r="H80" s="683"/>
      <c r="I80" s="699">
        <v>0</v>
      </c>
      <c r="J80" s="699">
        <v>0</v>
      </c>
      <c r="K80" s="699">
        <v>0</v>
      </c>
      <c r="L80" s="699">
        <v>0</v>
      </c>
      <c r="M80" s="683">
        <f>+SUMPRODUCT(I80:L80,C$75:F$75)/G$75</f>
        <v>0</v>
      </c>
      <c r="N80" s="683"/>
      <c r="O80" s="699">
        <v>0</v>
      </c>
      <c r="P80" s="699">
        <v>0</v>
      </c>
      <c r="Q80" s="699">
        <v>0</v>
      </c>
      <c r="R80" s="699">
        <v>0</v>
      </c>
      <c r="S80" s="683">
        <f>+SUMPRODUCT(O80:R80,I$75:L$75)/M$75</f>
        <v>0</v>
      </c>
      <c r="T80" s="683"/>
      <c r="U80" s="699">
        <v>0</v>
      </c>
      <c r="V80" s="699">
        <v>0</v>
      </c>
      <c r="W80" s="699">
        <v>0</v>
      </c>
      <c r="X80" s="699">
        <v>0</v>
      </c>
      <c r="Y80" s="683">
        <f>+SUMPRODUCT(U80:X80,O$75:R$75)/S$75</f>
        <v>0</v>
      </c>
      <c r="Z80" s="683"/>
      <c r="AA80" s="699">
        <v>0</v>
      </c>
      <c r="AB80" s="699">
        <v>0</v>
      </c>
      <c r="AC80" s="699">
        <v>0</v>
      </c>
      <c r="AD80" s="699">
        <v>0</v>
      </c>
      <c r="AE80" s="683">
        <f>+SUMPRODUCT(AA80:AD80,U$75:X$75)/Y$75</f>
        <v>0</v>
      </c>
      <c r="AF80" s="683"/>
      <c r="AG80" s="699">
        <v>0</v>
      </c>
      <c r="AH80" s="699">
        <v>0</v>
      </c>
      <c r="AI80" s="699">
        <v>0</v>
      </c>
      <c r="AJ80" s="699">
        <v>0</v>
      </c>
      <c r="AK80" s="683">
        <f>+SUMPRODUCT(AG80:AJ80,AA$75:AD$75)/AE$75</f>
        <v>0</v>
      </c>
      <c r="AL80" s="683"/>
      <c r="AM80" s="699">
        <v>0</v>
      </c>
      <c r="AN80" s="699">
        <v>0</v>
      </c>
      <c r="AO80" s="699">
        <v>0</v>
      </c>
      <c r="AP80" s="699">
        <v>0</v>
      </c>
      <c r="AQ80" s="683">
        <f>+SUMPRODUCT(AM80:AP80,AG$75:AJ$75)/AK$75</f>
        <v>0</v>
      </c>
      <c r="AR80" s="683"/>
      <c r="AS80" s="699">
        <v>0</v>
      </c>
      <c r="AT80" s="699">
        <v>0</v>
      </c>
      <c r="AU80" s="699">
        <v>0</v>
      </c>
      <c r="AV80" s="699">
        <v>0</v>
      </c>
      <c r="AW80" s="683">
        <f>+SUMPRODUCT(AS80:AV80,AM$75:AP$75)/AQ$75</f>
        <v>0</v>
      </c>
      <c r="AX80" s="683"/>
      <c r="AY80" s="699">
        <v>0</v>
      </c>
      <c r="AZ80" s="699">
        <v>0</v>
      </c>
      <c r="BA80" s="699">
        <v>0</v>
      </c>
      <c r="BB80" s="699">
        <v>0</v>
      </c>
      <c r="BC80" s="683">
        <f>+SUMPRODUCT(AY80:BB80,AS$75:AV$75)/AW$75</f>
        <v>0</v>
      </c>
      <c r="BD80" s="683"/>
      <c r="BE80" s="699">
        <v>0</v>
      </c>
      <c r="BF80" s="699">
        <v>0</v>
      </c>
      <c r="BG80" s="699">
        <v>0</v>
      </c>
      <c r="BH80" s="699">
        <v>0</v>
      </c>
      <c r="BI80" s="683">
        <f>+SUMPRODUCT(BE80:BH80,AY$75:BB$75)/BC$75</f>
        <v>0</v>
      </c>
      <c r="BJ80" s="683"/>
      <c r="BK80" s="699">
        <v>0</v>
      </c>
      <c r="BL80" s="699">
        <v>0</v>
      </c>
      <c r="BM80" s="699">
        <v>0</v>
      </c>
      <c r="BN80" s="699">
        <v>0</v>
      </c>
      <c r="BO80" s="683">
        <f>+SUMPRODUCT(BK80:BN80,BE$75:BH$75)/BI$75</f>
        <v>0</v>
      </c>
      <c r="BP80" s="683"/>
      <c r="BQ80" s="699">
        <v>0</v>
      </c>
      <c r="BR80" s="699">
        <v>0</v>
      </c>
      <c r="BS80" s="699">
        <v>0</v>
      </c>
      <c r="BT80" s="699">
        <v>0</v>
      </c>
      <c r="BU80" s="683">
        <f>+SUMPRODUCT(BQ80:BT80,BK$75:BN$75)/BO$75</f>
        <v>0</v>
      </c>
      <c r="BV80" s="683"/>
      <c r="BW80" s="699">
        <v>0</v>
      </c>
      <c r="BX80" s="699">
        <v>0</v>
      </c>
      <c r="BY80" s="699">
        <v>0</v>
      </c>
      <c r="BZ80" s="699">
        <v>0</v>
      </c>
      <c r="CA80" s="683">
        <f>+SUMPRODUCT(BW80:BZ80,BQ$75:BT$75)/BU$75</f>
        <v>0</v>
      </c>
      <c r="CB80" s="683"/>
      <c r="CC80" s="699">
        <v>0</v>
      </c>
      <c r="CD80" s="699">
        <v>0</v>
      </c>
      <c r="CE80" s="699">
        <v>0</v>
      </c>
      <c r="CF80" s="699">
        <v>0</v>
      </c>
      <c r="CG80" s="683">
        <f>+SUMPRODUCT(CC80:CF80,BW$75:BZ$75)/CA$75</f>
        <v>0</v>
      </c>
      <c r="CH80" s="683"/>
      <c r="CI80" s="699">
        <v>0</v>
      </c>
      <c r="CJ80" s="699">
        <v>0</v>
      </c>
      <c r="CK80" s="699">
        <v>0</v>
      </c>
      <c r="CL80" s="699">
        <v>0</v>
      </c>
      <c r="CM80" s="683">
        <f t="shared" ref="CM80" si="138">+SUMPRODUCT(CI80:CL80,CC$75:CF$75)/CG$75</f>
        <v>0</v>
      </c>
      <c r="CN80" s="683"/>
      <c r="CO80" s="699">
        <v>0</v>
      </c>
      <c r="CP80" s="699">
        <v>0</v>
      </c>
      <c r="CQ80" s="699">
        <v>0</v>
      </c>
      <c r="CR80" s="699">
        <v>0</v>
      </c>
      <c r="CS80" s="683">
        <f t="shared" ref="CS80" si="139">+SUMPRODUCT(CO80:CR80,CI$75:CL$75)/CM$75</f>
        <v>0</v>
      </c>
      <c r="CT80" s="306"/>
    </row>
    <row r="81" spans="1:274" x14ac:dyDescent="0.2">
      <c r="A81" s="334"/>
      <c r="B81" s="705" t="s">
        <v>348</v>
      </c>
      <c r="C81" s="305"/>
      <c r="D81" s="305"/>
      <c r="E81" s="305"/>
      <c r="F81" s="305"/>
      <c r="G81" s="305"/>
      <c r="H81" s="109"/>
      <c r="I81" s="39"/>
      <c r="J81" s="39"/>
      <c r="K81" s="39"/>
      <c r="L81" s="39"/>
      <c r="M81" s="39"/>
      <c r="N81" s="109"/>
      <c r="O81" s="39"/>
      <c r="P81" s="39"/>
      <c r="Q81" s="39"/>
      <c r="R81" s="39"/>
      <c r="S81" s="39"/>
      <c r="T81" s="109"/>
      <c r="U81" s="39"/>
      <c r="V81" s="39"/>
      <c r="W81" s="39"/>
      <c r="X81" s="39"/>
      <c r="Y81" s="39"/>
      <c r="Z81" s="109"/>
      <c r="AA81" s="39">
        <f>AA67*U66</f>
        <v>6.7359999999999998</v>
      </c>
      <c r="AB81" s="39">
        <f>AB67*V66</f>
        <v>7.6720000000000059</v>
      </c>
      <c r="AC81" s="39">
        <f>AC67*W66</f>
        <v>11.544000000000002</v>
      </c>
      <c r="AD81" s="39">
        <f>AD67*X66</f>
        <v>11.446000000000005</v>
      </c>
      <c r="AE81" s="39">
        <f>SUM(AA81:AD81)</f>
        <v>37.39800000000001</v>
      </c>
      <c r="AF81" s="109"/>
      <c r="AG81" s="39">
        <f>AG67*AA66</f>
        <v>12.110999999999986</v>
      </c>
      <c r="AH81" s="39">
        <f>AH67*AB66</f>
        <v>17.169999999999995</v>
      </c>
      <c r="AI81" s="39">
        <f>AI67*AC66</f>
        <v>20.938000000000017</v>
      </c>
      <c r="AJ81" s="39">
        <f>AJ67*AD66</f>
        <v>22.125000000000025</v>
      </c>
      <c r="AK81" s="39">
        <f>SUM(AG81:AJ81)</f>
        <v>72.344000000000023</v>
      </c>
      <c r="AL81" s="109"/>
      <c r="AM81" s="39">
        <f>AM67*AG66</f>
        <v>23.299000000000007</v>
      </c>
      <c r="AN81" s="39">
        <f>AN67*AH66</f>
        <v>23.040999999999986</v>
      </c>
      <c r="AO81" s="39">
        <f>AO67*AI66</f>
        <v>25.072000000000006</v>
      </c>
      <c r="AP81" s="39">
        <f>AP67*AJ66</f>
        <v>38.589999999999975</v>
      </c>
      <c r="AQ81" s="39">
        <f>AQ67*AK66</f>
        <v>110.00200000000002</v>
      </c>
      <c r="AR81" s="109"/>
      <c r="AS81" s="39">
        <f>AS67*AM66</f>
        <v>65.718999999999994</v>
      </c>
      <c r="AT81" s="39">
        <f>AT67*AN66</f>
        <v>55.507000000000048</v>
      </c>
      <c r="AU81" s="39">
        <f>AU67*AO66</f>
        <v>27.807000000000013</v>
      </c>
      <c r="AV81" s="39">
        <f>AV67*AP66</f>
        <v>16.773000000000014</v>
      </c>
      <c r="AW81" s="39">
        <f>AW67*AQ66</f>
        <v>165.8060000000001</v>
      </c>
      <c r="AX81" s="109"/>
      <c r="AY81" s="39">
        <f>AY67*AS66</f>
        <v>-28.479999999999997</v>
      </c>
      <c r="AZ81" s="39">
        <f>AZ67*AT66</f>
        <v>-17.008000000000045</v>
      </c>
      <c r="BA81" s="39">
        <f>BA67*AU66</f>
        <v>-3.1830000000000429</v>
      </c>
      <c r="BB81" s="39">
        <f>BB67*AV66</f>
        <v>-4.0570737810192288</v>
      </c>
      <c r="BC81" s="39">
        <f>BC67*AW66</f>
        <v>-52.728073781019262</v>
      </c>
      <c r="BD81" s="109"/>
      <c r="BE81" s="39">
        <f>BE67*AY66</f>
        <v>7.4193838366868032</v>
      </c>
      <c r="BF81" s="39">
        <f>BF67*AZ66</f>
        <v>3.4392220280013368</v>
      </c>
      <c r="BG81" s="39">
        <f>BG67*BA66</f>
        <v>4.4100206225749758</v>
      </c>
      <c r="BH81" s="39">
        <f>BH67*BB66</f>
        <v>-5.0049262189807662</v>
      </c>
      <c r="BI81" s="39">
        <f>BI67*BC66</f>
        <v>10.26370026828209</v>
      </c>
      <c r="BJ81" s="109"/>
      <c r="BK81" s="39">
        <f>BK67*BE66</f>
        <v>-6.8201853209366394</v>
      </c>
      <c r="BL81" s="39">
        <f>BL67*BF66</f>
        <v>1.3601308221180215</v>
      </c>
      <c r="BM81" s="39">
        <f>BM67*BG66</f>
        <v>7.7931044718411515</v>
      </c>
      <c r="BN81" s="39">
        <f>BN67*BH66</f>
        <v>14.059944350473666</v>
      </c>
      <c r="BO81" s="39">
        <f>BO67*BI66</f>
        <v>16.392994323496278</v>
      </c>
      <c r="BP81" s="109"/>
      <c r="BQ81" s="39">
        <f>BQ67*BK66</f>
        <v>13.66743750433684</v>
      </c>
      <c r="BR81" s="39">
        <f>BR67*BL66</f>
        <v>-4.773968199802602</v>
      </c>
      <c r="BS81" s="39">
        <f>BS67*BM66</f>
        <v>-6.4672331246164072</v>
      </c>
      <c r="BT81" s="39">
        <f>BT67*BN66</f>
        <v>-2.6348681867926338</v>
      </c>
      <c r="BU81" s="39">
        <f>BU67*BO66</f>
        <v>-0.20863200687471972</v>
      </c>
      <c r="BV81" s="109"/>
      <c r="BW81" s="39">
        <f>BW67*BQ66</f>
        <v>-0.89897831735123257</v>
      </c>
      <c r="BX81" s="39">
        <f>BX67*BR66</f>
        <v>4.3553293225691236</v>
      </c>
      <c r="BY81" s="39">
        <f>BY67*BS66</f>
        <v>7.8169824378195294</v>
      </c>
      <c r="BZ81" s="39">
        <f>BZ67*BT66</f>
        <v>10.237212154572287</v>
      </c>
      <c r="CA81" s="39">
        <f>CA67*BU66</f>
        <v>21.510545597609891</v>
      </c>
      <c r="CB81" s="109"/>
      <c r="CC81" s="39">
        <f>CC67*BW66</f>
        <v>7.8455129563599559</v>
      </c>
      <c r="CD81" s="39">
        <f>CD67*BX66</f>
        <v>10.21668024647296</v>
      </c>
      <c r="CE81" s="39">
        <f>CE67*BY66</f>
        <v>10.698085198239411</v>
      </c>
      <c r="CF81" s="39">
        <f>CF67*BZ66</f>
        <v>12.124591315487194</v>
      </c>
      <c r="CG81" s="39">
        <f>CG67*CA66</f>
        <v>40.884869716559301</v>
      </c>
      <c r="CH81" s="109"/>
      <c r="CI81" s="39">
        <f t="shared" ref="CI81:CM81" si="140">CI67*CC66</f>
        <v>13.005682861448317</v>
      </c>
      <c r="CJ81" s="39">
        <f t="shared" si="140"/>
        <v>14.231792366510874</v>
      </c>
      <c r="CK81" s="39">
        <f t="shared" si="140"/>
        <v>13.409947306734194</v>
      </c>
      <c r="CL81" s="39">
        <f t="shared" si="140"/>
        <v>14.08029893733074</v>
      </c>
      <c r="CM81" s="39">
        <f t="shared" si="140"/>
        <v>54.727721472024214</v>
      </c>
      <c r="CN81" s="109"/>
      <c r="CO81" s="39">
        <f t="shared" ref="CO81:CS81" si="141">CO67*CI66</f>
        <v>13.856822480872893</v>
      </c>
      <c r="CP81" s="39">
        <f t="shared" si="141"/>
        <v>16.329865611788993</v>
      </c>
      <c r="CQ81" s="39">
        <f t="shared" si="141"/>
        <v>14.123851514367615</v>
      </c>
      <c r="CR81" s="39">
        <f t="shared" si="141"/>
        <v>16.167905793351263</v>
      </c>
      <c r="CS81" s="39">
        <f t="shared" si="141"/>
        <v>60.478445400380835</v>
      </c>
      <c r="CT81" s="306"/>
      <c r="CU81" s="43"/>
      <c r="CV81" s="43"/>
      <c r="CW81" s="43"/>
      <c r="CX81" s="43"/>
      <c r="CY81" s="43"/>
      <c r="CZ81" s="43"/>
      <c r="DA81" s="43"/>
    </row>
    <row r="82" spans="1:274" x14ac:dyDescent="0.2">
      <c r="A82" s="334"/>
      <c r="B82" s="706" t="s">
        <v>224</v>
      </c>
      <c r="C82" s="305"/>
      <c r="D82" s="305"/>
      <c r="E82" s="305"/>
      <c r="F82" s="305"/>
      <c r="G82" s="305"/>
      <c r="H82" s="39"/>
      <c r="I82" s="39"/>
      <c r="J82" s="39"/>
      <c r="K82" s="39"/>
      <c r="L82" s="39"/>
      <c r="M82" s="307"/>
      <c r="N82" s="39"/>
      <c r="O82" s="39"/>
      <c r="P82" s="39"/>
      <c r="Q82" s="39"/>
      <c r="R82" s="39"/>
      <c r="S82" s="307"/>
      <c r="T82" s="39"/>
      <c r="U82" s="39"/>
      <c r="V82" s="39"/>
      <c r="W82" s="39"/>
      <c r="X82" s="39"/>
      <c r="Y82" s="307"/>
      <c r="Z82" s="39"/>
      <c r="AA82" s="39">
        <f>AA81-AA88</f>
        <v>6.7359999999999998</v>
      </c>
      <c r="AB82" s="39">
        <f>AB81-AB88</f>
        <v>7.6720000000000059</v>
      </c>
      <c r="AC82" s="39">
        <f>AC81-AC88</f>
        <v>11.544000000000002</v>
      </c>
      <c r="AD82" s="39">
        <f>AD81-AD88</f>
        <v>11.446000000000005</v>
      </c>
      <c r="AE82" s="307">
        <f>AE81-AE88</f>
        <v>37.39800000000001</v>
      </c>
      <c r="AF82" s="39"/>
      <c r="AG82" s="39">
        <f>AG81-AG88</f>
        <v>12.110999999999986</v>
      </c>
      <c r="AH82" s="39">
        <f>AH81-AH88</f>
        <v>17.169999999999995</v>
      </c>
      <c r="AI82" s="39">
        <f>AI81-AI88</f>
        <v>20.938000000000017</v>
      </c>
      <c r="AJ82" s="39">
        <f>AJ81-AJ88</f>
        <v>22.125000000000025</v>
      </c>
      <c r="AK82" s="307">
        <f>AK81-AK88</f>
        <v>72.344000000000023</v>
      </c>
      <c r="AL82" s="39"/>
      <c r="AM82" s="39">
        <f>AM81-AM88</f>
        <v>23.299000000000007</v>
      </c>
      <c r="AN82" s="39">
        <f>AN81-AN88</f>
        <v>23.040999999999986</v>
      </c>
      <c r="AO82" s="39">
        <f>AO81-AO88</f>
        <v>25.072000000000006</v>
      </c>
      <c r="AP82" s="39">
        <f>AP81-AP88</f>
        <v>38.589999999999975</v>
      </c>
      <c r="AQ82" s="307">
        <f>AQ81-AQ88</f>
        <v>110.00200000000002</v>
      </c>
      <c r="AR82" s="39"/>
      <c r="AS82" s="39">
        <f>AS81-AS88</f>
        <v>65.718999999999994</v>
      </c>
      <c r="AT82" s="39">
        <f>AT81-AT88</f>
        <v>55.507000000000048</v>
      </c>
      <c r="AU82" s="39">
        <f>AU81-AU88</f>
        <v>24.680000000000014</v>
      </c>
      <c r="AV82" s="39">
        <f>AV81-AV88</f>
        <v>5.9300000000000139</v>
      </c>
      <c r="AW82" s="307">
        <f>AW81-AW88</f>
        <v>151.8360000000001</v>
      </c>
      <c r="AX82" s="39"/>
      <c r="AY82" s="39">
        <f>AY81-AY88</f>
        <v>-39.058999999999997</v>
      </c>
      <c r="AZ82" s="39">
        <f>AZ81-AZ88</f>
        <v>-27.850000000000044</v>
      </c>
      <c r="BA82" s="39">
        <f>BA81-BA88</f>
        <v>-5.1830000000000425</v>
      </c>
      <c r="BB82" s="39">
        <f>BB81-BB88</f>
        <v>-8.0570737810192288</v>
      </c>
      <c r="BC82" s="307">
        <f>BC81-BC88</f>
        <v>-80.149073781019268</v>
      </c>
      <c r="BD82" s="39"/>
      <c r="BE82" s="39">
        <f>BE81-BE88</f>
        <v>3.5652247761163807</v>
      </c>
      <c r="BF82" s="39">
        <f>BF81-BF88</f>
        <v>0.53922202800133689</v>
      </c>
      <c r="BG82" s="39">
        <f>BG81-BG88</f>
        <v>-1.1150019754796983</v>
      </c>
      <c r="BH82" s="39">
        <f>BH81-BH88</f>
        <v>-9.0049262189807671</v>
      </c>
      <c r="BI82" s="307">
        <f>BI81-BI88</f>
        <v>-6.0154813903430089</v>
      </c>
      <c r="BJ82" s="39"/>
      <c r="BK82" s="39">
        <f>BK81-BK88</f>
        <v>-17.570309291251643</v>
      </c>
      <c r="BL82" s="39">
        <f>BL81-BL88</f>
        <v>-24.270856234884363</v>
      </c>
      <c r="BM82" s="39">
        <f>BM81-BM88</f>
        <v>-20.045118030047171</v>
      </c>
      <c r="BN82" s="39">
        <f>BN81-BN88</f>
        <v>-15.449254536535809</v>
      </c>
      <c r="BO82" s="307">
        <f>BO81-BO88</f>
        <v>-77.335538092718906</v>
      </c>
      <c r="BP82" s="39"/>
      <c r="BQ82" s="39">
        <f>BQ81-BQ88</f>
        <v>-15.13256249566316</v>
      </c>
      <c r="BR82" s="39">
        <f>BR81-BR88</f>
        <v>-36.473968199802599</v>
      </c>
      <c r="BS82" s="39">
        <f>BS81-BS88</f>
        <v>-6.4672331246164072</v>
      </c>
      <c r="BT82" s="39">
        <f>BT81-BT88</f>
        <v>-2.6348681867926338</v>
      </c>
      <c r="BU82" s="307">
        <f>BU81-BU88</f>
        <v>-60.708632006874723</v>
      </c>
      <c r="BV82" s="39"/>
      <c r="BW82" s="39">
        <f>BW81-BW88</f>
        <v>-0.89897831735123257</v>
      </c>
      <c r="BX82" s="39">
        <f>BX81-BX88</f>
        <v>4.3553293225691236</v>
      </c>
      <c r="BY82" s="39">
        <f>BY81-BY88</f>
        <v>7.8169824378195294</v>
      </c>
      <c r="BZ82" s="39">
        <f>BZ81-BZ88</f>
        <v>10.237212154572287</v>
      </c>
      <c r="CA82" s="307">
        <f>CA81-CA88</f>
        <v>21.510545597609891</v>
      </c>
      <c r="CB82" s="39"/>
      <c r="CC82" s="39">
        <f>CC81-CC88</f>
        <v>7.8455129563599559</v>
      </c>
      <c r="CD82" s="39">
        <f>CD81-CD88</f>
        <v>10.21668024647296</v>
      </c>
      <c r="CE82" s="39">
        <f>CE81-CE88</f>
        <v>10.698085198239411</v>
      </c>
      <c r="CF82" s="39">
        <f>CF81-CF88</f>
        <v>12.124591315487194</v>
      </c>
      <c r="CG82" s="307">
        <f>CG81-CG88</f>
        <v>40.884869716559301</v>
      </c>
      <c r="CH82" s="39"/>
      <c r="CI82" s="39">
        <f t="shared" ref="CI82:CM82" si="142">CI81-CI88</f>
        <v>13.005682861448317</v>
      </c>
      <c r="CJ82" s="39">
        <f t="shared" si="142"/>
        <v>14.231792366510874</v>
      </c>
      <c r="CK82" s="39">
        <f t="shared" si="142"/>
        <v>13.409947306734194</v>
      </c>
      <c r="CL82" s="39">
        <f t="shared" si="142"/>
        <v>14.08029893733074</v>
      </c>
      <c r="CM82" s="307">
        <f t="shared" si="142"/>
        <v>54.727721472024214</v>
      </c>
      <c r="CN82" s="39"/>
      <c r="CO82" s="39">
        <f t="shared" ref="CO82:CS82" si="143">CO81-CO88</f>
        <v>13.856822480872893</v>
      </c>
      <c r="CP82" s="39">
        <f t="shared" si="143"/>
        <v>16.329865611788993</v>
      </c>
      <c r="CQ82" s="39">
        <f t="shared" si="143"/>
        <v>14.123851514367615</v>
      </c>
      <c r="CR82" s="39">
        <f t="shared" si="143"/>
        <v>16.167905793351263</v>
      </c>
      <c r="CS82" s="307">
        <f t="shared" si="143"/>
        <v>60.478445400380835</v>
      </c>
      <c r="CT82" s="306"/>
      <c r="CU82" s="43"/>
      <c r="CV82" s="43"/>
      <c r="CW82" s="43"/>
      <c r="CX82" s="43"/>
      <c r="CY82" s="43"/>
      <c r="CZ82" s="43"/>
      <c r="DA82" s="43"/>
    </row>
    <row r="83" spans="1:274" x14ac:dyDescent="0.2">
      <c r="A83" s="334"/>
      <c r="B83" s="701" t="s">
        <v>59</v>
      </c>
      <c r="C83" s="305"/>
      <c r="D83" s="305"/>
      <c r="E83" s="305"/>
      <c r="F83" s="305"/>
      <c r="G83" s="305"/>
      <c r="H83" s="109"/>
      <c r="I83" s="39"/>
      <c r="J83" s="39"/>
      <c r="K83" s="39"/>
      <c r="L83" s="39"/>
      <c r="M83" s="39"/>
      <c r="N83" s="109"/>
      <c r="O83" s="39"/>
      <c r="P83" s="39"/>
      <c r="Q83" s="39"/>
      <c r="R83" s="39"/>
      <c r="S83" s="39"/>
      <c r="T83" s="109"/>
      <c r="U83" s="39"/>
      <c r="V83" s="39"/>
      <c r="W83" s="39"/>
      <c r="X83" s="39"/>
      <c r="Y83" s="39"/>
      <c r="Z83" s="109"/>
      <c r="AA83" s="39">
        <f>+AA82+U82</f>
        <v>6.7359999999999998</v>
      </c>
      <c r="AB83" s="39">
        <f>+AB82+V82</f>
        <v>7.6720000000000059</v>
      </c>
      <c r="AC83" s="39">
        <f>+AC82+W82</f>
        <v>11.544000000000002</v>
      </c>
      <c r="AD83" s="39">
        <f>+AD82+X82</f>
        <v>11.446000000000005</v>
      </c>
      <c r="AE83" s="39">
        <f>+AE82+Y82</f>
        <v>37.39800000000001</v>
      </c>
      <c r="AF83" s="109"/>
      <c r="AG83" s="39">
        <f>+AG82+AA82</f>
        <v>18.846999999999987</v>
      </c>
      <c r="AH83" s="39">
        <f>+AH82+AB82</f>
        <v>24.841999999999999</v>
      </c>
      <c r="AI83" s="39">
        <f>+AI82+AC82</f>
        <v>32.482000000000021</v>
      </c>
      <c r="AJ83" s="39">
        <f>+AJ82+AD82</f>
        <v>33.571000000000026</v>
      </c>
      <c r="AK83" s="39">
        <f>+AK82+AE82</f>
        <v>109.74200000000003</v>
      </c>
      <c r="AL83" s="109"/>
      <c r="AM83" s="39">
        <f>+AM82+AG82</f>
        <v>35.409999999999997</v>
      </c>
      <c r="AN83" s="39">
        <f>+AN82+AH82</f>
        <v>40.210999999999984</v>
      </c>
      <c r="AO83" s="39">
        <f>+AO82+AI82</f>
        <v>46.010000000000019</v>
      </c>
      <c r="AP83" s="39">
        <f>+AP82+AJ82</f>
        <v>60.715000000000003</v>
      </c>
      <c r="AQ83" s="39">
        <f>+AQ82+AK82</f>
        <v>182.34600000000006</v>
      </c>
      <c r="AR83" s="109"/>
      <c r="AS83" s="39">
        <f>+AS82+AM82</f>
        <v>89.018000000000001</v>
      </c>
      <c r="AT83" s="39">
        <f>+AT82+AN82</f>
        <v>78.54800000000003</v>
      </c>
      <c r="AU83" s="39">
        <f>+AU82+AO82</f>
        <v>49.752000000000024</v>
      </c>
      <c r="AV83" s="39">
        <f>+AV82+AP82</f>
        <v>44.519999999999989</v>
      </c>
      <c r="AW83" s="39">
        <f>+AW82+AQ82</f>
        <v>261.83800000000014</v>
      </c>
      <c r="AX83" s="39"/>
      <c r="AY83" s="39">
        <f>+AY82+AS82</f>
        <v>26.659999999999997</v>
      </c>
      <c r="AZ83" s="39">
        <f>+AZ82+AT82</f>
        <v>27.657000000000004</v>
      </c>
      <c r="BA83" s="39">
        <f>+BA82+AU82</f>
        <v>19.496999999999971</v>
      </c>
      <c r="BB83" s="39">
        <f>+BB82+AV82</f>
        <v>-2.1270737810192148</v>
      </c>
      <c r="BC83" s="39">
        <f>+BC82+AW82</f>
        <v>71.68692621898083</v>
      </c>
      <c r="BD83" s="109"/>
      <c r="BE83" s="39">
        <f>+BE82+AY82</f>
        <v>-35.493775223883617</v>
      </c>
      <c r="BF83" s="39">
        <f>+BF82+AZ82</f>
        <v>-27.310777971998707</v>
      </c>
      <c r="BG83" s="39">
        <f>+BG82+BA82</f>
        <v>-6.2980019754797407</v>
      </c>
      <c r="BH83" s="39">
        <f>+BH82+BB82</f>
        <v>-17.061999999999998</v>
      </c>
      <c r="BI83" s="39">
        <f>+BI82+BC82</f>
        <v>-86.164555171362281</v>
      </c>
      <c r="BJ83" s="109"/>
      <c r="BK83" s="39">
        <f>+BK82+BE82</f>
        <v>-14.005084515135263</v>
      </c>
      <c r="BL83" s="39">
        <f>+BL82+BF82</f>
        <v>-23.731634206883026</v>
      </c>
      <c r="BM83" s="39">
        <f>+BM82+BG82</f>
        <v>-21.160120005526871</v>
      </c>
      <c r="BN83" s="39">
        <f>+BN82+BH82</f>
        <v>-24.454180755516575</v>
      </c>
      <c r="BO83" s="39">
        <f>+BO82+BI82</f>
        <v>-83.351019483061918</v>
      </c>
      <c r="BP83" s="109"/>
      <c r="BQ83" s="39">
        <f>+BQ82+BK82</f>
        <v>-32.702871786914805</v>
      </c>
      <c r="BR83" s="39">
        <f>+BR82+BL82</f>
        <v>-60.744824434686961</v>
      </c>
      <c r="BS83" s="39">
        <f>+BS82+BM82</f>
        <v>-26.512351154663577</v>
      </c>
      <c r="BT83" s="39">
        <f>+BT82+BN82</f>
        <v>-18.084122723328441</v>
      </c>
      <c r="BU83" s="39">
        <f>+BU82+BO82</f>
        <v>-138.04417009959363</v>
      </c>
      <c r="BV83" s="109"/>
      <c r="BW83" s="39">
        <f>+BW82+BQ82</f>
        <v>-16.031540813014391</v>
      </c>
      <c r="BX83" s="39">
        <f>+BX82+BR82</f>
        <v>-32.118638877233472</v>
      </c>
      <c r="BY83" s="39">
        <f>+BY82+BS82</f>
        <v>1.3497493132031222</v>
      </c>
      <c r="BZ83" s="39">
        <f>+BZ82+BT82</f>
        <v>7.6023439677796532</v>
      </c>
      <c r="CA83" s="39">
        <f>+CA82+BU82</f>
        <v>-39.198086409264832</v>
      </c>
      <c r="CB83" s="109"/>
      <c r="CC83" s="39">
        <f>+CC82+BW82</f>
        <v>6.946534639008723</v>
      </c>
      <c r="CD83" s="39">
        <f>+CD82+BX82</f>
        <v>14.572009569042084</v>
      </c>
      <c r="CE83" s="39">
        <f>+CE82+BY82</f>
        <v>18.515067636058941</v>
      </c>
      <c r="CF83" s="39">
        <f>+CF82+BZ82</f>
        <v>22.361803470059481</v>
      </c>
      <c r="CG83" s="39">
        <f>+CG82+CA82</f>
        <v>62.395415314169192</v>
      </c>
      <c r="CH83" s="109"/>
      <c r="CI83" s="39">
        <f t="shared" ref="CI83:CM83" si="144">+CI82+CC82</f>
        <v>20.851195817808275</v>
      </c>
      <c r="CJ83" s="39">
        <f t="shared" si="144"/>
        <v>24.448472612983835</v>
      </c>
      <c r="CK83" s="39">
        <f t="shared" si="144"/>
        <v>24.108032504973608</v>
      </c>
      <c r="CL83" s="39">
        <f t="shared" si="144"/>
        <v>26.204890252817933</v>
      </c>
      <c r="CM83" s="39">
        <f t="shared" si="144"/>
        <v>95.612591188583508</v>
      </c>
      <c r="CN83" s="109"/>
      <c r="CO83" s="39">
        <f t="shared" ref="CO83:CS83" si="145">+CO82+CI82</f>
        <v>26.86250534232121</v>
      </c>
      <c r="CP83" s="39">
        <f t="shared" si="145"/>
        <v>30.561657978299866</v>
      </c>
      <c r="CQ83" s="39">
        <f t="shared" si="145"/>
        <v>27.533798821101811</v>
      </c>
      <c r="CR83" s="39">
        <f t="shared" si="145"/>
        <v>30.248204730682005</v>
      </c>
      <c r="CS83" s="39">
        <f t="shared" si="145"/>
        <v>115.20616687240505</v>
      </c>
      <c r="CT83" s="306"/>
      <c r="CU83" s="43"/>
      <c r="CV83" s="43"/>
      <c r="CW83" s="43"/>
      <c r="CX83" s="43"/>
      <c r="CY83" s="43"/>
      <c r="CZ83" s="43"/>
      <c r="DA83" s="43"/>
    </row>
    <row r="84" spans="1:274" s="43" customFormat="1" ht="12.75" hidden="1" customHeight="1" outlineLevel="1" x14ac:dyDescent="0.2">
      <c r="A84" s="300"/>
      <c r="B84" s="303" t="s">
        <v>121</v>
      </c>
      <c r="C84" s="338">
        <f>+C75-(C66+C71)</f>
        <v>0</v>
      </c>
      <c r="D84" s="338">
        <f>+D75-(D66+D71)</f>
        <v>0</v>
      </c>
      <c r="E84" s="338">
        <f>+E75-(E66+E71)</f>
        <v>0</v>
      </c>
      <c r="F84" s="338">
        <f>+F75-(F66+F71)</f>
        <v>0</v>
      </c>
      <c r="G84" s="338">
        <f>+G75-(G66+G71)</f>
        <v>0</v>
      </c>
      <c r="H84" s="110"/>
      <c r="I84" s="338">
        <f>+I75-(I66+I71)</f>
        <v>0</v>
      </c>
      <c r="J84" s="338">
        <f>+J75-(J66+J71)</f>
        <v>0</v>
      </c>
      <c r="K84" s="338">
        <f>+K75-(K66+K71)</f>
        <v>0</v>
      </c>
      <c r="L84" s="338">
        <f>+L75-(L66+L71)</f>
        <v>0</v>
      </c>
      <c r="M84" s="338">
        <f>+M75-(M66+M71)</f>
        <v>0</v>
      </c>
      <c r="N84" s="110"/>
      <c r="O84" s="338">
        <f>+O75-(O66+O71)</f>
        <v>0</v>
      </c>
      <c r="P84" s="338">
        <f>+P75-(P66+P71)</f>
        <v>0</v>
      </c>
      <c r="Q84" s="338">
        <f>+Q75-(Q66+Q71)</f>
        <v>0</v>
      </c>
      <c r="R84" s="338">
        <f>+R75-(R66+R71)</f>
        <v>0</v>
      </c>
      <c r="S84" s="338">
        <f>+S75-(S66+S71)</f>
        <v>0</v>
      </c>
      <c r="T84" s="110"/>
      <c r="U84" s="338">
        <f>+U75-(U66+U71)</f>
        <v>0</v>
      </c>
      <c r="V84" s="338">
        <f>+V75-(V66+V71)</f>
        <v>0</v>
      </c>
      <c r="W84" s="338">
        <f>+W75-(W66+W71)</f>
        <v>0</v>
      </c>
      <c r="X84" s="338">
        <f>+X75-(X66+X71)</f>
        <v>0</v>
      </c>
      <c r="Y84" s="338">
        <f>+Y75-(Y66+Y71)</f>
        <v>0</v>
      </c>
      <c r="Z84" s="110"/>
      <c r="AA84" s="338">
        <f>+AA75-(AA66+AA71)</f>
        <v>0</v>
      </c>
      <c r="AB84" s="338">
        <f>+AB75-(AB66+AB71)</f>
        <v>0</v>
      </c>
      <c r="AC84" s="338">
        <f>+AC75-(AC66+AC71)</f>
        <v>0</v>
      </c>
      <c r="AD84" s="338">
        <f>+AD75-(AD66+AD71)</f>
        <v>0</v>
      </c>
      <c r="AE84" s="338">
        <f>+AE75-(AE66+AE71)</f>
        <v>0</v>
      </c>
      <c r="AF84" s="110"/>
      <c r="AG84" s="338">
        <f>+AG75-(AG66+AG71)</f>
        <v>0</v>
      </c>
      <c r="AH84" s="338">
        <f>+AH75-(AH66+AH71)</f>
        <v>0</v>
      </c>
      <c r="AI84" s="338">
        <f>+AI75-(AI66+AI71)</f>
        <v>0</v>
      </c>
      <c r="AJ84" s="338">
        <f>+AJ75-(AJ66+AJ71)</f>
        <v>0</v>
      </c>
      <c r="AK84" s="338">
        <f>+AK75-(AK66+AK71)</f>
        <v>0</v>
      </c>
      <c r="AL84" s="110"/>
      <c r="AM84" s="338">
        <f>+AM75-(AM66+AM71)</f>
        <v>0</v>
      </c>
      <c r="AN84" s="338">
        <f>+AN75-(AN66+AN71)</f>
        <v>0</v>
      </c>
      <c r="AO84" s="338">
        <f>+AO75-(AO66+AO71)</f>
        <v>0</v>
      </c>
      <c r="AP84" s="338">
        <f>+AP75-(AP66+AP71)</f>
        <v>0</v>
      </c>
      <c r="AQ84" s="338">
        <f>+AQ75-(AQ66+AQ71)</f>
        <v>0</v>
      </c>
      <c r="AR84" s="110"/>
      <c r="AS84" s="338">
        <f>+AS75-(AS66+AS71)</f>
        <v>0</v>
      </c>
      <c r="AT84" s="338">
        <f>+AT75-(AT66+AT71)</f>
        <v>0</v>
      </c>
      <c r="AU84" s="338">
        <f>+AU75-(AU66+AU71)</f>
        <v>0</v>
      </c>
      <c r="AV84" s="338">
        <f>+AV75-(AV66+AV71)</f>
        <v>0</v>
      </c>
      <c r="AW84" s="338">
        <f>+AW75-(AW66+AW71)</f>
        <v>0</v>
      </c>
      <c r="AX84" s="110"/>
      <c r="AY84" s="338">
        <f>+AY75-(AY66+AY71)</f>
        <v>0</v>
      </c>
      <c r="AZ84" s="338">
        <f>+AZ75-(AZ66+AZ71)</f>
        <v>0</v>
      </c>
      <c r="BA84" s="338">
        <f>+BA75-(BA66+BA71)</f>
        <v>0</v>
      </c>
      <c r="BB84" s="338">
        <f>+BB75-(BB66+BB71)</f>
        <v>0</v>
      </c>
      <c r="BC84" s="338">
        <f>+BC75-(BC66+BC71)</f>
        <v>0</v>
      </c>
      <c r="BD84" s="110"/>
      <c r="BE84" s="338">
        <f>+BE75-(BE66+BE71)</f>
        <v>0</v>
      </c>
      <c r="BF84" s="338">
        <f>+BF75-(BF66+BF71)</f>
        <v>0</v>
      </c>
      <c r="BG84" s="338">
        <f>+BG75-(BG66+BG71)</f>
        <v>0</v>
      </c>
      <c r="BH84" s="338">
        <f>+BH75-(BH66+BH71)</f>
        <v>0</v>
      </c>
      <c r="BI84" s="338">
        <f>+BI75-(BI66+BI71)</f>
        <v>0</v>
      </c>
      <c r="BJ84" s="110"/>
      <c r="BK84" s="338">
        <f>+BK75-(BK66+BK71)</f>
        <v>0</v>
      </c>
      <c r="BL84" s="338">
        <f>+BL75-(BL66+BL71)</f>
        <v>0</v>
      </c>
      <c r="BM84" s="338">
        <f>+BM75-(BM66+BM71)</f>
        <v>0</v>
      </c>
      <c r="BN84" s="338">
        <f>+BN75-(BN66+BN71)</f>
        <v>0</v>
      </c>
      <c r="BO84" s="338">
        <f>+BO75-(BO66+BO71)</f>
        <v>0</v>
      </c>
      <c r="BP84" s="110"/>
      <c r="BQ84" s="338">
        <f>+BQ75-(BQ66+BQ71)</f>
        <v>0</v>
      </c>
      <c r="BR84" s="338">
        <f>+BR75-(BR66+BR71)</f>
        <v>0</v>
      </c>
      <c r="BS84" s="338">
        <f>+BS75-(BS66+BS71)</f>
        <v>0</v>
      </c>
      <c r="BT84" s="338">
        <f>+BT75-(BT66+BT71)</f>
        <v>0</v>
      </c>
      <c r="BU84" s="338">
        <f>+BU75-(BU66+BU71)</f>
        <v>0</v>
      </c>
      <c r="BV84" s="110"/>
      <c r="BW84" s="338">
        <f>+BW75-(BW66+BW71)</f>
        <v>0</v>
      </c>
      <c r="BX84" s="338">
        <f>+BX75-(BX66+BX71)</f>
        <v>0</v>
      </c>
      <c r="BY84" s="338">
        <f>+BY75-(BY66+BY71)</f>
        <v>0</v>
      </c>
      <c r="BZ84" s="338">
        <f>+BZ75-(BZ66+BZ71)</f>
        <v>0</v>
      </c>
      <c r="CA84" s="338">
        <f>+CA75-(CA66+CA71)</f>
        <v>0</v>
      </c>
      <c r="CB84" s="110"/>
      <c r="CC84" s="338">
        <f>+CC75-(CC66+CC71)</f>
        <v>0</v>
      </c>
      <c r="CD84" s="338">
        <f>+CD75-(CD66+CD71)</f>
        <v>0</v>
      </c>
      <c r="CE84" s="338">
        <f>+CE75-(CE66+CE71)</f>
        <v>0</v>
      </c>
      <c r="CF84" s="338">
        <f>+CF75-(CF66+CF71)</f>
        <v>0</v>
      </c>
      <c r="CG84" s="338">
        <f>+CG75-(CG66+CG71)</f>
        <v>0</v>
      </c>
      <c r="CH84" s="110"/>
      <c r="CI84" s="338">
        <f t="shared" ref="CI84:CM84" si="146">+CI75-(CI66+CI71)</f>
        <v>0</v>
      </c>
      <c r="CJ84" s="338">
        <f t="shared" si="146"/>
        <v>0</v>
      </c>
      <c r="CK84" s="338">
        <f t="shared" si="146"/>
        <v>0</v>
      </c>
      <c r="CL84" s="338">
        <f t="shared" si="146"/>
        <v>0</v>
      </c>
      <c r="CM84" s="338">
        <f t="shared" si="146"/>
        <v>0</v>
      </c>
      <c r="CN84" s="110"/>
      <c r="CO84" s="338">
        <f t="shared" ref="CO84:CS84" si="147">+CO75-(CO66+CO71)</f>
        <v>0</v>
      </c>
      <c r="CP84" s="338">
        <f t="shared" si="147"/>
        <v>0</v>
      </c>
      <c r="CQ84" s="338">
        <f t="shared" si="147"/>
        <v>0</v>
      </c>
      <c r="CR84" s="338">
        <f t="shared" si="147"/>
        <v>0</v>
      </c>
      <c r="CS84" s="338">
        <f t="shared" si="147"/>
        <v>0</v>
      </c>
      <c r="CT84" s="338"/>
      <c r="CU84"/>
      <c r="CV84"/>
      <c r="CW84"/>
    </row>
    <row r="85" spans="1:274" ht="12.75" hidden="1" customHeight="1" outlineLevel="1" x14ac:dyDescent="0.2">
      <c r="A85" s="237"/>
      <c r="B85" s="706" t="s">
        <v>292</v>
      </c>
      <c r="C85" s="444"/>
      <c r="D85" s="444"/>
      <c r="E85" s="444"/>
      <c r="F85" s="444"/>
      <c r="G85" s="444"/>
      <c r="H85" s="444"/>
      <c r="I85" s="444"/>
      <c r="J85" s="444"/>
      <c r="K85" s="444"/>
      <c r="L85" s="444"/>
      <c r="M85" s="444"/>
      <c r="N85" s="444"/>
      <c r="O85" s="444"/>
      <c r="P85" s="444"/>
      <c r="Q85" s="444"/>
      <c r="R85" s="444"/>
      <c r="S85" s="444"/>
      <c r="T85" s="444"/>
      <c r="U85" s="444"/>
      <c r="V85" s="444"/>
      <c r="W85" s="444"/>
      <c r="X85" s="444"/>
      <c r="Y85" s="444"/>
      <c r="Z85" s="444"/>
      <c r="AA85" s="444"/>
      <c r="AB85" s="444"/>
      <c r="AC85" s="444"/>
      <c r="AD85" s="444"/>
      <c r="AE85" s="444"/>
      <c r="AF85" s="444"/>
      <c r="AG85" s="444"/>
      <c r="AH85" s="444"/>
      <c r="AI85" s="444"/>
      <c r="AJ85" s="451"/>
      <c r="AK85" s="444"/>
      <c r="AL85" s="444"/>
      <c r="AM85" s="444"/>
      <c r="AN85" s="444"/>
      <c r="AO85" s="444"/>
      <c r="AP85" s="451"/>
      <c r="AQ85" s="444"/>
      <c r="AR85" s="444"/>
      <c r="AS85" s="444"/>
      <c r="AT85" s="444"/>
      <c r="AU85" s="48">
        <v>3.1269999999999998</v>
      </c>
      <c r="AV85" s="48">
        <f>13.97-AU85-AT85-AS85</f>
        <v>10.843</v>
      </c>
      <c r="AW85" s="454">
        <f>+AV85+AU85+AT85+AS85</f>
        <v>13.969999999999999</v>
      </c>
      <c r="AX85" s="444"/>
      <c r="AY85" s="48">
        <f>AY38</f>
        <v>10.579000000000001</v>
      </c>
      <c r="AZ85" s="48">
        <f>AZ38</f>
        <v>10.842000000000001</v>
      </c>
      <c r="BA85" s="48">
        <v>0</v>
      </c>
      <c r="BB85" s="48">
        <v>0</v>
      </c>
      <c r="BC85" s="454">
        <f>+BB85+BA85+AZ85+AY85</f>
        <v>21.420999999999999</v>
      </c>
      <c r="BD85" s="444"/>
      <c r="BE85" s="48"/>
      <c r="BF85" s="48"/>
      <c r="BG85" s="48"/>
      <c r="BH85" s="48"/>
      <c r="BI85" s="454"/>
      <c r="BJ85" s="444"/>
      <c r="BK85" s="48"/>
      <c r="BL85" s="48"/>
      <c r="BM85" s="48"/>
      <c r="BN85" s="48"/>
      <c r="BO85" s="454">
        <f>+BN85+BM85+BL85+BK85</f>
        <v>0</v>
      </c>
      <c r="BP85" s="444"/>
      <c r="BQ85" s="48"/>
      <c r="BR85" s="48"/>
      <c r="BS85" s="48"/>
      <c r="BT85" s="48"/>
      <c r="BU85" s="454">
        <f>+BT85+BS85+BR85+BQ85</f>
        <v>0</v>
      </c>
      <c r="BV85" s="444"/>
      <c r="BW85" s="48"/>
      <c r="BX85" s="48"/>
      <c r="BY85" s="48"/>
      <c r="BZ85" s="48"/>
      <c r="CA85" s="454">
        <f>+BZ85+BY85+BX85+BW85</f>
        <v>0</v>
      </c>
      <c r="CB85" s="836"/>
      <c r="CC85" s="48"/>
      <c r="CD85" s="48"/>
      <c r="CE85" s="48"/>
      <c r="CF85" s="48"/>
      <c r="CG85" s="454">
        <f>+CF85+CE85+CD85+CC85</f>
        <v>0</v>
      </c>
      <c r="CH85" s="836"/>
      <c r="CI85" s="48"/>
      <c r="CJ85" s="48"/>
      <c r="CK85" s="48"/>
      <c r="CL85" s="48"/>
      <c r="CM85" s="454">
        <f t="shared" ref="CM85:CM86" si="148">+CL85+CK85+CJ85+CI85</f>
        <v>0</v>
      </c>
      <c r="CN85" s="836"/>
      <c r="CO85" s="48"/>
      <c r="CP85" s="48"/>
      <c r="CQ85" s="48"/>
      <c r="CR85" s="48"/>
      <c r="CS85" s="454">
        <f t="shared" ref="CS85:CS86" si="149">+CR85+CQ85+CP85+CO85</f>
        <v>0</v>
      </c>
      <c r="CT85" s="444"/>
      <c r="CU85" s="43"/>
      <c r="CV85" s="43"/>
      <c r="CW85" s="43"/>
      <c r="CX85" s="43"/>
      <c r="CY85" s="43"/>
      <c r="CZ85" s="43"/>
      <c r="DA85" s="43"/>
      <c r="DB85" s="43"/>
      <c r="DC85" s="43"/>
      <c r="DD85" s="43"/>
      <c r="DE85" s="43"/>
      <c r="DF85" s="43"/>
      <c r="DG85" s="43"/>
      <c r="DH85" s="43"/>
      <c r="DI85" s="43"/>
      <c r="DJ85" s="43"/>
      <c r="DK85" s="43"/>
      <c r="DL85" s="43"/>
      <c r="DM85" s="43"/>
      <c r="DN85" s="43"/>
      <c r="DO85" s="43"/>
      <c r="DP85" s="43"/>
      <c r="DQ85" s="43"/>
      <c r="DR85" s="43"/>
      <c r="DS85" s="43"/>
      <c r="DT85" s="43"/>
      <c r="DU85" s="43"/>
      <c r="DV85" s="43"/>
      <c r="DW85" s="43"/>
      <c r="DX85" s="43"/>
      <c r="DY85" s="43"/>
      <c r="DZ85" s="43"/>
      <c r="EA85" s="43"/>
      <c r="EB85" s="43"/>
      <c r="EC85" s="43"/>
      <c r="ED85" s="43"/>
      <c r="EE85" s="43"/>
      <c r="EF85" s="43"/>
      <c r="EG85" s="43"/>
      <c r="EH85" s="43"/>
      <c r="EI85" s="43"/>
      <c r="EJ85" s="43"/>
      <c r="EK85" s="43"/>
      <c r="EL85" s="43"/>
      <c r="EM85" s="43"/>
      <c r="EN85" s="43"/>
      <c r="EO85" s="43"/>
      <c r="EP85" s="43"/>
      <c r="EQ85" s="43"/>
      <c r="ER85" s="43"/>
      <c r="ES85" s="43"/>
      <c r="ET85" s="43"/>
      <c r="EU85" s="43"/>
      <c r="EV85" s="43"/>
      <c r="EW85" s="43"/>
      <c r="EX85" s="43"/>
      <c r="EY85" s="43"/>
      <c r="EZ85" s="43"/>
      <c r="FA85" s="43"/>
      <c r="FB85" s="43"/>
      <c r="FC85" s="43"/>
      <c r="FD85" s="43"/>
      <c r="FE85" s="43"/>
      <c r="FF85" s="43"/>
      <c r="FG85" s="43"/>
      <c r="FH85" s="43"/>
      <c r="FI85" s="43"/>
      <c r="FJ85" s="43"/>
      <c r="FK85" s="43"/>
      <c r="FL85" s="43"/>
      <c r="FM85" s="43"/>
      <c r="FN85" s="43"/>
      <c r="FO85" s="43"/>
      <c r="FP85" s="43"/>
      <c r="FQ85" s="43"/>
      <c r="FR85" s="43"/>
      <c r="FS85" s="43"/>
      <c r="FT85" s="43"/>
      <c r="FU85" s="43"/>
      <c r="FV85" s="43"/>
      <c r="FW85" s="43"/>
      <c r="FX85" s="43"/>
      <c r="FY85" s="43"/>
      <c r="FZ85" s="43"/>
      <c r="GA85" s="43"/>
      <c r="GB85" s="43"/>
      <c r="GC85" s="43"/>
      <c r="GD85" s="43"/>
      <c r="GE85" s="43"/>
      <c r="GF85" s="43"/>
      <c r="GG85" s="43"/>
      <c r="GH85" s="43"/>
      <c r="GI85" s="43"/>
      <c r="GJ85" s="43"/>
      <c r="GK85" s="43"/>
      <c r="GL85" s="43"/>
      <c r="GM85" s="43"/>
      <c r="GN85" s="43"/>
      <c r="GO85" s="43"/>
      <c r="GP85" s="43"/>
      <c r="GQ85" s="43"/>
      <c r="GR85" s="43"/>
      <c r="GS85" s="43"/>
      <c r="GT85" s="43"/>
      <c r="GU85" s="43"/>
      <c r="GV85" s="43"/>
      <c r="GW85" s="43"/>
      <c r="GX85" s="43"/>
      <c r="GY85" s="43"/>
      <c r="GZ85" s="43"/>
      <c r="HA85" s="43"/>
      <c r="HB85" s="43"/>
      <c r="HC85" s="43"/>
      <c r="HD85" s="43"/>
      <c r="HE85" s="43"/>
      <c r="HF85" s="43"/>
      <c r="HG85" s="43"/>
      <c r="HH85" s="43"/>
      <c r="HI85" s="43"/>
      <c r="HJ85" s="43"/>
      <c r="HK85" s="43"/>
      <c r="HL85" s="43"/>
      <c r="HM85" s="43"/>
      <c r="HN85" s="43"/>
      <c r="HO85" s="43"/>
      <c r="HP85" s="43"/>
      <c r="HQ85" s="43"/>
      <c r="HR85" s="43"/>
      <c r="HS85" s="43"/>
      <c r="HT85" s="43"/>
      <c r="HU85" s="43"/>
      <c r="HV85" s="43"/>
      <c r="HW85" s="43"/>
      <c r="HX85" s="43"/>
      <c r="HY85" s="43"/>
      <c r="HZ85" s="43"/>
      <c r="IA85" s="43"/>
      <c r="IB85" s="43"/>
      <c r="IC85" s="43"/>
      <c r="ID85" s="43"/>
      <c r="IE85" s="43"/>
      <c r="IF85" s="43"/>
      <c r="IG85" s="43"/>
      <c r="IH85" s="43"/>
      <c r="II85" s="43"/>
      <c r="IJ85" s="43"/>
      <c r="IK85" s="43"/>
      <c r="IL85" s="43"/>
      <c r="IM85" s="43"/>
      <c r="IN85" s="43"/>
      <c r="IO85" s="43"/>
      <c r="IP85" s="43"/>
      <c r="IQ85" s="43"/>
      <c r="IR85" s="43"/>
      <c r="IS85" s="43"/>
      <c r="IT85" s="43"/>
      <c r="IU85" s="43"/>
      <c r="IV85" s="43"/>
      <c r="IW85" s="43"/>
      <c r="IX85" s="43"/>
      <c r="IY85" s="43"/>
      <c r="IZ85" s="43"/>
      <c r="JA85" s="43"/>
      <c r="JB85" s="43"/>
      <c r="JC85" s="43"/>
      <c r="JD85" s="43"/>
      <c r="JE85" s="43"/>
      <c r="JF85" s="43"/>
      <c r="JG85" s="43"/>
      <c r="JH85" s="43"/>
      <c r="JI85" s="43"/>
      <c r="JJ85" s="43"/>
      <c r="JK85" s="43"/>
      <c r="JL85" s="43"/>
      <c r="JM85" s="43"/>
      <c r="JN85" s="43"/>
    </row>
    <row r="86" spans="1:274" ht="12.75" hidden="1" customHeight="1" outlineLevel="1" x14ac:dyDescent="0.2">
      <c r="A86" s="237"/>
      <c r="B86" s="706" t="s">
        <v>347</v>
      </c>
      <c r="C86" s="444"/>
      <c r="D86" s="444"/>
      <c r="E86" s="444"/>
      <c r="F86" s="444"/>
      <c r="G86" s="444"/>
      <c r="H86" s="452"/>
      <c r="I86" s="444"/>
      <c r="J86" s="444"/>
      <c r="K86" s="444"/>
      <c r="L86" s="444"/>
      <c r="M86" s="444"/>
      <c r="N86" s="452"/>
      <c r="O86" s="444"/>
      <c r="P86" s="444"/>
      <c r="Q86" s="444"/>
      <c r="R86" s="444"/>
      <c r="S86" s="444"/>
      <c r="T86" s="452"/>
      <c r="U86" s="444"/>
      <c r="V86" s="444"/>
      <c r="W86" s="444"/>
      <c r="X86" s="444"/>
      <c r="Y86" s="444"/>
      <c r="Z86" s="452"/>
      <c r="AA86" s="444"/>
      <c r="AB86" s="444"/>
      <c r="AC86" s="444"/>
      <c r="AD86" s="444"/>
      <c r="AE86" s="444"/>
      <c r="AF86" s="452"/>
      <c r="AG86" s="444"/>
      <c r="AH86" s="453"/>
      <c r="AI86" s="444"/>
      <c r="AJ86" s="444"/>
      <c r="AK86" s="444"/>
      <c r="AL86" s="452"/>
      <c r="AM86" s="444"/>
      <c r="AN86" s="444"/>
      <c r="AO86" s="454"/>
      <c r="AP86" s="444"/>
      <c r="AQ86" s="444"/>
      <c r="AR86" s="444"/>
      <c r="AS86" s="444"/>
      <c r="AT86" s="444"/>
      <c r="AU86" s="444"/>
      <c r="AV86" s="444"/>
      <c r="AW86" s="454">
        <f>+AV86+AU86+AT86+AS86</f>
        <v>0</v>
      </c>
      <c r="AX86" s="444"/>
      <c r="AY86" s="444"/>
      <c r="AZ86" s="444"/>
      <c r="BA86" s="702">
        <v>2</v>
      </c>
      <c r="BB86" s="702">
        <v>4</v>
      </c>
      <c r="BC86" s="454">
        <f>+BB86+BA86+AZ86+AY86</f>
        <v>6</v>
      </c>
      <c r="BD86" s="444"/>
      <c r="BE86" s="702">
        <v>3.8541590605704226</v>
      </c>
      <c r="BF86" s="702">
        <v>2.9</v>
      </c>
      <c r="BG86" s="702">
        <v>5.5250225980546741</v>
      </c>
      <c r="BH86" s="702">
        <v>4</v>
      </c>
      <c r="BI86" s="454">
        <f>+BH86+BG86+BF86+BE86</f>
        <v>16.279181658625099</v>
      </c>
      <c r="BJ86" s="444"/>
      <c r="BK86" s="702">
        <v>3.5501239703150032</v>
      </c>
      <c r="BL86" s="702">
        <v>3.9309870570023873</v>
      </c>
      <c r="BM86" s="702">
        <v>3.9382225018883226</v>
      </c>
      <c r="BN86" s="702">
        <v>4.0091988870094744</v>
      </c>
      <c r="BO86" s="454">
        <f>+BN86+BM86+BL86+BK86</f>
        <v>15.428532416215187</v>
      </c>
      <c r="BP86" s="444"/>
      <c r="BQ86" s="702">
        <v>0</v>
      </c>
      <c r="BR86" s="702">
        <v>0</v>
      </c>
      <c r="BS86" s="444"/>
      <c r="BT86" s="444"/>
      <c r="BU86" s="454">
        <f>+BT86+BS86+BR86+BQ86</f>
        <v>0</v>
      </c>
      <c r="BV86" s="444"/>
      <c r="BW86" s="444"/>
      <c r="BX86" s="444"/>
      <c r="BY86" s="444"/>
      <c r="BZ86" s="444"/>
      <c r="CA86" s="454">
        <f>+BZ86+BY86+BX86+BW86</f>
        <v>0</v>
      </c>
      <c r="CB86" s="836"/>
      <c r="CC86" s="836"/>
      <c r="CD86" s="836"/>
      <c r="CE86" s="836"/>
      <c r="CF86" s="836"/>
      <c r="CG86" s="454">
        <f>+CF86+CE86+CD86+CC86</f>
        <v>0</v>
      </c>
      <c r="CH86" s="836"/>
      <c r="CI86" s="836"/>
      <c r="CJ86" s="836"/>
      <c r="CK86" s="836"/>
      <c r="CL86" s="836"/>
      <c r="CM86" s="454">
        <f t="shared" si="148"/>
        <v>0</v>
      </c>
      <c r="CN86" s="836"/>
      <c r="CO86" s="836"/>
      <c r="CP86" s="836"/>
      <c r="CQ86" s="836"/>
      <c r="CR86" s="836"/>
      <c r="CS86" s="454">
        <f t="shared" si="149"/>
        <v>0</v>
      </c>
      <c r="CT86" s="444"/>
      <c r="CU86" s="43"/>
      <c r="CV86" s="43"/>
      <c r="CW86" s="43"/>
      <c r="CX86" s="43"/>
      <c r="CY86" s="43"/>
      <c r="CZ86" s="43"/>
      <c r="DA86" s="43"/>
      <c r="DB86" s="43"/>
      <c r="DC86" s="43"/>
      <c r="DD86" s="43"/>
      <c r="DE86" s="43"/>
      <c r="DF86" s="43"/>
      <c r="DG86" s="43"/>
      <c r="DH86" s="43"/>
      <c r="DI86" s="43"/>
      <c r="DJ86" s="43"/>
      <c r="DK86" s="43"/>
      <c r="DL86" s="43"/>
      <c r="DM86" s="43"/>
      <c r="DN86" s="43"/>
      <c r="DO86" s="43"/>
      <c r="DP86" s="43"/>
      <c r="DQ86" s="43"/>
      <c r="DR86" s="43"/>
      <c r="DS86" s="43"/>
      <c r="DT86" s="43"/>
      <c r="DU86" s="43"/>
      <c r="DV86" s="43"/>
      <c r="DW86" s="43"/>
      <c r="DX86" s="43"/>
      <c r="DY86" s="43"/>
      <c r="DZ86" s="43"/>
      <c r="EA86" s="43"/>
      <c r="EB86" s="43"/>
      <c r="EC86" s="43"/>
      <c r="ED86" s="43"/>
      <c r="EE86" s="43"/>
      <c r="EF86" s="43"/>
      <c r="EG86" s="43"/>
      <c r="EH86" s="43"/>
      <c r="EI86" s="43"/>
      <c r="EJ86" s="43"/>
      <c r="EK86" s="43"/>
      <c r="EL86" s="43"/>
      <c r="EM86" s="43"/>
      <c r="EN86" s="43"/>
      <c r="EO86" s="43"/>
      <c r="EP86" s="43"/>
      <c r="EQ86" s="43"/>
      <c r="ER86" s="43"/>
      <c r="ES86" s="43"/>
      <c r="ET86" s="43"/>
      <c r="EU86" s="43"/>
      <c r="EV86" s="43"/>
      <c r="EW86" s="43"/>
      <c r="EX86" s="43"/>
      <c r="EY86" s="43"/>
      <c r="EZ86" s="43"/>
      <c r="FA86" s="43"/>
      <c r="FB86" s="43"/>
      <c r="FC86" s="43"/>
      <c r="FD86" s="43"/>
      <c r="FE86" s="43"/>
      <c r="FF86" s="43"/>
      <c r="FG86" s="43"/>
      <c r="FH86" s="43"/>
      <c r="FI86" s="43"/>
      <c r="FJ86" s="43"/>
      <c r="FK86" s="43"/>
      <c r="FL86" s="43"/>
      <c r="FM86" s="43"/>
      <c r="FN86" s="43"/>
      <c r="FO86" s="43"/>
      <c r="FP86" s="43"/>
      <c r="FQ86" s="43"/>
      <c r="FR86" s="43"/>
      <c r="FS86" s="43"/>
      <c r="FT86" s="43"/>
      <c r="FU86" s="43"/>
      <c r="FV86" s="43"/>
      <c r="FW86" s="43"/>
      <c r="FX86" s="43"/>
      <c r="FY86" s="43"/>
      <c r="FZ86" s="43"/>
      <c r="GA86" s="43"/>
      <c r="GB86" s="43"/>
      <c r="GC86" s="43"/>
      <c r="GD86" s="43"/>
      <c r="GE86" s="43"/>
      <c r="GF86" s="43"/>
      <c r="GG86" s="43"/>
      <c r="GH86" s="43"/>
      <c r="GI86" s="43"/>
      <c r="GJ86" s="43"/>
      <c r="GK86" s="43"/>
      <c r="GL86" s="43"/>
      <c r="GM86" s="43"/>
      <c r="GN86" s="43"/>
      <c r="GO86" s="43"/>
      <c r="GP86" s="43"/>
      <c r="GQ86" s="43"/>
      <c r="GR86" s="43"/>
      <c r="GS86" s="43"/>
      <c r="GT86" s="43"/>
      <c r="GU86" s="43"/>
      <c r="GV86" s="43"/>
      <c r="GW86" s="43"/>
      <c r="GX86" s="43"/>
      <c r="GY86" s="43"/>
      <c r="GZ86" s="43"/>
      <c r="HA86" s="43"/>
      <c r="HB86" s="43"/>
      <c r="HC86" s="43"/>
      <c r="HD86" s="43"/>
      <c r="HE86" s="43"/>
      <c r="HF86" s="43"/>
      <c r="HG86" s="43"/>
      <c r="HH86" s="43"/>
      <c r="HI86" s="43"/>
      <c r="HJ86" s="43"/>
      <c r="HK86" s="43"/>
      <c r="HL86" s="43"/>
      <c r="HM86" s="43"/>
      <c r="HN86" s="43"/>
      <c r="HO86" s="43"/>
      <c r="HP86" s="43"/>
      <c r="HQ86" s="43"/>
      <c r="HR86" s="43"/>
      <c r="HS86" s="43"/>
      <c r="HT86" s="43"/>
      <c r="HU86" s="43"/>
      <c r="HV86" s="43"/>
      <c r="HW86" s="43"/>
      <c r="HX86" s="43"/>
      <c r="HY86" s="43"/>
      <c r="HZ86" s="43"/>
      <c r="IA86" s="43"/>
      <c r="IB86" s="43"/>
      <c r="IC86" s="43"/>
      <c r="ID86" s="43"/>
      <c r="IE86" s="43"/>
      <c r="IF86" s="43"/>
      <c r="IG86" s="43"/>
      <c r="IH86" s="43"/>
      <c r="II86" s="43"/>
      <c r="IJ86" s="43"/>
      <c r="IK86" s="43"/>
      <c r="IL86" s="43"/>
      <c r="IM86" s="43"/>
      <c r="IN86" s="43"/>
      <c r="IO86" s="43"/>
      <c r="IP86" s="43"/>
      <c r="IQ86" s="43"/>
      <c r="IR86" s="43"/>
      <c r="IS86" s="43"/>
      <c r="IT86" s="43"/>
      <c r="IU86" s="43"/>
      <c r="IV86" s="43"/>
      <c r="IW86" s="43"/>
      <c r="IX86" s="43"/>
      <c r="IY86" s="43"/>
      <c r="IZ86" s="43"/>
      <c r="JA86" s="43"/>
      <c r="JB86" s="43"/>
      <c r="JC86" s="43"/>
      <c r="JD86" s="43"/>
      <c r="JE86" s="43"/>
      <c r="JF86" s="43"/>
      <c r="JG86" s="43"/>
      <c r="JH86" s="43"/>
      <c r="JI86" s="43"/>
      <c r="JJ86" s="43"/>
      <c r="JK86" s="43"/>
      <c r="JL86" s="43"/>
      <c r="JM86" s="43"/>
      <c r="JN86" s="43"/>
    </row>
    <row r="87" spans="1:274" ht="12.75" hidden="1" customHeight="1" outlineLevel="1" x14ac:dyDescent="0.2">
      <c r="A87" s="237"/>
      <c r="B87" s="706" t="s">
        <v>357</v>
      </c>
      <c r="C87" s="444"/>
      <c r="D87" s="444"/>
      <c r="E87" s="444"/>
      <c r="F87" s="444"/>
      <c r="G87" s="444"/>
      <c r="H87" s="452"/>
      <c r="I87" s="444"/>
      <c r="J87" s="444"/>
      <c r="K87" s="444"/>
      <c r="L87" s="444"/>
      <c r="M87" s="444"/>
      <c r="N87" s="452"/>
      <c r="O87" s="444"/>
      <c r="P87" s="444"/>
      <c r="Q87" s="444"/>
      <c r="R87" s="444"/>
      <c r="S87" s="444"/>
      <c r="T87" s="452"/>
      <c r="U87" s="444"/>
      <c r="V87" s="444"/>
      <c r="W87" s="444"/>
      <c r="X87" s="444"/>
      <c r="Y87" s="444"/>
      <c r="Z87" s="452"/>
      <c r="AA87" s="444"/>
      <c r="AB87" s="444"/>
      <c r="AC87" s="444"/>
      <c r="AD87" s="444"/>
      <c r="AE87" s="444"/>
      <c r="AF87" s="452"/>
      <c r="AG87" s="444"/>
      <c r="AH87" s="453"/>
      <c r="AI87" s="444"/>
      <c r="AJ87" s="444"/>
      <c r="AK87" s="444"/>
      <c r="AL87" s="452"/>
      <c r="AM87" s="444"/>
      <c r="AN87" s="444"/>
      <c r="AO87" s="454"/>
      <c r="AP87" s="444"/>
      <c r="AQ87" s="444"/>
      <c r="AR87" s="444"/>
      <c r="AS87" s="444"/>
      <c r="AT87" s="444"/>
      <c r="AU87" s="444"/>
      <c r="AV87" s="444"/>
      <c r="AW87" s="454"/>
      <c r="AX87" s="444"/>
      <c r="AY87" s="444"/>
      <c r="AZ87" s="444"/>
      <c r="BA87" s="702"/>
      <c r="BB87" s="702"/>
      <c r="BC87" s="454"/>
      <c r="BD87" s="444"/>
      <c r="BE87" s="702"/>
      <c r="BF87" s="702"/>
      <c r="BG87" s="702"/>
      <c r="BH87" s="444"/>
      <c r="BI87" s="454"/>
      <c r="BJ87" s="444"/>
      <c r="BK87" s="702">
        <f>+BK62</f>
        <v>7.2</v>
      </c>
      <c r="BL87" s="702">
        <f>+BL62</f>
        <v>21.7</v>
      </c>
      <c r="BM87" s="702">
        <f>+BM62</f>
        <v>23.9</v>
      </c>
      <c r="BN87" s="702">
        <f>+BN62</f>
        <v>25.5</v>
      </c>
      <c r="BO87" s="454">
        <f>+BN87+BM87+BL87+BK87</f>
        <v>78.3</v>
      </c>
      <c r="BP87" s="444"/>
      <c r="BQ87" s="702">
        <f>+BQ62</f>
        <v>28.8</v>
      </c>
      <c r="BR87" s="702">
        <f>+BR62</f>
        <v>31.7</v>
      </c>
      <c r="BS87" s="444"/>
      <c r="BT87" s="444"/>
      <c r="BU87" s="454">
        <f>+BT87+BS87+BR87+BQ87</f>
        <v>60.5</v>
      </c>
      <c r="BV87" s="444"/>
      <c r="BW87" s="444"/>
      <c r="BX87" s="444"/>
      <c r="BY87" s="444"/>
      <c r="BZ87" s="444"/>
      <c r="CA87" s="454"/>
      <c r="CB87" s="836"/>
      <c r="CC87" s="836"/>
      <c r="CD87" s="836"/>
      <c r="CE87" s="836"/>
      <c r="CF87" s="836"/>
      <c r="CG87" s="454"/>
      <c r="CH87" s="836"/>
      <c r="CI87" s="836"/>
      <c r="CJ87" s="836"/>
      <c r="CK87" s="836"/>
      <c r="CL87" s="836"/>
      <c r="CM87" s="454"/>
      <c r="CN87" s="836"/>
      <c r="CO87" s="836"/>
      <c r="CP87" s="836"/>
      <c r="CQ87" s="836"/>
      <c r="CR87" s="836"/>
      <c r="CS87" s="454"/>
      <c r="CT87" s="444"/>
      <c r="CU87" s="43"/>
      <c r="CV87" s="43"/>
      <c r="CW87" s="43"/>
      <c r="CX87" s="43"/>
      <c r="CY87" s="43"/>
      <c r="CZ87" s="43"/>
      <c r="DA87" s="43"/>
      <c r="DB87" s="43"/>
      <c r="DC87" s="43"/>
      <c r="DD87" s="43"/>
      <c r="DE87" s="43"/>
      <c r="DF87" s="43"/>
      <c r="DG87" s="43"/>
      <c r="DH87" s="43"/>
      <c r="DI87" s="43"/>
      <c r="DJ87" s="43"/>
      <c r="DK87" s="43"/>
      <c r="DL87" s="43"/>
      <c r="DM87" s="43"/>
      <c r="DN87" s="43"/>
      <c r="DO87" s="43"/>
      <c r="DP87" s="43"/>
      <c r="DQ87" s="43"/>
      <c r="DR87" s="43"/>
      <c r="DS87" s="43"/>
      <c r="DT87" s="43"/>
      <c r="DU87" s="43"/>
      <c r="DV87" s="43"/>
      <c r="DW87" s="43"/>
      <c r="DX87" s="43"/>
      <c r="DY87" s="43"/>
      <c r="DZ87" s="43"/>
      <c r="EA87" s="43"/>
      <c r="EB87" s="43"/>
      <c r="EC87" s="43"/>
      <c r="ED87" s="43"/>
      <c r="EE87" s="43"/>
      <c r="EF87" s="43"/>
      <c r="EG87" s="43"/>
      <c r="EH87" s="43"/>
      <c r="EI87" s="43"/>
      <c r="EJ87" s="43"/>
      <c r="EK87" s="43"/>
      <c r="EL87" s="43"/>
      <c r="EM87" s="43"/>
      <c r="EN87" s="43"/>
      <c r="EO87" s="43"/>
      <c r="EP87" s="43"/>
      <c r="EQ87" s="43"/>
      <c r="ER87" s="43"/>
      <c r="ES87" s="43"/>
      <c r="ET87" s="43"/>
      <c r="EU87" s="43"/>
      <c r="EV87" s="43"/>
      <c r="EW87" s="43"/>
      <c r="EX87" s="43"/>
      <c r="EY87" s="43"/>
      <c r="EZ87" s="43"/>
      <c r="FA87" s="43"/>
      <c r="FB87" s="43"/>
      <c r="FC87" s="43"/>
      <c r="FD87" s="43"/>
      <c r="FE87" s="43"/>
      <c r="FF87" s="43"/>
      <c r="FG87" s="43"/>
      <c r="FH87" s="43"/>
      <c r="FI87" s="43"/>
      <c r="FJ87" s="43"/>
      <c r="FK87" s="43"/>
      <c r="FL87" s="43"/>
      <c r="FM87" s="43"/>
      <c r="FN87" s="43"/>
      <c r="FO87" s="43"/>
      <c r="FP87" s="43"/>
      <c r="FQ87" s="43"/>
      <c r="FR87" s="43"/>
      <c r="FS87" s="43"/>
      <c r="FT87" s="43"/>
      <c r="FU87" s="43"/>
      <c r="FV87" s="43"/>
      <c r="FW87" s="43"/>
      <c r="FX87" s="43"/>
      <c r="FY87" s="43"/>
      <c r="FZ87" s="43"/>
      <c r="GA87" s="43"/>
      <c r="GB87" s="43"/>
      <c r="GC87" s="43"/>
      <c r="GD87" s="43"/>
      <c r="GE87" s="43"/>
      <c r="GF87" s="43"/>
      <c r="GG87" s="43"/>
      <c r="GH87" s="43"/>
      <c r="GI87" s="43"/>
      <c r="GJ87" s="43"/>
      <c r="GK87" s="43"/>
      <c r="GL87" s="43"/>
      <c r="GM87" s="43"/>
      <c r="GN87" s="43"/>
      <c r="GO87" s="43"/>
      <c r="GP87" s="43"/>
      <c r="GQ87" s="43"/>
      <c r="GR87" s="43"/>
      <c r="GS87" s="43"/>
      <c r="GT87" s="43"/>
      <c r="GU87" s="43"/>
      <c r="GV87" s="43"/>
      <c r="GW87" s="43"/>
      <c r="GX87" s="43"/>
      <c r="GY87" s="43"/>
      <c r="GZ87" s="43"/>
      <c r="HA87" s="43"/>
      <c r="HB87" s="43"/>
      <c r="HC87" s="43"/>
      <c r="HD87" s="43"/>
      <c r="HE87" s="43"/>
      <c r="HF87" s="43"/>
      <c r="HG87" s="43"/>
      <c r="HH87" s="43"/>
      <c r="HI87" s="43"/>
      <c r="HJ87" s="43"/>
      <c r="HK87" s="43"/>
      <c r="HL87" s="43"/>
      <c r="HM87" s="43"/>
      <c r="HN87" s="43"/>
      <c r="HO87" s="43"/>
      <c r="HP87" s="43"/>
      <c r="HQ87" s="43"/>
      <c r="HR87" s="43"/>
      <c r="HS87" s="43"/>
      <c r="HT87" s="43"/>
      <c r="HU87" s="43"/>
      <c r="HV87" s="43"/>
      <c r="HW87" s="43"/>
      <c r="HX87" s="43"/>
      <c r="HY87" s="43"/>
      <c r="HZ87" s="43"/>
      <c r="IA87" s="43"/>
      <c r="IB87" s="43"/>
      <c r="IC87" s="43"/>
      <c r="ID87" s="43"/>
      <c r="IE87" s="43"/>
      <c r="IF87" s="43"/>
      <c r="IG87" s="43"/>
      <c r="IH87" s="43"/>
      <c r="II87" s="43"/>
      <c r="IJ87" s="43"/>
      <c r="IK87" s="43"/>
      <c r="IL87" s="43"/>
      <c r="IM87" s="43"/>
      <c r="IN87" s="43"/>
      <c r="IO87" s="43"/>
      <c r="IP87" s="43"/>
      <c r="IQ87" s="43"/>
      <c r="IR87" s="43"/>
      <c r="IS87" s="43"/>
      <c r="IT87" s="43"/>
      <c r="IU87" s="43"/>
      <c r="IV87" s="43"/>
      <c r="IW87" s="43"/>
      <c r="IX87" s="43"/>
      <c r="IY87" s="43"/>
      <c r="IZ87" s="43"/>
      <c r="JA87" s="43"/>
      <c r="JB87" s="43"/>
      <c r="JC87" s="43"/>
      <c r="JD87" s="43"/>
      <c r="JE87" s="43"/>
      <c r="JF87" s="43"/>
      <c r="JG87" s="43"/>
      <c r="JH87" s="43"/>
      <c r="JI87" s="43"/>
      <c r="JJ87" s="43"/>
      <c r="JK87" s="43"/>
      <c r="JL87" s="43"/>
      <c r="JM87" s="43"/>
      <c r="JN87" s="43"/>
    </row>
    <row r="88" spans="1:274" ht="12.75" customHeight="1" collapsed="1" x14ac:dyDescent="0.2">
      <c r="A88" s="237"/>
      <c r="B88" s="706" t="s">
        <v>299</v>
      </c>
      <c r="C88" s="444"/>
      <c r="D88" s="444"/>
      <c r="E88" s="444"/>
      <c r="F88" s="444"/>
      <c r="G88" s="444"/>
      <c r="H88" s="452"/>
      <c r="I88" s="454">
        <f>SUM(I85:I86)</f>
        <v>0</v>
      </c>
      <c r="J88" s="454">
        <f>SUM(J85:J86)</f>
        <v>0</v>
      </c>
      <c r="K88" s="454">
        <f>SUM(K85:K86)</f>
        <v>0</v>
      </c>
      <c r="L88" s="454">
        <f>SUM(L85:L86)</f>
        <v>0</v>
      </c>
      <c r="M88" s="454">
        <f>SUM(I88:L88)</f>
        <v>0</v>
      </c>
      <c r="N88" s="452"/>
      <c r="O88" s="454">
        <f>SUM(O85:O86)</f>
        <v>0</v>
      </c>
      <c r="P88" s="454">
        <f>SUM(P85:P86)</f>
        <v>0</v>
      </c>
      <c r="Q88" s="454">
        <f>SUM(Q85:Q86)</f>
        <v>0</v>
      </c>
      <c r="R88" s="454">
        <f>SUM(R85:R86)</f>
        <v>0</v>
      </c>
      <c r="S88" s="454">
        <f>SUM(O88:R88)</f>
        <v>0</v>
      </c>
      <c r="T88" s="452"/>
      <c r="U88" s="454">
        <f>SUM(U85:U86)</f>
        <v>0</v>
      </c>
      <c r="V88" s="454">
        <f>SUM(V85:V86)</f>
        <v>0</v>
      </c>
      <c r="W88" s="454">
        <f>SUM(W85:W86)</f>
        <v>0</v>
      </c>
      <c r="X88" s="454">
        <f>SUM(X85:X86)</f>
        <v>0</v>
      </c>
      <c r="Y88" s="454">
        <f>SUM(U88:X88)</f>
        <v>0</v>
      </c>
      <c r="Z88" s="452"/>
      <c r="AA88" s="454">
        <f>SUM(AA85:AA86)</f>
        <v>0</v>
      </c>
      <c r="AB88" s="454">
        <f>SUM(AB85:AB86)</f>
        <v>0</v>
      </c>
      <c r="AC88" s="454">
        <f>SUM(AC85:AC86)</f>
        <v>0</v>
      </c>
      <c r="AD88" s="454">
        <f>SUM(AD85:AD86)</f>
        <v>0</v>
      </c>
      <c r="AE88" s="454">
        <f>SUM(AA88:AD88)</f>
        <v>0</v>
      </c>
      <c r="AF88" s="452"/>
      <c r="AG88" s="454">
        <f>SUM(AG85:AG86)</f>
        <v>0</v>
      </c>
      <c r="AH88" s="454">
        <f>SUM(AH85:AH86)</f>
        <v>0</v>
      </c>
      <c r="AI88" s="454">
        <f>SUM(AI85:AI86)</f>
        <v>0</v>
      </c>
      <c r="AJ88" s="454">
        <f>SUM(AJ85:AJ86)</f>
        <v>0</v>
      </c>
      <c r="AK88" s="454">
        <f>SUM(AG88:AJ88)</f>
        <v>0</v>
      </c>
      <c r="AL88" s="452"/>
      <c r="AM88" s="454">
        <f>SUM(AM85:AM86)</f>
        <v>0</v>
      </c>
      <c r="AN88" s="454">
        <f>SUM(AN85:AN86)</f>
        <v>0</v>
      </c>
      <c r="AO88" s="454">
        <f>SUM(AO85:AO86)</f>
        <v>0</v>
      </c>
      <c r="AP88" s="454">
        <f>SUM(AP85:AP86)</f>
        <v>0</v>
      </c>
      <c r="AQ88" s="454">
        <f>SUM(AM88:AP88)</f>
        <v>0</v>
      </c>
      <c r="AR88" s="452"/>
      <c r="AS88" s="454">
        <f>SUM(AS85:AS86)</f>
        <v>0</v>
      </c>
      <c r="AT88" s="454">
        <f>SUM(AT85:AT86)</f>
        <v>0</v>
      </c>
      <c r="AU88" s="454">
        <f>SUM(AU85:AU86)</f>
        <v>3.1269999999999998</v>
      </c>
      <c r="AV88" s="454">
        <f>SUM(AV85:AV86)</f>
        <v>10.843</v>
      </c>
      <c r="AW88" s="454">
        <f>AW85+AW86</f>
        <v>13.969999999999999</v>
      </c>
      <c r="AX88" s="452"/>
      <c r="AY88" s="454">
        <f>SUM(AY85:AY87)</f>
        <v>10.579000000000001</v>
      </c>
      <c r="AZ88" s="454">
        <f>SUM(AZ85:AZ87)</f>
        <v>10.842000000000001</v>
      </c>
      <c r="BA88" s="454">
        <f>SUM(BA85:BA87)</f>
        <v>2</v>
      </c>
      <c r="BB88" s="454">
        <f>SUM(BB85:BB87)</f>
        <v>4</v>
      </c>
      <c r="BC88" s="454">
        <f>BC85+BC86</f>
        <v>27.420999999999999</v>
      </c>
      <c r="BD88" s="452"/>
      <c r="BE88" s="454">
        <f>SUM(BE85:BE87)</f>
        <v>3.8541590605704226</v>
      </c>
      <c r="BF88" s="454">
        <f>SUM(BF85:BF87)</f>
        <v>2.9</v>
      </c>
      <c r="BG88" s="454">
        <f>SUM(BG85:BG87)</f>
        <v>5.5250225980546741</v>
      </c>
      <c r="BH88" s="454">
        <f>SUM(BH85:BH87)</f>
        <v>4</v>
      </c>
      <c r="BI88" s="454">
        <f>SUM(BI85:BI86)</f>
        <v>16.279181658625099</v>
      </c>
      <c r="BJ88" s="452"/>
      <c r="BK88" s="454">
        <f>SUM(BK85:BK87)</f>
        <v>10.750123970315004</v>
      </c>
      <c r="BL88" s="454">
        <f>SUM(BL85:BL87)</f>
        <v>25.630987057002386</v>
      </c>
      <c r="BM88" s="454">
        <f>SUM(BM85:BM87)</f>
        <v>27.838222501888321</v>
      </c>
      <c r="BN88" s="454">
        <f>SUM(BN85:BN87)</f>
        <v>29.509198887009475</v>
      </c>
      <c r="BO88" s="454">
        <f>+BN88+BM88+BL88+BK88</f>
        <v>93.728532416215188</v>
      </c>
      <c r="BP88" s="454"/>
      <c r="BQ88" s="454">
        <f>SUM(BQ85:BQ87)</f>
        <v>28.8</v>
      </c>
      <c r="BR88" s="454">
        <f>SUM(BR85:BR87)</f>
        <v>31.7</v>
      </c>
      <c r="BS88" s="454">
        <f>SUM(BS85:BS87)</f>
        <v>0</v>
      </c>
      <c r="BT88" s="454">
        <f>SUM(BT85:BT87)</f>
        <v>0</v>
      </c>
      <c r="BU88" s="454">
        <f>+BT88+BS88+BR88+BQ88</f>
        <v>60.5</v>
      </c>
      <c r="BV88" s="452"/>
      <c r="BW88" s="454">
        <f>SUM(BW85:BW87)</f>
        <v>0</v>
      </c>
      <c r="BX88" s="454">
        <f>SUM(BX85:BX87)</f>
        <v>0</v>
      </c>
      <c r="BY88" s="454">
        <f>SUM(BY85:BY87)</f>
        <v>0</v>
      </c>
      <c r="BZ88" s="454">
        <f>SUM(BZ85:BZ87)</f>
        <v>0</v>
      </c>
      <c r="CA88" s="454">
        <f>+BZ88+BY88+BX88+BW88</f>
        <v>0</v>
      </c>
      <c r="CB88" s="452"/>
      <c r="CC88" s="454">
        <f>SUM(CC85:CC87)</f>
        <v>0</v>
      </c>
      <c r="CD88" s="454">
        <f>SUM(CD85:CD87)</f>
        <v>0</v>
      </c>
      <c r="CE88" s="454">
        <f>SUM(CE85:CE87)</f>
        <v>0</v>
      </c>
      <c r="CF88" s="454">
        <f>SUM(CF85:CF87)</f>
        <v>0</v>
      </c>
      <c r="CG88" s="454">
        <f>+CF88+CE88+CD88+CC88</f>
        <v>0</v>
      </c>
      <c r="CH88" s="452"/>
      <c r="CI88" s="454">
        <f t="shared" ref="CI88:CL88" si="150">SUM(CI85:CI87)</f>
        <v>0</v>
      </c>
      <c r="CJ88" s="454">
        <f t="shared" si="150"/>
        <v>0</v>
      </c>
      <c r="CK88" s="454">
        <f t="shared" si="150"/>
        <v>0</v>
      </c>
      <c r="CL88" s="454">
        <f t="shared" si="150"/>
        <v>0</v>
      </c>
      <c r="CM88" s="454">
        <f t="shared" ref="CM88" si="151">+CL88+CK88+CJ88+CI88</f>
        <v>0</v>
      </c>
      <c r="CN88" s="452"/>
      <c r="CO88" s="454">
        <f t="shared" ref="CO88:CR88" si="152">SUM(CO85:CO87)</f>
        <v>0</v>
      </c>
      <c r="CP88" s="454">
        <f t="shared" si="152"/>
        <v>0</v>
      </c>
      <c r="CQ88" s="454">
        <f t="shared" si="152"/>
        <v>0</v>
      </c>
      <c r="CR88" s="454">
        <f t="shared" si="152"/>
        <v>0</v>
      </c>
      <c r="CS88" s="454">
        <f t="shared" ref="CS88" si="153">+CR88+CQ88+CP88+CO88</f>
        <v>0</v>
      </c>
      <c r="CT88" s="444"/>
    </row>
    <row r="89" spans="1:274" s="43" customFormat="1" x14ac:dyDescent="0.2">
      <c r="A89" s="237"/>
      <c r="B89" s="675" t="s">
        <v>86</v>
      </c>
      <c r="C89" s="675"/>
      <c r="D89" s="675"/>
      <c r="E89" s="675"/>
      <c r="F89" s="675"/>
      <c r="G89" s="675"/>
      <c r="H89" s="675"/>
      <c r="I89" s="675"/>
      <c r="J89" s="675"/>
      <c r="K89" s="675"/>
      <c r="L89" s="675"/>
      <c r="M89" s="675"/>
      <c r="N89" s="675"/>
      <c r="O89" s="675"/>
      <c r="P89" s="675"/>
      <c r="Q89" s="675"/>
      <c r="R89" s="675"/>
      <c r="S89" s="675"/>
      <c r="T89" s="675"/>
      <c r="U89" s="675"/>
      <c r="V89" s="675"/>
      <c r="W89" s="675"/>
      <c r="X89" s="675"/>
      <c r="Y89" s="675"/>
      <c r="Z89" s="675"/>
      <c r="AA89" s="675"/>
      <c r="AB89" s="675"/>
      <c r="AC89" s="675"/>
      <c r="AD89" s="675"/>
      <c r="AE89" s="675"/>
      <c r="AF89" s="675"/>
      <c r="AG89" s="675"/>
      <c r="AH89" s="675"/>
      <c r="AI89" s="675"/>
      <c r="AJ89" s="675"/>
      <c r="AK89" s="675"/>
      <c r="AL89" s="675"/>
      <c r="AM89" s="675"/>
      <c r="AN89" s="675"/>
      <c r="AO89" s="675"/>
      <c r="AP89" s="675"/>
      <c r="AQ89" s="675"/>
      <c r="AR89" s="675"/>
      <c r="AS89" s="675"/>
      <c r="AT89" s="675"/>
      <c r="AU89" s="675"/>
      <c r="AV89" s="675"/>
      <c r="AW89" s="675"/>
      <c r="AX89" s="675"/>
      <c r="AY89" s="675"/>
      <c r="AZ89" s="675"/>
      <c r="BA89" s="675"/>
      <c r="BB89" s="675"/>
      <c r="BC89" s="675"/>
      <c r="BD89" s="675"/>
      <c r="BE89" s="675"/>
      <c r="BF89" s="675"/>
      <c r="BG89" s="675"/>
      <c r="BH89" s="675"/>
      <c r="BI89" s="675"/>
      <c r="BJ89" s="675"/>
      <c r="BK89" s="675"/>
      <c r="BL89" s="675"/>
      <c r="BM89" s="675"/>
      <c r="BN89" s="675"/>
      <c r="BO89" s="675"/>
      <c r="BP89" s="675"/>
      <c r="BQ89" s="675"/>
      <c r="BR89" s="675"/>
      <c r="BS89" s="675"/>
      <c r="BT89" s="675"/>
      <c r="BU89" s="675"/>
      <c r="BV89" s="675"/>
      <c r="BW89" s="675"/>
      <c r="BX89" s="675"/>
      <c r="BY89" s="675"/>
      <c r="BZ89" s="675"/>
      <c r="CA89" s="675"/>
      <c r="CB89" s="675"/>
      <c r="CC89" s="675"/>
      <c r="CD89" s="675"/>
      <c r="CE89" s="675"/>
      <c r="CF89" s="675"/>
      <c r="CG89" s="675"/>
      <c r="CH89" s="675"/>
      <c r="CI89" s="675"/>
      <c r="CJ89" s="675"/>
      <c r="CK89" s="675"/>
      <c r="CL89" s="675"/>
      <c r="CM89" s="675"/>
      <c r="CN89" s="675"/>
      <c r="CO89" s="675"/>
      <c r="CP89" s="675"/>
      <c r="CQ89" s="675"/>
      <c r="CR89" s="675"/>
      <c r="CS89" s="675"/>
      <c r="CT89" s="168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</row>
    <row r="90" spans="1:274" s="43" customFormat="1" ht="12.75" customHeight="1" x14ac:dyDescent="0.2">
      <c r="A90" s="237"/>
      <c r="B90" s="32" t="s">
        <v>279</v>
      </c>
      <c r="C90" s="48"/>
      <c r="D90" s="48"/>
      <c r="E90" s="48"/>
      <c r="F90" s="48"/>
      <c r="G90" s="49"/>
      <c r="H90" s="111"/>
      <c r="I90" s="48"/>
      <c r="J90" s="48"/>
      <c r="K90" s="48"/>
      <c r="L90" s="48"/>
      <c r="M90" s="49"/>
      <c r="N90" s="111"/>
      <c r="O90" s="48"/>
      <c r="P90" s="48"/>
      <c r="Q90" s="48"/>
      <c r="R90" s="48"/>
      <c r="S90" s="49"/>
      <c r="T90" s="111"/>
      <c r="U90" s="48"/>
      <c r="V90" s="48"/>
      <c r="W90" s="48"/>
      <c r="X90" s="48">
        <v>67.2</v>
      </c>
      <c r="Y90" s="49"/>
      <c r="Z90" s="111"/>
      <c r="AA90" s="48">
        <v>66.045000000000002</v>
      </c>
      <c r="AB90" s="48">
        <v>69.436999999999998</v>
      </c>
      <c r="AC90" s="48">
        <v>73.106999999999999</v>
      </c>
      <c r="AD90" s="48">
        <f>283.323-AC90-AB90-AA90</f>
        <v>74.733999999999995</v>
      </c>
      <c r="AE90" s="49">
        <f>+SUM(AA90:AD90)</f>
        <v>283.32299999999998</v>
      </c>
      <c r="AF90" s="111"/>
      <c r="AG90" s="48">
        <v>74.207999999999998</v>
      </c>
      <c r="AH90" s="48">
        <v>78.421999999999997</v>
      </c>
      <c r="AI90" s="48">
        <v>84.415999999999997</v>
      </c>
      <c r="AJ90" s="48">
        <f>320.106-AI90-AH90-AG90</f>
        <v>83.06</v>
      </c>
      <c r="AK90" s="49">
        <f>+SUM(AG90:AJ90)</f>
        <v>320.10599999999999</v>
      </c>
      <c r="AL90" s="111"/>
      <c r="AM90" s="48">
        <v>83.375</v>
      </c>
      <c r="AN90" s="48">
        <v>90.856999999999999</v>
      </c>
      <c r="AO90" s="48">
        <v>95.775999999999996</v>
      </c>
      <c r="AP90" s="48">
        <f>370.257-AO90-AN90-AM90</f>
        <v>100.249</v>
      </c>
      <c r="AQ90" s="49">
        <f>+SUM(AM90:AP90)</f>
        <v>370.25699999999995</v>
      </c>
      <c r="AS90" s="48">
        <v>108.325</v>
      </c>
      <c r="AT90" s="48">
        <v>101.592</v>
      </c>
      <c r="AU90" s="48">
        <v>92.381</v>
      </c>
      <c r="AV90" s="48">
        <f>392.461-AU90-AT90-AS90</f>
        <v>90.163000000000054</v>
      </c>
      <c r="AW90" s="49">
        <f>+SUM(AS90:AV90)</f>
        <v>392.46100000000007</v>
      </c>
      <c r="AY90" s="48">
        <v>84.003</v>
      </c>
      <c r="AZ90" s="48">
        <v>83.7</v>
      </c>
      <c r="BA90" s="48">
        <v>86.09</v>
      </c>
      <c r="BB90" s="48">
        <v>79.032599999999931</v>
      </c>
      <c r="BC90" s="49">
        <f>+SUM(AY90:BB90)</f>
        <v>332.82559999999995</v>
      </c>
      <c r="BE90" s="39"/>
      <c r="BF90" s="39"/>
      <c r="BG90" s="39"/>
      <c r="BH90" s="39"/>
      <c r="BI90" s="39"/>
      <c r="BK90" s="39"/>
      <c r="BL90" s="39"/>
      <c r="BM90" s="39"/>
      <c r="BN90" s="39"/>
      <c r="BO90" s="39"/>
      <c r="BQ90" s="39"/>
      <c r="BR90" s="39"/>
      <c r="BS90" s="39"/>
      <c r="BT90" s="39"/>
      <c r="BU90" s="39"/>
      <c r="BW90" s="39"/>
      <c r="BX90" s="39"/>
      <c r="BY90" s="39"/>
      <c r="BZ90" s="39"/>
      <c r="CA90" s="39"/>
      <c r="CC90" s="39"/>
      <c r="CD90" s="39"/>
      <c r="CE90" s="39"/>
      <c r="CF90" s="39"/>
      <c r="CG90" s="39"/>
      <c r="CI90" s="39"/>
      <c r="CJ90" s="39"/>
      <c r="CK90" s="39"/>
      <c r="CL90" s="39"/>
      <c r="CM90" s="39"/>
      <c r="CO90" s="39"/>
      <c r="CP90" s="39"/>
      <c r="CQ90" s="39"/>
      <c r="CR90" s="39"/>
      <c r="CS90" s="39"/>
      <c r="CT90" s="39"/>
      <c r="CU90"/>
      <c r="CV90"/>
      <c r="CW90"/>
    </row>
    <row r="91" spans="1:274" s="43" customFormat="1" ht="12.75" customHeight="1" x14ac:dyDescent="0.2">
      <c r="A91" s="237"/>
      <c r="B91" s="285" t="s">
        <v>183</v>
      </c>
      <c r="C91" s="305"/>
      <c r="D91" s="305"/>
      <c r="E91" s="305"/>
      <c r="F91" s="305"/>
      <c r="G91" s="305"/>
      <c r="H91" s="109"/>
      <c r="I91" s="305"/>
      <c r="J91" s="305"/>
      <c r="K91" s="305"/>
      <c r="L91" s="305"/>
      <c r="M91" s="305"/>
      <c r="N91" s="109"/>
      <c r="O91" s="305"/>
      <c r="P91" s="305"/>
      <c r="Q91" s="305"/>
      <c r="R91" s="305"/>
      <c r="S91" s="305"/>
      <c r="T91" s="109"/>
      <c r="U91" s="305"/>
      <c r="V91" s="305"/>
      <c r="W91" s="305"/>
      <c r="X91" s="305"/>
      <c r="Y91" s="305"/>
      <c r="Z91" s="109"/>
      <c r="AA91" s="305"/>
      <c r="AB91" s="305"/>
      <c r="AC91" s="305"/>
      <c r="AD91" s="305"/>
      <c r="AE91" s="305"/>
      <c r="AF91" s="109"/>
      <c r="AG91" s="305">
        <f>IF(ISERROR(AG90/AA90-1),"NM",AG90/AA90-1)</f>
        <v>0.12359754712695881</v>
      </c>
      <c r="AH91" s="305">
        <f>IF(ISERROR(AH90/AB90-1),"NM",AH90/AB90-1)</f>
        <v>0.12939787145181958</v>
      </c>
      <c r="AI91" s="305">
        <f>IF(ISERROR(AI90/AC90-1),"NM",AI90/AC90-1)</f>
        <v>0.15469106925465415</v>
      </c>
      <c r="AJ91" s="305">
        <f>IF(ISERROR(AJ90/AD90-1),"NM",AJ90/AD90-1)</f>
        <v>0.11140846201193577</v>
      </c>
      <c r="AK91" s="305">
        <f>IF(ISERROR(AK90/AE90-1),"NM",AK90/AE90-1)</f>
        <v>0.12982708781143781</v>
      </c>
      <c r="AL91" s="109"/>
      <c r="AM91" s="305">
        <f>IF(ISERROR(AM90/AG90-1),"NM",AM90/AG90-1)</f>
        <v>0.12353115567054762</v>
      </c>
      <c r="AN91" s="305">
        <f>IF(ISERROR(AN90/AH90-1),"NM",AN90/AH90-1)</f>
        <v>0.15856519854122575</v>
      </c>
      <c r="AO91" s="305">
        <f>IF(ISERROR(AO90/AI90-1),"NM",AO90/AI90-1)</f>
        <v>0.13457164518574682</v>
      </c>
      <c r="AP91" s="305">
        <f>IF(ISERROR(AP90/AJ90-1),"NM",AP90/AJ90-1)</f>
        <v>0.20694678545629652</v>
      </c>
      <c r="AQ91" s="305">
        <f>IF(ISERROR(AQ90/AK90-1),"NM",AQ90/AK90-1)</f>
        <v>0.15666997806976424</v>
      </c>
      <c r="AS91" s="305">
        <f>IF(ISERROR(AS90/AM90-1),"NM",AS90/AM90-1)</f>
        <v>0.29925037481259364</v>
      </c>
      <c r="AT91" s="305">
        <f>IF(ISERROR(AT90/AN90-1),"NM",AT90/AN90-1)</f>
        <v>0.11815270149795842</v>
      </c>
      <c r="AU91" s="305">
        <f>IF(ISERROR(AU90/AO90-1),"NM",AU90/AO90-1)</f>
        <v>-3.5447293685265557E-2</v>
      </c>
      <c r="AV91" s="305">
        <f>IF(ISERROR(AV90/AP90-1),"NM",AV90/AP90-1)</f>
        <v>-0.10060948238885115</v>
      </c>
      <c r="AW91" s="305">
        <f>IF(ISERROR(AW90/AQ90-1),"NM",AW90/AQ90-1)</f>
        <v>5.9969156558822956E-2</v>
      </c>
      <c r="AY91" s="305">
        <f>IF(ISERROR(AY90/AS90-1),"NM",AY90/AS90-1)</f>
        <v>-0.22452804061850917</v>
      </c>
      <c r="AZ91" s="305">
        <f>IF(ISERROR(AZ90/AT90-1),"NM",AZ90/AT90-1)</f>
        <v>-0.17611622962437978</v>
      </c>
      <c r="BA91" s="305">
        <f>IF(ISERROR(BA90/AU90-1),"NM",BA90/AU90-1)</f>
        <v>-6.809841850596976E-2</v>
      </c>
      <c r="BB91" s="305">
        <f>IF(ISERROR(BB90/AV90-1),"NM",BB90/AV90-1)</f>
        <v>-0.12344753391080732</v>
      </c>
      <c r="BC91" s="305">
        <f>IF(ISERROR(BC90/AW90-1),"NM",BC90/AW90-1)</f>
        <v>-0.15195242329811143</v>
      </c>
      <c r="BE91" s="308"/>
      <c r="BF91" s="308"/>
      <c r="BG91" s="308"/>
      <c r="BH91" s="308"/>
      <c r="BI91" s="306"/>
      <c r="BK91" s="308"/>
      <c r="BL91" s="308"/>
      <c r="BM91" s="308"/>
      <c r="BN91" s="308"/>
      <c r="BO91" s="306"/>
      <c r="BQ91" s="308"/>
      <c r="BR91" s="308"/>
      <c r="BS91" s="308"/>
      <c r="BT91" s="308"/>
      <c r="BU91" s="306"/>
      <c r="BW91" s="308"/>
      <c r="BX91" s="308"/>
      <c r="BY91" s="308"/>
      <c r="BZ91" s="308"/>
      <c r="CA91" s="306"/>
      <c r="CC91" s="308"/>
      <c r="CD91" s="308"/>
      <c r="CE91" s="308"/>
      <c r="CF91" s="308"/>
      <c r="CG91" s="306"/>
      <c r="CI91" s="308"/>
      <c r="CJ91" s="308"/>
      <c r="CK91" s="308"/>
      <c r="CL91" s="308"/>
      <c r="CM91" s="510"/>
      <c r="CO91" s="308"/>
      <c r="CP91" s="308"/>
      <c r="CQ91" s="308"/>
      <c r="CR91" s="308"/>
      <c r="CS91" s="510"/>
      <c r="CT91" s="306"/>
    </row>
    <row r="92" spans="1:274" s="43" customFormat="1" ht="12.75" customHeight="1" x14ac:dyDescent="0.2">
      <c r="A92" s="237"/>
      <c r="B92" s="32" t="s">
        <v>321</v>
      </c>
      <c r="C92" s="48"/>
      <c r="D92" s="48"/>
      <c r="E92" s="48"/>
      <c r="F92" s="48"/>
      <c r="G92" s="49"/>
      <c r="H92" s="110"/>
      <c r="I92" s="48"/>
      <c r="J92" s="48"/>
      <c r="K92" s="48"/>
      <c r="L92" s="48"/>
      <c r="M92" s="49"/>
      <c r="N92" s="110"/>
      <c r="O92" s="48"/>
      <c r="P92" s="48"/>
      <c r="Q92" s="48"/>
      <c r="R92" s="48"/>
      <c r="S92" s="49"/>
      <c r="T92" s="110"/>
      <c r="U92" s="48"/>
      <c r="V92" s="48"/>
      <c r="W92" s="48"/>
      <c r="X92" s="48">
        <v>26.7</v>
      </c>
      <c r="Y92" s="49"/>
      <c r="Z92" s="110"/>
      <c r="AA92" s="48">
        <v>25.812999999999999</v>
      </c>
      <c r="AB92" s="48">
        <v>31.003</v>
      </c>
      <c r="AC92" s="48">
        <v>29.266999999999999</v>
      </c>
      <c r="AD92" s="48">
        <f>116.723-AC92-AB92-AA92</f>
        <v>30.640000000000004</v>
      </c>
      <c r="AE92" s="49">
        <f>+SUM(AA92:AD92)</f>
        <v>116.723</v>
      </c>
      <c r="AF92" s="110"/>
      <c r="AG92" s="48">
        <v>29.760999999999999</v>
      </c>
      <c r="AH92" s="48">
        <v>39.188000000000002</v>
      </c>
      <c r="AI92" s="48">
        <v>38.896000000000001</v>
      </c>
      <c r="AJ92" s="48">
        <f>152.284-AI92-AH92-AG92</f>
        <v>44.438999999999993</v>
      </c>
      <c r="AK92" s="49">
        <f>+SUM(AG92:AJ92)</f>
        <v>152.28399999999999</v>
      </c>
      <c r="AL92" s="110"/>
      <c r="AM92" s="48">
        <v>43.893000000000001</v>
      </c>
      <c r="AN92" s="48">
        <v>49.793999999999997</v>
      </c>
      <c r="AO92" s="48">
        <v>52.607999999999997</v>
      </c>
      <c r="AP92" s="48">
        <f>212.135-AO92-AN92-AM92</f>
        <v>65.839999999999989</v>
      </c>
      <c r="AQ92" s="49">
        <f>+SUM(AM92:AP92)</f>
        <v>212.13499999999999</v>
      </c>
      <c r="AS92" s="48">
        <v>84.662000000000006</v>
      </c>
      <c r="AT92" s="48">
        <v>94.566000000000003</v>
      </c>
      <c r="AU92" s="48">
        <v>80.683000000000007</v>
      </c>
      <c r="AV92" s="48">
        <f>341.767-AU92-AT92-AS92</f>
        <v>81.855999999999995</v>
      </c>
      <c r="AW92" s="49">
        <f>+SUM(AS92:AV92)</f>
        <v>341.767</v>
      </c>
      <c r="AY92" s="48">
        <v>69.924999999999997</v>
      </c>
      <c r="AZ92" s="48">
        <v>84.6</v>
      </c>
      <c r="BA92" s="48">
        <v>76.382999999999996</v>
      </c>
      <c r="BB92" s="48">
        <v>74.56640000000003</v>
      </c>
      <c r="BC92" s="49">
        <f>+SUM(AY92:BB92)</f>
        <v>305.4744</v>
      </c>
      <c r="BE92" s="39"/>
      <c r="BF92" s="39"/>
      <c r="BG92" s="39"/>
      <c r="BH92" s="39"/>
      <c r="BI92" s="39"/>
      <c r="BK92" s="39"/>
      <c r="BL92" s="39"/>
      <c r="BM92" s="39"/>
      <c r="BN92" s="39"/>
      <c r="BO92" s="39"/>
      <c r="BQ92" s="39"/>
      <c r="BR92" s="39"/>
      <c r="BS92" s="39"/>
      <c r="BT92" s="39"/>
      <c r="BU92" s="39"/>
      <c r="BW92" s="39"/>
      <c r="BX92" s="39"/>
      <c r="BY92" s="39"/>
      <c r="BZ92" s="39"/>
      <c r="CA92" s="39"/>
      <c r="CC92" s="39"/>
      <c r="CD92" s="39"/>
      <c r="CE92" s="39"/>
      <c r="CF92" s="39"/>
      <c r="CG92" s="39"/>
      <c r="CI92" s="39"/>
      <c r="CJ92" s="39"/>
      <c r="CK92" s="39"/>
      <c r="CL92" s="39"/>
      <c r="CM92" s="39"/>
      <c r="CO92" s="39"/>
      <c r="CP92" s="39"/>
      <c r="CQ92" s="39"/>
      <c r="CR92" s="39"/>
      <c r="CS92" s="39"/>
      <c r="CT92" s="39"/>
    </row>
    <row r="93" spans="1:274" s="43" customFormat="1" ht="12.75" customHeight="1" x14ac:dyDescent="0.2">
      <c r="A93" s="237"/>
      <c r="B93" s="285" t="s">
        <v>183</v>
      </c>
      <c r="C93" s="305"/>
      <c r="D93" s="305"/>
      <c r="E93" s="305"/>
      <c r="F93" s="305"/>
      <c r="G93" s="305"/>
      <c r="H93" s="109"/>
      <c r="I93" s="305"/>
      <c r="J93" s="305"/>
      <c r="K93" s="305"/>
      <c r="L93" s="305"/>
      <c r="M93" s="305"/>
      <c r="N93" s="109"/>
      <c r="O93" s="305"/>
      <c r="P93" s="305"/>
      <c r="Q93" s="305"/>
      <c r="R93" s="305"/>
      <c r="S93" s="305"/>
      <c r="T93" s="109"/>
      <c r="U93" s="305"/>
      <c r="V93" s="305"/>
      <c r="W93" s="305"/>
      <c r="X93" s="305"/>
      <c r="Y93" s="305"/>
      <c r="Z93" s="109"/>
      <c r="AA93" s="305"/>
      <c r="AB93" s="305"/>
      <c r="AC93" s="305"/>
      <c r="AD93" s="305"/>
      <c r="AE93" s="305"/>
      <c r="AF93" s="109"/>
      <c r="AG93" s="305">
        <f>IF(ISERROR(AG92/AA92-1),"NM",AG92/AA92-1)</f>
        <v>0.15294618990431186</v>
      </c>
      <c r="AH93" s="305">
        <f>IF(ISERROR(AH92/AB92-1),"NM",AH92/AB92-1)</f>
        <v>0.26400670902815859</v>
      </c>
      <c r="AI93" s="305">
        <f>IF(ISERROR(AI92/AC92-1),"NM",AI92/AC92-1)</f>
        <v>0.32900536440359462</v>
      </c>
      <c r="AJ93" s="305">
        <f>IF(ISERROR(AJ92/AD92-1),"NM",AJ92/AD92-1)</f>
        <v>0.45035900783289784</v>
      </c>
      <c r="AK93" s="305">
        <f>IF(ISERROR(AK92/AE92-1),"NM",AK92/AE92-1)</f>
        <v>0.30466146346478418</v>
      </c>
      <c r="AL93" s="109"/>
      <c r="AM93" s="305">
        <f>IF(ISERROR(AM92/AG92-1),"NM",AM92/AG92-1)</f>
        <v>0.47484963542891712</v>
      </c>
      <c r="AN93" s="305">
        <f>IF(ISERROR(AN92/AH92-1),"NM",AN92/AH92-1)</f>
        <v>0.27064407471674978</v>
      </c>
      <c r="AO93" s="305">
        <f>IF(ISERROR(AO92/AI92-1),"NM",AO92/AI92-1)</f>
        <v>0.35252982311805825</v>
      </c>
      <c r="AP93" s="305">
        <f>IF(ISERROR(AP92/AJ92-1),"NM",AP92/AJ92-1)</f>
        <v>0.48158149373298231</v>
      </c>
      <c r="AQ93" s="305">
        <f>IF(ISERROR(AQ92/AK92-1),"NM",AQ92/AK92-1)</f>
        <v>0.39302224790522966</v>
      </c>
      <c r="AS93" s="305">
        <f>IF(ISERROR(AS92/AM92-1),"NM",AS92/AM92-1)</f>
        <v>0.92882692001002454</v>
      </c>
      <c r="AT93" s="305">
        <f>IF(ISERROR(AT92/AN92-1),"NM",AT92/AN92-1)</f>
        <v>0.89914447523798069</v>
      </c>
      <c r="AU93" s="305">
        <f>IF(ISERROR(AU92/AO92-1),"NM",AU92/AO92-1)</f>
        <v>0.53366408150851607</v>
      </c>
      <c r="AV93" s="305">
        <f>IF(ISERROR(AV92/AP92-1),"NM",AV92/AP92-1)</f>
        <v>0.24325637910085063</v>
      </c>
      <c r="AW93" s="305">
        <f>IF(ISERROR(AW92/AQ92-1),"NM",AW92/AQ92-1)</f>
        <v>0.61108256534753824</v>
      </c>
      <c r="AY93" s="305">
        <f>IF(ISERROR(AY92/AS92-1),"NM",AY92/AS92-1)</f>
        <v>-0.17406864945311951</v>
      </c>
      <c r="AZ93" s="305">
        <f>IF(ISERROR(AZ92/AT92-1),"NM",AZ92/AT92-1)</f>
        <v>-0.10538671404098732</v>
      </c>
      <c r="BA93" s="305">
        <f>IF(ISERROR(BA92/AU92-1),"NM",BA92/AU92-1)</f>
        <v>-5.3294993988820538E-2</v>
      </c>
      <c r="BB93" s="305">
        <f>IF(ISERROR(BB92/AV92-1),"NM",BB92/AV92-1)</f>
        <v>-8.9053948397184834E-2</v>
      </c>
      <c r="BC93" s="305">
        <f>IF(ISERROR(BC92/AW92-1),"NM",BC92/AW92-1)</f>
        <v>-0.10619105999116352</v>
      </c>
      <c r="BE93" s="308"/>
      <c r="BF93" s="308"/>
      <c r="BG93" s="308"/>
      <c r="BH93" s="308"/>
      <c r="BI93" s="306"/>
      <c r="BK93" s="308"/>
      <c r="BL93" s="308"/>
      <c r="BM93" s="308"/>
      <c r="BN93" s="308"/>
      <c r="BO93" s="306"/>
      <c r="BQ93" s="308"/>
      <c r="BR93" s="308"/>
      <c r="BS93" s="308"/>
      <c r="BT93" s="308"/>
      <c r="BU93" s="306"/>
      <c r="BW93" s="308"/>
      <c r="BX93" s="308"/>
      <c r="BY93" s="308"/>
      <c r="BZ93" s="308"/>
      <c r="CA93" s="306"/>
      <c r="CC93" s="308"/>
      <c r="CD93" s="308"/>
      <c r="CE93" s="308"/>
      <c r="CF93" s="308"/>
      <c r="CG93" s="306"/>
      <c r="CI93" s="308"/>
      <c r="CJ93" s="308"/>
      <c r="CK93" s="308"/>
      <c r="CL93" s="308"/>
      <c r="CM93" s="510"/>
      <c r="CO93" s="308"/>
      <c r="CP93" s="308"/>
      <c r="CQ93" s="308"/>
      <c r="CR93" s="308"/>
      <c r="CS93" s="510"/>
      <c r="CT93" s="306"/>
    </row>
    <row r="94" spans="1:274" s="43" customFormat="1" ht="12.75" customHeight="1" x14ac:dyDescent="0.2">
      <c r="A94" s="237"/>
      <c r="B94" s="32" t="s">
        <v>295</v>
      </c>
      <c r="C94" s="48"/>
      <c r="D94" s="48"/>
      <c r="E94" s="48"/>
      <c r="F94" s="48"/>
      <c r="G94" s="49"/>
      <c r="H94" s="110"/>
      <c r="I94" s="48"/>
      <c r="J94" s="48"/>
      <c r="K94" s="48"/>
      <c r="L94" s="48"/>
      <c r="M94" s="49"/>
      <c r="N94" s="110"/>
      <c r="O94" s="48"/>
      <c r="P94" s="48"/>
      <c r="Q94" s="48"/>
      <c r="R94" s="48"/>
      <c r="S94" s="49"/>
      <c r="T94" s="110"/>
      <c r="U94" s="48"/>
      <c r="V94" s="48"/>
      <c r="W94" s="48"/>
      <c r="X94" s="48"/>
      <c r="Y94" s="49"/>
      <c r="Z94" s="110"/>
      <c r="AA94" s="48"/>
      <c r="AB94" s="48"/>
      <c r="AC94" s="48"/>
      <c r="AD94" s="48"/>
      <c r="AE94" s="49"/>
      <c r="AF94" s="110"/>
      <c r="AG94" s="48"/>
      <c r="AH94" s="48"/>
      <c r="AI94" s="48"/>
      <c r="AJ94" s="48"/>
      <c r="AK94" s="49"/>
      <c r="AL94" s="110"/>
      <c r="AM94" s="48"/>
      <c r="AN94" s="48"/>
      <c r="AO94" s="48"/>
      <c r="AP94" s="48"/>
      <c r="AQ94" s="49"/>
      <c r="AS94" s="702">
        <f>+AS38</f>
        <v>0</v>
      </c>
      <c r="AT94" s="702">
        <f>+AT38</f>
        <v>0</v>
      </c>
      <c r="AU94" s="702">
        <f>+AU38</f>
        <v>3.1269999999999998</v>
      </c>
      <c r="AV94" s="702">
        <f>+AV38</f>
        <v>10.843</v>
      </c>
      <c r="AW94" s="49">
        <f>+SUM(AS94:AV94)</f>
        <v>13.969999999999999</v>
      </c>
      <c r="AY94" s="702">
        <f>+AY38</f>
        <v>10.579000000000001</v>
      </c>
      <c r="AZ94" s="702">
        <f>+AZ38</f>
        <v>10.842000000000001</v>
      </c>
      <c r="BA94" s="702">
        <f>+BA38</f>
        <v>10.505000000000001</v>
      </c>
      <c r="BB94" s="702">
        <f>+BB38</f>
        <v>11.784000000000001</v>
      </c>
      <c r="BC94" s="49">
        <f>+SUM(AY94:BB94)</f>
        <v>43.71</v>
      </c>
      <c r="BE94" s="39"/>
      <c r="BF94" s="39"/>
      <c r="BG94" s="39"/>
      <c r="BH94" s="39"/>
      <c r="BI94" s="39"/>
      <c r="BK94" s="39"/>
      <c r="BL94" s="39"/>
      <c r="BM94" s="39"/>
      <c r="BN94" s="39"/>
      <c r="BO94" s="39"/>
      <c r="BQ94" s="39"/>
      <c r="BR94" s="39"/>
      <c r="BS94" s="39"/>
      <c r="BT94" s="39"/>
      <c r="BU94" s="39"/>
      <c r="BW94" s="39"/>
      <c r="BX94" s="39"/>
      <c r="BY94" s="39"/>
      <c r="BZ94" s="39"/>
      <c r="CA94" s="39"/>
      <c r="CC94" s="39"/>
      <c r="CD94" s="39"/>
      <c r="CE94" s="39"/>
      <c r="CF94" s="39"/>
      <c r="CG94" s="39"/>
      <c r="CI94" s="39"/>
      <c r="CJ94" s="39"/>
      <c r="CK94" s="39"/>
      <c r="CL94" s="39"/>
      <c r="CM94" s="39"/>
      <c r="CO94" s="39"/>
      <c r="CP94" s="39"/>
      <c r="CQ94" s="39"/>
      <c r="CR94" s="39"/>
      <c r="CS94" s="39"/>
      <c r="CT94" s="39"/>
    </row>
    <row r="95" spans="1:274" s="43" customFormat="1" ht="12.75" customHeight="1" x14ac:dyDescent="0.2">
      <c r="A95" s="237"/>
      <c r="B95" s="285" t="s">
        <v>183</v>
      </c>
      <c r="C95" s="305"/>
      <c r="D95" s="305"/>
      <c r="E95" s="305"/>
      <c r="F95" s="305"/>
      <c r="G95" s="305"/>
      <c r="H95" s="109"/>
      <c r="I95" s="305"/>
      <c r="J95" s="305"/>
      <c r="K95" s="305"/>
      <c r="L95" s="305"/>
      <c r="M95" s="305"/>
      <c r="N95" s="109"/>
      <c r="O95" s="305"/>
      <c r="P95" s="305"/>
      <c r="Q95" s="305"/>
      <c r="R95" s="305"/>
      <c r="S95" s="305"/>
      <c r="T95" s="109"/>
      <c r="U95" s="305"/>
      <c r="V95" s="305"/>
      <c r="W95" s="305"/>
      <c r="X95" s="305"/>
      <c r="Y95" s="305"/>
      <c r="Z95" s="109"/>
      <c r="AA95" s="305"/>
      <c r="AB95" s="305"/>
      <c r="AC95" s="305"/>
      <c r="AD95" s="305"/>
      <c r="AE95" s="305"/>
      <c r="AF95" s="109"/>
      <c r="AG95" s="305"/>
      <c r="AH95" s="305"/>
      <c r="AI95" s="305"/>
      <c r="AJ95" s="305"/>
      <c r="AK95" s="305"/>
      <c r="AL95" s="109"/>
      <c r="AM95" s="305"/>
      <c r="AN95" s="305"/>
      <c r="AO95" s="305"/>
      <c r="AP95" s="305"/>
      <c r="AQ95" s="305"/>
      <c r="AS95" s="305"/>
      <c r="AT95" s="305"/>
      <c r="AU95" s="305"/>
      <c r="AV95" s="305"/>
      <c r="AW95" s="305"/>
      <c r="AY95" s="305" t="str">
        <f>IF(ISERROR(AY94/AS94-1),"NM",AY94/AS94-1)</f>
        <v>NM</v>
      </c>
      <c r="AZ95" s="305" t="str">
        <f>IF(ISERROR(AZ94/AT94-1),"NM",AZ94/AT94-1)</f>
        <v>NM</v>
      </c>
      <c r="BA95" s="305">
        <f>IF(ISERROR(BA94/AU94-1),"NM",BA94/AU94-1)</f>
        <v>2.3594499520307006</v>
      </c>
      <c r="BB95" s="305">
        <f>IF(ISERROR(BB94/AV94-1),"NM",BB94/AV94-1)</f>
        <v>8.6784100341233961E-2</v>
      </c>
      <c r="BC95" s="305">
        <f>IF(ISERROR(BC94/AW94-1),"NM",BC94/AW94-1)</f>
        <v>2.128847530422334</v>
      </c>
      <c r="BE95" s="308"/>
      <c r="BF95" s="308"/>
      <c r="BG95" s="308"/>
      <c r="BH95" s="308"/>
      <c r="BI95" s="306"/>
      <c r="BK95" s="308"/>
      <c r="BL95" s="308"/>
      <c r="BM95" s="308"/>
      <c r="BN95" s="308"/>
      <c r="BO95" s="306"/>
      <c r="BQ95" s="308"/>
      <c r="BR95" s="308"/>
      <c r="BS95" s="308"/>
      <c r="BT95" s="308"/>
      <c r="BU95" s="306"/>
      <c r="BW95" s="308"/>
      <c r="BX95" s="308"/>
      <c r="BY95" s="308"/>
      <c r="BZ95" s="308"/>
      <c r="CA95" s="306"/>
      <c r="CC95" s="308"/>
      <c r="CD95" s="308"/>
      <c r="CE95" s="308"/>
      <c r="CF95" s="308"/>
      <c r="CG95" s="306"/>
      <c r="CI95" s="308"/>
      <c r="CJ95" s="308"/>
      <c r="CK95" s="308"/>
      <c r="CL95" s="308"/>
      <c r="CM95" s="510"/>
      <c r="CO95" s="308"/>
      <c r="CP95" s="308"/>
      <c r="CQ95" s="308"/>
      <c r="CR95" s="308"/>
      <c r="CS95" s="510"/>
      <c r="CT95" s="306"/>
    </row>
    <row r="96" spans="1:274" s="43" customFormat="1" ht="12.75" hidden="1" customHeight="1" outlineLevel="1" x14ac:dyDescent="0.2">
      <c r="A96" s="237"/>
      <c r="B96" s="675" t="s">
        <v>349</v>
      </c>
      <c r="C96" s="675"/>
      <c r="D96" s="675"/>
      <c r="E96" s="675"/>
      <c r="F96" s="675"/>
      <c r="G96" s="675"/>
      <c r="H96" s="675"/>
      <c r="I96" s="675"/>
      <c r="J96" s="675"/>
      <c r="K96" s="675"/>
      <c r="L96" s="675"/>
      <c r="M96" s="675"/>
      <c r="N96" s="675"/>
      <c r="O96" s="675"/>
      <c r="P96" s="675"/>
      <c r="Q96" s="675"/>
      <c r="R96" s="675"/>
      <c r="S96" s="675"/>
      <c r="T96" s="675"/>
      <c r="U96" s="675"/>
      <c r="V96" s="675"/>
      <c r="W96" s="675"/>
      <c r="X96" s="675"/>
      <c r="Y96" s="675"/>
      <c r="Z96" s="675"/>
      <c r="AA96" s="675"/>
      <c r="AB96" s="675"/>
      <c r="AC96" s="675"/>
      <c r="AD96" s="675"/>
      <c r="AE96" s="675"/>
      <c r="AF96" s="675"/>
      <c r="AG96" s="675"/>
      <c r="AH96" s="675"/>
      <c r="AI96" s="675"/>
      <c r="AJ96" s="675"/>
      <c r="AK96" s="675"/>
      <c r="AL96" s="675"/>
      <c r="AM96" s="675"/>
      <c r="AN96" s="675"/>
      <c r="AO96" s="675"/>
      <c r="AP96" s="675"/>
      <c r="AQ96" s="675"/>
      <c r="AR96" s="675"/>
      <c r="AS96" s="675"/>
      <c r="AT96" s="675"/>
      <c r="AU96" s="675"/>
      <c r="AV96" s="675"/>
      <c r="AW96" s="675"/>
      <c r="AX96" s="675"/>
      <c r="AY96" s="675"/>
      <c r="AZ96" s="675"/>
      <c r="BA96" s="675"/>
      <c r="BB96" s="675"/>
      <c r="BC96" s="675"/>
      <c r="BD96" s="675"/>
      <c r="BE96" s="675"/>
      <c r="BF96" s="675"/>
      <c r="BG96" s="675"/>
      <c r="BH96" s="675"/>
      <c r="BI96" s="675"/>
      <c r="BJ96" s="675"/>
      <c r="BK96" s="675"/>
      <c r="BL96" s="675"/>
      <c r="BM96" s="675"/>
      <c r="BN96" s="675"/>
      <c r="BO96" s="675"/>
      <c r="BP96" s="675"/>
      <c r="BQ96" s="675"/>
      <c r="BR96" s="675"/>
      <c r="BS96" s="675"/>
      <c r="BT96" s="675"/>
      <c r="BU96" s="675"/>
      <c r="BV96" s="675"/>
      <c r="BW96" s="675"/>
      <c r="BX96" s="675"/>
      <c r="BY96" s="675"/>
      <c r="BZ96" s="675"/>
      <c r="CA96" s="675"/>
      <c r="CB96" s="675"/>
      <c r="CC96" s="675"/>
      <c r="CD96" s="675"/>
      <c r="CE96" s="675"/>
      <c r="CF96" s="675"/>
      <c r="CG96" s="675"/>
      <c r="CH96" s="675"/>
      <c r="CI96" s="675"/>
      <c r="CJ96" s="675"/>
      <c r="CK96" s="675"/>
      <c r="CL96" s="675"/>
      <c r="CM96" s="675"/>
      <c r="CN96" s="675"/>
      <c r="CO96" s="675"/>
      <c r="CP96" s="675"/>
      <c r="CQ96" s="675"/>
      <c r="CR96" s="675"/>
      <c r="CS96" s="675"/>
      <c r="CT96" s="168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</row>
    <row r="97" spans="1:98" s="43" customFormat="1" ht="12.75" hidden="1" customHeight="1" outlineLevel="1" x14ac:dyDescent="0.2">
      <c r="A97" s="236"/>
      <c r="B97" s="403" t="s">
        <v>1</v>
      </c>
      <c r="C97" s="36"/>
      <c r="D97" s="36"/>
      <c r="E97" s="36"/>
      <c r="F97" s="36"/>
      <c r="G97" s="36"/>
      <c r="H97" s="404"/>
      <c r="I97" s="36"/>
      <c r="J97" s="36"/>
      <c r="K97" s="36"/>
      <c r="L97" s="36"/>
      <c r="M97" s="49"/>
      <c r="N97" s="404"/>
      <c r="O97" s="36"/>
      <c r="P97" s="36"/>
      <c r="Q97" s="36"/>
      <c r="R97" s="36"/>
      <c r="S97" s="49"/>
      <c r="T97" s="404"/>
      <c r="U97" s="36"/>
      <c r="V97" s="36"/>
      <c r="W97" s="36"/>
      <c r="X97" s="36"/>
      <c r="Y97" s="49"/>
      <c r="Z97" s="404"/>
      <c r="AA97" s="36">
        <f>+AA92+AA90+AA94</f>
        <v>91.858000000000004</v>
      </c>
      <c r="AB97" s="36">
        <f>+AB92+AB90+AB94</f>
        <v>100.44</v>
      </c>
      <c r="AC97" s="36">
        <f>+AC92+AC90+AC94</f>
        <v>102.374</v>
      </c>
      <c r="AD97" s="36">
        <f>+AD92+AD90+AD94</f>
        <v>105.374</v>
      </c>
      <c r="AE97" s="36">
        <f>+AE92+AE90+AE94</f>
        <v>400.04599999999999</v>
      </c>
      <c r="AF97" s="404"/>
      <c r="AG97" s="36">
        <f>+AG92+AG90+AG94</f>
        <v>103.96899999999999</v>
      </c>
      <c r="AH97" s="36">
        <f>+AH92+AH90+AH94</f>
        <v>117.61</v>
      </c>
      <c r="AI97" s="36">
        <f>+AI92+AI90+AI94</f>
        <v>123.312</v>
      </c>
      <c r="AJ97" s="36">
        <f>+AJ92+AJ90+AJ94</f>
        <v>127.499</v>
      </c>
      <c r="AK97" s="36">
        <f>+AK92+AK90+AK94</f>
        <v>472.39</v>
      </c>
      <c r="AL97" s="404"/>
      <c r="AM97" s="36">
        <f>+AM92+AM90+AM94</f>
        <v>127.268</v>
      </c>
      <c r="AN97" s="36">
        <f>+AN92+AN90+AN94</f>
        <v>140.65100000000001</v>
      </c>
      <c r="AO97" s="36">
        <f>+AO92+AO90+AO94</f>
        <v>148.38399999999999</v>
      </c>
      <c r="AP97" s="36">
        <f>+AP92+AP90+AP94</f>
        <v>166.089</v>
      </c>
      <c r="AQ97" s="36">
        <f>+AQ92+AQ90+AQ94</f>
        <v>582.39199999999994</v>
      </c>
      <c r="AS97" s="36">
        <f>+AS92+AS90+AS94-AS100</f>
        <v>192.98700000000002</v>
      </c>
      <c r="AT97" s="36">
        <f>+AT92+AT90+AT94-AT100</f>
        <v>196.15800000000002</v>
      </c>
      <c r="AU97" s="36">
        <f>+AU92+AU90+AU94-AU100</f>
        <v>176.19100000000003</v>
      </c>
      <c r="AV97" s="36">
        <f>+AV92+AV90+AV94-AV100</f>
        <v>182.86200000000005</v>
      </c>
      <c r="AW97" s="36">
        <f>+AW92+AW90+AW94</f>
        <v>748.19800000000009</v>
      </c>
      <c r="AY97" s="36">
        <f>+AY92+AY90+AY94-AY100</f>
        <v>164.50700000000001</v>
      </c>
      <c r="AZ97" s="36">
        <f>+AZ92+AZ90+AZ94-AZ100</f>
        <v>179.14200000000002</v>
      </c>
      <c r="BA97" s="36">
        <f>+BA92+BA90+BA94-BA100</f>
        <v>172.97800000000001</v>
      </c>
      <c r="BB97" s="36">
        <f>+BB92+BB90+BB94-BB100</f>
        <v>161.40829509880277</v>
      </c>
      <c r="BC97" s="39">
        <f>+SUM(AY97:BB97)</f>
        <v>678.03529509880275</v>
      </c>
      <c r="BE97" s="36"/>
      <c r="BF97" s="39"/>
      <c r="BG97" s="39"/>
      <c r="BH97" s="39"/>
      <c r="BI97" s="39"/>
      <c r="BK97" s="39"/>
      <c r="BL97" s="39"/>
      <c r="BM97" s="39"/>
      <c r="BN97" s="39"/>
      <c r="BO97" s="39"/>
      <c r="BQ97" s="39"/>
      <c r="BR97" s="39"/>
      <c r="BS97" s="39"/>
      <c r="BT97" s="39"/>
      <c r="BU97" s="39"/>
      <c r="BW97" s="39"/>
      <c r="BX97" s="39"/>
      <c r="BY97" s="39"/>
      <c r="BZ97" s="39"/>
      <c r="CA97" s="39"/>
      <c r="CC97" s="39"/>
      <c r="CD97" s="39"/>
      <c r="CE97" s="39"/>
      <c r="CF97" s="39"/>
      <c r="CG97" s="39"/>
      <c r="CI97" s="39"/>
      <c r="CJ97" s="39"/>
      <c r="CK97" s="39"/>
      <c r="CL97" s="39"/>
      <c r="CM97" s="39"/>
      <c r="CO97" s="39"/>
      <c r="CP97" s="39"/>
      <c r="CQ97" s="39"/>
      <c r="CR97" s="39"/>
      <c r="CS97" s="39"/>
      <c r="CT97" s="39"/>
    </row>
    <row r="98" spans="1:98" s="43" customFormat="1" ht="12.75" hidden="1" customHeight="1" outlineLevel="1" x14ac:dyDescent="0.2">
      <c r="A98" s="237"/>
      <c r="B98" s="285" t="s">
        <v>224</v>
      </c>
      <c r="C98" s="305"/>
      <c r="D98" s="305"/>
      <c r="E98" s="305"/>
      <c r="F98" s="305"/>
      <c r="G98" s="305"/>
      <c r="H98" s="109"/>
      <c r="I98" s="305"/>
      <c r="J98" s="305"/>
      <c r="K98" s="305"/>
      <c r="L98" s="305"/>
      <c r="M98" s="305"/>
      <c r="N98" s="109"/>
      <c r="O98" s="305"/>
      <c r="P98" s="305"/>
      <c r="Q98" s="305"/>
      <c r="R98" s="305"/>
      <c r="S98" s="305"/>
      <c r="T98" s="109"/>
      <c r="U98" s="305"/>
      <c r="V98" s="305"/>
      <c r="W98" s="305"/>
      <c r="X98" s="305"/>
      <c r="Y98" s="305"/>
      <c r="Z98" s="109"/>
      <c r="AA98" s="305"/>
      <c r="AB98" s="305"/>
      <c r="AC98" s="305"/>
      <c r="AD98" s="305"/>
      <c r="AE98" s="305"/>
      <c r="AF98" s="109"/>
      <c r="AG98" s="305">
        <f>AG104/AA97</f>
        <v>0.13184480393651057</v>
      </c>
      <c r="AH98" s="305">
        <f>AH104/AB97</f>
        <v>0.17094782954998011</v>
      </c>
      <c r="AI98" s="305">
        <f>AI104/AC97</f>
        <v>0.20452458632074552</v>
      </c>
      <c r="AJ98" s="305">
        <f>AJ104/AD97</f>
        <v>0.20996640537514</v>
      </c>
      <c r="AK98" s="305">
        <f>AK104/AE97</f>
        <v>0.18083920349159846</v>
      </c>
      <c r="AL98" s="109"/>
      <c r="AM98" s="305">
        <f>AM104/AG97</f>
        <v>0.22409564389385306</v>
      </c>
      <c r="AN98" s="305">
        <f>AN104/AH97</f>
        <v>0.19591021171669085</v>
      </c>
      <c r="AO98" s="305">
        <f>AO104/AI97</f>
        <v>0.20332165563773183</v>
      </c>
      <c r="AP98" s="305">
        <f>AP104/AJ97</f>
        <v>0.30266904054149446</v>
      </c>
      <c r="AQ98" s="305">
        <f>AQ104/AK97</f>
        <v>0.23286267702533925</v>
      </c>
      <c r="AS98" s="305">
        <f>AS104/AM97</f>
        <v>0.51638275135933642</v>
      </c>
      <c r="AT98" s="305">
        <f>AT104/AN97</f>
        <v>0.39464347925005866</v>
      </c>
      <c r="AU98" s="305">
        <f>AU104/AO97</f>
        <v>0.16632521026525804</v>
      </c>
      <c r="AV98" s="305">
        <f>AV104/AP97</f>
        <v>3.5703749194709179E-2</v>
      </c>
      <c r="AW98" s="305">
        <f>AW104/AQ97</f>
        <v>0.26071099877745596</v>
      </c>
      <c r="AY98" s="305">
        <f>AY104/AS97</f>
        <v>-0.20239187095503849</v>
      </c>
      <c r="AZ98" s="305">
        <f>AZ104/AT97</f>
        <v>-0.14201816902700878</v>
      </c>
      <c r="BA98" s="305">
        <f>BA104/AU97</f>
        <v>-2.958720933532372E-2</v>
      </c>
      <c r="BB98" s="305">
        <f>BB104/AV97</f>
        <v>-0.13919625127799803</v>
      </c>
      <c r="BC98" s="305">
        <f>BC104/AW97</f>
        <v>-0.13042497427311661</v>
      </c>
      <c r="BE98" s="305"/>
      <c r="BF98" s="308"/>
      <c r="BG98" s="308"/>
      <c r="BH98" s="308"/>
      <c r="BI98" s="306"/>
      <c r="BK98" s="308"/>
      <c r="BL98" s="308"/>
      <c r="BM98" s="308"/>
      <c r="BN98" s="308"/>
      <c r="BO98" s="306"/>
      <c r="BQ98" s="308"/>
      <c r="BR98" s="308"/>
      <c r="BS98" s="308"/>
      <c r="BT98" s="308"/>
      <c r="BU98" s="306"/>
      <c r="BW98" s="308"/>
      <c r="BX98" s="308"/>
      <c r="BY98" s="308"/>
      <c r="BZ98" s="308"/>
      <c r="CA98" s="306"/>
      <c r="CC98" s="308"/>
      <c r="CD98" s="308"/>
      <c r="CE98" s="308"/>
      <c r="CF98" s="308"/>
      <c r="CG98" s="306"/>
      <c r="CI98" s="308"/>
      <c r="CJ98" s="308"/>
      <c r="CK98" s="308"/>
      <c r="CL98" s="308"/>
      <c r="CM98" s="510"/>
      <c r="CO98" s="308"/>
      <c r="CP98" s="308"/>
      <c r="CQ98" s="308"/>
      <c r="CR98" s="308"/>
      <c r="CS98" s="510"/>
      <c r="CT98" s="306"/>
    </row>
    <row r="99" spans="1:98" s="43" customFormat="1" ht="12.75" hidden="1" customHeight="1" outlineLevel="1" x14ac:dyDescent="0.2">
      <c r="A99" s="237"/>
      <c r="B99" s="285" t="s">
        <v>18</v>
      </c>
      <c r="C99" s="305"/>
      <c r="D99" s="305"/>
      <c r="E99" s="305"/>
      <c r="F99" s="305"/>
      <c r="G99" s="305"/>
      <c r="H99" s="109"/>
      <c r="I99" s="305"/>
      <c r="J99" s="305"/>
      <c r="K99" s="305"/>
      <c r="L99" s="305"/>
      <c r="M99" s="305"/>
      <c r="N99" s="109"/>
      <c r="O99" s="305"/>
      <c r="P99" s="305"/>
      <c r="Q99" s="305"/>
      <c r="R99" s="305"/>
      <c r="S99" s="305"/>
      <c r="T99" s="109"/>
      <c r="U99" s="305"/>
      <c r="V99" s="305"/>
      <c r="W99" s="305"/>
      <c r="X99" s="305"/>
      <c r="Y99" s="305"/>
      <c r="Z99" s="109"/>
      <c r="AA99" s="305"/>
      <c r="AB99" s="305"/>
      <c r="AC99" s="305"/>
      <c r="AD99" s="305"/>
      <c r="AE99" s="305"/>
      <c r="AF99" s="109"/>
      <c r="AG99" s="305">
        <f>IF(ISERROR(+AG98+AA98),"NM",(+AG98+AA98))</f>
        <v>0.13184480393651057</v>
      </c>
      <c r="AH99" s="305">
        <f>IF(ISERROR(+AH98+AB98),"NM",(+AH98+AB98))</f>
        <v>0.17094782954998011</v>
      </c>
      <c r="AI99" s="305">
        <f>IF(ISERROR(+AI98+AC98),"NM",(+AI98+AC98))</f>
        <v>0.20452458632074552</v>
      </c>
      <c r="AJ99" s="305">
        <f>IF(ISERROR(+AJ98+AD98),"NM",(+AJ98+AD98))</f>
        <v>0.20996640537514</v>
      </c>
      <c r="AK99" s="305">
        <f>IF(ISERROR(+AK98+AE98),"NM",(+AK98+AE98))</f>
        <v>0.18083920349159846</v>
      </c>
      <c r="AL99" s="109"/>
      <c r="AM99" s="305">
        <f>IF(ISERROR(+AM98+AG98),"NM",(+AM98+AG98))</f>
        <v>0.3559404478303636</v>
      </c>
      <c r="AN99" s="305">
        <f>IF(ISERROR(+AN98+AH98),"NM",(+AN98+AH98))</f>
        <v>0.36685804126667099</v>
      </c>
      <c r="AO99" s="305">
        <f>IF(ISERROR(+AO98+AI98),"NM",(+AO98+AI98))</f>
        <v>0.40784624195847735</v>
      </c>
      <c r="AP99" s="305">
        <f>IF(ISERROR(+AP98+AJ98),"NM",(+AP98+AJ98))</f>
        <v>0.51263544591663446</v>
      </c>
      <c r="AQ99" s="305">
        <f>IF(ISERROR(+AQ98+AK98),"NM",(+AQ98+AK98))</f>
        <v>0.41370188051693768</v>
      </c>
      <c r="AS99" s="305">
        <f>IF(ISERROR(+AS98+AM98),"NM",(+AS98+AM98))</f>
        <v>0.74047839525318948</v>
      </c>
      <c r="AT99" s="305">
        <f>IF(ISERROR(+AT98+AN98),"NM",(+AT98+AN98))</f>
        <v>0.59055369096674948</v>
      </c>
      <c r="AU99" s="305">
        <f>IF(ISERROR(+AU98+AO98),"NM",(+AU98+AO98))</f>
        <v>0.3696468659029899</v>
      </c>
      <c r="AV99" s="305">
        <f>IF(ISERROR(+AV98+AP98),"NM",(+AV98+AP98))</f>
        <v>0.33837278973620366</v>
      </c>
      <c r="AW99" s="305">
        <f>IF(ISERROR(+AW98+AQ98),"NM",(+AW98+AQ98))</f>
        <v>0.49357367580279521</v>
      </c>
      <c r="AY99" s="305">
        <f>IF(ISERROR(+AY98+AS98),"NM",(+AY98+AS98))</f>
        <v>0.3139908804042979</v>
      </c>
      <c r="AZ99" s="305">
        <f>IF(ISERROR(+AZ98+AT98),"NM",(+AZ98+AT98))</f>
        <v>0.2526253102230499</v>
      </c>
      <c r="BA99" s="305">
        <f>IF(ISERROR(+BA98+AU98),"NM",(+BA98+AU98))</f>
        <v>0.13673800092993432</v>
      </c>
      <c r="BB99" s="305">
        <f>IF(ISERROR(+BB98+AV98),"NM",(+BB98+AV98))</f>
        <v>-0.10349250208328886</v>
      </c>
      <c r="BC99" s="305">
        <f>IF(ISERROR(+BC98+AW98),"NM",(+BC98+AW98))</f>
        <v>0.13028602450433935</v>
      </c>
      <c r="BE99" s="305"/>
      <c r="BF99" s="308"/>
      <c r="BG99" s="308"/>
      <c r="BH99" s="308"/>
      <c r="BI99" s="306"/>
      <c r="BK99" s="308"/>
      <c r="BL99" s="308"/>
      <c r="BM99" s="308"/>
      <c r="BN99" s="308"/>
      <c r="BO99" s="306"/>
      <c r="BQ99" s="308"/>
      <c r="BR99" s="308"/>
      <c r="BS99" s="308"/>
      <c r="BT99" s="308"/>
      <c r="BU99" s="306"/>
      <c r="BW99" s="308"/>
      <c r="BX99" s="308"/>
      <c r="BY99" s="308"/>
      <c r="BZ99" s="308"/>
      <c r="CA99" s="306"/>
      <c r="CC99" s="308"/>
      <c r="CD99" s="308"/>
      <c r="CE99" s="308"/>
      <c r="CF99" s="308"/>
      <c r="CG99" s="306"/>
      <c r="CI99" s="308"/>
      <c r="CJ99" s="308"/>
      <c r="CK99" s="308"/>
      <c r="CL99" s="308"/>
      <c r="CM99" s="510"/>
      <c r="CO99" s="308"/>
      <c r="CP99" s="308"/>
      <c r="CQ99" s="308"/>
      <c r="CR99" s="308"/>
      <c r="CS99" s="510"/>
      <c r="CT99" s="306"/>
    </row>
    <row r="100" spans="1:98" s="43" customFormat="1" ht="12.75" hidden="1" customHeight="1" outlineLevel="1" x14ac:dyDescent="0.2">
      <c r="A100" s="237"/>
      <c r="B100" s="32" t="s">
        <v>87</v>
      </c>
      <c r="C100" s="48"/>
      <c r="D100" s="48"/>
      <c r="E100" s="48"/>
      <c r="F100" s="48"/>
      <c r="G100" s="49"/>
      <c r="H100" s="109"/>
      <c r="I100" s="48"/>
      <c r="J100" s="48"/>
      <c r="K100" s="48"/>
      <c r="L100" s="48"/>
      <c r="M100" s="49"/>
      <c r="N100" s="109"/>
      <c r="O100" s="48"/>
      <c r="P100" s="48"/>
      <c r="Q100" s="48"/>
      <c r="R100" s="48"/>
      <c r="S100" s="49"/>
      <c r="T100" s="109"/>
      <c r="U100" s="48"/>
      <c r="V100" s="48"/>
      <c r="W100" s="48"/>
      <c r="X100" s="48"/>
      <c r="Y100" s="49"/>
      <c r="Z100" s="109"/>
      <c r="AA100" s="48">
        <v>0</v>
      </c>
      <c r="AB100" s="48">
        <v>0</v>
      </c>
      <c r="AC100" s="48">
        <v>0</v>
      </c>
      <c r="AD100" s="48">
        <v>0</v>
      </c>
      <c r="AE100" s="49">
        <f>+SUM(AA100:AD100)</f>
        <v>0</v>
      </c>
      <c r="AF100" s="109"/>
      <c r="AG100" s="48">
        <v>0</v>
      </c>
      <c r="AH100" s="48">
        <v>0</v>
      </c>
      <c r="AI100" s="48">
        <v>0</v>
      </c>
      <c r="AJ100" s="48">
        <v>0</v>
      </c>
      <c r="AK100" s="49">
        <f>+SUM(AG100:AJ100)</f>
        <v>0</v>
      </c>
      <c r="AL100" s="109"/>
      <c r="AM100" s="702"/>
      <c r="AN100" s="702"/>
      <c r="AO100" s="702"/>
      <c r="AP100" s="702"/>
      <c r="AQ100" s="49"/>
      <c r="AS100" s="702"/>
      <c r="AT100" s="702"/>
      <c r="AU100" s="702"/>
      <c r="AV100" s="702"/>
      <c r="AW100" s="49"/>
      <c r="AY100" s="702"/>
      <c r="AZ100" s="702"/>
      <c r="BA100" s="702"/>
      <c r="BB100" s="702">
        <v>3.9747049011971933</v>
      </c>
      <c r="BC100" s="49">
        <f>+SUM(AY100:BB100)</f>
        <v>3.9747049011971933</v>
      </c>
      <c r="BE100" s="702"/>
      <c r="BF100" s="39"/>
      <c r="BG100" s="39"/>
      <c r="BH100" s="39"/>
      <c r="BI100" s="39"/>
      <c r="BK100" s="39"/>
      <c r="BL100" s="39"/>
      <c r="BM100" s="39"/>
      <c r="BN100" s="39"/>
      <c r="BO100" s="39"/>
      <c r="BQ100" s="39"/>
      <c r="BR100" s="39"/>
      <c r="BS100" s="39"/>
      <c r="BT100" s="39"/>
      <c r="BU100" s="39"/>
      <c r="BW100" s="39"/>
      <c r="BX100" s="39"/>
      <c r="BY100" s="39"/>
      <c r="BZ100" s="39"/>
      <c r="CA100" s="39"/>
      <c r="CC100" s="39"/>
      <c r="CD100" s="39"/>
      <c r="CE100" s="39"/>
      <c r="CF100" s="39"/>
      <c r="CG100" s="39"/>
      <c r="CI100" s="39"/>
      <c r="CJ100" s="39"/>
      <c r="CK100" s="39"/>
      <c r="CL100" s="39"/>
      <c r="CM100" s="39"/>
      <c r="CO100" s="39"/>
      <c r="CP100" s="39"/>
      <c r="CQ100" s="39"/>
      <c r="CR100" s="39"/>
      <c r="CS100" s="39"/>
      <c r="CT100" s="39"/>
    </row>
    <row r="101" spans="1:98" s="43" customFormat="1" ht="12.75" hidden="1" customHeight="1" outlineLevel="1" x14ac:dyDescent="0.2">
      <c r="A101" s="237"/>
      <c r="B101" s="285" t="s">
        <v>183</v>
      </c>
      <c r="C101" s="305"/>
      <c r="D101" s="305"/>
      <c r="E101" s="305"/>
      <c r="F101" s="305"/>
      <c r="G101" s="305"/>
      <c r="H101" s="109"/>
      <c r="I101" s="305"/>
      <c r="J101" s="305"/>
      <c r="K101" s="305"/>
      <c r="L101" s="305"/>
      <c r="M101" s="305"/>
      <c r="N101" s="109"/>
      <c r="O101" s="305"/>
      <c r="P101" s="305"/>
      <c r="Q101" s="305"/>
      <c r="R101" s="305"/>
      <c r="S101" s="305"/>
      <c r="T101" s="109"/>
      <c r="U101" s="305"/>
      <c r="V101" s="305"/>
      <c r="W101" s="305"/>
      <c r="X101" s="305"/>
      <c r="Y101" s="305"/>
      <c r="Z101" s="109"/>
      <c r="AA101" s="305"/>
      <c r="AB101" s="305"/>
      <c r="AC101" s="305"/>
      <c r="AD101" s="305"/>
      <c r="AE101" s="305"/>
      <c r="AF101" s="109"/>
      <c r="AG101" s="305" t="str">
        <f>IF(ISERROR(AG100/AA100-1),"NM",AG100/AA100-1)</f>
        <v>NM</v>
      </c>
      <c r="AH101" s="305" t="str">
        <f>IF(ISERROR(AH100/AB100-1),"NM",AH100/AB100-1)</f>
        <v>NM</v>
      </c>
      <c r="AI101" s="305" t="str">
        <f>IF(ISERROR(AI100/AC100-1),"NM",AI100/AC100-1)</f>
        <v>NM</v>
      </c>
      <c r="AJ101" s="305" t="str">
        <f>IF(ISERROR(AJ100/AD100-1),"NM",AJ100/AD100-1)</f>
        <v>NM</v>
      </c>
      <c r="AK101" s="305" t="str">
        <f>IF(ISERROR(AK100/AE100-1),"NM",AK100/AE100-1)</f>
        <v>NM</v>
      </c>
      <c r="AL101" s="109"/>
      <c r="AM101" s="305" t="str">
        <f>IF(ISERROR(AM100/AG100-1),"NM",AM100/AG100-1)</f>
        <v>NM</v>
      </c>
      <c r="AN101" s="305" t="str">
        <f>IF(ISERROR(AN100/AH100-1),"NM",AN100/AH100-1)</f>
        <v>NM</v>
      </c>
      <c r="AO101" s="305" t="str">
        <f>IF(ISERROR(AO100/AI100-1),"NM",AO100/AI100-1)</f>
        <v>NM</v>
      </c>
      <c r="AP101" s="305" t="str">
        <f>IF(ISERROR(AP100/AJ100-1),"NM",AP100/AJ100-1)</f>
        <v>NM</v>
      </c>
      <c r="AQ101" s="305" t="str">
        <f>IF(ISERROR(AQ100/AK100-1),"NM",AQ100/AK100-1)</f>
        <v>NM</v>
      </c>
      <c r="AS101" s="703">
        <v>1.25</v>
      </c>
      <c r="AT101" s="703">
        <v>1.38</v>
      </c>
      <c r="AU101" s="703">
        <v>1.05</v>
      </c>
      <c r="AV101" s="703">
        <v>0.89</v>
      </c>
      <c r="AW101" s="703">
        <v>1.0900000000000001</v>
      </c>
      <c r="AX101" s="704"/>
      <c r="AY101" s="703">
        <v>0.91632478632478609</v>
      </c>
      <c r="AZ101" s="703">
        <v>1.18</v>
      </c>
      <c r="BA101" s="703">
        <v>0.63</v>
      </c>
      <c r="BB101" s="703">
        <v>-0.15879261350323959</v>
      </c>
      <c r="BC101" s="703">
        <v>0.72</v>
      </c>
      <c r="BE101" s="703"/>
      <c r="BF101" s="308"/>
      <c r="BG101" s="308"/>
      <c r="BH101" s="308"/>
      <c r="BI101" s="306"/>
      <c r="BK101" s="308"/>
      <c r="BL101" s="308"/>
      <c r="BM101" s="308"/>
      <c r="BN101" s="308"/>
      <c r="BO101" s="306"/>
      <c r="BQ101" s="308"/>
      <c r="BR101" s="308"/>
      <c r="BS101" s="308"/>
      <c r="BT101" s="308"/>
      <c r="BU101" s="306"/>
      <c r="BW101" s="308"/>
      <c r="BX101" s="308"/>
      <c r="BY101" s="308"/>
      <c r="BZ101" s="308"/>
      <c r="CA101" s="306"/>
      <c r="CC101" s="308"/>
      <c r="CD101" s="308"/>
      <c r="CE101" s="308"/>
      <c r="CF101" s="308"/>
      <c r="CG101" s="306"/>
      <c r="CI101" s="308"/>
      <c r="CJ101" s="308"/>
      <c r="CK101" s="308"/>
      <c r="CL101" s="308"/>
      <c r="CM101" s="510"/>
      <c r="CO101" s="308"/>
      <c r="CP101" s="308"/>
      <c r="CQ101" s="308"/>
      <c r="CR101" s="308"/>
      <c r="CS101" s="510"/>
      <c r="CT101" s="306"/>
    </row>
    <row r="102" spans="1:98" s="43" customFormat="1" ht="12.75" hidden="1" customHeight="1" outlineLevel="1" x14ac:dyDescent="0.2">
      <c r="A102" s="237"/>
      <c r="B102" s="285" t="s">
        <v>224</v>
      </c>
      <c r="C102" s="305"/>
      <c r="D102" s="305"/>
      <c r="E102" s="305"/>
      <c r="F102" s="305"/>
      <c r="G102" s="305"/>
      <c r="H102" s="109"/>
      <c r="I102" s="305"/>
      <c r="J102" s="305"/>
      <c r="K102" s="305"/>
      <c r="L102" s="305"/>
      <c r="M102" s="305"/>
      <c r="N102" s="109"/>
      <c r="O102" s="305"/>
      <c r="P102" s="305"/>
      <c r="Q102" s="305"/>
      <c r="R102" s="305"/>
      <c r="S102" s="305"/>
      <c r="T102" s="109"/>
      <c r="U102" s="305"/>
      <c r="V102" s="305"/>
      <c r="W102" s="305"/>
      <c r="X102" s="305"/>
      <c r="Y102" s="305"/>
      <c r="Z102" s="109"/>
      <c r="AA102" s="305"/>
      <c r="AB102" s="305"/>
      <c r="AC102" s="305"/>
      <c r="AD102" s="305"/>
      <c r="AE102" s="305"/>
      <c r="AF102" s="109"/>
      <c r="AG102" s="305" t="str">
        <f>IF(ISERROR(AG106/AA100),"NM",(AG106/AA100))</f>
        <v>NM</v>
      </c>
      <c r="AH102" s="305" t="str">
        <f>IF(ISERROR(AH106/AB100),"NM",(AH106/AB100))</f>
        <v>NM</v>
      </c>
      <c r="AI102" s="305" t="str">
        <f>IF(ISERROR(AI106/AC100),"NM",(AI106/AC100))</f>
        <v>NM</v>
      </c>
      <c r="AJ102" s="305" t="str">
        <f>IF(ISERROR(AJ106/AD100),"NM",(AJ106/AD100))</f>
        <v>NM</v>
      </c>
      <c r="AK102" s="305" t="str">
        <f>IF(ISERROR(AK106/AE100),"NM",(AK106/AE100))</f>
        <v>NM</v>
      </c>
      <c r="AL102" s="109"/>
      <c r="AM102" s="305" t="str">
        <f>IF(ISERROR(AM106/AG100),"NM",(AM106/AG100))</f>
        <v>NM</v>
      </c>
      <c r="AN102" s="305" t="str">
        <f>IF(ISERROR(AN106/AH100),"NM",(AN106/AH100))</f>
        <v>NM</v>
      </c>
      <c r="AO102" s="305" t="str">
        <f>IF(ISERROR(AO106/AI100),"NM",(AO106/AI100))</f>
        <v>NM</v>
      </c>
      <c r="AP102" s="305" t="str">
        <f>IF(ISERROR(AP106/AJ100),"NM",(AP106/AJ100))</f>
        <v>NM</v>
      </c>
      <c r="AQ102" s="305" t="str">
        <f>IF(ISERROR(AQ106/AK100),"NM",(AQ106/AK100))</f>
        <v>NM</v>
      </c>
      <c r="AS102" s="305" t="str">
        <f>IF(ISERROR(AS106/AM100),"NM",(AS106/AM100))</f>
        <v>NM</v>
      </c>
      <c r="AT102" s="305" t="str">
        <f>IF(ISERROR(AT106/AN100),"NM",(AT106/AN100))</f>
        <v>NM</v>
      </c>
      <c r="AU102" s="305" t="str">
        <f>IF(ISERROR(AU106/AO100),"NM",(AU106/AO100))</f>
        <v>NM</v>
      </c>
      <c r="AV102" s="305" t="str">
        <f>IF(ISERROR(AV106/AP100),"NM",(AV106/AP100))</f>
        <v>NM</v>
      </c>
      <c r="AW102" s="305" t="str">
        <f>IF(ISERROR(AW106/AQ100),"NM",(AW106/AQ100))</f>
        <v>NM</v>
      </c>
      <c r="AY102" s="305" t="str">
        <f>IF(ISERROR(AY106/AS100),"NM",(AY106/AS100))</f>
        <v>NM</v>
      </c>
      <c r="AZ102" s="305" t="str">
        <f>IF(ISERROR(AZ106/AT100),"NM",(AZ106/AT100))</f>
        <v>NM</v>
      </c>
      <c r="BA102" s="305" t="str">
        <f>IF(ISERROR(BA106/AU100),"NM",(BA106/AU100))</f>
        <v>NM</v>
      </c>
      <c r="BB102" s="305" t="str">
        <f>IF(ISERROR(BB106/AV100),"NM",(BB106/AV100))</f>
        <v>NM</v>
      </c>
      <c r="BC102" s="305" t="str">
        <f>IF(ISERROR(BC106/AW100),"NM",(BC106/AW100))</f>
        <v>NM</v>
      </c>
      <c r="BE102" s="305"/>
      <c r="BF102" s="308"/>
      <c r="BG102" s="308"/>
      <c r="BH102" s="308"/>
      <c r="BI102" s="306"/>
      <c r="BK102" s="308"/>
      <c r="BL102" s="308"/>
      <c r="BM102" s="308"/>
      <c r="BN102" s="308"/>
      <c r="BO102" s="306"/>
      <c r="BQ102" s="308"/>
      <c r="BR102" s="308"/>
      <c r="BS102" s="308"/>
      <c r="BT102" s="308"/>
      <c r="BU102" s="306"/>
      <c r="BW102" s="308"/>
      <c r="BX102" s="308"/>
      <c r="BY102" s="308"/>
      <c r="BZ102" s="308"/>
      <c r="CA102" s="306"/>
      <c r="CC102" s="308"/>
      <c r="CD102" s="308"/>
      <c r="CE102" s="308"/>
      <c r="CF102" s="308"/>
      <c r="CG102" s="306"/>
      <c r="CI102" s="308"/>
      <c r="CJ102" s="308"/>
      <c r="CK102" s="308"/>
      <c r="CL102" s="308"/>
      <c r="CM102" s="510"/>
      <c r="CO102" s="308"/>
      <c r="CP102" s="308"/>
      <c r="CQ102" s="308"/>
      <c r="CR102" s="308"/>
      <c r="CS102" s="510"/>
      <c r="CT102" s="306"/>
    </row>
    <row r="103" spans="1:98" s="43" customFormat="1" ht="12.75" hidden="1" customHeight="1" outlineLevel="1" x14ac:dyDescent="0.2">
      <c r="A103" s="237"/>
      <c r="B103" s="285" t="s">
        <v>18</v>
      </c>
      <c r="C103" s="305"/>
      <c r="D103" s="305"/>
      <c r="E103" s="305"/>
      <c r="F103" s="305"/>
      <c r="G103" s="305"/>
      <c r="H103" s="109"/>
      <c r="I103" s="305"/>
      <c r="J103" s="305"/>
      <c r="K103" s="305"/>
      <c r="L103" s="305"/>
      <c r="M103" s="305"/>
      <c r="N103" s="109"/>
      <c r="O103" s="305"/>
      <c r="P103" s="305"/>
      <c r="Q103" s="305"/>
      <c r="R103" s="305"/>
      <c r="S103" s="305"/>
      <c r="T103" s="109"/>
      <c r="U103" s="305"/>
      <c r="V103" s="305"/>
      <c r="W103" s="305"/>
      <c r="X103" s="305"/>
      <c r="Y103" s="305"/>
      <c r="Z103" s="109"/>
      <c r="AA103" s="305"/>
      <c r="AB103" s="305"/>
      <c r="AC103" s="305"/>
      <c r="AD103" s="305"/>
      <c r="AE103" s="305"/>
      <c r="AF103" s="109"/>
      <c r="AG103" s="305" t="str">
        <f>IF(ISERROR(+AG102+AA102),"NM",(+AG102+AA102))</f>
        <v>NM</v>
      </c>
      <c r="AH103" s="305" t="str">
        <f>IF(ISERROR(+AH102+AB102),"NM",(+AH102+AB102))</f>
        <v>NM</v>
      </c>
      <c r="AI103" s="305" t="str">
        <f>IF(ISERROR(+AI102+AC102),"NM",(+AI102+AC102))</f>
        <v>NM</v>
      </c>
      <c r="AJ103" s="305" t="str">
        <f>IF(ISERROR(+AJ102+AD102),"NM",(+AJ102+AD102))</f>
        <v>NM</v>
      </c>
      <c r="AK103" s="305" t="str">
        <f>IF(ISERROR(+AK102+AE102),"NM",(+AK102+AE102))</f>
        <v>NM</v>
      </c>
      <c r="AL103" s="109"/>
      <c r="AM103" s="305" t="str">
        <f>IF(ISERROR(+AM102+AG102),"NM",(+AM102+AG102))</f>
        <v>NM</v>
      </c>
      <c r="AN103" s="305" t="str">
        <f>IF(ISERROR(+AN102+AH102),"NM",(+AN102+AH102))</f>
        <v>NM</v>
      </c>
      <c r="AO103" s="305" t="str">
        <f>IF(ISERROR(+AO102+AI102),"NM",(+AO102+AI102))</f>
        <v>NM</v>
      </c>
      <c r="AP103" s="305" t="str">
        <f>IF(ISERROR(+AP102+AJ102),"NM",(+AP102+AJ102))</f>
        <v>NM</v>
      </c>
      <c r="AQ103" s="305" t="str">
        <f>IF(ISERROR(+AQ102+AK102),"NM",(+AQ102+AK102))</f>
        <v>NM</v>
      </c>
      <c r="AS103" s="305" t="str">
        <f>IF(ISERROR(+AS102+AM102),"NM",(+AS102+AM102))</f>
        <v>NM</v>
      </c>
      <c r="AT103" s="305" t="str">
        <f>IF(ISERROR(+AT102+AN102),"NM",(+AT102+AN102))</f>
        <v>NM</v>
      </c>
      <c r="AU103" s="305" t="str">
        <f>IF(ISERROR(+AU102+AO102),"NM",(+AU102+AO102))</f>
        <v>NM</v>
      </c>
      <c r="AV103" s="305" t="str">
        <f>IF(ISERROR(+AV102+AP102),"NM",(+AV102+AP102))</f>
        <v>NM</v>
      </c>
      <c r="AW103" s="305" t="str">
        <f>IF(ISERROR(+AW102+AQ102),"NM",(+AW102+AQ102))</f>
        <v>NM</v>
      </c>
      <c r="AY103" s="305" t="str">
        <f>IF(ISERROR(+AY102+AS102),"NM",(+AY102+AS102))</f>
        <v>NM</v>
      </c>
      <c r="AZ103" s="305" t="str">
        <f>IF(ISERROR(+AZ102+AT102),"NM",(+AZ102+AT102))</f>
        <v>NM</v>
      </c>
      <c r="BA103" s="305" t="str">
        <f>IF(ISERROR(+BA102+AU102),"NM",(+BA102+AU102))</f>
        <v>NM</v>
      </c>
      <c r="BB103" s="305" t="str">
        <f>IF(ISERROR(+BB102+AV102),"NM",(+BB102+AV102))</f>
        <v>NM</v>
      </c>
      <c r="BC103" s="305" t="str">
        <f>IF(ISERROR(+BC102+AW102),"NM",(+BC102+AW102))</f>
        <v>NM</v>
      </c>
      <c r="BE103" s="305"/>
      <c r="BF103" s="308"/>
      <c r="BG103" s="308"/>
      <c r="BH103" s="308"/>
      <c r="BI103" s="306"/>
      <c r="BK103" s="308"/>
      <c r="BL103" s="308"/>
      <c r="BM103" s="308"/>
      <c r="BN103" s="308"/>
      <c r="BO103" s="306"/>
      <c r="BQ103" s="308"/>
      <c r="BR103" s="308"/>
      <c r="BS103" s="308"/>
      <c r="BT103" s="308"/>
      <c r="BU103" s="306"/>
      <c r="BW103" s="308"/>
      <c r="BX103" s="308"/>
      <c r="BY103" s="308"/>
      <c r="BZ103" s="308"/>
      <c r="CA103" s="306"/>
      <c r="CC103" s="308"/>
      <c r="CD103" s="308"/>
      <c r="CE103" s="308"/>
      <c r="CF103" s="308"/>
      <c r="CG103" s="306"/>
      <c r="CI103" s="308"/>
      <c r="CJ103" s="308"/>
      <c r="CK103" s="308"/>
      <c r="CL103" s="308"/>
      <c r="CM103" s="510"/>
      <c r="CO103" s="308"/>
      <c r="CP103" s="308"/>
      <c r="CQ103" s="308"/>
      <c r="CR103" s="308"/>
      <c r="CS103" s="510"/>
      <c r="CT103" s="306"/>
    </row>
    <row r="104" spans="1:98" s="43" customFormat="1" hidden="1" outlineLevel="1" x14ac:dyDescent="0.2">
      <c r="A104" s="334"/>
      <c r="B104" s="700" t="s">
        <v>8</v>
      </c>
      <c r="C104" s="305"/>
      <c r="D104" s="305"/>
      <c r="E104" s="305"/>
      <c r="F104" s="305"/>
      <c r="G104" s="305"/>
      <c r="H104" s="39"/>
      <c r="I104" s="39"/>
      <c r="J104" s="39"/>
      <c r="K104" s="39"/>
      <c r="L104" s="39"/>
      <c r="M104" s="307"/>
      <c r="N104" s="39"/>
      <c r="O104" s="39"/>
      <c r="P104" s="39"/>
      <c r="Q104" s="39"/>
      <c r="R104" s="39"/>
      <c r="S104" s="307"/>
      <c r="T104" s="39"/>
      <c r="U104" s="39"/>
      <c r="V104" s="39"/>
      <c r="W104" s="39"/>
      <c r="X104" s="39"/>
      <c r="Y104" s="307"/>
      <c r="Z104" s="39"/>
      <c r="AA104" s="39">
        <f>AA97-U97-AA88</f>
        <v>91.858000000000004</v>
      </c>
      <c r="AB104" s="39">
        <f>AB97-V97-AB88</f>
        <v>100.44</v>
      </c>
      <c r="AC104" s="39">
        <f>AC97-W97-AC88</f>
        <v>102.374</v>
      </c>
      <c r="AD104" s="39">
        <f>AD97-X97-AD88</f>
        <v>105.374</v>
      </c>
      <c r="AE104" s="307">
        <f>SUM(AA104:AD104)</f>
        <v>400.04600000000005</v>
      </c>
      <c r="AF104" s="39"/>
      <c r="AG104" s="39">
        <f>AG97-AA97-AG88</f>
        <v>12.11099999999999</v>
      </c>
      <c r="AH104" s="39">
        <f>AH97-AB97-AH88</f>
        <v>17.170000000000002</v>
      </c>
      <c r="AI104" s="39">
        <f>AI97-AC97-AI88</f>
        <v>20.938000000000002</v>
      </c>
      <c r="AJ104" s="39">
        <f>AJ97-AD97-AJ88</f>
        <v>22.125</v>
      </c>
      <c r="AK104" s="307">
        <f>SUM(AG104:AJ104)</f>
        <v>72.343999999999994</v>
      </c>
      <c r="AL104" s="39"/>
      <c r="AM104" s="39">
        <f>AM97-AG97-AM88</f>
        <v>23.299000000000007</v>
      </c>
      <c r="AN104" s="39">
        <f>AN97-AH97-AN88</f>
        <v>23.041000000000011</v>
      </c>
      <c r="AO104" s="39">
        <f>AO97-AI97-AO88</f>
        <v>25.071999999999989</v>
      </c>
      <c r="AP104" s="39">
        <f>AP97-AJ97-AP88</f>
        <v>38.590000000000003</v>
      </c>
      <c r="AQ104" s="307">
        <f>SUM(AM104:AP104)</f>
        <v>110.00200000000001</v>
      </c>
      <c r="AR104" s="39"/>
      <c r="AS104" s="39">
        <f>AS97-AM97-AS88</f>
        <v>65.719000000000023</v>
      </c>
      <c r="AT104" s="39">
        <f>AT97-AN97-AT88</f>
        <v>55.507000000000005</v>
      </c>
      <c r="AU104" s="39">
        <f>AU97-AO97-AU88</f>
        <v>24.680000000000046</v>
      </c>
      <c r="AV104" s="39">
        <f>AV97-AP97-AV88</f>
        <v>5.930000000000053</v>
      </c>
      <c r="AW104" s="307">
        <f>SUM(AS104:AV104)</f>
        <v>151.83600000000013</v>
      </c>
      <c r="AX104" s="39"/>
      <c r="AY104" s="39">
        <f>AY97-AS97-AY88</f>
        <v>-39.059000000000019</v>
      </c>
      <c r="AZ104" s="39">
        <f>AZ97-AT97-AZ88</f>
        <v>-27.85799999999999</v>
      </c>
      <c r="BA104" s="39">
        <f>BA97-AU97-BA88</f>
        <v>-5.2130000000000223</v>
      </c>
      <c r="BB104" s="39">
        <f>BB97-AV97-BB88</f>
        <v>-25.453704901197284</v>
      </c>
      <c r="BC104" s="307">
        <f>SUM(AY104:BB104)</f>
        <v>-97.583704901197308</v>
      </c>
      <c r="BD104" s="39"/>
      <c r="BE104" s="39"/>
      <c r="BF104" s="39"/>
      <c r="BG104" s="39"/>
      <c r="BH104" s="39"/>
      <c r="BI104" s="307"/>
      <c r="BJ104" s="39"/>
      <c r="BK104" s="39"/>
      <c r="BL104" s="39"/>
      <c r="BM104" s="39"/>
      <c r="BN104" s="39"/>
      <c r="BO104" s="307"/>
      <c r="BP104" s="39"/>
      <c r="BQ104" s="39"/>
      <c r="BR104" s="39"/>
      <c r="BS104" s="39"/>
      <c r="BT104" s="39"/>
      <c r="BU104" s="307"/>
      <c r="BV104" s="39"/>
      <c r="BW104" s="39"/>
      <c r="BX104" s="39"/>
      <c r="BY104" s="39"/>
      <c r="BZ104" s="39"/>
      <c r="CA104" s="307"/>
      <c r="CB104" s="39"/>
      <c r="CC104" s="39"/>
      <c r="CD104" s="39"/>
      <c r="CE104" s="39"/>
      <c r="CF104" s="39"/>
      <c r="CG104" s="307"/>
      <c r="CH104" s="39"/>
      <c r="CI104" s="39"/>
      <c r="CJ104" s="39"/>
      <c r="CK104" s="39"/>
      <c r="CL104" s="39"/>
      <c r="CM104" s="307"/>
      <c r="CN104" s="39"/>
      <c r="CO104" s="39"/>
      <c r="CP104" s="39"/>
      <c r="CQ104" s="39"/>
      <c r="CR104" s="39"/>
      <c r="CS104" s="307"/>
    </row>
    <row r="105" spans="1:98" s="43" customFormat="1" hidden="1" outlineLevel="1" x14ac:dyDescent="0.2">
      <c r="A105" s="334"/>
      <c r="B105" s="701" t="s">
        <v>59</v>
      </c>
      <c r="C105" s="305"/>
      <c r="D105" s="305"/>
      <c r="E105" s="305"/>
      <c r="F105" s="305"/>
      <c r="G105" s="305"/>
      <c r="H105" s="109"/>
      <c r="I105" s="39"/>
      <c r="J105" s="39"/>
      <c r="K105" s="39"/>
      <c r="L105" s="39"/>
      <c r="M105" s="39"/>
      <c r="N105" s="109"/>
      <c r="O105" s="39"/>
      <c r="P105" s="39"/>
      <c r="Q105" s="39"/>
      <c r="R105" s="39"/>
      <c r="S105" s="39"/>
      <c r="T105" s="109"/>
      <c r="U105" s="39"/>
      <c r="V105" s="39"/>
      <c r="W105" s="39"/>
      <c r="X105" s="39"/>
      <c r="Y105" s="39"/>
      <c r="Z105" s="109"/>
      <c r="AA105" s="39">
        <f>AA104+U104</f>
        <v>91.858000000000004</v>
      </c>
      <c r="AB105" s="39">
        <f>AB104+V104</f>
        <v>100.44</v>
      </c>
      <c r="AC105" s="39">
        <f>AC104+W104</f>
        <v>102.374</v>
      </c>
      <c r="AD105" s="39">
        <f>AD104+X104</f>
        <v>105.374</v>
      </c>
      <c r="AE105" s="39">
        <f>AE104+Y104</f>
        <v>400.04600000000005</v>
      </c>
      <c r="AF105" s="109"/>
      <c r="AG105" s="39">
        <f>AG104+AA104</f>
        <v>103.96899999999999</v>
      </c>
      <c r="AH105" s="39">
        <f>AH104+AB104</f>
        <v>117.61</v>
      </c>
      <c r="AI105" s="39">
        <f>AI104+AC104</f>
        <v>123.312</v>
      </c>
      <c r="AJ105" s="39">
        <f>AJ104+AD104</f>
        <v>127.499</v>
      </c>
      <c r="AK105" s="39">
        <f>AK104+AE104</f>
        <v>472.39000000000004</v>
      </c>
      <c r="AL105" s="109"/>
      <c r="AM105" s="39">
        <f>AM104+AG104</f>
        <v>35.409999999999997</v>
      </c>
      <c r="AN105" s="39">
        <f>AN104+AH104</f>
        <v>40.211000000000013</v>
      </c>
      <c r="AO105" s="39">
        <f>AO104+AI104</f>
        <v>46.009999999999991</v>
      </c>
      <c r="AP105" s="39">
        <f>AP104+AJ104</f>
        <v>60.715000000000003</v>
      </c>
      <c r="AQ105" s="39">
        <f>AQ104+AK104</f>
        <v>182.346</v>
      </c>
      <c r="AR105" s="109"/>
      <c r="AS105" s="39">
        <f>AS104+AM104</f>
        <v>89.018000000000029</v>
      </c>
      <c r="AT105" s="39">
        <f>AT104+AN104</f>
        <v>78.548000000000016</v>
      </c>
      <c r="AU105" s="39">
        <f>AU104+AO104</f>
        <v>49.752000000000038</v>
      </c>
      <c r="AV105" s="39">
        <f>AV104+AP104</f>
        <v>44.520000000000053</v>
      </c>
      <c r="AW105" s="39">
        <f>AW104+AQ104</f>
        <v>261.83800000000014</v>
      </c>
      <c r="AX105" s="109"/>
      <c r="AY105" s="39">
        <f>AY104+AS104</f>
        <v>26.660000000000004</v>
      </c>
      <c r="AZ105" s="39">
        <f>AZ104+AT104</f>
        <v>27.649000000000015</v>
      </c>
      <c r="BA105" s="39">
        <f>BA104+AU104</f>
        <v>19.467000000000024</v>
      </c>
      <c r="BB105" s="39">
        <f>BB104+AV104</f>
        <v>-19.523704901197231</v>
      </c>
      <c r="BC105" s="39">
        <f>BC104+AW104</f>
        <v>54.252295098802819</v>
      </c>
      <c r="BD105" s="109"/>
      <c r="BE105" s="39"/>
      <c r="BF105" s="39"/>
      <c r="BG105" s="39"/>
      <c r="BH105" s="39"/>
      <c r="BI105" s="39"/>
      <c r="BJ105" s="109"/>
      <c r="BK105" s="39"/>
      <c r="BL105" s="39"/>
      <c r="BM105" s="39"/>
      <c r="BN105" s="39"/>
      <c r="BO105" s="39"/>
      <c r="BP105" s="109"/>
      <c r="BQ105" s="39"/>
      <c r="BR105" s="39"/>
      <c r="BS105" s="39"/>
      <c r="BT105" s="39"/>
      <c r="BU105" s="39"/>
      <c r="BV105" s="109"/>
      <c r="BW105" s="39"/>
      <c r="BX105" s="39"/>
      <c r="BY105" s="39"/>
      <c r="BZ105" s="39"/>
      <c r="CA105" s="39"/>
      <c r="CB105" s="109"/>
      <c r="CC105" s="39"/>
      <c r="CD105" s="39"/>
      <c r="CE105" s="39"/>
      <c r="CF105" s="39"/>
      <c r="CG105" s="39"/>
      <c r="CH105" s="109"/>
      <c r="CI105" s="39"/>
      <c r="CJ105" s="39"/>
      <c r="CK105" s="39"/>
      <c r="CL105" s="39"/>
      <c r="CM105" s="39"/>
      <c r="CN105" s="109"/>
      <c r="CO105" s="39"/>
      <c r="CP105" s="39"/>
      <c r="CQ105" s="39"/>
      <c r="CR105" s="39"/>
      <c r="CS105" s="39"/>
    </row>
    <row r="106" spans="1:98" s="43" customFormat="1" ht="12.75" hidden="1" customHeight="1" outlineLevel="1" x14ac:dyDescent="0.2">
      <c r="A106" s="334"/>
      <c r="B106" s="700" t="s">
        <v>9</v>
      </c>
      <c r="C106" s="305"/>
      <c r="D106" s="305"/>
      <c r="E106" s="305"/>
      <c r="F106" s="305"/>
      <c r="G106" s="305"/>
      <c r="H106" s="39"/>
      <c r="I106" s="39"/>
      <c r="J106" s="39"/>
      <c r="K106" s="39"/>
      <c r="L106" s="39"/>
      <c r="M106" s="307"/>
      <c r="N106" s="39"/>
      <c r="O106" s="39"/>
      <c r="P106" s="39"/>
      <c r="Q106" s="39"/>
      <c r="R106" s="39"/>
      <c r="S106" s="307"/>
      <c r="T106" s="39"/>
      <c r="U106" s="39"/>
      <c r="V106" s="39"/>
      <c r="W106" s="39"/>
      <c r="X106" s="39"/>
      <c r="Y106" s="307"/>
      <c r="Z106" s="39"/>
      <c r="AA106" s="205" t="str">
        <f>IF(AA82-AA104&gt;0,(AA82-AA104),"-")</f>
        <v>-</v>
      </c>
      <c r="AB106" s="205" t="str">
        <f>IF(AB82-AB104&gt;0,(AB82-AB104),"-")</f>
        <v>-</v>
      </c>
      <c r="AC106" s="205" t="str">
        <f>IF(AC82-AC104&gt;0,(AC82-AC104),"-")</f>
        <v>-</v>
      </c>
      <c r="AD106" s="205" t="str">
        <f>IF(AD82-AD104&gt;0,(AD82-AD104),"-")</f>
        <v>-</v>
      </c>
      <c r="AE106" s="205" t="str">
        <f>IF(AE82-AE104&gt;0,(AE82-AE104),"-")</f>
        <v>-</v>
      </c>
      <c r="AF106" s="39"/>
      <c r="AG106" s="205" t="str">
        <f>IF(AG82-AG104&gt;0,(AG82-AG104),"-")</f>
        <v>-</v>
      </c>
      <c r="AH106" s="205" t="str">
        <f>IF(AH82-AH104&gt;0,(AH82-AH104),"-")</f>
        <v>-</v>
      </c>
      <c r="AI106" s="205">
        <f>IF(AI82-AI104&gt;0,(AI82-AI104),"-")</f>
        <v>1.4210854715202004E-14</v>
      </c>
      <c r="AJ106" s="205">
        <f>IF(AJ82-AJ104&gt;0,(AJ82-AJ104),"-")</f>
        <v>2.4868995751603507E-14</v>
      </c>
      <c r="AK106" s="205">
        <f>IF(AK82-AK104&gt;0,(AK82-AK104),"-")</f>
        <v>2.8421709430404007E-14</v>
      </c>
      <c r="AL106" s="39"/>
      <c r="AM106" s="205" t="str">
        <f>IF(AM82-AM104&gt;0,(AM82-AM104),"-")</f>
        <v>-</v>
      </c>
      <c r="AN106" s="205" t="str">
        <f>IF(AN82-AN104&gt;0,(AN82-AN104),"-")</f>
        <v>-</v>
      </c>
      <c r="AO106" s="205">
        <f>IF(AO82-AO104&gt;0,(AO82-AO104),"-")</f>
        <v>1.7763568394002505E-14</v>
      </c>
      <c r="AP106" s="205" t="str">
        <f>IF(AP82-AP104&gt;0,(AP82-AP104),"-")</f>
        <v>-</v>
      </c>
      <c r="AQ106" s="205">
        <f>IF(AQ82-AQ104&gt;0,(AQ82-AQ104),"-")</f>
        <v>1.4210854715202004E-14</v>
      </c>
      <c r="AR106" s="39"/>
      <c r="AS106" s="205" t="str">
        <f>IF(AS82-AS104&gt;0,(AS82-AS104),"-")</f>
        <v>-</v>
      </c>
      <c r="AT106" s="205">
        <f>IF(AT82-AT104&gt;0,(AT82-AT104),"-")</f>
        <v>4.2632564145606011E-14</v>
      </c>
      <c r="AU106" s="205" t="str">
        <f>IF(AU82-AU104&gt;0,(AU82-AU104),"-")</f>
        <v>-</v>
      </c>
      <c r="AV106" s="205" t="str">
        <f>IF(AV82-AV104&gt;0,(AV82-AV104),"-")</f>
        <v>-</v>
      </c>
      <c r="AW106" s="205" t="str">
        <f>IF(AW82-AW104&gt;0,(AW82-AW104),"-")</f>
        <v>-</v>
      </c>
      <c r="AX106" s="39"/>
      <c r="AY106" s="205">
        <f>IF(AY82-AY104&gt;0,(AY82-AY104),"-")</f>
        <v>2.1316282072803006E-14</v>
      </c>
      <c r="AZ106" s="205">
        <f>IF(AZ82-AZ104&gt;0,(AZ82-AZ104),"-")</f>
        <v>7.9999999999458282E-3</v>
      </c>
      <c r="BA106" s="205">
        <f>IF(BA82-BA104&gt;0,(BA82-BA104),"-")</f>
        <v>2.9999999999979821E-2</v>
      </c>
      <c r="BB106" s="205">
        <f>IF(BB82-BB104&gt;0,(BB82-BB104),"-")</f>
        <v>17.396631120178057</v>
      </c>
      <c r="BC106" s="205">
        <f>IF(BC82-BC104&gt;0,(BC82-BC104),"-")</f>
        <v>17.43463112017804</v>
      </c>
      <c r="BD106" s="39"/>
      <c r="BE106" s="205"/>
      <c r="BF106" s="39"/>
      <c r="BG106" s="39"/>
      <c r="BH106" s="39"/>
      <c r="BI106" s="307"/>
      <c r="BJ106" s="39"/>
      <c r="BK106" s="39"/>
      <c r="BL106" s="39"/>
      <c r="BM106" s="39"/>
      <c r="BN106" s="39"/>
      <c r="BO106" s="307"/>
      <c r="BP106" s="39"/>
      <c r="BQ106" s="39"/>
      <c r="BR106" s="39"/>
      <c r="BS106" s="39"/>
      <c r="BT106" s="39"/>
      <c r="BU106" s="307"/>
      <c r="BV106" s="39"/>
      <c r="BW106" s="39"/>
      <c r="BX106" s="39"/>
      <c r="BY106" s="39"/>
      <c r="BZ106" s="39"/>
      <c r="CA106" s="307"/>
      <c r="CB106" s="39"/>
      <c r="CC106" s="39"/>
      <c r="CD106" s="39"/>
      <c r="CE106" s="39"/>
      <c r="CF106" s="39"/>
      <c r="CG106" s="307"/>
      <c r="CH106" s="39"/>
      <c r="CI106" s="39"/>
      <c r="CJ106" s="39"/>
      <c r="CK106" s="39"/>
      <c r="CL106" s="39"/>
      <c r="CM106" s="307"/>
      <c r="CN106" s="39"/>
      <c r="CO106" s="39"/>
      <c r="CP106" s="39"/>
      <c r="CQ106" s="39"/>
      <c r="CR106" s="39"/>
      <c r="CS106" s="307"/>
    </row>
    <row r="107" spans="1:98" s="43" customFormat="1" ht="12.75" hidden="1" customHeight="1" outlineLevel="1" x14ac:dyDescent="0.2">
      <c r="A107" s="334"/>
      <c r="B107" s="701" t="s">
        <v>59</v>
      </c>
      <c r="C107" s="305"/>
      <c r="D107" s="305"/>
      <c r="E107" s="305"/>
      <c r="F107" s="305"/>
      <c r="G107" s="305"/>
      <c r="H107" s="109"/>
      <c r="I107" s="39"/>
      <c r="J107" s="39"/>
      <c r="K107" s="39"/>
      <c r="L107" s="39"/>
      <c r="M107" s="39"/>
      <c r="N107" s="109"/>
      <c r="O107" s="39"/>
      <c r="P107" s="39"/>
      <c r="Q107" s="39"/>
      <c r="R107" s="39"/>
      <c r="S107" s="39"/>
      <c r="T107" s="109"/>
      <c r="U107" s="39"/>
      <c r="V107" s="39"/>
      <c r="W107" s="39"/>
      <c r="X107" s="39"/>
      <c r="Y107" s="39"/>
      <c r="Z107" s="109"/>
      <c r="AA107" s="205" t="str">
        <f>IF(ISNUMBER(AA106+U106),(AA106+U106),"-")</f>
        <v>-</v>
      </c>
      <c r="AB107" s="205" t="str">
        <f>IF(ISNUMBER(AB106+V106),(AB106+V106),"-")</f>
        <v>-</v>
      </c>
      <c r="AC107" s="205" t="str">
        <f>IF(ISNUMBER(AC106+W106),(AC106+W106),"-")</f>
        <v>-</v>
      </c>
      <c r="AD107" s="205" t="str">
        <f>IF(ISNUMBER(AD106+X106),(AD106+X106),"-")</f>
        <v>-</v>
      </c>
      <c r="AE107" s="205" t="str">
        <f>IF(ISNUMBER(AE106+Y106),(AE106+Y106),"-")</f>
        <v>-</v>
      </c>
      <c r="AF107" s="109"/>
      <c r="AG107" s="205" t="str">
        <f>IF(ISNUMBER(AG106+AA106),(AG106+AA106),"-")</f>
        <v>-</v>
      </c>
      <c r="AH107" s="205" t="str">
        <f>IF(ISNUMBER(AH106+AB106),(AH106+AB106),"-")</f>
        <v>-</v>
      </c>
      <c r="AI107" s="205" t="str">
        <f>IF(ISNUMBER(AI106+AC106),(AI106+AC106),"-")</f>
        <v>-</v>
      </c>
      <c r="AJ107" s="205" t="str">
        <f>IF(ISNUMBER(AJ106+AD106),(AJ106+AD106),"-")</f>
        <v>-</v>
      </c>
      <c r="AK107" s="205" t="str">
        <f>IF(ISNUMBER(AK106+AE106),(AK106+AE106),"-")</f>
        <v>-</v>
      </c>
      <c r="AL107" s="109"/>
      <c r="AM107" s="205" t="str">
        <f>IF(ISNUMBER(AM106+AG106),(AM106+AG106),"-")</f>
        <v>-</v>
      </c>
      <c r="AN107" s="205" t="str">
        <f>IF(ISNUMBER(AN106+AH106),(AN106+AH106),"-")</f>
        <v>-</v>
      </c>
      <c r="AO107" s="205">
        <f>IF(ISNUMBER(AO106+AI106),(AO106+AI106),"-")</f>
        <v>3.1974423109204508E-14</v>
      </c>
      <c r="AP107" s="205" t="str">
        <f>IF(ISNUMBER(AP106+AJ106),(AP106+AJ106),"-")</f>
        <v>-</v>
      </c>
      <c r="AQ107" s="205">
        <f>IF(ISNUMBER(AQ106+AK106),(AQ106+AK106),"-")</f>
        <v>4.2632564145606011E-14</v>
      </c>
      <c r="AR107" s="109"/>
      <c r="AS107" s="205" t="str">
        <f>IF(ISNUMBER(AS106+AM106),(AS106+AM106),"-")</f>
        <v>-</v>
      </c>
      <c r="AT107" s="205" t="str">
        <f>IF(ISNUMBER(AT106+AN106),(AT106+AN106),"-")</f>
        <v>-</v>
      </c>
      <c r="AU107" s="205" t="str">
        <f>IF(ISNUMBER(AU106+AO106),(AU106+AO106),"-")</f>
        <v>-</v>
      </c>
      <c r="AV107" s="205" t="str">
        <f>IF(ISNUMBER(AV106+AP106),(AV106+AP106),"-")</f>
        <v>-</v>
      </c>
      <c r="AW107" s="205" t="str">
        <f>IF(ISNUMBER(AW106+AQ106),(AW106+AQ106),"-")</f>
        <v>-</v>
      </c>
      <c r="AX107" s="109"/>
      <c r="AY107" s="205" t="str">
        <f>IF(ISNUMBER(AY106+AS106),(AY106+AS106),"-")</f>
        <v>-</v>
      </c>
      <c r="AZ107" s="205">
        <f>IF(ISNUMBER(AZ106+AT106),(AZ106+AT106),"-")</f>
        <v>7.9999999999884608E-3</v>
      </c>
      <c r="BA107" s="205" t="str">
        <f>IF(ISNUMBER(BA106+AU106),(BA106+AU106),"-")</f>
        <v>-</v>
      </c>
      <c r="BB107" s="205" t="str">
        <f>IF(ISNUMBER(BB106+AV106),(BB106+AV106),"-")</f>
        <v>-</v>
      </c>
      <c r="BC107" s="205" t="str">
        <f>IF(ISNUMBER(BC106+AW106),(BC106+AW106),"-")</f>
        <v>-</v>
      </c>
      <c r="BD107" s="109"/>
      <c r="BE107" s="205"/>
      <c r="BF107" s="39"/>
      <c r="BG107" s="39"/>
      <c r="BH107" s="39"/>
      <c r="BI107" s="39"/>
      <c r="BJ107" s="109"/>
      <c r="BK107" s="39"/>
      <c r="BL107" s="39"/>
      <c r="BM107" s="39"/>
      <c r="BN107" s="39"/>
      <c r="BO107" s="39"/>
      <c r="BP107" s="109"/>
      <c r="BQ107" s="39"/>
      <c r="BR107" s="39"/>
      <c r="BS107" s="39"/>
      <c r="BT107" s="39"/>
      <c r="BU107" s="39"/>
      <c r="BV107" s="109"/>
      <c r="BW107" s="39"/>
      <c r="BX107" s="39"/>
      <c r="BY107" s="39"/>
      <c r="BZ107" s="39"/>
      <c r="CA107" s="39"/>
      <c r="CB107" s="109"/>
      <c r="CC107" s="39"/>
      <c r="CD107" s="39"/>
      <c r="CE107" s="39"/>
      <c r="CF107" s="39"/>
      <c r="CG107" s="39"/>
      <c r="CH107" s="109"/>
      <c r="CI107" s="39"/>
      <c r="CJ107" s="39"/>
      <c r="CK107" s="39"/>
      <c r="CL107" s="39"/>
      <c r="CM107" s="39"/>
      <c r="CN107" s="109"/>
      <c r="CO107" s="39"/>
      <c r="CP107" s="39"/>
      <c r="CQ107" s="39"/>
      <c r="CR107" s="39"/>
      <c r="CS107" s="39"/>
    </row>
    <row r="108" spans="1:98" collapsed="1" x14ac:dyDescent="0.2">
      <c r="A108" s="450"/>
    </row>
    <row r="113" spans="45:61" x14ac:dyDescent="0.2">
      <c r="AT113" s="505"/>
      <c r="AU113" s="505"/>
      <c r="AV113" s="505"/>
      <c r="AW113" s="505"/>
      <c r="AX113" s="506"/>
      <c r="AY113" s="505"/>
      <c r="AZ113" s="505"/>
      <c r="BA113" s="505"/>
      <c r="BB113" s="505"/>
      <c r="BC113" s="505"/>
      <c r="BD113" s="506"/>
      <c r="BE113" s="505"/>
      <c r="BF113" s="505"/>
      <c r="BG113" s="505"/>
      <c r="BH113" s="505"/>
      <c r="BI113" s="505"/>
    </row>
    <row r="114" spans="45:61" x14ac:dyDescent="0.2">
      <c r="BI114" s="506"/>
    </row>
    <row r="115" spans="45:61" x14ac:dyDescent="0.2">
      <c r="BI115" s="505"/>
    </row>
    <row r="116" spans="45:61" x14ac:dyDescent="0.2">
      <c r="BI116" s="505"/>
    </row>
    <row r="117" spans="45:61" x14ac:dyDescent="0.2">
      <c r="BI117" s="505"/>
    </row>
    <row r="118" spans="45:61" x14ac:dyDescent="0.2">
      <c r="BI118" s="507"/>
    </row>
    <row r="119" spans="45:61" x14ac:dyDescent="0.2">
      <c r="BI119" s="509"/>
    </row>
    <row r="120" spans="45:61" x14ac:dyDescent="0.2">
      <c r="BI120" s="511"/>
    </row>
    <row r="121" spans="45:61" x14ac:dyDescent="0.2">
      <c r="BI121" s="526"/>
    </row>
    <row r="122" spans="45:61" x14ac:dyDescent="0.2">
      <c r="BI122" s="512"/>
    </row>
    <row r="123" spans="45:61" x14ac:dyDescent="0.2">
      <c r="BI123" s="515"/>
    </row>
    <row r="124" spans="45:61" x14ac:dyDescent="0.2">
      <c r="BI124" s="514"/>
    </row>
    <row r="125" spans="45:61" x14ac:dyDescent="0.2">
      <c r="BI125" s="512"/>
    </row>
    <row r="126" spans="45:61" x14ac:dyDescent="0.2">
      <c r="BI126" s="526"/>
    </row>
    <row r="127" spans="45:61" x14ac:dyDescent="0.2">
      <c r="AS127" s="458"/>
      <c r="AT127" s="505"/>
      <c r="AU127" s="505"/>
      <c r="AV127" s="505"/>
      <c r="AW127" s="508"/>
      <c r="AX127" s="499"/>
      <c r="AY127" s="505"/>
      <c r="AZ127" s="508"/>
      <c r="BA127" s="508"/>
      <c r="BB127" s="508"/>
      <c r="BC127" s="508"/>
      <c r="BD127" s="508"/>
      <c r="BE127" s="508"/>
      <c r="BF127" s="508"/>
      <c r="BG127" s="508"/>
      <c r="BH127" s="508"/>
      <c r="BI127" s="509"/>
    </row>
    <row r="128" spans="45:61" x14ac:dyDescent="0.2">
      <c r="AS128" s="458"/>
      <c r="AT128" s="505"/>
      <c r="AU128" s="505"/>
      <c r="AV128" s="505"/>
      <c r="AW128" s="510"/>
      <c r="AX128" s="90"/>
      <c r="AY128" s="505"/>
      <c r="AZ128" s="514"/>
      <c r="BA128" s="514"/>
      <c r="BB128" s="514"/>
      <c r="BC128" s="514"/>
      <c r="BD128" s="514"/>
      <c r="BE128" s="514"/>
      <c r="BF128" s="514"/>
      <c r="BG128" s="514"/>
      <c r="BH128" s="514"/>
      <c r="BI128" s="514"/>
    </row>
    <row r="129" spans="42:92" x14ac:dyDescent="0.2">
      <c r="AS129" s="458"/>
      <c r="AT129" s="505"/>
      <c r="AU129" s="505"/>
      <c r="AV129" s="505"/>
      <c r="AW129" s="514"/>
      <c r="AX129" s="499"/>
      <c r="AY129" s="505"/>
      <c r="AZ129" s="510"/>
      <c r="BA129" s="510"/>
      <c r="BB129" s="510"/>
      <c r="BC129" s="512"/>
      <c r="BD129" s="514"/>
      <c r="BE129" s="514"/>
      <c r="BF129" s="514"/>
      <c r="BG129" s="514"/>
      <c r="BH129" s="499"/>
      <c r="BI129" s="526"/>
    </row>
    <row r="130" spans="42:92" x14ac:dyDescent="0.2">
      <c r="AS130" s="458"/>
      <c r="AT130" s="505"/>
      <c r="AU130" s="505"/>
      <c r="AV130" s="505"/>
      <c r="AW130" s="508"/>
      <c r="AX130" s="499"/>
      <c r="AY130" s="505"/>
      <c r="AZ130" s="508"/>
      <c r="BA130" s="510"/>
      <c r="BB130" s="513"/>
      <c r="BC130" s="515"/>
      <c r="BD130" s="508"/>
      <c r="BE130" s="508"/>
      <c r="BF130" s="510"/>
      <c r="BG130" s="510"/>
      <c r="BH130" s="90"/>
      <c r="BI130" s="512"/>
    </row>
    <row r="131" spans="42:92" x14ac:dyDescent="0.2">
      <c r="AS131" s="458"/>
      <c r="AT131" s="505"/>
      <c r="AU131" s="505"/>
      <c r="AV131" s="505"/>
      <c r="AW131" s="516"/>
      <c r="AX131" s="499"/>
      <c r="AY131" s="527"/>
      <c r="AZ131" s="527"/>
      <c r="BA131" s="527"/>
      <c r="BB131" s="527"/>
      <c r="BC131" s="527"/>
      <c r="BD131" s="527"/>
      <c r="BE131" s="527"/>
      <c r="BF131" s="527"/>
      <c r="BG131" s="527"/>
      <c r="BH131" s="500"/>
      <c r="BI131" s="528"/>
    </row>
    <row r="132" spans="42:92" x14ac:dyDescent="0.2">
      <c r="AS132" s="458"/>
      <c r="AT132" s="505"/>
      <c r="AU132" s="505"/>
      <c r="AV132" s="505"/>
      <c r="AW132" s="510"/>
      <c r="AX132" s="510"/>
      <c r="AY132" s="510"/>
      <c r="AZ132" s="510"/>
      <c r="BA132" s="510"/>
      <c r="BB132" s="510"/>
      <c r="BC132" s="510"/>
      <c r="BD132" s="510"/>
      <c r="BE132" s="510"/>
      <c r="BF132" s="510"/>
      <c r="BG132" s="510"/>
      <c r="BH132" s="516"/>
      <c r="BI132" s="515"/>
    </row>
    <row r="133" spans="42:92" x14ac:dyDescent="0.2">
      <c r="AS133" s="458"/>
      <c r="AT133" s="505"/>
      <c r="AU133" s="505"/>
      <c r="AV133" s="505"/>
      <c r="AW133" s="516"/>
      <c r="AX133" s="499"/>
      <c r="AY133" s="527"/>
      <c r="AZ133" s="527"/>
      <c r="BA133" s="527"/>
      <c r="BB133" s="527"/>
      <c r="BC133" s="527"/>
      <c r="BD133" s="527"/>
      <c r="BE133" s="527"/>
      <c r="BF133" s="527"/>
      <c r="BG133" s="527"/>
      <c r="BH133" s="527"/>
      <c r="BI133" s="509"/>
    </row>
    <row r="134" spans="42:92" x14ac:dyDescent="0.2">
      <c r="AS134" s="125"/>
      <c r="AT134" s="524"/>
      <c r="AU134" s="524"/>
      <c r="AV134" s="524"/>
      <c r="AW134" s="524"/>
      <c r="AX134" s="89"/>
      <c r="AY134" s="89"/>
      <c r="AZ134" s="524"/>
      <c r="BA134" s="524"/>
      <c r="BB134" s="524"/>
      <c r="BC134" s="524"/>
      <c r="BD134" s="524"/>
      <c r="BE134" s="524"/>
      <c r="BF134" s="524"/>
      <c r="BG134" s="524"/>
      <c r="BH134" s="524"/>
      <c r="BI134" s="524"/>
      <c r="BJ134" s="31"/>
      <c r="BK134" s="31"/>
      <c r="BL134" s="31"/>
      <c r="BM134" s="31"/>
      <c r="BN134" s="31"/>
      <c r="BO134" s="31"/>
      <c r="BP134" s="31"/>
      <c r="BV134" s="31"/>
      <c r="CB134" s="31"/>
      <c r="CH134" s="31"/>
      <c r="CN134" s="31"/>
    </row>
    <row r="135" spans="42:92" x14ac:dyDescent="0.2">
      <c r="AS135" s="125"/>
      <c r="AT135" s="39"/>
      <c r="AU135" s="39"/>
      <c r="AV135" s="39"/>
      <c r="AW135" s="39"/>
      <c r="AX135" s="525"/>
      <c r="AY135" s="39"/>
      <c r="AZ135" s="39"/>
      <c r="BA135" s="39"/>
      <c r="BB135" s="525"/>
      <c r="BC135" s="525"/>
      <c r="BD135" s="525"/>
      <c r="BE135" s="525"/>
      <c r="BF135" s="39"/>
      <c r="BG135" s="39"/>
      <c r="BH135" s="525"/>
      <c r="BI135" s="524"/>
      <c r="BJ135" s="31"/>
      <c r="BK135" s="31"/>
      <c r="BL135" s="31"/>
      <c r="BM135" s="31"/>
      <c r="BN135" s="31"/>
      <c r="BO135" s="31"/>
      <c r="BP135" s="31"/>
      <c r="BV135" s="31"/>
      <c r="CB135" s="31"/>
      <c r="CH135" s="31"/>
      <c r="CN135" s="31"/>
    </row>
    <row r="136" spans="42:92" x14ac:dyDescent="0.2">
      <c r="AS136" s="125"/>
      <c r="AT136" s="524"/>
      <c r="AU136" s="524"/>
      <c r="AV136" s="524"/>
      <c r="AW136" s="75"/>
      <c r="AX136" s="75"/>
      <c r="AY136" s="75"/>
      <c r="AZ136" s="75"/>
      <c r="BA136" s="75"/>
      <c r="BB136" s="75"/>
      <c r="BC136" s="75"/>
      <c r="BD136" s="75"/>
      <c r="BE136" s="75"/>
      <c r="BF136" s="75"/>
      <c r="BG136" s="75"/>
      <c r="BH136" s="75"/>
      <c r="BI136" s="524"/>
      <c r="BJ136" s="31"/>
      <c r="BK136" s="31"/>
      <c r="BL136" s="31"/>
      <c r="BM136" s="31"/>
      <c r="BN136" s="31"/>
      <c r="BO136" s="31"/>
      <c r="BP136" s="31"/>
      <c r="BV136" s="31"/>
      <c r="CB136" s="31"/>
      <c r="CH136" s="31"/>
      <c r="CN136" s="31"/>
    </row>
    <row r="137" spans="42:92" x14ac:dyDescent="0.2">
      <c r="AS137" s="125"/>
      <c r="AT137" s="524"/>
      <c r="AU137" s="524"/>
      <c r="AV137" s="524"/>
      <c r="AW137" s="502"/>
      <c r="AX137" s="502"/>
      <c r="AY137" s="502"/>
      <c r="AZ137" s="502"/>
      <c r="BA137" s="502"/>
      <c r="BB137" s="502"/>
      <c r="BC137" s="502"/>
      <c r="BD137" s="502"/>
      <c r="BE137" s="502"/>
      <c r="BF137" s="502"/>
      <c r="BG137" s="502"/>
      <c r="BH137" s="502"/>
      <c r="BI137" s="524"/>
      <c r="BJ137" s="31"/>
      <c r="BK137" s="31"/>
      <c r="BL137" s="31"/>
      <c r="BM137" s="31"/>
      <c r="BN137" s="31"/>
      <c r="BO137" s="31"/>
      <c r="BP137" s="31"/>
      <c r="BV137" s="31"/>
      <c r="CB137" s="31"/>
      <c r="CH137" s="31"/>
      <c r="CN137" s="31"/>
    </row>
    <row r="138" spans="42:92" x14ac:dyDescent="0.2">
      <c r="AS138" s="31"/>
      <c r="AT138" s="524"/>
      <c r="AU138" s="524"/>
      <c r="AV138" s="524"/>
      <c r="AW138" s="502"/>
      <c r="AX138" s="502"/>
      <c r="AY138" s="502"/>
      <c r="AZ138" s="502"/>
      <c r="BA138" s="502"/>
      <c r="BB138" s="502"/>
      <c r="BC138" s="502"/>
      <c r="BD138" s="502"/>
      <c r="BE138" s="502"/>
      <c r="BF138" s="502"/>
      <c r="BG138" s="502"/>
      <c r="BH138" s="502"/>
      <c r="BI138" s="524"/>
      <c r="BJ138" s="31"/>
      <c r="BK138" s="31"/>
      <c r="BL138" s="31"/>
      <c r="BM138" s="31"/>
      <c r="BN138" s="31"/>
      <c r="BO138" s="31"/>
      <c r="BP138" s="31"/>
      <c r="BV138" s="31"/>
      <c r="CB138" s="31"/>
      <c r="CH138" s="31"/>
      <c r="CN138" s="31"/>
    </row>
    <row r="139" spans="42:92" x14ac:dyDescent="0.2">
      <c r="AS139" s="31"/>
      <c r="AT139" s="31"/>
      <c r="AU139" s="31"/>
      <c r="AV139" s="31"/>
      <c r="AW139" s="31"/>
      <c r="AX139" s="518"/>
      <c r="AY139" s="518"/>
      <c r="AZ139" s="519"/>
      <c r="BA139" s="520"/>
      <c r="BB139" s="518"/>
      <c r="BC139" s="518"/>
      <c r="BD139" s="518"/>
      <c r="BE139" s="518"/>
      <c r="BF139" s="518"/>
      <c r="BG139" s="518"/>
      <c r="BH139" s="518"/>
      <c r="BI139" s="31"/>
      <c r="BJ139" s="31"/>
      <c r="BK139" s="31"/>
      <c r="BL139" s="31"/>
      <c r="BM139" s="31"/>
      <c r="BN139" s="31"/>
      <c r="BO139" s="31"/>
      <c r="BP139" s="31"/>
      <c r="BV139" s="31"/>
      <c r="CB139" s="31"/>
      <c r="CH139" s="31"/>
      <c r="CN139" s="31"/>
    </row>
    <row r="140" spans="42:92" x14ac:dyDescent="0.2">
      <c r="AS140" s="31"/>
      <c r="AT140" s="31"/>
      <c r="AU140" s="31"/>
      <c r="AV140" s="31"/>
      <c r="AW140" s="31"/>
      <c r="AX140" s="518"/>
      <c r="AY140" s="518"/>
      <c r="AZ140" s="518"/>
      <c r="BA140" s="518"/>
      <c r="BB140" s="518"/>
      <c r="BC140" s="31"/>
      <c r="BD140" s="521"/>
      <c r="BE140" s="522"/>
      <c r="BF140" s="522"/>
      <c r="BG140" s="518"/>
      <c r="BH140" s="518"/>
      <c r="BI140" s="31"/>
      <c r="BJ140" s="31"/>
      <c r="BK140" s="31"/>
      <c r="BL140" s="31"/>
      <c r="BM140" s="31"/>
      <c r="BN140" s="31"/>
      <c r="BO140" s="31"/>
      <c r="BP140" s="31"/>
      <c r="BV140" s="31"/>
      <c r="CB140" s="31"/>
      <c r="CH140" s="31"/>
      <c r="CN140" s="31"/>
    </row>
    <row r="141" spans="42:92" x14ac:dyDescent="0.2">
      <c r="AS141" s="31"/>
      <c r="AT141" s="31"/>
      <c r="AU141" s="455"/>
      <c r="AV141" s="455"/>
      <c r="AW141" s="455"/>
      <c r="AX141" s="31"/>
      <c r="AY141" s="523"/>
      <c r="AZ141" s="523"/>
      <c r="BA141" s="523"/>
      <c r="BB141" s="523"/>
      <c r="BC141" s="31"/>
      <c r="BD141" s="31"/>
      <c r="BE141" s="503"/>
      <c r="BF141" s="503"/>
      <c r="BG141" s="31"/>
      <c r="BH141" s="31"/>
      <c r="BI141" s="31"/>
      <c r="BJ141" s="31"/>
      <c r="BK141" s="31"/>
      <c r="BL141" s="31"/>
      <c r="BM141" s="31"/>
      <c r="BN141" s="31"/>
      <c r="BO141" s="31"/>
      <c r="BP141" s="31"/>
      <c r="BV141" s="31"/>
      <c r="CB141" s="31"/>
      <c r="CH141" s="31"/>
      <c r="CN141" s="31"/>
    </row>
    <row r="142" spans="42:92" x14ac:dyDescent="0.2">
      <c r="AP142" s="405"/>
      <c r="AS142" s="31"/>
      <c r="AT142" s="31"/>
      <c r="AU142" s="455"/>
      <c r="AV142" s="455"/>
      <c r="AW142" s="455"/>
      <c r="AX142" s="31"/>
      <c r="AY142" s="510"/>
      <c r="AZ142" s="510"/>
      <c r="BA142" s="510"/>
      <c r="BB142" s="510"/>
      <c r="BC142" s="510"/>
      <c r="BD142" s="510"/>
      <c r="BE142" s="510"/>
      <c r="BF142" s="31"/>
      <c r="BG142" s="31"/>
      <c r="BH142" s="31"/>
      <c r="BI142" s="31"/>
      <c r="BJ142" s="31"/>
      <c r="BK142" s="31"/>
      <c r="BL142" s="31"/>
      <c r="BM142" s="31"/>
      <c r="BN142" s="31"/>
      <c r="BO142" s="31"/>
      <c r="BP142" s="31"/>
      <c r="BV142" s="31"/>
      <c r="CB142" s="31"/>
      <c r="CH142" s="31"/>
      <c r="CN142" s="31"/>
    </row>
    <row r="143" spans="42:92" x14ac:dyDescent="0.2">
      <c r="AS143" s="31"/>
      <c r="AT143" s="31"/>
      <c r="AU143" s="455"/>
      <c r="AV143" s="455"/>
      <c r="AW143" s="455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  <c r="BJ143" s="31"/>
      <c r="BK143" s="31"/>
      <c r="BL143" s="31"/>
      <c r="BM143" s="31"/>
      <c r="BN143" s="31"/>
      <c r="BO143" s="31"/>
      <c r="BP143" s="31"/>
      <c r="BV143" s="31"/>
      <c r="CB143" s="31"/>
      <c r="CH143" s="31"/>
      <c r="CN143" s="31"/>
    </row>
    <row r="144" spans="42:92" x14ac:dyDescent="0.2">
      <c r="AS144" s="31"/>
      <c r="AT144" s="31"/>
      <c r="AU144" s="455"/>
      <c r="AV144" s="455"/>
      <c r="AW144" s="455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  <c r="BJ144" s="31"/>
      <c r="BK144" s="31"/>
      <c r="BL144" s="31"/>
      <c r="BM144" s="31"/>
      <c r="BN144" s="31"/>
      <c r="BO144" s="31"/>
      <c r="BP144" s="31"/>
      <c r="BV144" s="31"/>
      <c r="CB144" s="31"/>
      <c r="CH144" s="31"/>
      <c r="CN144" s="31"/>
    </row>
    <row r="145" spans="46:54" x14ac:dyDescent="0.2">
      <c r="AT145" s="361"/>
      <c r="AU145" s="517"/>
      <c r="AV145" s="517"/>
      <c r="AW145" s="517"/>
      <c r="AX145" s="31"/>
      <c r="AY145" s="73"/>
      <c r="AZ145" s="73"/>
      <c r="BA145" s="73"/>
      <c r="BB145" s="73"/>
    </row>
    <row r="146" spans="46:54" x14ac:dyDescent="0.2">
      <c r="AT146" s="73"/>
      <c r="AU146" s="517"/>
      <c r="AV146" s="517"/>
      <c r="AW146" s="517"/>
      <c r="AX146" s="31"/>
      <c r="AY146" s="73"/>
      <c r="AZ146" s="73"/>
      <c r="BA146" s="73"/>
      <c r="BB146" s="73"/>
    </row>
    <row r="147" spans="46:54" x14ac:dyDescent="0.2">
      <c r="AT147" s="73"/>
      <c r="AU147" s="73"/>
      <c r="AV147" s="73"/>
      <c r="AW147" s="73"/>
      <c r="AX147" s="31"/>
      <c r="AY147" s="73"/>
      <c r="AZ147" s="73"/>
      <c r="BA147" s="73"/>
      <c r="BB147" s="73"/>
    </row>
    <row r="148" spans="46:54" x14ac:dyDescent="0.2">
      <c r="AT148" s="73"/>
      <c r="AU148" s="73"/>
      <c r="AV148" s="73"/>
      <c r="AW148" s="73"/>
      <c r="AX148" s="31"/>
      <c r="AY148" s="73"/>
      <c r="AZ148" s="73"/>
      <c r="BA148" s="73"/>
      <c r="BB148" s="73"/>
    </row>
    <row r="149" spans="46:54" x14ac:dyDescent="0.2">
      <c r="AT149" s="73"/>
      <c r="AU149" s="73"/>
      <c r="AV149" s="73"/>
      <c r="AW149" s="73"/>
      <c r="AX149" s="31"/>
      <c r="AY149" s="73"/>
      <c r="AZ149" s="73"/>
      <c r="BA149" s="73"/>
      <c r="BB149" s="73"/>
    </row>
    <row r="150" spans="46:54" x14ac:dyDescent="0.2">
      <c r="AT150" s="361"/>
      <c r="AU150" s="73"/>
      <c r="AV150" s="73"/>
      <c r="AW150" s="73"/>
      <c r="AX150" s="31"/>
      <c r="AY150" s="73"/>
      <c r="AZ150" s="73"/>
      <c r="BA150" s="73"/>
      <c r="BB150" s="73"/>
    </row>
    <row r="151" spans="46:54" x14ac:dyDescent="0.2">
      <c r="AT151" s="73"/>
      <c r="AU151" s="517"/>
      <c r="AV151" s="517"/>
      <c r="AW151" s="517"/>
      <c r="AX151" s="31"/>
      <c r="AY151" s="73"/>
      <c r="AZ151" s="73"/>
      <c r="BA151" s="73"/>
      <c r="BB151" s="73"/>
    </row>
    <row r="152" spans="46:54" x14ac:dyDescent="0.2">
      <c r="AT152" s="73"/>
      <c r="AU152" s="73"/>
      <c r="AV152" s="73"/>
      <c r="AW152" s="73"/>
      <c r="AX152" s="31"/>
      <c r="AY152" s="73"/>
      <c r="AZ152" s="73"/>
      <c r="BA152" s="73"/>
      <c r="BB152" s="73"/>
    </row>
  </sheetData>
  <mergeCells count="16">
    <mergeCell ref="CI4:CM4"/>
    <mergeCell ref="CO4:CS4"/>
    <mergeCell ref="C4:G4"/>
    <mergeCell ref="I4:M4"/>
    <mergeCell ref="O4:S4"/>
    <mergeCell ref="U4:Y4"/>
    <mergeCell ref="AA4:AE4"/>
    <mergeCell ref="CC4:CG4"/>
    <mergeCell ref="AG4:AK4"/>
    <mergeCell ref="BW4:CA4"/>
    <mergeCell ref="BK4:BO4"/>
    <mergeCell ref="BQ4:BU4"/>
    <mergeCell ref="AS4:AW4"/>
    <mergeCell ref="AY4:BC4"/>
    <mergeCell ref="AM4:AQ4"/>
    <mergeCell ref="BE4:BI4"/>
  </mergeCells>
  <phoneticPr fontId="13" type="noConversion"/>
  <pageMargins left="0" right="0" top="0" bottom="0" header="0" footer="0"/>
  <pageSetup paperSize="5" scale="70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tabColor indexed="42"/>
  </sheetPr>
  <dimension ref="A1:AR66"/>
  <sheetViews>
    <sheetView workbookViewId="0">
      <selection sqref="A1:XFD1048576"/>
    </sheetView>
  </sheetViews>
  <sheetFormatPr defaultRowHeight="12.75" outlineLevelRow="1" outlineLevelCol="1" x14ac:dyDescent="0.2"/>
  <cols>
    <col min="1" max="1" width="0.85546875" customWidth="1"/>
    <col min="2" max="2" width="28.140625" customWidth="1"/>
    <col min="3" max="3" width="1.42578125" customWidth="1"/>
    <col min="4" max="7" width="6.28515625" customWidth="1" outlineLevel="1"/>
    <col min="8" max="8" width="6.28515625" customWidth="1"/>
    <col min="9" max="9" width="1.42578125" customWidth="1"/>
    <col min="10" max="13" width="6.28515625" customWidth="1" outlineLevel="1"/>
    <col min="14" max="14" width="6.28515625" customWidth="1"/>
    <col min="15" max="15" width="1.42578125" customWidth="1"/>
    <col min="16" max="19" width="6.28515625" customWidth="1" outlineLevel="1"/>
    <col min="20" max="20" width="6.28515625" customWidth="1"/>
    <col min="21" max="21" width="1.42578125" customWidth="1"/>
    <col min="22" max="25" width="6.28515625" hidden="1" customWidth="1" outlineLevel="1"/>
    <col min="26" max="26" width="6.28515625" customWidth="1" collapsed="1"/>
    <col min="27" max="27" width="1.42578125" customWidth="1"/>
    <col min="28" max="31" width="6.28515625" hidden="1" customWidth="1" outlineLevel="1"/>
    <col min="32" max="32" width="6.28515625" customWidth="1" collapsed="1"/>
    <col min="33" max="33" width="1.42578125" customWidth="1"/>
    <col min="34" max="37" width="6.28515625" hidden="1" customWidth="1" outlineLevel="1"/>
    <col min="38" max="38" width="6.28515625" customWidth="1" collapsed="1"/>
    <col min="39" max="39" width="1.42578125" customWidth="1"/>
    <col min="40" max="43" width="6.28515625" hidden="1" customWidth="1" outlineLevel="1"/>
    <col min="44" max="44" width="6.28515625" customWidth="1" collapsed="1"/>
  </cols>
  <sheetData>
    <row r="1" spans="1:44" x14ac:dyDescent="0.2">
      <c r="A1" s="236"/>
      <c r="B1" s="44" t="s">
        <v>357</v>
      </c>
    </row>
    <row r="2" spans="1:44" x14ac:dyDescent="0.2">
      <c r="A2" s="43"/>
      <c r="B2" s="632" t="s">
        <v>47</v>
      </c>
    </row>
    <row r="3" spans="1:44" x14ac:dyDescent="0.2">
      <c r="A3" s="43"/>
      <c r="B3" s="633" t="s">
        <v>115</v>
      </c>
      <c r="H3" s="405"/>
      <c r="L3" s="363"/>
    </row>
    <row r="4" spans="1:44" x14ac:dyDescent="0.2">
      <c r="A4" s="43"/>
      <c r="B4" s="634" t="s">
        <v>236</v>
      </c>
    </row>
    <row r="5" spans="1:44" x14ac:dyDescent="0.2">
      <c r="A5" s="43"/>
      <c r="B5" s="250"/>
      <c r="C5" s="75"/>
      <c r="D5" s="910" t="s">
        <v>368</v>
      </c>
      <c r="E5" s="910"/>
      <c r="F5" s="910"/>
      <c r="G5" s="910"/>
      <c r="H5" s="910"/>
      <c r="I5" s="75"/>
      <c r="J5" s="910" t="s">
        <v>381</v>
      </c>
      <c r="K5" s="910"/>
      <c r="L5" s="910"/>
      <c r="M5" s="910"/>
      <c r="N5" s="910"/>
      <c r="O5" s="75"/>
      <c r="P5" s="910" t="s">
        <v>7</v>
      </c>
      <c r="Q5" s="910"/>
      <c r="R5" s="910"/>
      <c r="S5" s="910"/>
      <c r="T5" s="910"/>
      <c r="U5" s="75"/>
      <c r="V5" s="910" t="s">
        <v>356</v>
      </c>
      <c r="W5" s="910"/>
      <c r="X5" s="910"/>
      <c r="Y5" s="910"/>
      <c r="Z5" s="910"/>
      <c r="AA5" s="75"/>
      <c r="AB5" s="910" t="s">
        <v>328</v>
      </c>
      <c r="AC5" s="910"/>
      <c r="AD5" s="910"/>
      <c r="AE5" s="910"/>
      <c r="AF5" s="910"/>
      <c r="AG5" s="75"/>
      <c r="AH5" s="910" t="s">
        <v>351</v>
      </c>
      <c r="AI5" s="910"/>
      <c r="AJ5" s="910"/>
      <c r="AK5" s="910"/>
      <c r="AL5" s="910"/>
      <c r="AM5" s="75"/>
      <c r="AN5" s="910" t="s">
        <v>365</v>
      </c>
      <c r="AO5" s="910"/>
      <c r="AP5" s="910"/>
      <c r="AQ5" s="910"/>
      <c r="AR5" s="910"/>
    </row>
    <row r="6" spans="1:44" x14ac:dyDescent="0.2">
      <c r="A6" s="43"/>
      <c r="B6" s="250"/>
      <c r="C6" s="671"/>
      <c r="D6" s="669">
        <v>42263</v>
      </c>
      <c r="E6" s="420">
        <f>+D6+90</f>
        <v>42353</v>
      </c>
      <c r="F6" s="420">
        <f>+E6+90</f>
        <v>42443</v>
      </c>
      <c r="G6" s="420">
        <f>+F6+90</f>
        <v>42533</v>
      </c>
      <c r="H6" s="670" t="str">
        <f>+D5</f>
        <v>2016A</v>
      </c>
      <c r="I6" s="671"/>
      <c r="J6" s="669">
        <f>+D6+365.25</f>
        <v>42628.25</v>
      </c>
      <c r="K6" s="669">
        <f>+E6+365.25</f>
        <v>42718.25</v>
      </c>
      <c r="L6" s="420">
        <f>+K6+90</f>
        <v>42808.25</v>
      </c>
      <c r="M6" s="420">
        <f>+L6+90</f>
        <v>42898.25</v>
      </c>
      <c r="N6" s="670" t="str">
        <f>+J5</f>
        <v>2017A</v>
      </c>
      <c r="O6" s="671"/>
      <c r="P6" s="669">
        <f>+J6+365.25</f>
        <v>42993.5</v>
      </c>
      <c r="Q6" s="669">
        <f>+K6+365.25</f>
        <v>43083.5</v>
      </c>
      <c r="R6" s="672">
        <f>+L6+365.25</f>
        <v>43173.5</v>
      </c>
      <c r="S6" s="672">
        <f>+M6+365.25</f>
        <v>43263.5</v>
      </c>
      <c r="T6" s="670" t="str">
        <f>+P5</f>
        <v>2018E</v>
      </c>
      <c r="U6" s="671"/>
      <c r="V6" s="672">
        <f>+P6+365.25</f>
        <v>43358.75</v>
      </c>
      <c r="W6" s="672">
        <f>+Q6+365.25</f>
        <v>43448.75</v>
      </c>
      <c r="X6" s="672">
        <f>+R6+365.25</f>
        <v>43538.75</v>
      </c>
      <c r="Y6" s="672">
        <f>+S6+365.25</f>
        <v>43628.75</v>
      </c>
      <c r="Z6" s="670" t="str">
        <f>+V5</f>
        <v>2019E</v>
      </c>
      <c r="AA6" s="671"/>
      <c r="AB6" s="672">
        <f>+V6+365.25</f>
        <v>43724</v>
      </c>
      <c r="AC6" s="672">
        <f>+W6+365.25</f>
        <v>43814</v>
      </c>
      <c r="AD6" s="672">
        <f>+X6+365.25</f>
        <v>43904</v>
      </c>
      <c r="AE6" s="672">
        <f>+Y6+365.25</f>
        <v>43994</v>
      </c>
      <c r="AF6" s="670" t="str">
        <f>+AB5</f>
        <v>2020E</v>
      </c>
      <c r="AG6" s="671"/>
      <c r="AH6" s="672">
        <f>+AB6+365.25</f>
        <v>44089.25</v>
      </c>
      <c r="AI6" s="672">
        <f>+AC6+365.25</f>
        <v>44179.25</v>
      </c>
      <c r="AJ6" s="672">
        <f>+AD6+365.25</f>
        <v>44269.25</v>
      </c>
      <c r="AK6" s="672">
        <f>+AE6+365.25</f>
        <v>44359.25</v>
      </c>
      <c r="AL6" s="670" t="str">
        <f>+AH5</f>
        <v>2021E</v>
      </c>
      <c r="AM6" s="671"/>
      <c r="AN6" s="672">
        <f>+AH6+365.25</f>
        <v>44454.5</v>
      </c>
      <c r="AO6" s="672">
        <f>+AI6+365.25</f>
        <v>44544.5</v>
      </c>
      <c r="AP6" s="672">
        <f>+AJ6+365.25</f>
        <v>44634.5</v>
      </c>
      <c r="AQ6" s="672">
        <f>+AK6+365.25</f>
        <v>44724.5</v>
      </c>
      <c r="AR6" s="670" t="str">
        <f>+AN5</f>
        <v>2022E</v>
      </c>
    </row>
    <row r="7" spans="1:44" ht="12.75" hidden="1" customHeight="1" outlineLevel="1" x14ac:dyDescent="0.2">
      <c r="A7" s="43"/>
      <c r="B7" s="630" t="s">
        <v>186</v>
      </c>
      <c r="C7" s="442"/>
      <c r="D7" s="631">
        <v>95</v>
      </c>
      <c r="E7" s="631">
        <f>+E6-D6</f>
        <v>90</v>
      </c>
      <c r="F7" s="631">
        <f>+F6-E6</f>
        <v>90</v>
      </c>
      <c r="G7" s="631">
        <f>+G6-F6</f>
        <v>90</v>
      </c>
      <c r="H7" s="631">
        <f t="shared" ref="H7" si="0">+SUM(D7:G7)</f>
        <v>365</v>
      </c>
      <c r="I7" s="493"/>
      <c r="J7" s="631">
        <f>+J6-G6</f>
        <v>95.25</v>
      </c>
      <c r="K7" s="631">
        <f>+K6-J6</f>
        <v>90</v>
      </c>
      <c r="L7" s="631">
        <f>+L6-K6</f>
        <v>90</v>
      </c>
      <c r="M7" s="631">
        <f>+M6-L6</f>
        <v>90</v>
      </c>
      <c r="N7" s="631">
        <f t="shared" ref="N7:N9" si="1">+SUM(J7:M7)</f>
        <v>365.25</v>
      </c>
      <c r="O7" s="493"/>
      <c r="P7" s="631">
        <f>+P6-M6</f>
        <v>95.25</v>
      </c>
      <c r="Q7" s="631">
        <f>+Q6-P6</f>
        <v>90</v>
      </c>
      <c r="R7" s="631">
        <f>+R6-Q6</f>
        <v>90</v>
      </c>
      <c r="S7" s="631">
        <f>+S6-R6</f>
        <v>90</v>
      </c>
      <c r="T7" s="631">
        <f t="shared" ref="T7:T9" si="2">+SUM(P7:S7)</f>
        <v>365.25</v>
      </c>
      <c r="U7" s="493"/>
      <c r="V7" s="631">
        <f>+V6-S6</f>
        <v>95.25</v>
      </c>
      <c r="W7" s="631">
        <f>+W6-V6</f>
        <v>90</v>
      </c>
      <c r="X7" s="631">
        <f>+X6-W6</f>
        <v>90</v>
      </c>
      <c r="Y7" s="631">
        <f>+Y6-X6</f>
        <v>90</v>
      </c>
      <c r="Z7" s="631">
        <f t="shared" ref="Z7:Z9" si="3">+SUM(V7:Y7)</f>
        <v>365.25</v>
      </c>
      <c r="AA7" s="493"/>
      <c r="AB7" s="631">
        <f>+AB6-Y6</f>
        <v>95.25</v>
      </c>
      <c r="AC7" s="631">
        <f>+AC6-AB6</f>
        <v>90</v>
      </c>
      <c r="AD7" s="631">
        <f>+AD6-AC6</f>
        <v>90</v>
      </c>
      <c r="AE7" s="631">
        <f>+AE6-AD6</f>
        <v>90</v>
      </c>
      <c r="AF7" s="631">
        <f t="shared" ref="AF7:AF9" si="4">+SUM(AB7:AE7)</f>
        <v>365.25</v>
      </c>
      <c r="AG7" s="493"/>
      <c r="AH7" s="631">
        <f>+AH6-AE6</f>
        <v>95.25</v>
      </c>
      <c r="AI7" s="631">
        <f>+AI6-AH6</f>
        <v>90</v>
      </c>
      <c r="AJ7" s="631">
        <f>+AJ6-AI6</f>
        <v>90</v>
      </c>
      <c r="AK7" s="631">
        <f>+AK6-AJ6</f>
        <v>90</v>
      </c>
      <c r="AL7" s="631">
        <f t="shared" ref="AL7:AL9" si="5">+SUM(AH7:AK7)</f>
        <v>365.25</v>
      </c>
      <c r="AM7" s="493"/>
      <c r="AN7" s="631">
        <f>+AN6-AK6</f>
        <v>95.25</v>
      </c>
      <c r="AO7" s="631">
        <f>+AO6-AN6</f>
        <v>90</v>
      </c>
      <c r="AP7" s="631">
        <f>+AP6-AO6</f>
        <v>90</v>
      </c>
      <c r="AQ7" s="631">
        <f>+AQ6-AP6</f>
        <v>90</v>
      </c>
      <c r="AR7" s="631">
        <f t="shared" ref="AR7:AR9" si="6">+SUM(AN7:AQ7)</f>
        <v>365.25</v>
      </c>
    </row>
    <row r="8" spans="1:44" ht="12.75" customHeight="1" collapsed="1" x14ac:dyDescent="0.2">
      <c r="A8" s="112"/>
      <c r="B8" s="41" t="s">
        <v>182</v>
      </c>
      <c r="C8" s="52"/>
      <c r="D8" s="259">
        <f>23%*H8</f>
        <v>13.8</v>
      </c>
      <c r="E8" s="259">
        <f>24%*H8</f>
        <v>14.399999999999999</v>
      </c>
      <c r="F8" s="259">
        <f>25.5%*H8</f>
        <v>15.3</v>
      </c>
      <c r="G8" s="259">
        <f>+H8-F8-E8-D8</f>
        <v>16.500000000000004</v>
      </c>
      <c r="H8" s="783">
        <v>60</v>
      </c>
      <c r="I8" s="52"/>
      <c r="J8" s="332">
        <f>+MYGN!BK62*3</f>
        <v>21.6</v>
      </c>
      <c r="K8" s="332">
        <f>+MYGN!BL62</f>
        <v>21.7</v>
      </c>
      <c r="L8" s="332">
        <f>+MYGN!BM62</f>
        <v>23.9</v>
      </c>
      <c r="M8" s="332">
        <f>+MYGN!BN62</f>
        <v>25.5</v>
      </c>
      <c r="N8" s="260">
        <f t="shared" si="1"/>
        <v>92.699999999999989</v>
      </c>
      <c r="O8" s="52"/>
      <c r="P8" s="332">
        <f>+MYGN!BQ62</f>
        <v>28.8</v>
      </c>
      <c r="Q8" s="332">
        <f>+MYGN!BR62</f>
        <v>31.7</v>
      </c>
      <c r="R8" s="332">
        <f>+MYGN!BS62</f>
        <v>32.733185185185185</v>
      </c>
      <c r="S8" s="332">
        <f>+MYGN!BT62</f>
        <v>34.405771111111115</v>
      </c>
      <c r="T8" s="260">
        <f t="shared" si="2"/>
        <v>127.6389562962963</v>
      </c>
      <c r="U8" s="52"/>
      <c r="V8" s="332">
        <f>+MYGN!BW62</f>
        <v>37.030157826</v>
      </c>
      <c r="W8" s="332">
        <f>+MYGN!BX62</f>
        <v>39.207275725769996</v>
      </c>
      <c r="X8" s="332">
        <f>+MYGN!BY62</f>
        <v>41.491429935187043</v>
      </c>
      <c r="Y8" s="332">
        <f>+MYGN!BZ62</f>
        <v>43.651492015604056</v>
      </c>
      <c r="Z8" s="260">
        <f t="shared" si="3"/>
        <v>161.38035550256109</v>
      </c>
      <c r="AA8" s="52"/>
      <c r="AB8" s="332">
        <f>+MYGN!CC62</f>
        <v>46.864359804957964</v>
      </c>
      <c r="AC8" s="332">
        <f>+MYGN!CD62</f>
        <v>49.525762132828994</v>
      </c>
      <c r="AD8" s="332">
        <f>+MYGN!CE62</f>
        <v>52.316053782889924</v>
      </c>
      <c r="AE8" s="332">
        <f>+MYGN!CF62</f>
        <v>54.967526508704566</v>
      </c>
      <c r="AF8" s="260">
        <f t="shared" si="4"/>
        <v>203.67370222938143</v>
      </c>
      <c r="AG8" s="52"/>
      <c r="AH8" s="332">
        <f>+MYGN!CI62</f>
        <v>58.036191227408423</v>
      </c>
      <c r="AI8" s="332">
        <f>+MYGN!CJ62</f>
        <v>60.346369713159639</v>
      </c>
      <c r="AJ8" s="332">
        <f>+MYGN!CK62</f>
        <v>62.725740861849935</v>
      </c>
      <c r="AK8" s="332">
        <f>+MYGN!CL62</f>
        <v>64.877175151223668</v>
      </c>
      <c r="AL8" s="260">
        <f t="shared" si="5"/>
        <v>245.98547695364167</v>
      </c>
      <c r="AM8" s="52"/>
      <c r="AN8" s="332">
        <f>+MYGN!CO62</f>
        <v>68.376476574449384</v>
      </c>
      <c r="AO8" s="332">
        <f>+MYGN!CP62</f>
        <v>71.000654864603931</v>
      </c>
      <c r="AP8" s="332">
        <f>+MYGN!CQ62</f>
        <v>73.702449695734884</v>
      </c>
      <c r="AQ8" s="332">
        <f>+MYGN!CR62</f>
        <v>76.157061716036324</v>
      </c>
      <c r="AR8" s="260">
        <f t="shared" si="6"/>
        <v>289.23664285082452</v>
      </c>
    </row>
    <row r="9" spans="1:44" ht="12.75" hidden="1" customHeight="1" outlineLevel="1" x14ac:dyDescent="0.2">
      <c r="A9" s="35"/>
      <c r="B9" s="41" t="s">
        <v>64</v>
      </c>
      <c r="C9" s="319"/>
      <c r="D9" s="37">
        <f>+D8-D10</f>
        <v>4.1400000000000006</v>
      </c>
      <c r="E9" s="37">
        <f t="shared" ref="E9:G9" si="7">+E8-E10</f>
        <v>4.32</v>
      </c>
      <c r="F9" s="37">
        <f t="shared" si="7"/>
        <v>4.5900000000000016</v>
      </c>
      <c r="G9" s="37">
        <f t="shared" si="7"/>
        <v>4.9500000000000011</v>
      </c>
      <c r="H9" s="714">
        <f>+SUM(D9:G9)</f>
        <v>18.000000000000004</v>
      </c>
      <c r="I9" s="319"/>
      <c r="J9" s="681">
        <v>6.7716000000000003</v>
      </c>
      <c r="K9" s="681">
        <v>6.7904099999999987</v>
      </c>
      <c r="L9" s="681">
        <v>6.7985032212209289</v>
      </c>
      <c r="M9" s="681">
        <v>6.2537790697674414</v>
      </c>
      <c r="N9" s="714">
        <f t="shared" si="1"/>
        <v>26.614292290988367</v>
      </c>
      <c r="O9" s="319"/>
      <c r="P9" s="681">
        <v>6.5387223837209305</v>
      </c>
      <c r="Q9" s="681">
        <v>7.0978498691860468</v>
      </c>
      <c r="R9" s="681">
        <v>7.0776954806686048</v>
      </c>
      <c r="S9" s="681">
        <v>7.1840766962774341</v>
      </c>
      <c r="T9" s="714">
        <f t="shared" si="2"/>
        <v>27.898344429853015</v>
      </c>
      <c r="U9" s="319"/>
      <c r="V9" s="681">
        <v>7.4705895775372566</v>
      </c>
      <c r="W9" s="681">
        <v>7.5276923599402714</v>
      </c>
      <c r="X9" s="681">
        <v>7.5814011762162492</v>
      </c>
      <c r="Y9" s="681">
        <v>7.5907737875604724</v>
      </c>
      <c r="Z9" s="714">
        <f t="shared" si="3"/>
        <v>30.170456901254251</v>
      </c>
      <c r="AA9" s="319"/>
      <c r="AB9" s="681">
        <v>7.8738891342316473</v>
      </c>
      <c r="AC9" s="681">
        <v>7.9592586690554228</v>
      </c>
      <c r="AD9" s="681">
        <v>8.0421334242692986</v>
      </c>
      <c r="AE9" s="681">
        <v>8.0823440913906452</v>
      </c>
      <c r="AF9" s="714">
        <f t="shared" si="4"/>
        <v>31.957625318947013</v>
      </c>
      <c r="AG9" s="319"/>
      <c r="AH9" s="681">
        <v>8.3662314012673509</v>
      </c>
      <c r="AI9" s="681">
        <v>8.4433956714732155</v>
      </c>
      <c r="AJ9" s="681">
        <v>8.5181800331348345</v>
      </c>
      <c r="AK9" s="681">
        <v>8.5512178341979297</v>
      </c>
      <c r="AL9" s="714">
        <f t="shared" si="5"/>
        <v>33.879024940073329</v>
      </c>
      <c r="AM9" s="319"/>
      <c r="AN9" s="681">
        <v>8.8357330082205507</v>
      </c>
      <c r="AO9" s="681">
        <v>8.9049860507174152</v>
      </c>
      <c r="AP9" s="681">
        <v>8.9719704590635185</v>
      </c>
      <c r="AQ9" s="681">
        <v>8.9981061990964424</v>
      </c>
      <c r="AR9" s="714">
        <f t="shared" si="6"/>
        <v>35.710795717097923</v>
      </c>
    </row>
    <row r="10" spans="1:44" ht="12.75" hidden="1" customHeight="1" outlineLevel="1" x14ac:dyDescent="0.2">
      <c r="A10" s="35"/>
      <c r="B10" s="318" t="s">
        <v>219</v>
      </c>
      <c r="C10" s="123"/>
      <c r="D10" s="790">
        <f>70%*D8</f>
        <v>9.66</v>
      </c>
      <c r="E10" s="790">
        <f>70%*E8</f>
        <v>10.079999999999998</v>
      </c>
      <c r="F10" s="790">
        <f>70%*F8</f>
        <v>10.709999999999999</v>
      </c>
      <c r="G10" s="790">
        <f>70%*G8</f>
        <v>11.550000000000002</v>
      </c>
      <c r="H10" s="260">
        <f>+H8-H9</f>
        <v>42</v>
      </c>
      <c r="I10" s="123"/>
      <c r="J10" s="258">
        <f>+J8-J9</f>
        <v>14.828400000000002</v>
      </c>
      <c r="K10" s="258">
        <f>+K8-K9</f>
        <v>14.909590000000001</v>
      </c>
      <c r="L10" s="258">
        <f>L8-L9</f>
        <v>17.101496778779069</v>
      </c>
      <c r="M10" s="258">
        <f>M8-M9</f>
        <v>19.24622093023256</v>
      </c>
      <c r="N10" s="534">
        <f>+N8-N9</f>
        <v>66.085707709011615</v>
      </c>
      <c r="O10" s="535"/>
      <c r="P10" s="258">
        <f>+P8-P9</f>
        <v>22.26127761627907</v>
      </c>
      <c r="Q10" s="258">
        <f>+Q8-Q9</f>
        <v>24.602150130813953</v>
      </c>
      <c r="R10" s="258">
        <f>R8-R9</f>
        <v>25.65548970451658</v>
      </c>
      <c r="S10" s="258">
        <f>S8-S9</f>
        <v>27.221694414833681</v>
      </c>
      <c r="T10" s="534">
        <f>+T8-T9</f>
        <v>99.740611866443288</v>
      </c>
      <c r="U10" s="535"/>
      <c r="V10" s="258">
        <f>+V8-V9</f>
        <v>29.559568248462742</v>
      </c>
      <c r="W10" s="258">
        <f>+W8-W9</f>
        <v>31.679583365829725</v>
      </c>
      <c r="X10" s="258">
        <f>X8-X9</f>
        <v>33.910028758970796</v>
      </c>
      <c r="Y10" s="258">
        <f>Y8-Y9</f>
        <v>36.060718228043584</v>
      </c>
      <c r="Z10" s="534">
        <f>+Z8-Z9</f>
        <v>131.20989860130683</v>
      </c>
      <c r="AA10" s="535"/>
      <c r="AB10" s="258">
        <f>+AB8-AB9</f>
        <v>38.990470670726317</v>
      </c>
      <c r="AC10" s="258">
        <f>+AC8-AC9</f>
        <v>41.566503463773572</v>
      </c>
      <c r="AD10" s="258">
        <f>AD8-AD9</f>
        <v>44.273920358620629</v>
      </c>
      <c r="AE10" s="258">
        <f>AE8-AE9</f>
        <v>46.885182417313921</v>
      </c>
      <c r="AF10" s="534">
        <f>+AF8-AF9</f>
        <v>171.71607691043442</v>
      </c>
      <c r="AG10" s="535"/>
      <c r="AH10" s="258">
        <f t="shared" ref="AH10:AI10" si="8">+AH8-AH9</f>
        <v>49.669959826141074</v>
      </c>
      <c r="AI10" s="258">
        <f t="shared" si="8"/>
        <v>51.90297404168642</v>
      </c>
      <c r="AJ10" s="258">
        <f t="shared" ref="AJ10:AK10" si="9">AJ8-AJ9</f>
        <v>54.207560828715103</v>
      </c>
      <c r="AK10" s="258">
        <f t="shared" si="9"/>
        <v>56.32595731702574</v>
      </c>
      <c r="AL10" s="534">
        <f t="shared" ref="AL10" si="10">+AL8-AL9</f>
        <v>212.10645201356834</v>
      </c>
      <c r="AM10" s="535"/>
      <c r="AN10" s="258">
        <f t="shared" ref="AN10:AO10" si="11">+AN8-AN9</f>
        <v>59.540743566228834</v>
      </c>
      <c r="AO10" s="258">
        <f t="shared" si="11"/>
        <v>62.095668813886519</v>
      </c>
      <c r="AP10" s="258">
        <f t="shared" ref="AP10:AQ10" si="12">AP8-AP9</f>
        <v>64.730479236671371</v>
      </c>
      <c r="AQ10" s="258">
        <f t="shared" si="12"/>
        <v>67.158955516939884</v>
      </c>
      <c r="AR10" s="534">
        <f t="shared" ref="AR10" si="13">+AR8-AR9</f>
        <v>253.52584713372659</v>
      </c>
    </row>
    <row r="11" spans="1:44" collapsed="1" x14ac:dyDescent="0.2">
      <c r="B11" s="610" t="s">
        <v>44</v>
      </c>
      <c r="C11" s="252"/>
      <c r="D11" s="259">
        <f>25%*H11</f>
        <v>16.41935483870968</v>
      </c>
      <c r="E11" s="259">
        <f>25%*H11</f>
        <v>16.41935483870968</v>
      </c>
      <c r="F11" s="259">
        <f>25%*H11</f>
        <v>16.41935483870968</v>
      </c>
      <c r="G11" s="259">
        <f>+H11-F11-E11-D11</f>
        <v>16.41935483870968</v>
      </c>
      <c r="H11" s="260">
        <f>-H12+H10</f>
        <v>65.677419354838719</v>
      </c>
      <c r="I11" s="252"/>
      <c r="J11" s="784">
        <f>-J12+J10</f>
        <v>21.718722580645164</v>
      </c>
      <c r="K11" s="784">
        <f>-K12+K10</f>
        <v>22.197331935483874</v>
      </c>
      <c r="L11" s="834">
        <f>+F11*(1+L40)</f>
        <v>21.01677419354839</v>
      </c>
      <c r="M11" s="834">
        <f>+G11*(1+M40)</f>
        <v>19.703225806451616</v>
      </c>
      <c r="N11" s="785">
        <f>+SUM(J11:M11)</f>
        <v>84.636054516129036</v>
      </c>
      <c r="O11" s="252"/>
      <c r="P11" s="834">
        <f>+J11*(1+P40)</f>
        <v>22.804658709677422</v>
      </c>
      <c r="Q11" s="834">
        <f>+K11*(1+Q40)</f>
        <v>23.307198532258067</v>
      </c>
      <c r="R11" s="834">
        <f>+L11*(1+R40)</f>
        <v>22.067612903225811</v>
      </c>
      <c r="S11" s="834">
        <f>+M11*(1+S40)</f>
        <v>20.688387096774196</v>
      </c>
      <c r="T11" s="785">
        <f>+SUM(P11:S11)</f>
        <v>88.867857241935496</v>
      </c>
      <c r="U11" s="252"/>
      <c r="V11" s="834">
        <f>+P11*(1+V40)</f>
        <v>27.263202188018436</v>
      </c>
      <c r="W11" s="834">
        <f>+Q11*(1+W40)</f>
        <v>25.865235506971331</v>
      </c>
      <c r="X11" s="834">
        <f>+R11*(1+X40)</f>
        <v>24.734564657749807</v>
      </c>
      <c r="Y11" s="834">
        <f>+S11*(1+Y40)</f>
        <v>22.87352147356366</v>
      </c>
      <c r="Z11" s="785">
        <f>+SUM(V11:Y11)</f>
        <v>100.73652382630324</v>
      </c>
      <c r="AA11" s="252"/>
      <c r="AB11" s="834">
        <f>+V11*(1+AB40)</f>
        <v>30.067864941843329</v>
      </c>
      <c r="AC11" s="834">
        <f>+W11*(1+AC40)</f>
        <v>28.472102501325637</v>
      </c>
      <c r="AD11" s="834">
        <f>+X11*(1+AD40)</f>
        <v>27.178122199213224</v>
      </c>
      <c r="AE11" s="834">
        <f>+Y11*(1+AE40)</f>
        <v>25.100289699179239</v>
      </c>
      <c r="AF11" s="785">
        <f>+SUM(AB11:AE11)</f>
        <v>110.81837934156142</v>
      </c>
      <c r="AG11" s="252"/>
      <c r="AH11" s="834">
        <f t="shared" ref="AH11:AK11" si="14">+AB11*(1+AH40)</f>
        <v>32.925894630525917</v>
      </c>
      <c r="AI11" s="834">
        <f t="shared" si="14"/>
        <v>31.128520312016324</v>
      </c>
      <c r="AJ11" s="834">
        <f t="shared" si="14"/>
        <v>29.668077435040136</v>
      </c>
      <c r="AK11" s="834">
        <f t="shared" si="14"/>
        <v>27.369305937159773</v>
      </c>
      <c r="AL11" s="785">
        <f t="shared" ref="AL11" si="15">+SUM(AH11:AK11)</f>
        <v>121.09179831474214</v>
      </c>
      <c r="AM11" s="252"/>
      <c r="AN11" s="834">
        <f t="shared" ref="AN11:AQ11" si="16">+AH11*(1+AN40)</f>
        <v>35.838078126487964</v>
      </c>
      <c r="AO11" s="834">
        <f t="shared" si="16"/>
        <v>33.835219268670691</v>
      </c>
      <c r="AP11" s="834">
        <f t="shared" si="16"/>
        <v>32.205113963363665</v>
      </c>
      <c r="AQ11" s="834">
        <f t="shared" si="16"/>
        <v>29.681192470929997</v>
      </c>
      <c r="AR11" s="785">
        <f t="shared" ref="AR11" si="17">+SUM(AN11:AQ11)</f>
        <v>131.55960382945233</v>
      </c>
    </row>
    <row r="12" spans="1:44" ht="12.75" hidden="1" customHeight="1" outlineLevel="1" x14ac:dyDescent="0.2">
      <c r="A12" s="35"/>
      <c r="B12" s="115" t="s">
        <v>315</v>
      </c>
      <c r="C12" s="123"/>
      <c r="D12" s="322">
        <f>+D10-D11</f>
        <v>-6.7593548387096796</v>
      </c>
      <c r="E12" s="322">
        <f t="shared" ref="E12:G12" si="18">+E10-E11</f>
        <v>-6.3393548387096814</v>
      </c>
      <c r="F12" s="322">
        <f t="shared" si="18"/>
        <v>-5.7093548387096806</v>
      </c>
      <c r="G12" s="322">
        <f t="shared" si="18"/>
        <v>-4.8693548387096772</v>
      </c>
      <c r="H12" s="261">
        <f>+H15/(1-H13)</f>
        <v>-23.677419354838712</v>
      </c>
      <c r="I12" s="123"/>
      <c r="J12" s="322">
        <f>+J15/(1-J13)</f>
        <v>-6.8903225806451616</v>
      </c>
      <c r="K12" s="322">
        <f>+K15/(1-K13)</f>
        <v>-7.2877419354838722</v>
      </c>
      <c r="L12" s="322">
        <f>+L10-L11</f>
        <v>-3.9152774147693208</v>
      </c>
      <c r="M12" s="322">
        <f t="shared" ref="M12" si="19">+M10-M11</f>
        <v>-0.45700487621905594</v>
      </c>
      <c r="N12" s="260">
        <f>+N10-N11</f>
        <v>-18.550346807117421</v>
      </c>
      <c r="O12" s="123"/>
      <c r="P12" s="259">
        <f>+P10-P11</f>
        <v>-0.54338109339835228</v>
      </c>
      <c r="Q12" s="259">
        <f>+Q10-Q11</f>
        <v>1.2949515985558868</v>
      </c>
      <c r="R12" s="259">
        <f>+R10-R11</f>
        <v>3.5878768012907685</v>
      </c>
      <c r="S12" s="259">
        <f>+S10-S11</f>
        <v>6.5333073180594852</v>
      </c>
      <c r="T12" s="260">
        <f>+T10-T11</f>
        <v>10.872754624507792</v>
      </c>
      <c r="U12" s="123"/>
      <c r="V12" s="259">
        <f>+V10-V11</f>
        <v>2.2963660604443064</v>
      </c>
      <c r="W12" s="259">
        <f>+W10-W11</f>
        <v>5.8143478588583939</v>
      </c>
      <c r="X12" s="259">
        <f>+X10-X11</f>
        <v>9.1754641012209888</v>
      </c>
      <c r="Y12" s="259">
        <f>+Y10-Y11</f>
        <v>13.187196754479924</v>
      </c>
      <c r="Z12" s="260">
        <f>+Z10-Z11</f>
        <v>30.473374775003592</v>
      </c>
      <c r="AA12" s="123"/>
      <c r="AB12" s="259">
        <f>+AB10-AB11</f>
        <v>8.9226057288829885</v>
      </c>
      <c r="AC12" s="259">
        <f>+AC10-AC11</f>
        <v>13.094400962447935</v>
      </c>
      <c r="AD12" s="259">
        <f>+AD10-AD11</f>
        <v>17.095798159407405</v>
      </c>
      <c r="AE12" s="259">
        <f>+AE10-AE11</f>
        <v>21.784892718134682</v>
      </c>
      <c r="AF12" s="260">
        <f>+AF10-AF11</f>
        <v>60.897697568872999</v>
      </c>
      <c r="AG12" s="123"/>
      <c r="AH12" s="259">
        <f t="shared" ref="AH12:AL12" si="20">+AH10-AH11</f>
        <v>16.744065195615157</v>
      </c>
      <c r="AI12" s="259">
        <f t="shared" si="20"/>
        <v>20.774453729670096</v>
      </c>
      <c r="AJ12" s="259">
        <f t="shared" si="20"/>
        <v>24.539483393674967</v>
      </c>
      <c r="AK12" s="259">
        <f t="shared" si="20"/>
        <v>28.956651379865967</v>
      </c>
      <c r="AL12" s="260">
        <f t="shared" si="20"/>
        <v>91.014653698826208</v>
      </c>
      <c r="AM12" s="123"/>
      <c r="AN12" s="259">
        <f t="shared" ref="AN12:AR12" si="21">+AN10-AN11</f>
        <v>23.702665439740869</v>
      </c>
      <c r="AO12" s="259">
        <f t="shared" si="21"/>
        <v>28.260449545215828</v>
      </c>
      <c r="AP12" s="259">
        <f t="shared" si="21"/>
        <v>32.525365273307706</v>
      </c>
      <c r="AQ12" s="259">
        <f t="shared" si="21"/>
        <v>37.477763046009883</v>
      </c>
      <c r="AR12" s="260">
        <f t="shared" si="21"/>
        <v>121.96624330427426</v>
      </c>
    </row>
    <row r="13" spans="1:44" ht="12.75" hidden="1" customHeight="1" outlineLevel="1" x14ac:dyDescent="0.2">
      <c r="A13" s="35"/>
      <c r="B13" s="615" t="s">
        <v>10</v>
      </c>
      <c r="C13" s="265"/>
      <c r="D13" s="787">
        <v>0.38</v>
      </c>
      <c r="E13" s="787">
        <f>+D13</f>
        <v>0.38</v>
      </c>
      <c r="F13" s="787">
        <f>+E13</f>
        <v>0.38</v>
      </c>
      <c r="G13" s="787">
        <f>+F13</f>
        <v>0.38</v>
      </c>
      <c r="H13" s="616">
        <f>+G13</f>
        <v>0.38</v>
      </c>
      <c r="I13" s="265"/>
      <c r="J13" s="787">
        <v>0.38</v>
      </c>
      <c r="K13" s="787">
        <f>+J13</f>
        <v>0.38</v>
      </c>
      <c r="L13" s="835">
        <f>+K13</f>
        <v>0.38</v>
      </c>
      <c r="M13" s="835">
        <f>+L13</f>
        <v>0.38</v>
      </c>
      <c r="N13" s="616">
        <f>+M13</f>
        <v>0.38</v>
      </c>
      <c r="O13" s="265"/>
      <c r="P13" s="835">
        <f>+M13</f>
        <v>0.38</v>
      </c>
      <c r="Q13" s="835">
        <f>+P13</f>
        <v>0.38</v>
      </c>
      <c r="R13" s="835">
        <f>+Q13</f>
        <v>0.38</v>
      </c>
      <c r="S13" s="835">
        <f>+R13</f>
        <v>0.38</v>
      </c>
      <c r="T13" s="616">
        <f>+S13</f>
        <v>0.38</v>
      </c>
      <c r="U13" s="265"/>
      <c r="V13" s="835">
        <f>+S13</f>
        <v>0.38</v>
      </c>
      <c r="W13" s="835">
        <f>+V13</f>
        <v>0.38</v>
      </c>
      <c r="X13" s="835">
        <f>+W13</f>
        <v>0.38</v>
      </c>
      <c r="Y13" s="835">
        <f>+X13</f>
        <v>0.38</v>
      </c>
      <c r="Z13" s="616">
        <f>+Y13</f>
        <v>0.38</v>
      </c>
      <c r="AA13" s="265"/>
      <c r="AB13" s="835">
        <f>+Y13</f>
        <v>0.38</v>
      </c>
      <c r="AC13" s="835">
        <f>+AB13</f>
        <v>0.38</v>
      </c>
      <c r="AD13" s="835">
        <f>+AC13</f>
        <v>0.38</v>
      </c>
      <c r="AE13" s="835">
        <f>+AD13</f>
        <v>0.38</v>
      </c>
      <c r="AF13" s="616">
        <f>+AE13</f>
        <v>0.38</v>
      </c>
      <c r="AG13" s="265"/>
      <c r="AH13" s="835">
        <f t="shared" ref="AH13" si="22">+AE13</f>
        <v>0.38</v>
      </c>
      <c r="AI13" s="835">
        <f t="shared" ref="AI13:AL13" si="23">+AH13</f>
        <v>0.38</v>
      </c>
      <c r="AJ13" s="835">
        <f t="shared" si="23"/>
        <v>0.38</v>
      </c>
      <c r="AK13" s="835">
        <f t="shared" si="23"/>
        <v>0.38</v>
      </c>
      <c r="AL13" s="616">
        <f t="shared" si="23"/>
        <v>0.38</v>
      </c>
      <c r="AM13" s="265"/>
      <c r="AN13" s="835">
        <f t="shared" ref="AN13" si="24">+AK13</f>
        <v>0.38</v>
      </c>
      <c r="AO13" s="835">
        <f t="shared" ref="AO13:AR13" si="25">+AN13</f>
        <v>0.38</v>
      </c>
      <c r="AP13" s="835">
        <f t="shared" si="25"/>
        <v>0.38</v>
      </c>
      <c r="AQ13" s="835">
        <f t="shared" si="25"/>
        <v>0.38</v>
      </c>
      <c r="AR13" s="616">
        <f t="shared" si="25"/>
        <v>0.38</v>
      </c>
    </row>
    <row r="14" spans="1:44" collapsed="1" x14ac:dyDescent="0.2">
      <c r="A14" s="129"/>
      <c r="B14" s="32" t="s">
        <v>45</v>
      </c>
      <c r="C14" s="241"/>
      <c r="D14" s="37">
        <f>+D13*D12</f>
        <v>-2.5685548387096784</v>
      </c>
      <c r="E14" s="37">
        <f>+E13*E12</f>
        <v>-2.4089548387096791</v>
      </c>
      <c r="F14" s="37">
        <f>+F13*F12</f>
        <v>-2.1695548387096788</v>
      </c>
      <c r="G14" s="37">
        <f>+G13*G12</f>
        <v>-1.8503548387096773</v>
      </c>
      <c r="H14" s="91">
        <f>+H13*H12</f>
        <v>-8.9974193548387102</v>
      </c>
      <c r="I14" s="184"/>
      <c r="J14" s="37">
        <f>+J13*J12</f>
        <v>-2.6183225806451613</v>
      </c>
      <c r="K14" s="37">
        <f>+K13*K12</f>
        <v>-2.7693419354838715</v>
      </c>
      <c r="L14" s="37">
        <f>+L13*L12</f>
        <v>-1.4878054176123419</v>
      </c>
      <c r="M14" s="37">
        <f>+M13*M12</f>
        <v>-0.17366185296324127</v>
      </c>
      <c r="N14" s="91">
        <f>+N13*N12</f>
        <v>-7.0491317867046197</v>
      </c>
      <c r="O14" s="184"/>
      <c r="P14" s="37">
        <f>+P13*P12</f>
        <v>-0.20648481549137387</v>
      </c>
      <c r="Q14" s="37">
        <f>+Q13*Q12</f>
        <v>0.49208160745123702</v>
      </c>
      <c r="R14" s="37">
        <f>+R13*R12</f>
        <v>1.3633931844904921</v>
      </c>
      <c r="S14" s="37">
        <f>+S13*S12</f>
        <v>2.4826567808626043</v>
      </c>
      <c r="T14" s="91">
        <f>+T13*T12</f>
        <v>4.1316467573129607</v>
      </c>
      <c r="U14" s="184"/>
      <c r="V14" s="37">
        <f>+V13*V12</f>
        <v>0.87261910296883638</v>
      </c>
      <c r="W14" s="37">
        <f>+W13*W12</f>
        <v>2.2094521863661898</v>
      </c>
      <c r="X14" s="37">
        <f>+X13*X12</f>
        <v>3.4866763584639759</v>
      </c>
      <c r="Y14" s="37">
        <f>+Y13*Y12</f>
        <v>5.0111347667023711</v>
      </c>
      <c r="Z14" s="91">
        <f>+Z13*Z12</f>
        <v>11.579882414501364</v>
      </c>
      <c r="AA14" s="184"/>
      <c r="AB14" s="37">
        <f>+AB13*AB12</f>
        <v>3.3905901769755356</v>
      </c>
      <c r="AC14" s="37">
        <f>+AC13*AC12</f>
        <v>4.9758723657302157</v>
      </c>
      <c r="AD14" s="37">
        <f>+AD13*AD12</f>
        <v>6.4964033005748139</v>
      </c>
      <c r="AE14" s="37">
        <f>+AE13*AE12</f>
        <v>8.2782592328911786</v>
      </c>
      <c r="AF14" s="91">
        <f>+AF13*AF12</f>
        <v>23.14112507617174</v>
      </c>
      <c r="AG14" s="184"/>
      <c r="AH14" s="37">
        <f t="shared" ref="AH14:AL14" si="26">+AH13*AH12</f>
        <v>6.36274477433376</v>
      </c>
      <c r="AI14" s="37">
        <f t="shared" si="26"/>
        <v>7.8942924172746363</v>
      </c>
      <c r="AJ14" s="37">
        <f t="shared" si="26"/>
        <v>9.3250036895964872</v>
      </c>
      <c r="AK14" s="37">
        <f t="shared" si="26"/>
        <v>11.003527524349067</v>
      </c>
      <c r="AL14" s="91">
        <f t="shared" si="26"/>
        <v>34.585568405553957</v>
      </c>
      <c r="AM14" s="184"/>
      <c r="AN14" s="37">
        <f t="shared" ref="AN14:AR14" si="27">+AN13*AN12</f>
        <v>9.0070128671015297</v>
      </c>
      <c r="AO14" s="37">
        <f t="shared" si="27"/>
        <v>10.738970827182015</v>
      </c>
      <c r="AP14" s="37">
        <f t="shared" si="27"/>
        <v>12.359638803856928</v>
      </c>
      <c r="AQ14" s="37">
        <f t="shared" si="27"/>
        <v>14.241549957483755</v>
      </c>
      <c r="AR14" s="91">
        <f t="shared" si="27"/>
        <v>46.347172455624218</v>
      </c>
    </row>
    <row r="15" spans="1:44" ht="12.75" hidden="1" customHeight="1" outlineLevel="1" x14ac:dyDescent="0.2">
      <c r="A15" s="129"/>
      <c r="B15" s="120" t="s">
        <v>371</v>
      </c>
      <c r="D15" s="788">
        <f>+D12*(1-D13)</f>
        <v>-4.1908000000000012</v>
      </c>
      <c r="E15" s="788">
        <f>+E12*(1-E13)</f>
        <v>-3.9304000000000023</v>
      </c>
      <c r="F15" s="788">
        <f>+F12*(1-F13)</f>
        <v>-3.5398000000000018</v>
      </c>
      <c r="G15" s="788">
        <f>+G12*(1-G13)</f>
        <v>-3.0189999999999997</v>
      </c>
      <c r="H15" s="789">
        <f>+H20*H16</f>
        <v>-14.680000000000001</v>
      </c>
      <c r="I15" s="120"/>
      <c r="J15" s="788">
        <f>+J20*J16</f>
        <v>-4.2720000000000002</v>
      </c>
      <c r="K15" s="788">
        <f t="shared" ref="K15" si="28">+K20*K16</f>
        <v>-4.5184000000000006</v>
      </c>
      <c r="L15" s="788">
        <f>+L12*(1-L13)</f>
        <v>-2.4274719971569789</v>
      </c>
      <c r="M15" s="788">
        <f>+M12*(1-M13)</f>
        <v>-0.28334302325581467</v>
      </c>
      <c r="N15" s="789">
        <f>+N12-N14</f>
        <v>-11.501215020412801</v>
      </c>
      <c r="O15" s="120"/>
      <c r="P15" s="788">
        <f>+P12*(1-P13)</f>
        <v>-0.3368962779069784</v>
      </c>
      <c r="Q15" s="788">
        <f>+Q12*(1-Q13)</f>
        <v>0.80286999110464985</v>
      </c>
      <c r="R15" s="788">
        <f>+R12*(1-R13)</f>
        <v>2.2244836168002764</v>
      </c>
      <c r="S15" s="788">
        <f>+S12*(1-S13)</f>
        <v>4.0506505371968808</v>
      </c>
      <c r="T15" s="789">
        <f>+T12-T14</f>
        <v>6.741107867194831</v>
      </c>
      <c r="U15" s="120"/>
      <c r="V15" s="788">
        <f>+V12*(1-V13)</f>
        <v>1.42374695747547</v>
      </c>
      <c r="W15" s="788">
        <f>+W12*(1-W13)</f>
        <v>3.6048956724922041</v>
      </c>
      <c r="X15" s="788">
        <f>+X12*(1-X13)</f>
        <v>5.6887877427570128</v>
      </c>
      <c r="Y15" s="788">
        <f>+Y12*(1-Y13)</f>
        <v>8.1760619877775529</v>
      </c>
      <c r="Z15" s="789">
        <f>+Z12-Z14</f>
        <v>18.893492360502229</v>
      </c>
      <c r="AA15" s="120"/>
      <c r="AB15" s="788">
        <f>+AB12*(1-AB13)</f>
        <v>5.5320155519074525</v>
      </c>
      <c r="AC15" s="788">
        <f>+AC12*(1-AC13)</f>
        <v>8.1185285967177201</v>
      </c>
      <c r="AD15" s="788">
        <f>+AD12*(1-AD13)</f>
        <v>10.599394858832591</v>
      </c>
      <c r="AE15" s="788">
        <f>+AE12*(1-AE13)</f>
        <v>13.506633485243503</v>
      </c>
      <c r="AF15" s="789">
        <f>+AF12-AF14</f>
        <v>37.75657249270126</v>
      </c>
      <c r="AG15" s="120"/>
      <c r="AH15" s="788">
        <f t="shared" ref="AH15:AK15" si="29">+AH12*(1-AH13)</f>
        <v>10.381320421281398</v>
      </c>
      <c r="AI15" s="788">
        <f t="shared" si="29"/>
        <v>12.88016131239546</v>
      </c>
      <c r="AJ15" s="788">
        <f t="shared" si="29"/>
        <v>15.21447970407848</v>
      </c>
      <c r="AK15" s="788">
        <f t="shared" si="29"/>
        <v>17.9531238555169</v>
      </c>
      <c r="AL15" s="789">
        <f t="shared" ref="AL15" si="30">+AL12-AL14</f>
        <v>56.429085293272252</v>
      </c>
      <c r="AM15" s="120"/>
      <c r="AN15" s="788">
        <f t="shared" ref="AN15:AQ15" si="31">+AN12*(1-AN13)</f>
        <v>14.695652572639339</v>
      </c>
      <c r="AO15" s="788">
        <f t="shared" si="31"/>
        <v>17.521478718033812</v>
      </c>
      <c r="AP15" s="788">
        <f t="shared" si="31"/>
        <v>20.165726469450778</v>
      </c>
      <c r="AQ15" s="788">
        <f t="shared" si="31"/>
        <v>23.236213088526128</v>
      </c>
      <c r="AR15" s="789">
        <f t="shared" ref="AR15" si="32">+AR12-AR14</f>
        <v>75.61907084865004</v>
      </c>
    </row>
    <row r="16" spans="1:44" ht="12.75" hidden="1" customHeight="1" outlineLevel="1" x14ac:dyDescent="0.2">
      <c r="A16" s="129"/>
      <c r="B16" s="618" t="s">
        <v>58</v>
      </c>
      <c r="C16" s="171"/>
      <c r="D16" s="480">
        <v>72.099999999999994</v>
      </c>
      <c r="E16" s="124">
        <v>73.8</v>
      </c>
      <c r="F16" s="124">
        <v>73.5</v>
      </c>
      <c r="G16" s="124">
        <v>72.400000000000006</v>
      </c>
      <c r="H16" s="428">
        <v>73.400000000000006</v>
      </c>
      <c r="I16" s="171"/>
      <c r="J16" s="171">
        <f>G16-G18+J18</f>
        <v>71.2</v>
      </c>
      <c r="K16" s="171">
        <f>J16-J18+K18</f>
        <v>70.600000000000009</v>
      </c>
      <c r="L16" s="171">
        <f>K16-K18+L18</f>
        <v>70.5</v>
      </c>
      <c r="M16" s="171">
        <f>L16-L18+M18</f>
        <v>70.600000000000009</v>
      </c>
      <c r="N16" s="172">
        <f>+AVERAGE(J16:M16)</f>
        <v>70.725000000000009</v>
      </c>
      <c r="O16" s="171"/>
      <c r="P16" s="171">
        <f>M16-M18+P18</f>
        <v>71</v>
      </c>
      <c r="Q16" s="171">
        <f>P16-P18+Q18</f>
        <v>71.7</v>
      </c>
      <c r="R16" s="171">
        <f>Q16-Q18+R18</f>
        <v>71.892977287500003</v>
      </c>
      <c r="S16" s="171">
        <f>R16-R18+S18</f>
        <v>72.076374987093757</v>
      </c>
      <c r="T16" s="172">
        <f>+AVERAGE(P16:S16)</f>
        <v>71.667338068648434</v>
      </c>
      <c r="U16" s="171"/>
      <c r="V16" s="171">
        <f>S16-S18+V18</f>
        <v>71.866726301126278</v>
      </c>
      <c r="W16" s="171">
        <f>V16-V18+W18</f>
        <v>71.170747854876836</v>
      </c>
      <c r="X16" s="171">
        <f>W16-W18+X18</f>
        <v>70.376577477579147</v>
      </c>
      <c r="Y16" s="171">
        <f>X16-X18+Y18</f>
        <v>69.577768409664202</v>
      </c>
      <c r="Z16" s="172">
        <f>+AVERAGE(V16:Y16)</f>
        <v>70.747955010811609</v>
      </c>
      <c r="AA16" s="171"/>
      <c r="AB16" s="171">
        <f>Y16-Y18+AB18</f>
        <v>68.903143279702505</v>
      </c>
      <c r="AC16" s="171">
        <f>AB16-AB18+AC18</f>
        <v>68.267896989829865</v>
      </c>
      <c r="AD16" s="171">
        <f>AC16-AC18+AD18</f>
        <v>67.543455119910419</v>
      </c>
      <c r="AE16" s="171">
        <f>AD16-AD18+AE18</f>
        <v>66.814864150511085</v>
      </c>
      <c r="AF16" s="172">
        <f>+AVERAGE(AB16:AE16)</f>
        <v>67.882339884988468</v>
      </c>
      <c r="AG16" s="171"/>
      <c r="AH16" s="171">
        <f t="shared" ref="AH16" si="33">AE16-AE18+AH18</f>
        <v>66.449545852314785</v>
      </c>
      <c r="AI16" s="171">
        <f t="shared" ref="AI16:AK16" si="34">AH16-AH18+AI18</f>
        <v>66.449545852314785</v>
      </c>
      <c r="AJ16" s="171">
        <f t="shared" si="34"/>
        <v>66.449545852314785</v>
      </c>
      <c r="AK16" s="171">
        <f t="shared" si="34"/>
        <v>66.449545852314785</v>
      </c>
      <c r="AL16" s="172">
        <f t="shared" ref="AL16" si="35">+AVERAGE(AH16:AK16)</f>
        <v>66.449545852314785</v>
      </c>
      <c r="AM16" s="171"/>
      <c r="AN16" s="171">
        <f t="shared" ref="AN16" si="36">AK16-AK18+AN18</f>
        <v>66.449545852314785</v>
      </c>
      <c r="AO16" s="171">
        <f t="shared" ref="AO16:AQ16" si="37">AN16-AN18+AO18</f>
        <v>66.449545852314785</v>
      </c>
      <c r="AP16" s="171">
        <f t="shared" si="37"/>
        <v>66.449545852314785</v>
      </c>
      <c r="AQ16" s="171">
        <f t="shared" si="37"/>
        <v>66.449545852314785</v>
      </c>
      <c r="AR16" s="172">
        <f t="shared" ref="AR16" si="38">+AVERAGE(AN16:AQ16)</f>
        <v>66.449545852314785</v>
      </c>
    </row>
    <row r="17" spans="1:44" ht="12" customHeight="1" collapsed="1" x14ac:dyDescent="0.2">
      <c r="A17" s="129"/>
      <c r="B17" s="618" t="s">
        <v>89</v>
      </c>
      <c r="C17" s="171"/>
      <c r="D17" s="171">
        <f>+D16</f>
        <v>72.099999999999994</v>
      </c>
      <c r="E17" s="171">
        <f>+E16</f>
        <v>73.8</v>
      </c>
      <c r="F17" s="171">
        <f>+F16</f>
        <v>73.5</v>
      </c>
      <c r="G17" s="171">
        <f>+G16</f>
        <v>72.400000000000006</v>
      </c>
      <c r="H17" s="172">
        <f>+H16</f>
        <v>73.400000000000006</v>
      </c>
      <c r="I17" s="171"/>
      <c r="J17" s="171">
        <f>+J16</f>
        <v>71.2</v>
      </c>
      <c r="K17" s="171">
        <f>+K16</f>
        <v>70.600000000000009</v>
      </c>
      <c r="L17" s="171">
        <f>+L16</f>
        <v>70.5</v>
      </c>
      <c r="M17" s="171">
        <f>+M16</f>
        <v>70.600000000000009</v>
      </c>
      <c r="N17" s="172">
        <f>+N16</f>
        <v>70.725000000000009</v>
      </c>
      <c r="O17" s="171"/>
      <c r="P17" s="171">
        <f>+P16</f>
        <v>71</v>
      </c>
      <c r="Q17" s="171">
        <f>+Q16</f>
        <v>71.7</v>
      </c>
      <c r="R17" s="171">
        <f>+R16</f>
        <v>71.892977287500003</v>
      </c>
      <c r="S17" s="171">
        <f>+S16</f>
        <v>72.076374987093757</v>
      </c>
      <c r="T17" s="172">
        <f>+T16</f>
        <v>71.667338068648434</v>
      </c>
      <c r="U17" s="171"/>
      <c r="V17" s="171">
        <f>+V16</f>
        <v>71.866726301126278</v>
      </c>
      <c r="W17" s="171">
        <f>+W16</f>
        <v>71.170747854876836</v>
      </c>
      <c r="X17" s="171">
        <f>+X16</f>
        <v>70.376577477579147</v>
      </c>
      <c r="Y17" s="171">
        <f>+Y16</f>
        <v>69.577768409664202</v>
      </c>
      <c r="Z17" s="172">
        <f>+Z16</f>
        <v>70.747955010811609</v>
      </c>
      <c r="AA17" s="171"/>
      <c r="AB17" s="171">
        <f>+AB16</f>
        <v>68.903143279702505</v>
      </c>
      <c r="AC17" s="171">
        <f>+AC16</f>
        <v>68.267896989829865</v>
      </c>
      <c r="AD17" s="171">
        <f>+AD16</f>
        <v>67.543455119910419</v>
      </c>
      <c r="AE17" s="171">
        <f>+AE16</f>
        <v>66.814864150511085</v>
      </c>
      <c r="AF17" s="172">
        <f>+AF16</f>
        <v>67.882339884988468</v>
      </c>
      <c r="AG17" s="171"/>
      <c r="AH17" s="171">
        <f t="shared" ref="AH17:AL17" si="39">+AH16</f>
        <v>66.449545852314785</v>
      </c>
      <c r="AI17" s="171">
        <f t="shared" si="39"/>
        <v>66.449545852314785</v>
      </c>
      <c r="AJ17" s="171">
        <f t="shared" si="39"/>
        <v>66.449545852314785</v>
      </c>
      <c r="AK17" s="171">
        <f t="shared" si="39"/>
        <v>66.449545852314785</v>
      </c>
      <c r="AL17" s="172">
        <f t="shared" si="39"/>
        <v>66.449545852314785</v>
      </c>
      <c r="AM17" s="171"/>
      <c r="AN17" s="171">
        <f t="shared" ref="AN17:AR17" si="40">+AN16</f>
        <v>66.449545852314785</v>
      </c>
      <c r="AO17" s="171">
        <f t="shared" si="40"/>
        <v>66.449545852314785</v>
      </c>
      <c r="AP17" s="171">
        <f t="shared" si="40"/>
        <v>66.449545852314785</v>
      </c>
      <c r="AQ17" s="171">
        <f t="shared" si="40"/>
        <v>66.449545852314785</v>
      </c>
      <c r="AR17" s="172">
        <f t="shared" si="40"/>
        <v>66.449545852314785</v>
      </c>
    </row>
    <row r="18" spans="1:44" ht="12" customHeight="1" x14ac:dyDescent="0.2">
      <c r="B18" s="618" t="s">
        <v>60</v>
      </c>
      <c r="C18" s="36"/>
      <c r="D18" s="702">
        <f>+'P&amp;L'!BE44</f>
        <v>68.7</v>
      </c>
      <c r="E18" s="702">
        <f>+'P&amp;L'!BF44</f>
        <v>70.5</v>
      </c>
      <c r="F18" s="702">
        <f>+'P&amp;L'!BG44</f>
        <v>70.900000000000006</v>
      </c>
      <c r="G18" s="702">
        <f>+'P&amp;L'!BH44</f>
        <v>70</v>
      </c>
      <c r="H18" s="793">
        <f>+'P&amp;L'!BI44</f>
        <v>70</v>
      </c>
      <c r="I18" s="36"/>
      <c r="J18" s="702">
        <f>+'P&amp;L'!BK44</f>
        <v>68.8</v>
      </c>
      <c r="K18" s="702">
        <f>+'P&amp;L'!BL44</f>
        <v>68.2</v>
      </c>
      <c r="L18" s="702">
        <f>+'P&amp;L'!BM44</f>
        <v>68.099999999999994</v>
      </c>
      <c r="M18" s="702">
        <f>+'P&amp;L'!BN44</f>
        <v>68.2</v>
      </c>
      <c r="N18" s="793">
        <f>+'P&amp;L'!BO44</f>
        <v>68.650000000000006</v>
      </c>
      <c r="O18" s="36"/>
      <c r="P18" s="702">
        <f>+'P&amp;L'!BQ44</f>
        <v>68.599999999999994</v>
      </c>
      <c r="Q18" s="702">
        <f>+'P&amp;L'!BR44</f>
        <v>69.3</v>
      </c>
      <c r="R18" s="702">
        <f>+'P&amp;L'!BS44</f>
        <v>69.492977287499997</v>
      </c>
      <c r="S18" s="702">
        <f>+'P&amp;L'!BT44</f>
        <v>69.676374987093752</v>
      </c>
      <c r="T18" s="793">
        <f>+'P&amp;L'!BU44</f>
        <v>68.983397699593752</v>
      </c>
      <c r="U18" s="36"/>
      <c r="V18" s="702">
        <f>+'P&amp;L'!BW44</f>
        <v>69.466726301126272</v>
      </c>
      <c r="W18" s="702">
        <f>+'P&amp;L'!BX44</f>
        <v>68.770747854876831</v>
      </c>
      <c r="X18" s="702">
        <f>+'P&amp;L'!BY44</f>
        <v>67.976577477579141</v>
      </c>
      <c r="Y18" s="702">
        <f>+'P&amp;L'!BZ44</f>
        <v>67.177768409664196</v>
      </c>
      <c r="Z18" s="793">
        <f>+'P&amp;L'!CA44</f>
        <v>68.272007885023129</v>
      </c>
      <c r="AA18" s="36"/>
      <c r="AB18" s="702">
        <f>+'P&amp;L'!CC44</f>
        <v>66.503143279702499</v>
      </c>
      <c r="AC18" s="702">
        <f>+'P&amp;L'!CD44</f>
        <v>65.867896989829859</v>
      </c>
      <c r="AD18" s="702">
        <f>+'P&amp;L'!CE44</f>
        <v>65.143455119910413</v>
      </c>
      <c r="AE18" s="702">
        <f>+'P&amp;L'!CF44</f>
        <v>64.414864150511079</v>
      </c>
      <c r="AF18" s="793">
        <f>+'P&amp;L'!CG44</f>
        <v>65.413383111586768</v>
      </c>
      <c r="AG18" s="36"/>
      <c r="AH18" s="702">
        <f>+'P&amp;L'!CI44</f>
        <v>64.049545852314779</v>
      </c>
      <c r="AI18" s="702">
        <f>+'P&amp;L'!CJ44</f>
        <v>64.049545852314779</v>
      </c>
      <c r="AJ18" s="702">
        <f>+'P&amp;L'!CK44</f>
        <v>64.049545852314779</v>
      </c>
      <c r="AK18" s="702">
        <f>+'P&amp;L'!CL44</f>
        <v>64.049545852314779</v>
      </c>
      <c r="AL18" s="793">
        <f>+'P&amp;L'!CM44</f>
        <v>64.049545852314779</v>
      </c>
      <c r="AM18" s="36"/>
      <c r="AN18" s="702">
        <f>+'P&amp;L'!CO44</f>
        <v>64.049545852314779</v>
      </c>
      <c r="AO18" s="702">
        <f>+'P&amp;L'!CP44</f>
        <v>64.049545852314779</v>
      </c>
      <c r="AP18" s="702">
        <f>+'P&amp;L'!CQ44</f>
        <v>64.049545852314779</v>
      </c>
      <c r="AQ18" s="702">
        <f>+'P&amp;L'!CR44</f>
        <v>64.049545852314779</v>
      </c>
      <c r="AR18" s="793">
        <f>+'P&amp;L'!CS44</f>
        <v>64.049545852314779</v>
      </c>
    </row>
    <row r="19" spans="1:44" ht="12" customHeight="1" x14ac:dyDescent="0.2">
      <c r="A19" s="27"/>
      <c r="B19" s="618" t="s">
        <v>61</v>
      </c>
      <c r="C19" s="36"/>
      <c r="D19" s="702">
        <f>+'P&amp;L'!BE45</f>
        <v>69.400000000000006</v>
      </c>
      <c r="E19" s="702">
        <f>+'P&amp;L'!BF45</f>
        <v>69.400000000000006</v>
      </c>
      <c r="F19" s="702">
        <f>+'P&amp;L'!BG45</f>
        <v>70.400000000000006</v>
      </c>
      <c r="G19" s="702">
        <f>+'P&amp;L'!BH45</f>
        <v>69.099999999999994</v>
      </c>
      <c r="H19" s="172">
        <f>+G19</f>
        <v>69.099999999999994</v>
      </c>
      <c r="I19" s="36"/>
      <c r="J19" s="702">
        <f>+'P&amp;L'!BK45</f>
        <v>68.8</v>
      </c>
      <c r="K19" s="702">
        <f>+'P&amp;L'!BL45</f>
        <v>68.3</v>
      </c>
      <c r="L19" s="702">
        <f>+'P&amp;L'!BM45</f>
        <v>68.099999999999994</v>
      </c>
      <c r="M19" s="702">
        <f>+'P&amp;L'!BN45</f>
        <v>68.2</v>
      </c>
      <c r="N19" s="793">
        <f>+M19</f>
        <v>68.2</v>
      </c>
      <c r="O19" s="36"/>
      <c r="P19" s="702">
        <f>+'P&amp;L'!BQ45</f>
        <v>68.599999999999994</v>
      </c>
      <c r="Q19" s="702">
        <f>+'P&amp;L'!BR45</f>
        <v>69.400000000000006</v>
      </c>
      <c r="R19" s="702">
        <f>+'P&amp;L'!BS45</f>
        <v>69.585954575000002</v>
      </c>
      <c r="S19" s="702">
        <f>+'P&amp;L'!BT45</f>
        <v>69.766795399187501</v>
      </c>
      <c r="T19" s="793">
        <f>+S19</f>
        <v>69.766795399187501</v>
      </c>
      <c r="U19" s="36"/>
      <c r="V19" s="702">
        <f>+'P&amp;L'!BW45</f>
        <v>69.166657203065029</v>
      </c>
      <c r="W19" s="702">
        <f>+'P&amp;L'!BX45</f>
        <v>68.374838506688633</v>
      </c>
      <c r="X19" s="702">
        <f>+'P&amp;L'!BY45</f>
        <v>67.57831644846965</v>
      </c>
      <c r="Y19" s="702">
        <f>+'P&amp;L'!BZ45</f>
        <v>66.777220370858757</v>
      </c>
      <c r="Z19" s="793">
        <f>+Y19</f>
        <v>66.777220370858757</v>
      </c>
      <c r="AA19" s="36"/>
      <c r="AB19" s="702">
        <f>+'P&amp;L'!CC45</f>
        <v>66.229066188546255</v>
      </c>
      <c r="AC19" s="702">
        <f>+'P&amp;L'!CD45</f>
        <v>65.506727791113448</v>
      </c>
      <c r="AD19" s="702">
        <f>+'P&amp;L'!CE45</f>
        <v>64.780182448707365</v>
      </c>
      <c r="AE19" s="702">
        <f>+'P&amp;L'!CF45</f>
        <v>64.049545852314779</v>
      </c>
      <c r="AF19" s="793">
        <f>+AE19</f>
        <v>64.049545852314779</v>
      </c>
      <c r="AG19" s="36"/>
      <c r="AH19" s="702">
        <f>+'P&amp;L'!CI45</f>
        <v>64.049545852314779</v>
      </c>
      <c r="AI19" s="702">
        <f>+'P&amp;L'!CJ45</f>
        <v>64.049545852314779</v>
      </c>
      <c r="AJ19" s="702">
        <f>+'P&amp;L'!CK45</f>
        <v>64.049545852314779</v>
      </c>
      <c r="AK19" s="702">
        <f>+'P&amp;L'!CL45</f>
        <v>64.049545852314779</v>
      </c>
      <c r="AL19" s="793">
        <f t="shared" ref="AL19" si="41">+AK19</f>
        <v>64.049545852314779</v>
      </c>
      <c r="AM19" s="36"/>
      <c r="AN19" s="702">
        <f>+'P&amp;L'!CO45</f>
        <v>64.049545852314779</v>
      </c>
      <c r="AO19" s="702">
        <f>+'P&amp;L'!CP45</f>
        <v>64.049545852314779</v>
      </c>
      <c r="AP19" s="702">
        <f>+'P&amp;L'!CQ45</f>
        <v>64.049545852314779</v>
      </c>
      <c r="AQ19" s="702">
        <f>+'P&amp;L'!CR45</f>
        <v>64.049545852314779</v>
      </c>
      <c r="AR19" s="793">
        <f t="shared" ref="AR19" si="42">+AQ19</f>
        <v>64.049545852314779</v>
      </c>
    </row>
    <row r="20" spans="1:44" ht="12" customHeight="1" x14ac:dyDescent="0.2">
      <c r="A20" s="242"/>
      <c r="B20" s="619" t="s">
        <v>51</v>
      </c>
      <c r="C20" s="490"/>
      <c r="D20" s="622">
        <f>+D15/D16</f>
        <v>-5.812482662968102E-2</v>
      </c>
      <c r="E20" s="622">
        <f>+E15/E16</f>
        <v>-5.3257452574525778E-2</v>
      </c>
      <c r="F20" s="622">
        <f>+F15/F16</f>
        <v>-4.8160544217687097E-2</v>
      </c>
      <c r="G20" s="622">
        <f>+G15/G16</f>
        <v>-4.1698895027624298E-2</v>
      </c>
      <c r="H20" s="786">
        <v>-0.2</v>
      </c>
      <c r="I20" s="490"/>
      <c r="J20" s="791">
        <v>-0.06</v>
      </c>
      <c r="K20" s="791">
        <v>-6.4000000000000001E-2</v>
      </c>
      <c r="L20" s="622">
        <f>+L15/L16</f>
        <v>-3.443222691002807E-2</v>
      </c>
      <c r="M20" s="622">
        <f>+M15/M16</f>
        <v>-4.0133572699123888E-3</v>
      </c>
      <c r="N20" s="794">
        <f>+N15/N16</f>
        <v>-0.1626188055201527</v>
      </c>
      <c r="O20" s="490"/>
      <c r="P20" s="622">
        <f>+P15/P16</f>
        <v>-4.7450179986898364E-3</v>
      </c>
      <c r="Q20" s="622">
        <f>+Q15/Q16</f>
        <v>1.119762888569944E-2</v>
      </c>
      <c r="R20" s="622">
        <f>+R15/R16</f>
        <v>3.0941598202346897E-2</v>
      </c>
      <c r="S20" s="622">
        <f>+S15/S16</f>
        <v>5.6199420932617719E-2</v>
      </c>
      <c r="T20" s="794">
        <f>+T15/T16</f>
        <v>9.4061089038045262E-2</v>
      </c>
      <c r="U20" s="490"/>
      <c r="V20" s="622">
        <f>+V15/V16</f>
        <v>1.9810933804190235E-2</v>
      </c>
      <c r="W20" s="622">
        <f>+W15/W16</f>
        <v>5.0651367045389077E-2</v>
      </c>
      <c r="X20" s="622">
        <f>+X15/X16</f>
        <v>8.0833537899301366E-2</v>
      </c>
      <c r="Y20" s="622">
        <f>+Y15/Y16</f>
        <v>0.11750968987159864</v>
      </c>
      <c r="Z20" s="794">
        <f>+Z15/Z16</f>
        <v>0.26705354745045212</v>
      </c>
      <c r="AA20" s="490"/>
      <c r="AB20" s="622">
        <f>+AB15/AB16</f>
        <v>8.028683872158085E-2</v>
      </c>
      <c r="AC20" s="622">
        <f>+AC15/AC16</f>
        <v>0.11892161549852882</v>
      </c>
      <c r="AD20" s="622">
        <f>+AD15/AD16</f>
        <v>0.15692704555926851</v>
      </c>
      <c r="AE20" s="622">
        <f>+AE15/AE16</f>
        <v>0.20215013016890473</v>
      </c>
      <c r="AF20" s="794">
        <f>+AF15/AF16</f>
        <v>0.55620611423635924</v>
      </c>
      <c r="AG20" s="490"/>
      <c r="AH20" s="622">
        <f t="shared" ref="AH20:AL20" si="43">+AH15/AH16</f>
        <v>0.15622861357629222</v>
      </c>
      <c r="AI20" s="622">
        <f t="shared" si="43"/>
        <v>0.19383369964667377</v>
      </c>
      <c r="AJ20" s="622">
        <f t="shared" si="43"/>
        <v>0.22896288468085113</v>
      </c>
      <c r="AK20" s="622">
        <f t="shared" si="43"/>
        <v>0.27017677284684555</v>
      </c>
      <c r="AL20" s="794">
        <f t="shared" si="43"/>
        <v>0.84920197075066284</v>
      </c>
      <c r="AM20" s="490"/>
      <c r="AN20" s="622">
        <f t="shared" ref="AN20:AR20" si="44">+AN15/AN16</f>
        <v>0.22115504905482231</v>
      </c>
      <c r="AO20" s="622">
        <f t="shared" si="44"/>
        <v>0.26368094007708626</v>
      </c>
      <c r="AP20" s="622">
        <f t="shared" si="44"/>
        <v>0.30347425570476344</v>
      </c>
      <c r="AQ20" s="622">
        <f t="shared" si="44"/>
        <v>0.34968204508378425</v>
      </c>
      <c r="AR20" s="794">
        <f t="shared" si="44"/>
        <v>1.137992289920456</v>
      </c>
    </row>
    <row r="21" spans="1:44" ht="12" customHeight="1" x14ac:dyDescent="0.2">
      <c r="A21" s="242"/>
      <c r="B21" s="236"/>
      <c r="C21" s="241"/>
      <c r="D21" s="250"/>
      <c r="E21" s="250"/>
      <c r="F21" s="250"/>
      <c r="G21" s="250"/>
      <c r="H21" s="121"/>
      <c r="I21" s="241"/>
      <c r="J21" s="250"/>
      <c r="K21" s="250"/>
      <c r="L21" s="250"/>
      <c r="M21" s="250"/>
      <c r="N21" s="121"/>
      <c r="O21" s="241"/>
      <c r="P21" s="250"/>
      <c r="Q21" s="250"/>
      <c r="R21" s="250"/>
      <c r="S21" s="250"/>
      <c r="T21" s="121"/>
      <c r="U21" s="241"/>
      <c r="V21" s="250"/>
      <c r="W21" s="250"/>
      <c r="X21" s="250"/>
      <c r="Y21" s="250"/>
      <c r="Z21" s="121"/>
      <c r="AA21" s="241"/>
      <c r="AB21" s="250"/>
      <c r="AC21" s="250"/>
      <c r="AD21" s="250"/>
      <c r="AE21" s="250"/>
      <c r="AF21" s="121"/>
      <c r="AG21" s="241"/>
      <c r="AH21" s="250"/>
      <c r="AI21" s="250"/>
      <c r="AJ21" s="250"/>
      <c r="AK21" s="250"/>
      <c r="AL21" s="121"/>
      <c r="AM21" s="241"/>
      <c r="AN21" s="250"/>
      <c r="AO21" s="250"/>
      <c r="AP21" s="250"/>
      <c r="AQ21" s="250"/>
      <c r="AR21" s="121"/>
    </row>
    <row r="22" spans="1:44" ht="12" customHeight="1" x14ac:dyDescent="0.2">
      <c r="A22" s="40"/>
      <c r="B22" s="623" t="s">
        <v>218</v>
      </c>
      <c r="C22" s="710"/>
      <c r="D22" s="708"/>
      <c r="E22" s="708"/>
      <c r="F22" s="708"/>
      <c r="G22" s="708"/>
      <c r="H22" s="673"/>
      <c r="I22" s="492"/>
      <c r="J22" s="708"/>
      <c r="K22" s="708"/>
      <c r="L22" s="708"/>
      <c r="M22" s="708"/>
      <c r="N22" s="360"/>
      <c r="O22" s="492"/>
      <c r="P22" s="626"/>
      <c r="Q22" s="626"/>
      <c r="R22" s="626"/>
      <c r="S22" s="626"/>
      <c r="T22" s="360"/>
      <c r="U22" s="492"/>
      <c r="V22" s="626"/>
      <c r="W22" s="626"/>
      <c r="X22" s="626"/>
      <c r="Y22" s="626"/>
      <c r="Z22" s="360"/>
      <c r="AA22" s="492"/>
      <c r="AB22" s="626"/>
      <c r="AC22" s="626"/>
      <c r="AD22" s="626"/>
      <c r="AE22" s="626"/>
      <c r="AF22" s="360"/>
      <c r="AG22" s="492"/>
      <c r="AH22" s="626"/>
      <c r="AI22" s="626"/>
      <c r="AJ22" s="626"/>
      <c r="AK22" s="626"/>
      <c r="AL22" s="360"/>
      <c r="AM22" s="492"/>
      <c r="AN22" s="626"/>
      <c r="AO22" s="626"/>
      <c r="AP22" s="626"/>
      <c r="AQ22" s="626"/>
      <c r="AR22" s="360"/>
    </row>
    <row r="23" spans="1:44" ht="12" customHeight="1" x14ac:dyDescent="0.2">
      <c r="A23" s="40"/>
      <c r="B23" s="445" t="s">
        <v>64</v>
      </c>
      <c r="C23" s="241"/>
      <c r="D23" s="317">
        <f>+D9/D8</f>
        <v>0.30000000000000004</v>
      </c>
      <c r="E23" s="317">
        <f>+E9/E8</f>
        <v>0.30000000000000004</v>
      </c>
      <c r="F23" s="317">
        <f>+F9/F8</f>
        <v>0.3000000000000001</v>
      </c>
      <c r="G23" s="317">
        <f>+G9/G8</f>
        <v>0.3</v>
      </c>
      <c r="H23" s="377">
        <f>+H9/H8</f>
        <v>0.30000000000000004</v>
      </c>
      <c r="I23" s="241"/>
      <c r="J23" s="317">
        <f>+J9/J8</f>
        <v>0.3135</v>
      </c>
      <c r="K23" s="317">
        <f>+K9/K8</f>
        <v>0.31292211981566814</v>
      </c>
      <c r="L23" s="317">
        <f>+L9/L8</f>
        <v>0.28445620172472508</v>
      </c>
      <c r="M23" s="317">
        <f>+M9/M8</f>
        <v>0.24524623803009574</v>
      </c>
      <c r="N23" s="377">
        <f>+N9/N8</f>
        <v>0.28710131921238802</v>
      </c>
      <c r="O23" s="241"/>
      <c r="P23" s="317">
        <f>+P9/P8</f>
        <v>0.22703897165697676</v>
      </c>
      <c r="Q23" s="317">
        <f>+Q9/Q8</f>
        <v>0.22390693593646835</v>
      </c>
      <c r="R23" s="317">
        <f>+R9/R8</f>
        <v>0.21622385480139344</v>
      </c>
      <c r="S23" s="317">
        <f>+S9/S8</f>
        <v>0.20880440880330639</v>
      </c>
      <c r="T23" s="377">
        <f>+T9/T8</f>
        <v>0.21857233276877353</v>
      </c>
      <c r="U23" s="241"/>
      <c r="V23" s="317">
        <f>+V9/V8</f>
        <v>0.20174339014812215</v>
      </c>
      <c r="W23" s="317">
        <f>+W9/W8</f>
        <v>0.19199733265304381</v>
      </c>
      <c r="X23" s="317">
        <f>+X9/X8</f>
        <v>0.18272209919154411</v>
      </c>
      <c r="Y23" s="317">
        <f>+Y9/Y8</f>
        <v>0.17389494464122798</v>
      </c>
      <c r="Z23" s="377">
        <f>+Z9/Z8</f>
        <v>0.18695247514667576</v>
      </c>
      <c r="AA23" s="241"/>
      <c r="AB23" s="317">
        <f>+AB9/AB8</f>
        <v>0.16801443926688694</v>
      </c>
      <c r="AC23" s="317">
        <f>+AC9/AC8</f>
        <v>0.16070946364658753</v>
      </c>
      <c r="AD23" s="317">
        <f>+AD9/AD8</f>
        <v>0.1537220956619533</v>
      </c>
      <c r="AE23" s="317">
        <f>+AE9/AE8</f>
        <v>0.14703852628534667</v>
      </c>
      <c r="AF23" s="377">
        <f>+AF9/AF8</f>
        <v>0.15690599703910568</v>
      </c>
      <c r="AG23" s="241"/>
      <c r="AH23" s="317">
        <f t="shared" ref="AH23:AL23" si="45">+AH9/AH8</f>
        <v>0.14415541792681044</v>
      </c>
      <c r="AI23" s="317">
        <f t="shared" si="45"/>
        <v>0.13991555269366895</v>
      </c>
      <c r="AJ23" s="317">
        <f t="shared" si="45"/>
        <v>0.13580038937914926</v>
      </c>
      <c r="AK23" s="317">
        <f t="shared" si="45"/>
        <v>0.13180626027976255</v>
      </c>
      <c r="AL23" s="377">
        <f t="shared" si="45"/>
        <v>0.13772774457923853</v>
      </c>
      <c r="AM23" s="241"/>
      <c r="AN23" s="317">
        <f t="shared" ref="AN23:AR23" si="46">+AN9/AN8</f>
        <v>0.12922182380368877</v>
      </c>
      <c r="AO23" s="317">
        <f t="shared" si="46"/>
        <v>0.12542118192710969</v>
      </c>
      <c r="AP23" s="317">
        <f t="shared" si="46"/>
        <v>0.12173232363513585</v>
      </c>
      <c r="AQ23" s="317">
        <f t="shared" si="46"/>
        <v>0.11815196117527889</v>
      </c>
      <c r="AR23" s="377">
        <f t="shared" si="46"/>
        <v>0.12346566937411169</v>
      </c>
    </row>
    <row r="24" spans="1:44" ht="12" customHeight="1" x14ac:dyDescent="0.2">
      <c r="A24" s="43"/>
      <c r="B24" s="90" t="s">
        <v>219</v>
      </c>
      <c r="C24" s="241"/>
      <c r="D24" s="446">
        <f>+D10/D8</f>
        <v>0.7</v>
      </c>
      <c r="E24" s="446">
        <f>+E10/E8</f>
        <v>0.7</v>
      </c>
      <c r="F24" s="446">
        <f>+F10/F8</f>
        <v>0.7</v>
      </c>
      <c r="G24" s="446">
        <f>+G10/G8</f>
        <v>0.7</v>
      </c>
      <c r="H24" s="377">
        <f>+H10/H8</f>
        <v>0.7</v>
      </c>
      <c r="I24" s="241"/>
      <c r="J24" s="446">
        <f>+J10/J8</f>
        <v>0.6865</v>
      </c>
      <c r="K24" s="446">
        <f>+K10/K8</f>
        <v>0.68707788018433191</v>
      </c>
      <c r="L24" s="446">
        <f>+L10/L8</f>
        <v>0.71554379827527492</v>
      </c>
      <c r="M24" s="446">
        <f>+M10/M8</f>
        <v>0.75475376196990429</v>
      </c>
      <c r="N24" s="377">
        <f>+N10/N8</f>
        <v>0.71289868078761187</v>
      </c>
      <c r="O24" s="241"/>
      <c r="P24" s="446">
        <f>+P10/P8</f>
        <v>0.77296102834302327</v>
      </c>
      <c r="Q24" s="446">
        <f>+Q10/Q8</f>
        <v>0.77609306406353162</v>
      </c>
      <c r="R24" s="446">
        <f>+R10/R8</f>
        <v>0.7837761451986065</v>
      </c>
      <c r="S24" s="446">
        <f>+S10/S8</f>
        <v>0.79119559119669369</v>
      </c>
      <c r="T24" s="377">
        <f>+T10/T8</f>
        <v>0.78142766723122647</v>
      </c>
      <c r="U24" s="241"/>
      <c r="V24" s="446">
        <f>+V10/V8</f>
        <v>0.79825660985187785</v>
      </c>
      <c r="W24" s="446">
        <f>+W10/W8</f>
        <v>0.80800266734695625</v>
      </c>
      <c r="X24" s="446">
        <f>+X10/X8</f>
        <v>0.81727790080845597</v>
      </c>
      <c r="Y24" s="446">
        <f>+Y10/Y8</f>
        <v>0.82610505535877199</v>
      </c>
      <c r="Z24" s="377">
        <f>+Z10/Z8</f>
        <v>0.81304752485332421</v>
      </c>
      <c r="AA24" s="241"/>
      <c r="AB24" s="446">
        <f>+AB10/AB8</f>
        <v>0.83198556073311303</v>
      </c>
      <c r="AC24" s="446">
        <f>+AC10/AC8</f>
        <v>0.83929053635341244</v>
      </c>
      <c r="AD24" s="446">
        <f>+AD10/AD8</f>
        <v>0.84627790433804673</v>
      </c>
      <c r="AE24" s="446">
        <f>+AE10/AE8</f>
        <v>0.85296147371465336</v>
      </c>
      <c r="AF24" s="377">
        <f>+AF10/AF8</f>
        <v>0.84309400296089432</v>
      </c>
      <c r="AG24" s="241"/>
      <c r="AH24" s="446">
        <f t="shared" ref="AH24:AL24" si="47">+AH10/AH8</f>
        <v>0.85584458207318959</v>
      </c>
      <c r="AI24" s="446">
        <f t="shared" si="47"/>
        <v>0.86008444730633105</v>
      </c>
      <c r="AJ24" s="446">
        <f t="shared" si="47"/>
        <v>0.86419961062085082</v>
      </c>
      <c r="AK24" s="446">
        <f t="shared" si="47"/>
        <v>0.8681937397202375</v>
      </c>
      <c r="AL24" s="377">
        <f t="shared" si="47"/>
        <v>0.86227225542076147</v>
      </c>
      <c r="AM24" s="241"/>
      <c r="AN24" s="446">
        <f t="shared" ref="AN24:AR24" si="48">+AN10/AN8</f>
        <v>0.87077817619631126</v>
      </c>
      <c r="AO24" s="446">
        <f t="shared" si="48"/>
        <v>0.8745788180728904</v>
      </c>
      <c r="AP24" s="446">
        <f t="shared" si="48"/>
        <v>0.87826767636486425</v>
      </c>
      <c r="AQ24" s="446">
        <f t="shared" si="48"/>
        <v>0.88184803882472118</v>
      </c>
      <c r="AR24" s="377">
        <f t="shared" si="48"/>
        <v>0.87653433062588826</v>
      </c>
    </row>
    <row r="25" spans="1:44" ht="12" customHeight="1" x14ac:dyDescent="0.2">
      <c r="A25" s="129"/>
      <c r="B25" s="627" t="s">
        <v>99</v>
      </c>
      <c r="C25" s="254"/>
      <c r="D25" s="317"/>
      <c r="E25" s="317"/>
      <c r="F25" s="317"/>
      <c r="G25" s="317"/>
      <c r="H25" s="377"/>
      <c r="I25" s="254"/>
      <c r="J25" s="317">
        <f>J24-D24</f>
        <v>-1.3499999999999956E-2</v>
      </c>
      <c r="K25" s="317">
        <f>K24-E24</f>
        <v>-1.2922119815668043E-2</v>
      </c>
      <c r="L25" s="317">
        <f>L24-F24</f>
        <v>1.5543798275274967E-2</v>
      </c>
      <c r="M25" s="317">
        <f>M24-G24</f>
        <v>5.4753761969904335E-2</v>
      </c>
      <c r="N25" s="377">
        <f>N24-H24</f>
        <v>1.2898680787611916E-2</v>
      </c>
      <c r="O25" s="254"/>
      <c r="P25" s="317">
        <f>P24-J24</f>
        <v>8.6461028343023272E-2</v>
      </c>
      <c r="Q25" s="317">
        <f>Q24-K24</f>
        <v>8.9015183879199711E-2</v>
      </c>
      <c r="R25" s="317">
        <f>R24-L24</f>
        <v>6.8232346923331577E-2</v>
      </c>
      <c r="S25" s="317">
        <f>S24-M24</f>
        <v>3.6441829226789402E-2</v>
      </c>
      <c r="T25" s="377">
        <f>T24-N24</f>
        <v>6.8528986443614603E-2</v>
      </c>
      <c r="U25" s="254"/>
      <c r="V25" s="317">
        <f>V24-P24</f>
        <v>2.5295581508854581E-2</v>
      </c>
      <c r="W25" s="317">
        <f>W24-Q24</f>
        <v>3.1909603283424626E-2</v>
      </c>
      <c r="X25" s="317">
        <f>X24-R24</f>
        <v>3.3501755609849471E-2</v>
      </c>
      <c r="Y25" s="317">
        <f>Y24-S24</f>
        <v>3.4909464162078296E-2</v>
      </c>
      <c r="Z25" s="377">
        <f>Z24-T24</f>
        <v>3.1619857622097736E-2</v>
      </c>
      <c r="AA25" s="254"/>
      <c r="AB25" s="317">
        <f>AB24-V24</f>
        <v>3.3728950881235176E-2</v>
      </c>
      <c r="AC25" s="317">
        <f>AC24-W24</f>
        <v>3.1287869006456193E-2</v>
      </c>
      <c r="AD25" s="317">
        <f>AD24-X24</f>
        <v>2.9000003529590757E-2</v>
      </c>
      <c r="AE25" s="317">
        <f>AE24-Y24</f>
        <v>2.6856418355881373E-2</v>
      </c>
      <c r="AF25" s="377">
        <f>AF24-Z24</f>
        <v>3.0046478107570107E-2</v>
      </c>
      <c r="AG25" s="254"/>
      <c r="AH25" s="317">
        <f t="shared" ref="AH25:AL25" si="49">AH24-AB24</f>
        <v>2.3859021340076558E-2</v>
      </c>
      <c r="AI25" s="317">
        <f t="shared" si="49"/>
        <v>2.0793910952918604E-2</v>
      </c>
      <c r="AJ25" s="317">
        <f t="shared" si="49"/>
        <v>1.7921706282804095E-2</v>
      </c>
      <c r="AK25" s="317">
        <f t="shared" si="49"/>
        <v>1.5232266005584139E-2</v>
      </c>
      <c r="AL25" s="377">
        <f t="shared" si="49"/>
        <v>1.9178252459867151E-2</v>
      </c>
      <c r="AM25" s="254"/>
      <c r="AN25" s="317">
        <f t="shared" ref="AN25:AR25" si="50">AN24-AH24</f>
        <v>1.4933594123121674E-2</v>
      </c>
      <c r="AO25" s="317">
        <f t="shared" si="50"/>
        <v>1.449437076655935E-2</v>
      </c>
      <c r="AP25" s="317">
        <f t="shared" si="50"/>
        <v>1.4068065744013425E-2</v>
      </c>
      <c r="AQ25" s="317">
        <f t="shared" si="50"/>
        <v>1.365429910448368E-2</v>
      </c>
      <c r="AR25" s="377">
        <f t="shared" si="50"/>
        <v>1.426207520512679E-2</v>
      </c>
    </row>
    <row r="26" spans="1:44" x14ac:dyDescent="0.2">
      <c r="A26" s="43"/>
      <c r="B26" s="678" t="s">
        <v>378</v>
      </c>
      <c r="C26" s="254"/>
      <c r="D26" s="317"/>
      <c r="E26" s="317"/>
      <c r="F26" s="317"/>
      <c r="G26" s="317"/>
      <c r="H26" s="377"/>
      <c r="I26" s="254"/>
      <c r="J26" s="446">
        <f>+J30-D30</f>
        <v>-0.18431190587501955</v>
      </c>
      <c r="K26" s="317">
        <f t="shared" ref="K26:N26" si="51">+K30-E30</f>
        <v>-0.11731445253786577</v>
      </c>
      <c r="L26" s="317">
        <f t="shared" si="51"/>
        <v>-0.19379751000593692</v>
      </c>
      <c r="M26" s="317">
        <f t="shared" si="51"/>
        <v>-0.22243689264562105</v>
      </c>
      <c r="N26" s="377">
        <f t="shared" si="51"/>
        <v>-0.18161335908410758</v>
      </c>
      <c r="O26" s="254"/>
      <c r="P26" s="446">
        <f>+P30-J30</f>
        <v>-0.21366798835125456</v>
      </c>
      <c r="Q26" s="317">
        <f t="shared" ref="Q26" si="52">+Q30-K30</f>
        <v>-0.28767566646533427</v>
      </c>
      <c r="R26" s="317">
        <f t="shared" ref="R26" si="53">+R30-L30</f>
        <v>-0.20519655876917464</v>
      </c>
      <c r="S26" s="317">
        <f t="shared" ref="S26" si="54">+S30-M30</f>
        <v>-0.17136979814049591</v>
      </c>
      <c r="T26" s="377">
        <f t="shared" ref="T26" si="55">+T30-N30</f>
        <v>-0.21676629875422881</v>
      </c>
      <c r="U26" s="254"/>
      <c r="V26" s="446">
        <f>+V30-P30</f>
        <v>-5.5585219488004545E-2</v>
      </c>
      <c r="W26" s="317">
        <f t="shared" ref="W26" si="56">+W30-Q30</f>
        <v>-7.5537864214269113E-2</v>
      </c>
      <c r="X26" s="317">
        <f t="shared" ref="X26" si="57">+X30-R30</f>
        <v>-7.8029665235105128E-2</v>
      </c>
      <c r="Y26" s="317">
        <f t="shared" ref="Y26" si="58">+Y30-S30</f>
        <v>-7.7302524308544562E-2</v>
      </c>
      <c r="Z26" s="377">
        <f t="shared" ref="Z26" si="59">+Z30-T30</f>
        <v>-7.2025991413086743E-2</v>
      </c>
      <c r="AA26" s="254"/>
      <c r="AB26" s="446">
        <f>+AB30-V30</f>
        <v>-9.4649786683711046E-2</v>
      </c>
      <c r="AC26" s="317">
        <f t="shared" ref="AC26" si="60">+AC30-W30</f>
        <v>-8.4810204108174303E-2</v>
      </c>
      <c r="AD26" s="317">
        <f t="shared" ref="AD26" si="61">+AD30-X30</f>
        <v>-7.6638007805782449E-2</v>
      </c>
      <c r="AE26" s="317">
        <f t="shared" ref="AE26" si="62">+AE30-Y30</f>
        <v>-6.7364683990161156E-2</v>
      </c>
      <c r="AF26" s="377">
        <f t="shared" ref="AF26" si="63">+AF30-Z30</f>
        <v>-8.0120373396403433E-2</v>
      </c>
      <c r="AG26" s="254"/>
      <c r="AH26" s="446">
        <f t="shared" ref="AH26" si="64">+AH30-AB30</f>
        <v>-7.4259591542836234E-2</v>
      </c>
      <c r="AI26" s="317">
        <f t="shared" ref="AI26" si="65">+AI30-AC30</f>
        <v>-5.9063918884986077E-2</v>
      </c>
      <c r="AJ26" s="317">
        <f t="shared" ref="AJ26" si="66">+AJ30-AD30</f>
        <v>-4.6517804057895684E-2</v>
      </c>
      <c r="AK26" s="317">
        <f t="shared" ref="AK26" si="67">+AK30-AE30</f>
        <v>-3.4775111598834063E-2</v>
      </c>
      <c r="AL26" s="377">
        <f t="shared" ref="AL26" si="68">+AL30-AF30</f>
        <v>-5.1825488526635322E-2</v>
      </c>
      <c r="AM26" s="254"/>
      <c r="AN26" s="446">
        <f t="shared" ref="AN26" si="69">+AN30-AH30</f>
        <v>-4.3205066101915435E-2</v>
      </c>
      <c r="AO26" s="317">
        <f t="shared" ref="AO26" si="70">+AO30-AI30</f>
        <v>-3.9282880048203739E-2</v>
      </c>
      <c r="AP26" s="317">
        <f t="shared" ref="AP26" si="71">+AP30-AJ30</f>
        <v>-3.6019659020911088E-2</v>
      </c>
      <c r="AQ26" s="317">
        <f t="shared" ref="AQ26" si="72">+AQ30-AK30</f>
        <v>-3.2126827790144419E-2</v>
      </c>
      <c r="AR26" s="377">
        <f t="shared" ref="AR26" si="73">+AR30-AL30</f>
        <v>-3.7421049343194623E-2</v>
      </c>
    </row>
    <row r="27" spans="1:44" x14ac:dyDescent="0.2">
      <c r="A27" s="43"/>
      <c r="B27" s="627" t="s">
        <v>55</v>
      </c>
      <c r="C27" s="254"/>
      <c r="D27" s="337"/>
      <c r="E27" s="337"/>
      <c r="F27" s="337"/>
      <c r="G27" s="792"/>
      <c r="H27" s="172"/>
      <c r="I27" s="254"/>
      <c r="J27" s="337">
        <f>J8-D8</f>
        <v>7.8000000000000007</v>
      </c>
      <c r="K27" s="337">
        <f>K8-E8</f>
        <v>7.3000000000000007</v>
      </c>
      <c r="L27" s="337">
        <f>L8-F8</f>
        <v>8.5999999999999979</v>
      </c>
      <c r="M27" s="792">
        <f>M8-G8</f>
        <v>8.9999999999999964</v>
      </c>
      <c r="N27" s="172">
        <f>N8-H8</f>
        <v>32.699999999999989</v>
      </c>
      <c r="O27" s="254"/>
      <c r="P27" s="337">
        <f>P8-J8</f>
        <v>7.1999999999999993</v>
      </c>
      <c r="Q27" s="337">
        <f>Q8-K8</f>
        <v>10</v>
      </c>
      <c r="R27" s="337">
        <f>R8-L8</f>
        <v>8.8331851851851866</v>
      </c>
      <c r="S27" s="792">
        <f>S8-M8</f>
        <v>8.9057711111111146</v>
      </c>
      <c r="T27" s="172">
        <f>T8-N8</f>
        <v>34.938956296296311</v>
      </c>
      <c r="U27" s="254"/>
      <c r="V27" s="337">
        <f>V8-P8</f>
        <v>8.2301578259999992</v>
      </c>
      <c r="W27" s="337">
        <f>W8-Q8</f>
        <v>7.5072757257699969</v>
      </c>
      <c r="X27" s="337">
        <f>X8-R8</f>
        <v>8.7582447500018574</v>
      </c>
      <c r="Y27" s="792">
        <f>Y8-S8</f>
        <v>9.2457209044929414</v>
      </c>
      <c r="Z27" s="172">
        <f>Z8-T8</f>
        <v>33.741399206264788</v>
      </c>
      <c r="AA27" s="254"/>
      <c r="AB27" s="337">
        <f>AB8-V8</f>
        <v>9.8342019789579638</v>
      </c>
      <c r="AC27" s="337">
        <f>AC8-W8</f>
        <v>10.318486407058998</v>
      </c>
      <c r="AD27" s="337">
        <f>AD8-X8</f>
        <v>10.824623847702881</v>
      </c>
      <c r="AE27" s="792">
        <f>AE8-Y8</f>
        <v>11.31603449310051</v>
      </c>
      <c r="AF27" s="172">
        <f>AF8-Z8</f>
        <v>42.293346726820346</v>
      </c>
      <c r="AG27" s="254"/>
      <c r="AH27" s="337">
        <f t="shared" ref="AH27:AL27" si="74">AH8-AB8</f>
        <v>11.17183142245046</v>
      </c>
      <c r="AI27" s="337">
        <f t="shared" si="74"/>
        <v>10.820607580330645</v>
      </c>
      <c r="AJ27" s="337">
        <f t="shared" si="74"/>
        <v>10.409687078960012</v>
      </c>
      <c r="AK27" s="792">
        <f t="shared" si="74"/>
        <v>9.9096486425191017</v>
      </c>
      <c r="AL27" s="172">
        <f t="shared" si="74"/>
        <v>42.311774724260232</v>
      </c>
      <c r="AM27" s="254"/>
      <c r="AN27" s="337">
        <f t="shared" ref="AN27:AR27" si="75">AN8-AH8</f>
        <v>10.340285347040961</v>
      </c>
      <c r="AO27" s="337">
        <f t="shared" si="75"/>
        <v>10.654285151444292</v>
      </c>
      <c r="AP27" s="337">
        <f t="shared" si="75"/>
        <v>10.976708833884949</v>
      </c>
      <c r="AQ27" s="792">
        <f t="shared" si="75"/>
        <v>11.279886564812657</v>
      </c>
      <c r="AR27" s="172">
        <f t="shared" si="75"/>
        <v>43.251165897182858</v>
      </c>
    </row>
    <row r="28" spans="1:44" x14ac:dyDescent="0.2">
      <c r="A28" s="43"/>
      <c r="B28" s="627" t="s">
        <v>52</v>
      </c>
      <c r="C28" s="254"/>
      <c r="D28" s="337"/>
      <c r="E28" s="337"/>
      <c r="F28" s="337"/>
      <c r="G28" s="792"/>
      <c r="H28" s="172"/>
      <c r="I28" s="254"/>
      <c r="J28" s="337">
        <f t="shared" ref="J28:N29" si="76">J10-D10</f>
        <v>5.1684000000000019</v>
      </c>
      <c r="K28" s="337">
        <f t="shared" si="76"/>
        <v>4.8295900000000032</v>
      </c>
      <c r="L28" s="337">
        <f t="shared" si="76"/>
        <v>6.3914967787790697</v>
      </c>
      <c r="M28" s="792">
        <f t="shared" si="76"/>
        <v>7.6962209302325579</v>
      </c>
      <c r="N28" s="172">
        <f t="shared" si="76"/>
        <v>24.085707709011615</v>
      </c>
      <c r="O28" s="254"/>
      <c r="P28" s="337">
        <f t="shared" ref="P28:T29" si="77">P10-J10</f>
        <v>7.4328776162790682</v>
      </c>
      <c r="Q28" s="337">
        <f t="shared" si="77"/>
        <v>9.692560130813952</v>
      </c>
      <c r="R28" s="337">
        <f t="shared" si="77"/>
        <v>8.5539929257375107</v>
      </c>
      <c r="S28" s="792">
        <f t="shared" si="77"/>
        <v>7.975473484601121</v>
      </c>
      <c r="T28" s="172">
        <f t="shared" si="77"/>
        <v>33.654904157431673</v>
      </c>
      <c r="U28" s="254"/>
      <c r="V28" s="337">
        <f t="shared" ref="V28:Z29" si="78">V10-P10</f>
        <v>7.2982906321836722</v>
      </c>
      <c r="W28" s="337">
        <f t="shared" si="78"/>
        <v>7.0774332350157714</v>
      </c>
      <c r="X28" s="337">
        <f t="shared" si="78"/>
        <v>8.2545390544542165</v>
      </c>
      <c r="Y28" s="792">
        <f t="shared" si="78"/>
        <v>8.8390238132099022</v>
      </c>
      <c r="Z28" s="172">
        <f t="shared" si="78"/>
        <v>31.469286734863545</v>
      </c>
      <c r="AA28" s="254"/>
      <c r="AB28" s="337">
        <f t="shared" ref="AB28:AB29" si="79">AB10-V10</f>
        <v>9.4309024222635749</v>
      </c>
      <c r="AC28" s="337">
        <f t="shared" ref="AC28:AC29" si="80">AC10-W10</f>
        <v>9.8869200979438467</v>
      </c>
      <c r="AD28" s="337">
        <f t="shared" ref="AD28:AD29" si="81">AD10-X10</f>
        <v>10.363891599649833</v>
      </c>
      <c r="AE28" s="792">
        <f t="shared" ref="AE28:AE29" si="82">AE10-Y10</f>
        <v>10.824464189270337</v>
      </c>
      <c r="AF28" s="172">
        <f t="shared" ref="AF28:AF29" si="83">AF10-Z10</f>
        <v>40.506178309127591</v>
      </c>
      <c r="AG28" s="254"/>
      <c r="AH28" s="337">
        <f t="shared" ref="AH28:AH29" si="84">AH10-AB10</f>
        <v>10.679489155414757</v>
      </c>
      <c r="AI28" s="337">
        <f t="shared" ref="AI28:AI29" si="85">AI10-AC10</f>
        <v>10.336470577912849</v>
      </c>
      <c r="AJ28" s="337">
        <f t="shared" ref="AJ28:AJ29" si="86">AJ10-AD10</f>
        <v>9.933640470094474</v>
      </c>
      <c r="AK28" s="792">
        <f t="shared" ref="AK28:AK29" si="87">AK10-AE10</f>
        <v>9.440774899711819</v>
      </c>
      <c r="AL28" s="172">
        <f t="shared" ref="AL28:AL29" si="88">AL10-AF10</f>
        <v>40.39037510313392</v>
      </c>
      <c r="AM28" s="254"/>
      <c r="AN28" s="337">
        <f t="shared" ref="AN28:AN29" si="89">AN10-AH10</f>
        <v>9.8707837400877594</v>
      </c>
      <c r="AO28" s="337">
        <f t="shared" ref="AO28:AO29" si="90">AO10-AI10</f>
        <v>10.192694772200099</v>
      </c>
      <c r="AP28" s="337">
        <f t="shared" ref="AP28:AP29" si="91">AP10-AJ10</f>
        <v>10.522918407956269</v>
      </c>
      <c r="AQ28" s="792">
        <f t="shared" ref="AQ28:AQ29" si="92">AQ10-AK10</f>
        <v>10.832998199914144</v>
      </c>
      <c r="AR28" s="172">
        <f t="shared" ref="AR28:AR29" si="93">AR10-AL10</f>
        <v>41.419395120158242</v>
      </c>
    </row>
    <row r="29" spans="1:44" ht="12" customHeight="1" x14ac:dyDescent="0.2">
      <c r="A29" s="44"/>
      <c r="B29" s="678" t="s">
        <v>377</v>
      </c>
      <c r="C29" s="254"/>
      <c r="D29" s="337"/>
      <c r="E29" s="337"/>
      <c r="F29" s="337"/>
      <c r="G29" s="792"/>
      <c r="H29" s="172"/>
      <c r="I29" s="254"/>
      <c r="J29" s="337">
        <f t="shared" si="76"/>
        <v>5.2993677419354839</v>
      </c>
      <c r="K29" s="337">
        <f t="shared" si="76"/>
        <v>5.7779770967741939</v>
      </c>
      <c r="L29" s="337">
        <f t="shared" si="76"/>
        <v>4.5974193548387099</v>
      </c>
      <c r="M29" s="792">
        <f t="shared" si="76"/>
        <v>3.2838709677419367</v>
      </c>
      <c r="N29" s="172">
        <f t="shared" si="76"/>
        <v>18.958635161290317</v>
      </c>
      <c r="O29" s="254"/>
      <c r="P29" s="337">
        <f t="shared" si="77"/>
        <v>1.0859361290322589</v>
      </c>
      <c r="Q29" s="337">
        <f t="shared" si="77"/>
        <v>1.109866596774193</v>
      </c>
      <c r="R29" s="337">
        <f t="shared" si="77"/>
        <v>1.0508387096774214</v>
      </c>
      <c r="S29" s="792">
        <f t="shared" si="77"/>
        <v>0.98516129032257993</v>
      </c>
      <c r="T29" s="172">
        <f t="shared" si="77"/>
        <v>4.2318027258064603</v>
      </c>
      <c r="U29" s="254"/>
      <c r="V29" s="337">
        <f t="shared" si="78"/>
        <v>4.4585434783410136</v>
      </c>
      <c r="W29" s="337">
        <f t="shared" si="78"/>
        <v>2.5580369747132643</v>
      </c>
      <c r="X29" s="337">
        <f t="shared" si="78"/>
        <v>2.6669517545239962</v>
      </c>
      <c r="Y29" s="792">
        <f t="shared" si="78"/>
        <v>2.1851343767894633</v>
      </c>
      <c r="Z29" s="172">
        <f t="shared" si="78"/>
        <v>11.868666584367745</v>
      </c>
      <c r="AA29" s="254"/>
      <c r="AB29" s="337">
        <f t="shared" si="79"/>
        <v>2.8046627538248927</v>
      </c>
      <c r="AC29" s="337">
        <f t="shared" si="80"/>
        <v>2.6068669943543057</v>
      </c>
      <c r="AD29" s="337">
        <f t="shared" si="81"/>
        <v>2.4435575414634165</v>
      </c>
      <c r="AE29" s="792">
        <f t="shared" si="82"/>
        <v>2.2267682256155794</v>
      </c>
      <c r="AF29" s="172">
        <f t="shared" si="83"/>
        <v>10.081855515258184</v>
      </c>
      <c r="AG29" s="254"/>
      <c r="AH29" s="337">
        <f t="shared" si="84"/>
        <v>2.8580296886825884</v>
      </c>
      <c r="AI29" s="337">
        <f t="shared" si="85"/>
        <v>2.6564178106906873</v>
      </c>
      <c r="AJ29" s="337">
        <f t="shared" si="86"/>
        <v>2.4899552358269119</v>
      </c>
      <c r="AK29" s="792">
        <f t="shared" si="87"/>
        <v>2.2690162379805336</v>
      </c>
      <c r="AL29" s="172">
        <f t="shared" si="88"/>
        <v>10.273418973180711</v>
      </c>
      <c r="AM29" s="254"/>
      <c r="AN29" s="337">
        <f t="shared" si="89"/>
        <v>2.9121834959620472</v>
      </c>
      <c r="AO29" s="337">
        <f t="shared" si="90"/>
        <v>2.7066989566543675</v>
      </c>
      <c r="AP29" s="337">
        <f t="shared" si="91"/>
        <v>2.5370365283235294</v>
      </c>
      <c r="AQ29" s="792">
        <f t="shared" si="92"/>
        <v>2.3118865337702239</v>
      </c>
      <c r="AR29" s="172">
        <f t="shared" si="93"/>
        <v>10.467805514710193</v>
      </c>
    </row>
    <row r="30" spans="1:44" ht="12" customHeight="1" x14ac:dyDescent="0.2">
      <c r="A30" s="43"/>
      <c r="B30" s="795" t="s">
        <v>379</v>
      </c>
      <c r="C30" s="796"/>
      <c r="D30" s="797">
        <f>+D11/D8</f>
        <v>1.189808321645629</v>
      </c>
      <c r="E30" s="797">
        <f>+E11/E8</f>
        <v>1.1402329749103945</v>
      </c>
      <c r="F30" s="797">
        <f>+F11/F8</f>
        <v>1.0731604469744889</v>
      </c>
      <c r="G30" s="797">
        <f>+G11/G8</f>
        <v>0.99511241446725307</v>
      </c>
      <c r="H30" s="798">
        <f>+H11/H8</f>
        <v>1.0946236559139786</v>
      </c>
      <c r="I30" s="796"/>
      <c r="J30" s="797">
        <f>+J11/J8</f>
        <v>1.0054964157706094</v>
      </c>
      <c r="K30" s="797">
        <f>+K11/K8</f>
        <v>1.0229185223725288</v>
      </c>
      <c r="L30" s="797">
        <f>+L11/L8</f>
        <v>0.87936293696855194</v>
      </c>
      <c r="M30" s="797">
        <f>+M11/M8</f>
        <v>0.77267552182163202</v>
      </c>
      <c r="N30" s="798">
        <f>+N11/N8</f>
        <v>0.913010296829871</v>
      </c>
      <c r="O30" s="796"/>
      <c r="P30" s="797">
        <f>+P11/P8</f>
        <v>0.79182842741935489</v>
      </c>
      <c r="Q30" s="797">
        <f>+Q11/Q8</f>
        <v>0.73524285590719451</v>
      </c>
      <c r="R30" s="797">
        <f>+R11/R8</f>
        <v>0.6741663781993773</v>
      </c>
      <c r="S30" s="797">
        <f>+S11/S8</f>
        <v>0.60130572368113611</v>
      </c>
      <c r="T30" s="798">
        <f>+T11/T8</f>
        <v>0.69624399807564219</v>
      </c>
      <c r="U30" s="796"/>
      <c r="V30" s="797">
        <f>+V11/V8</f>
        <v>0.73624320793135034</v>
      </c>
      <c r="W30" s="797">
        <f>+W11/W8</f>
        <v>0.6597049916929254</v>
      </c>
      <c r="X30" s="797">
        <f>+X11/X8</f>
        <v>0.59613671296427218</v>
      </c>
      <c r="Y30" s="797">
        <f>+Y11/Y8</f>
        <v>0.52400319937259154</v>
      </c>
      <c r="Z30" s="804">
        <f>+Z11/Z8</f>
        <v>0.62421800666255545</v>
      </c>
      <c r="AA30" s="796"/>
      <c r="AB30" s="797">
        <f>+AB11/AB8</f>
        <v>0.6415934212476393</v>
      </c>
      <c r="AC30" s="797">
        <f>+AC11/AC8</f>
        <v>0.5748947875847511</v>
      </c>
      <c r="AD30" s="797">
        <f>+AD11/AD8</f>
        <v>0.51949870515848973</v>
      </c>
      <c r="AE30" s="797">
        <f>+AE11/AE8</f>
        <v>0.45663851538243039</v>
      </c>
      <c r="AF30" s="798">
        <f>+AF11/AF8</f>
        <v>0.54409763326615201</v>
      </c>
      <c r="AG30" s="796"/>
      <c r="AH30" s="797">
        <f t="shared" ref="AH30:AL30" si="94">+AH11/AH8</f>
        <v>0.56733382970480306</v>
      </c>
      <c r="AI30" s="797">
        <f t="shared" si="94"/>
        <v>0.51583086869976502</v>
      </c>
      <c r="AJ30" s="797">
        <f t="shared" si="94"/>
        <v>0.47298090110059404</v>
      </c>
      <c r="AK30" s="797">
        <f t="shared" si="94"/>
        <v>0.42186340378359632</v>
      </c>
      <c r="AL30" s="798">
        <f t="shared" si="94"/>
        <v>0.49227214473951669</v>
      </c>
      <c r="AM30" s="796"/>
      <c r="AN30" s="797">
        <f t="shared" ref="AN30:AR30" si="95">+AN11/AN8</f>
        <v>0.52412876360288763</v>
      </c>
      <c r="AO30" s="797">
        <f t="shared" si="95"/>
        <v>0.47654798865156128</v>
      </c>
      <c r="AP30" s="797">
        <f t="shared" si="95"/>
        <v>0.43696124207968295</v>
      </c>
      <c r="AQ30" s="797">
        <f t="shared" si="95"/>
        <v>0.38973657599345191</v>
      </c>
      <c r="AR30" s="798">
        <f t="shared" si="95"/>
        <v>0.45485109539632207</v>
      </c>
    </row>
    <row r="31" spans="1:44" ht="12" customHeight="1" x14ac:dyDescent="0.2">
      <c r="A31" s="43"/>
      <c r="B31" s="679" t="s">
        <v>315</v>
      </c>
      <c r="C31" s="254"/>
      <c r="D31" s="537">
        <f>+D12/D8</f>
        <v>-0.48980832164562893</v>
      </c>
      <c r="E31" s="537">
        <f t="shared" ref="E31:H31" si="96">+E12/E8</f>
        <v>-0.44023297491039459</v>
      </c>
      <c r="F31" s="537">
        <f t="shared" si="96"/>
        <v>-0.37316044697448891</v>
      </c>
      <c r="G31" s="537">
        <f t="shared" si="96"/>
        <v>-0.29511241446725311</v>
      </c>
      <c r="H31" s="805">
        <f t="shared" si="96"/>
        <v>-0.39462365591397852</v>
      </c>
      <c r="I31" s="608"/>
      <c r="J31" s="537">
        <f>+J12/J8</f>
        <v>-0.31899641577060933</v>
      </c>
      <c r="K31" s="537">
        <f t="shared" ref="K31:N31" si="97">+K12/K8</f>
        <v>-0.33584064218819687</v>
      </c>
      <c r="L31" s="537">
        <f t="shared" si="97"/>
        <v>-0.16381913869327702</v>
      </c>
      <c r="M31" s="537">
        <f t="shared" si="97"/>
        <v>-1.7921759851727684E-2</v>
      </c>
      <c r="N31" s="805">
        <f t="shared" si="97"/>
        <v>-0.20011161604225916</v>
      </c>
      <c r="O31" s="608"/>
      <c r="P31" s="537">
        <f>+P12/P8</f>
        <v>-1.8867399076331677E-2</v>
      </c>
      <c r="Q31" s="537">
        <f t="shared" ref="Q31:T31" si="98">+Q12/Q8</f>
        <v>4.0850208156337123E-2</v>
      </c>
      <c r="R31" s="537">
        <f t="shared" si="98"/>
        <v>0.10960976699922917</v>
      </c>
      <c r="S31" s="537">
        <f t="shared" si="98"/>
        <v>0.1898898675155575</v>
      </c>
      <c r="T31" s="805">
        <f t="shared" si="98"/>
        <v>8.5183669155584327E-2</v>
      </c>
      <c r="U31" s="608"/>
      <c r="V31" s="537">
        <f>+V12/V8</f>
        <v>6.2013401920527539E-2</v>
      </c>
      <c r="W31" s="537">
        <f t="shared" ref="W31:Z31" si="99">+W12/W8</f>
        <v>0.14829767565403079</v>
      </c>
      <c r="X31" s="537">
        <f t="shared" si="99"/>
        <v>0.2211411878441838</v>
      </c>
      <c r="Y31" s="537">
        <f t="shared" si="99"/>
        <v>0.3021018559861805</v>
      </c>
      <c r="Z31" s="805">
        <f t="shared" si="99"/>
        <v>0.18882951819076879</v>
      </c>
      <c r="AA31" s="608"/>
      <c r="AB31" s="537">
        <f>+AB12/AB8</f>
        <v>0.19039213948547382</v>
      </c>
      <c r="AC31" s="537">
        <f t="shared" ref="AC31:AF31" si="100">+AC12/AC8</f>
        <v>0.26439574876866134</v>
      </c>
      <c r="AD31" s="537">
        <f t="shared" si="100"/>
        <v>0.32677919917955706</v>
      </c>
      <c r="AE31" s="537">
        <f t="shared" si="100"/>
        <v>0.39632295833222297</v>
      </c>
      <c r="AF31" s="805">
        <f t="shared" si="100"/>
        <v>0.29899636969474236</v>
      </c>
      <c r="AG31" s="608"/>
      <c r="AH31" s="537">
        <f t="shared" ref="AH31:AL31" si="101">+AH12/AH8</f>
        <v>0.28851075236838652</v>
      </c>
      <c r="AI31" s="537">
        <f t="shared" si="101"/>
        <v>0.34425357860656602</v>
      </c>
      <c r="AJ31" s="537">
        <f t="shared" si="101"/>
        <v>0.39121870952025672</v>
      </c>
      <c r="AK31" s="537">
        <f t="shared" si="101"/>
        <v>0.44633033593664112</v>
      </c>
      <c r="AL31" s="805">
        <f t="shared" si="101"/>
        <v>0.37000011068124478</v>
      </c>
      <c r="AM31" s="608"/>
      <c r="AN31" s="537">
        <f t="shared" ref="AN31:AR31" si="102">+AN12/AN8</f>
        <v>0.34664941259342363</v>
      </c>
      <c r="AO31" s="537">
        <f t="shared" si="102"/>
        <v>0.39803082942132911</v>
      </c>
      <c r="AP31" s="537">
        <f t="shared" si="102"/>
        <v>0.44130643428518129</v>
      </c>
      <c r="AQ31" s="537">
        <f t="shared" si="102"/>
        <v>0.49211146283126916</v>
      </c>
      <c r="AR31" s="805">
        <f t="shared" si="102"/>
        <v>0.42168323522956619</v>
      </c>
    </row>
    <row r="32" spans="1:44" ht="12" customHeight="1" x14ac:dyDescent="0.2">
      <c r="A32" s="43"/>
      <c r="B32" s="90" t="s">
        <v>220</v>
      </c>
      <c r="C32" s="256"/>
      <c r="D32" s="317"/>
      <c r="E32" s="317"/>
      <c r="F32" s="317"/>
      <c r="G32" s="317"/>
      <c r="H32" s="377"/>
      <c r="I32" s="256"/>
      <c r="J32" s="317">
        <f>+(J12-D12)/(J8-D8)</f>
        <v>-1.6790736145574612E-2</v>
      </c>
      <c r="K32" s="664">
        <f>+(K12-E12)/(K8-E8)</f>
        <v>-0.12991604065399873</v>
      </c>
      <c r="L32" s="664">
        <f>+(L12-F12)/(L8-F8)</f>
        <v>0.20861365394655351</v>
      </c>
      <c r="M32" s="664">
        <f>+(M12-G12)/(M8-G8)</f>
        <v>0.49026110694340258</v>
      </c>
      <c r="N32" s="772">
        <f t="shared" ref="N32" si="103">+(N12-H12)/(N8-H8)</f>
        <v>0.15679120941043709</v>
      </c>
      <c r="O32" s="256"/>
      <c r="P32" s="317">
        <f>+(P12-J12)/(P8-J8)</f>
        <v>0.88151965100650143</v>
      </c>
      <c r="Q32" s="664">
        <f t="shared" ref="Q32" si="104">+(Q12-K12)/(Q8-K8)</f>
        <v>0.85826935340397592</v>
      </c>
      <c r="R32" s="664">
        <f t="shared" ref="R32" si="105">+(R12-L12)/(R8-L8)</f>
        <v>0.84942793100774172</v>
      </c>
      <c r="S32" s="664">
        <f t="shared" ref="S32" si="106">+(S12-M12)/(S8-M8)</f>
        <v>0.78491936375472438</v>
      </c>
      <c r="T32" s="772">
        <f t="shared" ref="T32" si="107">+(T12-N12)/(T8-N8)</f>
        <v>0.84212880264955703</v>
      </c>
      <c r="U32" s="256"/>
      <c r="V32" s="317">
        <f>+(V12-P12)/(V8-P8)</f>
        <v>0.34504164001224574</v>
      </c>
      <c r="W32" s="664">
        <f t="shared" ref="W32" si="108">+(W12-Q12)/(W8-Q8)</f>
        <v>0.60200216768233428</v>
      </c>
      <c r="X32" s="664">
        <f t="shared" ref="X32" si="109">+(X12-R12)/(X8-R8)</f>
        <v>0.6379802642451885</v>
      </c>
      <c r="Y32" s="664">
        <f t="shared" ref="Y32" si="110">+(Y12-S12)/(Y8-S8)</f>
        <v>0.71967232248888169</v>
      </c>
      <c r="Z32" s="772">
        <f t="shared" ref="Z32" si="111">+(Z12-T12)/(Z8-T8)</f>
        <v>0.58090715298067841</v>
      </c>
      <c r="AA32" s="256"/>
      <c r="AB32" s="317">
        <f>+(AB12-V12)/(AB8-V8)</f>
        <v>0.67379536058103229</v>
      </c>
      <c r="AC32" s="664">
        <f t="shared" ref="AC32" si="112">+(AC12-W12)/(AC8-W8)</f>
        <v>0.70553498026698669</v>
      </c>
      <c r="AD32" s="664">
        <f t="shared" ref="AD32" si="113">+(AD12-X12)/(AD8-X8)</f>
        <v>0.73169600806657209</v>
      </c>
      <c r="AE32" s="664">
        <f t="shared" ref="AE32" si="114">+(AE12-Y12)/(AE8-Y8)</f>
        <v>0.75977993606301319</v>
      </c>
      <c r="AF32" s="772">
        <f t="shared" ref="AF32" si="115">+(AF12-Z12)/(AF8-Z8)</f>
        <v>0.71936427709032091</v>
      </c>
      <c r="AG32" s="256"/>
      <c r="AH32" s="317">
        <f t="shared" ref="AH32" si="116">+(AH12-AB12)/(AH8-AB8)</f>
        <v>0.70010539641821667</v>
      </c>
      <c r="AI32" s="664">
        <f t="shared" ref="AI32" si="117">+(AI12-AC12)/(AI8-AC8)</f>
        <v>0.70976169408293821</v>
      </c>
      <c r="AJ32" s="664">
        <f t="shared" ref="AJ32" si="118">+(AJ12-AD12)/(AJ8-AD8)</f>
        <v>0.71507291024268038</v>
      </c>
      <c r="AK32" s="664">
        <f t="shared" ref="AK32" si="119">+(AK12-AE12)/(AK8-AE8)</f>
        <v>0.72371472697423245</v>
      </c>
      <c r="AL32" s="772">
        <f t="shared" ref="AL32" si="120">+(AL12-AF12)/(AL8-AF8)</f>
        <v>0.71178664393590418</v>
      </c>
      <c r="AM32" s="256"/>
      <c r="AN32" s="317">
        <f t="shared" ref="AN32" si="121">+(AN12-AH12)/(AN8-AH8)</f>
        <v>0.67296017571865441</v>
      </c>
      <c r="AO32" s="664">
        <f t="shared" ref="AO32" si="122">+(AO12-AI12)/(AO8-AI8)</f>
        <v>0.70262769478541054</v>
      </c>
      <c r="AP32" s="664">
        <f t="shared" ref="AP32" si="123">+(AP12-AJ12)/(AP8-AJ8)</f>
        <v>0.72752971774020569</v>
      </c>
      <c r="AQ32" s="664">
        <f t="shared" ref="AQ32" si="124">+(AQ12-AK12)/(AQ8-AK8)</f>
        <v>0.75542529769096489</v>
      </c>
      <c r="AR32" s="772">
        <f t="shared" ref="AR32" si="125">+(AR12-AL12)/(AR8-AL8)</f>
        <v>0.71562439909773767</v>
      </c>
    </row>
    <row r="33" spans="1:44" ht="12" customHeight="1" x14ac:dyDescent="0.2">
      <c r="A33" s="43"/>
      <c r="B33" s="90" t="s">
        <v>63</v>
      </c>
      <c r="C33" s="256"/>
      <c r="D33" s="317">
        <f>+D12/D8</f>
        <v>-0.48980832164562893</v>
      </c>
      <c r="E33" s="317">
        <f>+E12/E8</f>
        <v>-0.44023297491039459</v>
      </c>
      <c r="F33" s="317">
        <f>+F12/F8</f>
        <v>-0.37316044697448891</v>
      </c>
      <c r="G33" s="317">
        <f>+G12/G8</f>
        <v>-0.29511241446725311</v>
      </c>
      <c r="H33" s="377">
        <f>+H12/H8</f>
        <v>-0.39462365591397852</v>
      </c>
      <c r="I33" s="256"/>
      <c r="J33" s="317">
        <f>+J12/J8</f>
        <v>-0.31899641577060933</v>
      </c>
      <c r="K33" s="317">
        <f>+K12/K8</f>
        <v>-0.33584064218819687</v>
      </c>
      <c r="L33" s="317">
        <f>+L12/L8</f>
        <v>-0.16381913869327702</v>
      </c>
      <c r="M33" s="317">
        <f>+M12/M8</f>
        <v>-1.7921759851727684E-2</v>
      </c>
      <c r="N33" s="377">
        <f>+N12/N8</f>
        <v>-0.20011161604225916</v>
      </c>
      <c r="O33" s="256"/>
      <c r="P33" s="317">
        <f>+P12/P8</f>
        <v>-1.8867399076331677E-2</v>
      </c>
      <c r="Q33" s="317">
        <f>+Q12/Q8</f>
        <v>4.0850208156337123E-2</v>
      </c>
      <c r="R33" s="317">
        <f>+R12/R8</f>
        <v>0.10960976699922917</v>
      </c>
      <c r="S33" s="317">
        <f>+S12/S8</f>
        <v>0.1898898675155575</v>
      </c>
      <c r="T33" s="377">
        <f>+T12/T8</f>
        <v>8.5183669155584327E-2</v>
      </c>
      <c r="U33" s="256"/>
      <c r="V33" s="317">
        <f>+V12/V8</f>
        <v>6.2013401920527539E-2</v>
      </c>
      <c r="W33" s="317">
        <f>+W12/W8</f>
        <v>0.14829767565403079</v>
      </c>
      <c r="X33" s="317">
        <f>+X12/X8</f>
        <v>0.2211411878441838</v>
      </c>
      <c r="Y33" s="317">
        <f>+Y12/Y8</f>
        <v>0.3021018559861805</v>
      </c>
      <c r="Z33" s="377">
        <f>+Z12/Z8</f>
        <v>0.18882951819076879</v>
      </c>
      <c r="AA33" s="256"/>
      <c r="AB33" s="317">
        <f>+AB12/AB8</f>
        <v>0.19039213948547382</v>
      </c>
      <c r="AC33" s="317">
        <f>+AC12/AC8</f>
        <v>0.26439574876866134</v>
      </c>
      <c r="AD33" s="317">
        <f>+AD12/AD8</f>
        <v>0.32677919917955706</v>
      </c>
      <c r="AE33" s="317">
        <f>+AE12/AE8</f>
        <v>0.39632295833222297</v>
      </c>
      <c r="AF33" s="377">
        <f>+AF12/AF8</f>
        <v>0.29899636969474236</v>
      </c>
      <c r="AG33" s="256"/>
      <c r="AH33" s="317">
        <f t="shared" ref="AH33:AL33" si="126">+AH12/AH8</f>
        <v>0.28851075236838652</v>
      </c>
      <c r="AI33" s="317">
        <f t="shared" si="126"/>
        <v>0.34425357860656602</v>
      </c>
      <c r="AJ33" s="317">
        <f t="shared" si="126"/>
        <v>0.39121870952025672</v>
      </c>
      <c r="AK33" s="317">
        <f t="shared" si="126"/>
        <v>0.44633033593664112</v>
      </c>
      <c r="AL33" s="377">
        <f t="shared" si="126"/>
        <v>0.37000011068124478</v>
      </c>
      <c r="AM33" s="256"/>
      <c r="AN33" s="317">
        <f t="shared" ref="AN33:AR33" si="127">+AN12/AN8</f>
        <v>0.34664941259342363</v>
      </c>
      <c r="AO33" s="317">
        <f t="shared" si="127"/>
        <v>0.39803082942132911</v>
      </c>
      <c r="AP33" s="317">
        <f t="shared" si="127"/>
        <v>0.44130643428518129</v>
      </c>
      <c r="AQ33" s="317">
        <f t="shared" si="127"/>
        <v>0.49211146283126916</v>
      </c>
      <c r="AR33" s="377">
        <f t="shared" si="127"/>
        <v>0.42168323522956619</v>
      </c>
    </row>
    <row r="34" spans="1:44" ht="12" customHeight="1" x14ac:dyDescent="0.2">
      <c r="A34" s="43"/>
      <c r="B34" s="90" t="s">
        <v>148</v>
      </c>
      <c r="C34" s="74"/>
      <c r="D34" s="317">
        <f>+D15/D8</f>
        <v>-0.30368115942028995</v>
      </c>
      <c r="E34" s="317">
        <f t="shared" ref="E34:H34" si="128">+E15/E8</f>
        <v>-0.27294444444444466</v>
      </c>
      <c r="F34" s="317">
        <f t="shared" si="128"/>
        <v>-0.23135947712418312</v>
      </c>
      <c r="G34" s="317">
        <f t="shared" si="128"/>
        <v>-0.18296969696969692</v>
      </c>
      <c r="H34" s="377">
        <f t="shared" si="128"/>
        <v>-0.2446666666666667</v>
      </c>
      <c r="I34" s="74"/>
      <c r="J34" s="317">
        <f>+J15/J8</f>
        <v>-0.19777777777777777</v>
      </c>
      <c r="K34" s="317">
        <f t="shared" ref="K34:N34" si="129">+K15/K8</f>
        <v>-0.20822119815668205</v>
      </c>
      <c r="L34" s="317">
        <f>+L15/L8</f>
        <v>-0.10156786598983177</v>
      </c>
      <c r="M34" s="317">
        <f t="shared" si="129"/>
        <v>-1.1111491108071164E-2</v>
      </c>
      <c r="N34" s="377">
        <f t="shared" si="129"/>
        <v>-0.12406920194620066</v>
      </c>
      <c r="O34" s="74"/>
      <c r="P34" s="317">
        <f>+P15/P8</f>
        <v>-1.169778742732564E-2</v>
      </c>
      <c r="Q34" s="317">
        <f t="shared" ref="Q34:T34" si="130">+Q15/Q8</f>
        <v>2.5327129056929017E-2</v>
      </c>
      <c r="R34" s="317">
        <f t="shared" si="130"/>
        <v>6.7958055539522083E-2</v>
      </c>
      <c r="S34" s="317">
        <f t="shared" si="130"/>
        <v>0.11773171785964565</v>
      </c>
      <c r="T34" s="377">
        <f t="shared" si="130"/>
        <v>5.2813874876462288E-2</v>
      </c>
      <c r="U34" s="74"/>
      <c r="V34" s="317">
        <f>+V15/V8</f>
        <v>3.844830919072708E-2</v>
      </c>
      <c r="W34" s="317">
        <f t="shared" ref="W34:Z34" si="131">+W15/W8</f>
        <v>9.1944558905499088E-2</v>
      </c>
      <c r="X34" s="317">
        <f t="shared" si="131"/>
        <v>0.13710753646339396</v>
      </c>
      <c r="Y34" s="317">
        <f t="shared" si="131"/>
        <v>0.18730315071143191</v>
      </c>
      <c r="Z34" s="377">
        <f t="shared" si="131"/>
        <v>0.11707430127827666</v>
      </c>
      <c r="AA34" s="74"/>
      <c r="AB34" s="317">
        <f>+AB15/AB8</f>
        <v>0.11804312648099376</v>
      </c>
      <c r="AC34" s="317">
        <f t="shared" ref="AC34:AF34" si="132">+AC15/AC8</f>
        <v>0.16392536423657003</v>
      </c>
      <c r="AD34" s="317">
        <f t="shared" si="132"/>
        <v>0.20260310349132538</v>
      </c>
      <c r="AE34" s="317">
        <f t="shared" si="132"/>
        <v>0.24572023416597824</v>
      </c>
      <c r="AF34" s="377">
        <f t="shared" si="132"/>
        <v>0.18537774921074027</v>
      </c>
      <c r="AG34" s="74"/>
      <c r="AH34" s="317">
        <f t="shared" ref="AH34:AL34" si="133">+AH15/AH8</f>
        <v>0.17887666646839964</v>
      </c>
      <c r="AI34" s="317">
        <f t="shared" si="133"/>
        <v>0.21343721873607094</v>
      </c>
      <c r="AJ34" s="317">
        <f t="shared" si="133"/>
        <v>0.24255559990255918</v>
      </c>
      <c r="AK34" s="317">
        <f t="shared" si="133"/>
        <v>0.27672480828071749</v>
      </c>
      <c r="AL34" s="377">
        <f t="shared" si="133"/>
        <v>0.22940006862237178</v>
      </c>
      <c r="AM34" s="74"/>
      <c r="AN34" s="317">
        <f t="shared" ref="AN34:AR34" si="134">+AN15/AN8</f>
        <v>0.21492263580792265</v>
      </c>
      <c r="AO34" s="317">
        <f t="shared" si="134"/>
        <v>0.24677911424122403</v>
      </c>
      <c r="AP34" s="317">
        <f t="shared" si="134"/>
        <v>0.2736099892568124</v>
      </c>
      <c r="AQ34" s="317">
        <f t="shared" si="134"/>
        <v>0.3051091069553869</v>
      </c>
      <c r="AR34" s="377">
        <f t="shared" si="134"/>
        <v>0.26144360584233101</v>
      </c>
    </row>
    <row r="35" spans="1:44" ht="12" customHeight="1" x14ac:dyDescent="0.2">
      <c r="A35" s="44"/>
      <c r="B35" s="236"/>
      <c r="C35" s="103"/>
      <c r="D35" s="250"/>
      <c r="E35" s="250"/>
      <c r="F35" s="250"/>
      <c r="G35" s="250"/>
      <c r="H35" s="121"/>
      <c r="I35" s="103"/>
      <c r="J35" s="250"/>
      <c r="K35" s="250"/>
      <c r="L35" s="250"/>
      <c r="M35" s="250"/>
      <c r="N35" s="121"/>
      <c r="O35" s="103"/>
      <c r="P35" s="250"/>
      <c r="Q35" s="250"/>
      <c r="R35" s="250"/>
      <c r="S35" s="250"/>
      <c r="T35" s="121"/>
      <c r="U35" s="103"/>
      <c r="V35" s="250"/>
      <c r="W35" s="250"/>
      <c r="X35" s="250"/>
      <c r="Y35" s="250"/>
      <c r="Z35" s="121"/>
      <c r="AA35" s="103"/>
      <c r="AB35" s="250"/>
      <c r="AC35" s="250"/>
      <c r="AD35" s="250"/>
      <c r="AE35" s="250"/>
      <c r="AF35" s="121"/>
      <c r="AG35" s="103"/>
      <c r="AH35" s="250"/>
      <c r="AI35" s="250"/>
      <c r="AJ35" s="250"/>
      <c r="AK35" s="250"/>
      <c r="AL35" s="121"/>
      <c r="AM35" s="103"/>
      <c r="AN35" s="250"/>
      <c r="AO35" s="250"/>
      <c r="AP35" s="250"/>
      <c r="AQ35" s="250"/>
      <c r="AR35" s="121"/>
    </row>
    <row r="36" spans="1:44" ht="12" customHeight="1" x14ac:dyDescent="0.2">
      <c r="A36" s="43"/>
      <c r="B36" s="623" t="s">
        <v>221</v>
      </c>
      <c r="C36" s="103"/>
      <c r="D36" s="250"/>
      <c r="E36" s="250"/>
      <c r="F36" s="250"/>
      <c r="G36" s="250"/>
      <c r="H36" s="121"/>
      <c r="I36" s="103"/>
      <c r="J36" s="250"/>
      <c r="K36" s="250"/>
      <c r="L36" s="250"/>
      <c r="M36" s="250"/>
      <c r="N36" s="121"/>
      <c r="O36" s="103"/>
      <c r="P36" s="250"/>
      <c r="Q36" s="250"/>
      <c r="R36" s="250"/>
      <c r="S36" s="250"/>
      <c r="T36" s="121"/>
      <c r="U36" s="103"/>
      <c r="V36" s="250"/>
      <c r="W36" s="250"/>
      <c r="X36" s="250"/>
      <c r="Y36" s="250"/>
      <c r="Z36" s="121"/>
      <c r="AA36" s="103"/>
      <c r="AB36" s="250"/>
      <c r="AC36" s="250"/>
      <c r="AD36" s="250"/>
      <c r="AE36" s="250"/>
      <c r="AF36" s="121"/>
      <c r="AG36" s="103"/>
      <c r="AH36" s="250"/>
      <c r="AI36" s="250"/>
      <c r="AJ36" s="250"/>
      <c r="AK36" s="250"/>
      <c r="AL36" s="121"/>
      <c r="AM36" s="103"/>
      <c r="AN36" s="250"/>
      <c r="AO36" s="250"/>
      <c r="AP36" s="250"/>
      <c r="AQ36" s="250"/>
      <c r="AR36" s="121"/>
    </row>
    <row r="37" spans="1:44" ht="12" customHeight="1" x14ac:dyDescent="0.2">
      <c r="A37" s="43"/>
      <c r="B37" s="90" t="s">
        <v>222</v>
      </c>
      <c r="C37" s="103"/>
      <c r="D37" s="446"/>
      <c r="E37" s="446"/>
      <c r="F37" s="446"/>
      <c r="G37" s="446"/>
      <c r="H37" s="642"/>
      <c r="I37" s="103"/>
      <c r="J37" s="446">
        <f t="shared" ref="J37:N39" si="135">IF(ISERROR(J8/D8-1),"NM",J8/D8-1)</f>
        <v>0.56521739130434789</v>
      </c>
      <c r="K37" s="446">
        <f t="shared" si="135"/>
        <v>0.50694444444444464</v>
      </c>
      <c r="L37" s="446">
        <f t="shared" si="135"/>
        <v>0.56209150326797364</v>
      </c>
      <c r="M37" s="446">
        <f t="shared" si="135"/>
        <v>0.54545454545454519</v>
      </c>
      <c r="N37" s="642">
        <f t="shared" si="135"/>
        <v>0.54499999999999971</v>
      </c>
      <c r="O37" s="103"/>
      <c r="P37" s="446">
        <f t="shared" ref="P37:T39" si="136">IF(ISERROR(P8/J8-1),"NM",P8/J8-1)</f>
        <v>0.33333333333333326</v>
      </c>
      <c r="Q37" s="446">
        <f t="shared" si="136"/>
        <v>0.46082949308755761</v>
      </c>
      <c r="R37" s="446">
        <f t="shared" si="136"/>
        <v>0.36958933829226726</v>
      </c>
      <c r="S37" s="446">
        <f t="shared" si="136"/>
        <v>0.34924592592592596</v>
      </c>
      <c r="T37" s="642">
        <f t="shared" si="136"/>
        <v>0.37690351991689663</v>
      </c>
      <c r="U37" s="103"/>
      <c r="V37" s="446">
        <f t="shared" ref="V37:Z39" si="137">IF(ISERROR(V8/P8-1),"NM",V8/P8-1)</f>
        <v>0.28576936895833338</v>
      </c>
      <c r="W37" s="446">
        <f t="shared" si="137"/>
        <v>0.23682257809999996</v>
      </c>
      <c r="X37" s="446">
        <f t="shared" si="137"/>
        <v>0.26756469620823142</v>
      </c>
      <c r="Y37" s="446">
        <f t="shared" si="137"/>
        <v>0.26872587376793589</v>
      </c>
      <c r="Z37" s="642">
        <f t="shared" si="137"/>
        <v>0.26435032207517239</v>
      </c>
      <c r="AA37" s="103"/>
      <c r="AB37" s="446">
        <f t="shared" ref="AB37:AB39" si="138">IF(ISERROR(AB8/V8-1),"NM",AB8/V8-1)</f>
        <v>0.26557278057435307</v>
      </c>
      <c r="AC37" s="446">
        <f t="shared" ref="AC37:AC39" si="139">IF(ISERROR(AC8/W8-1),"NM",AC8/W8-1)</f>
        <v>0.26317784686776657</v>
      </c>
      <c r="AD37" s="446">
        <f t="shared" ref="AD37:AD39" si="140">IF(ISERROR(AD8/X8-1),"NM",AD8/X8-1)</f>
        <v>0.26088818497245847</v>
      </c>
      <c r="AE37" s="446">
        <f t="shared" ref="AE37:AE39" si="141">IF(ISERROR(AE8/Y8-1),"NM",AE8/Y8-1)</f>
        <v>0.25923591544260116</v>
      </c>
      <c r="AF37" s="642">
        <f t="shared" ref="AF37:AF39" si="142">IF(ISERROR(AF8/Z8-1),"NM",AF8/Z8-1)</f>
        <v>0.26207245978057814</v>
      </c>
      <c r="AG37" s="103"/>
      <c r="AH37" s="446">
        <f t="shared" ref="AH37:AH39" si="143">IF(ISERROR(AH8/AB8-1),"NM",AH8/AB8-1)</f>
        <v>0.23838651523131538</v>
      </c>
      <c r="AI37" s="446">
        <f t="shared" ref="AI37:AI39" si="144">IF(ISERROR(AI8/AC8-1),"NM",AI8/AC8-1)</f>
        <v>0.21848442334536067</v>
      </c>
      <c r="AJ37" s="446">
        <f t="shared" ref="AJ37:AJ39" si="145">IF(ISERROR(AJ8/AD8-1),"NM",AJ8/AD8-1)</f>
        <v>0.19897691676363638</v>
      </c>
      <c r="AK37" s="446">
        <f t="shared" ref="AK37:AK39" si="146">IF(ISERROR(AK8/AE8-1),"NM",AK8/AE8-1)</f>
        <v>0.18028187317014943</v>
      </c>
      <c r="AL37" s="642">
        <f t="shared" ref="AL37:AL40" si="147">IF(ISERROR(AL8/AF8-1),"NM",AL8/AF8-1)</f>
        <v>0.20774294502000989</v>
      </c>
      <c r="AM37" s="103"/>
      <c r="AN37" s="446">
        <f t="shared" ref="AN37:AN39" si="148">IF(ISERROR(AN8/AH8-1),"NM",AN8/AH8-1)</f>
        <v>0.17816960638446599</v>
      </c>
      <c r="AO37" s="446">
        <f t="shared" ref="AO37:AO39" si="149">IF(ISERROR(AO8/AI8-1),"NM",AO8/AI8-1)</f>
        <v>0.17655221353142858</v>
      </c>
      <c r="AP37" s="446">
        <f t="shared" ref="AP37:AP39" si="150">IF(ISERROR(AP8/AJ8-1),"NM",AP8/AJ8-1)</f>
        <v>0.17499528396261677</v>
      </c>
      <c r="AQ37" s="446">
        <f t="shared" ref="AQ37:AQ39" si="151">IF(ISERROR(AQ8/AK8-1),"NM",AQ8/AK8-1)</f>
        <v>0.1738652544368664</v>
      </c>
      <c r="AR37" s="642">
        <f t="shared" ref="AR37:AR40" si="152">IF(ISERROR(AR8/AL8-1),"NM",AR8/AL8-1)</f>
        <v>0.1758281278749394</v>
      </c>
    </row>
    <row r="38" spans="1:44" ht="12" customHeight="1" x14ac:dyDescent="0.2">
      <c r="A38" s="43"/>
      <c r="B38" s="445" t="str">
        <f>+B9</f>
        <v>Cost of Revenues</v>
      </c>
      <c r="C38" s="103"/>
      <c r="D38" s="638"/>
      <c r="E38" s="638"/>
      <c r="F38" s="638"/>
      <c r="G38" s="638"/>
      <c r="H38" s="639"/>
      <c r="I38" s="103"/>
      <c r="J38" s="638">
        <f t="shared" si="135"/>
        <v>0.63565217391304341</v>
      </c>
      <c r="K38" s="638">
        <f t="shared" si="135"/>
        <v>0.57185416666666633</v>
      </c>
      <c r="L38" s="638">
        <f t="shared" si="135"/>
        <v>0.48115538588691198</v>
      </c>
      <c r="M38" s="638">
        <f t="shared" si="135"/>
        <v>0.26338971106412923</v>
      </c>
      <c r="N38" s="639">
        <f t="shared" si="135"/>
        <v>0.4785717939437979</v>
      </c>
      <c r="O38" s="103"/>
      <c r="P38" s="638">
        <f t="shared" si="136"/>
        <v>-3.4390338513655472E-2</v>
      </c>
      <c r="Q38" s="638">
        <f t="shared" si="136"/>
        <v>4.5275597377190557E-2</v>
      </c>
      <c r="R38" s="638">
        <f t="shared" si="136"/>
        <v>4.106672459552585E-2</v>
      </c>
      <c r="S38" s="638">
        <f t="shared" si="136"/>
        <v>0.14875767374119708</v>
      </c>
      <c r="T38" s="639">
        <f t="shared" si="136"/>
        <v>4.824671363887556E-2</v>
      </c>
      <c r="U38" s="103"/>
      <c r="V38" s="638">
        <f t="shared" si="137"/>
        <v>0.14251517943877556</v>
      </c>
      <c r="W38" s="638">
        <f t="shared" si="137"/>
        <v>6.0559535447530788E-2</v>
      </c>
      <c r="X38" s="638">
        <f t="shared" si="137"/>
        <v>7.1168037240853632E-2</v>
      </c>
      <c r="Y38" s="638">
        <f t="shared" si="137"/>
        <v>5.6610906102070979E-2</v>
      </c>
      <c r="Z38" s="639">
        <f t="shared" si="137"/>
        <v>8.144255574427306E-2</v>
      </c>
      <c r="AA38" s="103"/>
      <c r="AB38" s="638">
        <f t="shared" si="138"/>
        <v>5.3984970330459792E-2</v>
      </c>
      <c r="AC38" s="638">
        <f t="shared" si="139"/>
        <v>5.7330492331460814E-2</v>
      </c>
      <c r="AD38" s="638">
        <f t="shared" si="140"/>
        <v>6.0771384780219817E-2</v>
      </c>
      <c r="AE38" s="638">
        <f t="shared" si="141"/>
        <v>6.4758918864864956E-2</v>
      </c>
      <c r="AF38" s="639">
        <f t="shared" si="142"/>
        <v>5.9235709407452264E-2</v>
      </c>
      <c r="AG38" s="103"/>
      <c r="AH38" s="638">
        <f t="shared" si="143"/>
        <v>6.2528473368421045E-2</v>
      </c>
      <c r="AI38" s="638">
        <f t="shared" si="144"/>
        <v>6.082689639175265E-2</v>
      </c>
      <c r="AJ38" s="638">
        <f t="shared" si="145"/>
        <v>5.9194069999999988E-2</v>
      </c>
      <c r="AK38" s="638">
        <f t="shared" si="146"/>
        <v>5.8012098656716526E-2</v>
      </c>
      <c r="AL38" s="639">
        <f t="shared" si="147"/>
        <v>6.0123354033666532E-2</v>
      </c>
      <c r="AM38" s="103"/>
      <c r="AN38" s="638">
        <f t="shared" si="148"/>
        <v>5.6118649417475908E-2</v>
      </c>
      <c r="AO38" s="638">
        <f t="shared" si="149"/>
        <v>5.4668808285714299E-2</v>
      </c>
      <c r="AP38" s="638">
        <f t="shared" si="150"/>
        <v>5.3273166822429996E-2</v>
      </c>
      <c r="AQ38" s="638">
        <f t="shared" si="151"/>
        <v>5.2260201244239468E-2</v>
      </c>
      <c r="AR38" s="639">
        <f t="shared" si="152"/>
        <v>5.4067989862893295E-2</v>
      </c>
    </row>
    <row r="39" spans="1:44" ht="12" customHeight="1" x14ac:dyDescent="0.2">
      <c r="A39" s="43"/>
      <c r="B39" s="445" t="str">
        <f>+B10</f>
        <v>Gross Profit</v>
      </c>
      <c r="C39" s="181"/>
      <c r="D39" s="638"/>
      <c r="E39" s="638"/>
      <c r="F39" s="638"/>
      <c r="G39" s="638"/>
      <c r="H39" s="639"/>
      <c r="I39" s="181"/>
      <c r="J39" s="638">
        <f t="shared" si="135"/>
        <v>0.53503105590062128</v>
      </c>
      <c r="K39" s="638">
        <f t="shared" si="135"/>
        <v>0.47912599206349249</v>
      </c>
      <c r="L39" s="638">
        <f t="shared" si="135"/>
        <v>0.596778410717</v>
      </c>
      <c r="M39" s="638">
        <f t="shared" si="135"/>
        <v>0.66633947447900921</v>
      </c>
      <c r="N39" s="639">
        <f t="shared" si="135"/>
        <v>0.57346923116694315</v>
      </c>
      <c r="O39" s="181"/>
      <c r="P39" s="638">
        <f t="shared" si="136"/>
        <v>0.50125958406025384</v>
      </c>
      <c r="Q39" s="638">
        <f t="shared" si="136"/>
        <v>0.65008897835647739</v>
      </c>
      <c r="R39" s="638">
        <f t="shared" si="136"/>
        <v>0.50018972236114467</v>
      </c>
      <c r="S39" s="638">
        <f t="shared" si="136"/>
        <v>0.41439166231709423</v>
      </c>
      <c r="T39" s="639">
        <f t="shared" si="136"/>
        <v>0.50926146248778692</v>
      </c>
      <c r="U39" s="181"/>
      <c r="V39" s="638">
        <f t="shared" si="137"/>
        <v>0.32784688992183586</v>
      </c>
      <c r="W39" s="638">
        <f t="shared" si="137"/>
        <v>0.287675394117336</v>
      </c>
      <c r="X39" s="638">
        <f t="shared" si="137"/>
        <v>0.32174552696224801</v>
      </c>
      <c r="Y39" s="638">
        <f t="shared" si="137"/>
        <v>0.32470512961137832</v>
      </c>
      <c r="Z39" s="639">
        <f t="shared" si="137"/>
        <v>0.31551126613301905</v>
      </c>
      <c r="AA39" s="181"/>
      <c r="AB39" s="638">
        <f t="shared" si="138"/>
        <v>0.31904736709928216</v>
      </c>
      <c r="AC39" s="638">
        <f t="shared" si="139"/>
        <v>0.31209122871887551</v>
      </c>
      <c r="AD39" s="638">
        <f t="shared" si="140"/>
        <v>0.30562910085731199</v>
      </c>
      <c r="AE39" s="638">
        <f t="shared" si="141"/>
        <v>0.30017328331670345</v>
      </c>
      <c r="AF39" s="639">
        <f t="shared" si="142"/>
        <v>0.30871282381071929</v>
      </c>
      <c r="AG39" s="181"/>
      <c r="AH39" s="638">
        <f t="shared" si="143"/>
        <v>0.27389998047478858</v>
      </c>
      <c r="AI39" s="638">
        <f t="shared" si="144"/>
        <v>0.24867308328980298</v>
      </c>
      <c r="AJ39" s="638">
        <f t="shared" si="145"/>
        <v>0.22436776299978778</v>
      </c>
      <c r="AK39" s="638">
        <f t="shared" si="146"/>
        <v>0.20135945757194063</v>
      </c>
      <c r="AL39" s="639">
        <f t="shared" si="147"/>
        <v>0.2352160370179035</v>
      </c>
      <c r="AM39" s="181"/>
      <c r="AN39" s="638">
        <f t="shared" si="148"/>
        <v>0.19872743554934003</v>
      </c>
      <c r="AO39" s="638">
        <f t="shared" si="149"/>
        <v>0.19637978286203261</v>
      </c>
      <c r="AP39" s="638">
        <f t="shared" si="150"/>
        <v>0.19412270626244466</v>
      </c>
      <c r="AQ39" s="638">
        <f t="shared" si="151"/>
        <v>0.1923269255583453</v>
      </c>
      <c r="AR39" s="639">
        <f t="shared" si="152"/>
        <v>0.19527645070178568</v>
      </c>
    </row>
    <row r="40" spans="1:44" ht="12" customHeight="1" x14ac:dyDescent="0.2">
      <c r="A40" s="43"/>
      <c r="B40" s="799" t="str">
        <f>+B11</f>
        <v>Total Operating Expenses</v>
      </c>
      <c r="C40" s="800"/>
      <c r="D40" s="801"/>
      <c r="E40" s="801"/>
      <c r="F40" s="801"/>
      <c r="G40" s="801"/>
      <c r="H40" s="802"/>
      <c r="I40" s="800"/>
      <c r="J40" s="801">
        <f>IF(ISERROR(J11/D11-1),"NM",J11/D11-1)</f>
        <v>0.32275127701375239</v>
      </c>
      <c r="K40" s="801">
        <f>IF(ISERROR(K11/E11-1),"NM",K11/E11-1)</f>
        <v>0.35190037328094292</v>
      </c>
      <c r="L40" s="803">
        <v>0.28000000000000003</v>
      </c>
      <c r="M40" s="803">
        <v>0.2</v>
      </c>
      <c r="N40" s="802">
        <f>IF(ISERROR(N11/H11-1),"NM",N11/H11-1)</f>
        <v>0.28866291257367371</v>
      </c>
      <c r="O40" s="800"/>
      <c r="P40" s="803">
        <v>0.05</v>
      </c>
      <c r="Q40" s="803">
        <f>+P40</f>
        <v>0.05</v>
      </c>
      <c r="R40" s="803">
        <f>+Q40</f>
        <v>0.05</v>
      </c>
      <c r="S40" s="803">
        <f>+R40</f>
        <v>0.05</v>
      </c>
      <c r="T40" s="802">
        <f>IF(ISERROR(T11/N11-1),"NM",T11/N11-1)</f>
        <v>5.0000000000000044E-2</v>
      </c>
      <c r="U40" s="800"/>
      <c r="V40" s="840">
        <v>0.19551020408163255</v>
      </c>
      <c r="W40" s="840">
        <v>0.10975308641975312</v>
      </c>
      <c r="X40" s="840">
        <v>0.12085365853658536</v>
      </c>
      <c r="Y40" s="840">
        <v>0.10562130177514795</v>
      </c>
      <c r="Z40" s="802">
        <f>IF(ISERROR(Z11/T11-1),"NM",Z11/T11-1)</f>
        <v>0.13355409877900248</v>
      </c>
      <c r="AA40" s="800"/>
      <c r="AB40" s="840">
        <v>0.10287356321839103</v>
      </c>
      <c r="AC40" s="840">
        <v>0.10078651685393281</v>
      </c>
      <c r="AD40" s="840">
        <v>9.879120879120884E-2</v>
      </c>
      <c r="AE40" s="840">
        <v>9.7351351351351534E-2</v>
      </c>
      <c r="AF40" s="802">
        <f>IF(ISERROR(AF11/Z11-1),"NM",AF11/Z11-1)</f>
        <v>0.10008143156341198</v>
      </c>
      <c r="AG40" s="800"/>
      <c r="AH40" s="840">
        <v>9.50526315789475E-2</v>
      </c>
      <c r="AI40" s="840">
        <v>9.3298969072164839E-2</v>
      </c>
      <c r="AJ40" s="840">
        <v>9.1616161616161707E-2</v>
      </c>
      <c r="AK40" s="840">
        <v>9.0398009950248825E-2</v>
      </c>
      <c r="AL40" s="802">
        <f t="shared" si="147"/>
        <v>9.2705010073430572E-2</v>
      </c>
      <c r="AM40" s="800"/>
      <c r="AN40" s="840">
        <v>8.8446601941747582E-2</v>
      </c>
      <c r="AO40" s="840">
        <v>8.6952380952380892E-2</v>
      </c>
      <c r="AP40" s="840">
        <v>8.5514018691588811E-2</v>
      </c>
      <c r="AQ40" s="840">
        <v>8.4470046082949279E-2</v>
      </c>
      <c r="AR40" s="802">
        <f t="shared" si="152"/>
        <v>8.6445206532503871E-2</v>
      </c>
    </row>
    <row r="41" spans="1:44" ht="12" customHeight="1" x14ac:dyDescent="0.2">
      <c r="A41" s="43"/>
      <c r="B41" s="90" t="s">
        <v>148</v>
      </c>
      <c r="C41" s="181"/>
      <c r="D41" s="638"/>
      <c r="E41" s="638"/>
      <c r="F41" s="638"/>
      <c r="G41" s="638"/>
      <c r="H41" s="639"/>
      <c r="I41" s="181"/>
      <c r="J41" s="667">
        <f>IF(ISERROR(J20/D20-1),"NM",J20/D20-1)</f>
        <v>3.2261143457096075E-2</v>
      </c>
      <c r="K41" s="667">
        <f t="shared" ref="K41" si="153">IF(ISERROR(K20/E20-1),"NM",K20/E20-1)</f>
        <v>0.20170974964380139</v>
      </c>
      <c r="L41" s="667">
        <f t="shared" ref="L41" si="154">IF(ISERROR(L20/F20-1),"NM",L20/F20-1)</f>
        <v>-0.28505320134271372</v>
      </c>
      <c r="M41" s="667">
        <f t="shared" ref="M41" si="155">IF(ISERROR(M20/G20-1),"NM",M20/G20-1)</f>
        <v>-0.90375387004251173</v>
      </c>
      <c r="N41" s="665">
        <f t="shared" ref="N41" si="156">IF(ISERROR(N20/H20-1),"NM",N20/H20-1)</f>
        <v>-0.18690597239923656</v>
      </c>
      <c r="O41" s="667"/>
      <c r="P41" s="667">
        <f>IF(ISERROR(P20/J20-1),"NM",P20/J20-1)</f>
        <v>-0.92091636668850274</v>
      </c>
      <c r="Q41" s="667">
        <f t="shared" ref="Q41" si="157">IF(ISERROR(Q20/K20-1),"NM",Q20/K20-1)</f>
        <v>-1.1749629513390538</v>
      </c>
      <c r="R41" s="667">
        <f t="shared" ref="R41" si="158">IF(ISERROR(R20/L20-1),"NM",R20/L20-1)</f>
        <v>-1.8986232079382424</v>
      </c>
      <c r="S41" s="667">
        <f t="shared" ref="S41" si="159">IF(ISERROR(S20/M20-1),"NM",S20/M20-1)</f>
        <v>-15.003094455093091</v>
      </c>
      <c r="T41" s="665">
        <f t="shared" ref="T41" si="160">IF(ISERROR(T20/N20-1),"NM",T20/N20-1)</f>
        <v>-1.5784145857988647</v>
      </c>
      <c r="U41" s="667"/>
      <c r="V41" s="667">
        <f>IF(ISERROR(V20/P20-1),"NM",V20/P20-1)</f>
        <v>-5.1751019299948497</v>
      </c>
      <c r="W41" s="667">
        <f t="shared" ref="W41:Z41" si="161">IF(ISERROR(W20/Q20-1),"NM",W20/Q20-1)</f>
        <v>3.5234011202207505</v>
      </c>
      <c r="X41" s="667">
        <f t="shared" si="161"/>
        <v>1.6124551605472726</v>
      </c>
      <c r="Y41" s="667">
        <f t="shared" si="161"/>
        <v>1.0909412930160087</v>
      </c>
      <c r="Z41" s="665">
        <f t="shared" si="161"/>
        <v>1.8391500691899911</v>
      </c>
      <c r="AA41" s="667"/>
      <c r="AB41" s="667">
        <f>IF(ISERROR(AB20/V20-1),"NM",AB20/V20-1)</f>
        <v>3.0526529196013605</v>
      </c>
      <c r="AC41" s="667">
        <f t="shared" ref="AC41" si="162">IF(ISERROR(AC20/W20-1),"NM",AC20/W20-1)</f>
        <v>1.3478461181899051</v>
      </c>
      <c r="AD41" s="667">
        <f t="shared" ref="AD41" si="163">IF(ISERROR(AD20/X20-1),"NM",AD20/X20-1)</f>
        <v>0.94136059904690628</v>
      </c>
      <c r="AE41" s="667">
        <f t="shared" ref="AE41" si="164">IF(ISERROR(AE20/Y20-1),"NM",AE20/Y20-1)</f>
        <v>0.72028477302417904</v>
      </c>
      <c r="AF41" s="665">
        <f t="shared" ref="AF41" si="165">IF(ISERROR(AF20/Z20-1),"NM",AF20/Z20-1)</f>
        <v>1.0827512667269668</v>
      </c>
      <c r="AG41" s="667"/>
      <c r="AH41" s="667">
        <f t="shared" ref="AH41" si="166">IF(ISERROR(AH20/AB20-1),"NM",AH20/AB20-1)</f>
        <v>0.94588074538670885</v>
      </c>
      <c r="AI41" s="667">
        <f t="shared" ref="AI41" si="167">IF(ISERROR(AI20/AC20-1),"NM",AI20/AC20-1)</f>
        <v>0.62992824167505268</v>
      </c>
      <c r="AJ41" s="667">
        <f t="shared" ref="AJ41" si="168">IF(ISERROR(AJ20/AD20-1),"NM",AJ20/AD20-1)</f>
        <v>0.45904030669063989</v>
      </c>
      <c r="AK41" s="667">
        <f t="shared" ref="AK41" si="169">IF(ISERROR(AK20/AE20-1),"NM",AK20/AE20-1)</f>
        <v>0.33651545324804766</v>
      </c>
      <c r="AL41" s="665">
        <f t="shared" ref="AL41" si="170">IF(ISERROR(AL20/AF20-1),"NM",AL20/AF20-1)</f>
        <v>0.52677568443592349</v>
      </c>
      <c r="AM41" s="667"/>
      <c r="AN41" s="667">
        <f t="shared" ref="AN41" si="171">IF(ISERROR(AN20/AH20-1),"NM",AN20/AH20-1)</f>
        <v>0.41558606962113309</v>
      </c>
      <c r="AO41" s="667">
        <f t="shared" ref="AO41" si="172">IF(ISERROR(AO20/AI20-1),"NM",AO20/AI20-1)</f>
        <v>0.36034621718376236</v>
      </c>
      <c r="AP41" s="667">
        <f t="shared" ref="AP41" si="173">IF(ISERROR(AP20/AJ20-1),"NM",AP20/AJ20-1)</f>
        <v>0.325429910300846</v>
      </c>
      <c r="AQ41" s="667">
        <f t="shared" ref="AQ41" si="174">IF(ISERROR(AQ20/AK20-1),"NM",AQ20/AK20-1)</f>
        <v>0.29427130763016285</v>
      </c>
      <c r="AR41" s="665">
        <f t="shared" ref="AR41" si="175">IF(ISERROR(AR20/AL20-1),"NM",AR20/AL20-1)</f>
        <v>0.34007259652790633</v>
      </c>
    </row>
    <row r="42" spans="1:44" ht="12" customHeight="1" x14ac:dyDescent="0.2">
      <c r="A42" s="43"/>
      <c r="B42" s="90" t="s">
        <v>226</v>
      </c>
      <c r="C42" s="181"/>
      <c r="D42" s="638"/>
      <c r="E42" s="638"/>
      <c r="F42" s="638"/>
      <c r="G42" s="638"/>
      <c r="H42" s="643"/>
      <c r="I42" s="181"/>
      <c r="J42" s="667">
        <f>IF(ISERROR(J20/D20-1),"NM",J20/D20-1)</f>
        <v>3.2261143457096075E-2</v>
      </c>
      <c r="K42" s="667">
        <f>IF(ISERROR(K20/E20-1),"NM",K20/E20-1)</f>
        <v>0.20170974964380139</v>
      </c>
      <c r="L42" s="667">
        <f>IF(ISERROR(L20/F20-1),"NM",L20/F20-1)</f>
        <v>-0.28505320134271372</v>
      </c>
      <c r="M42" s="667">
        <f>IF(ISERROR(M20/G20-1),"NM",M20/G20-1)</f>
        <v>-0.90375387004251173</v>
      </c>
      <c r="N42" s="666">
        <f>IF(ISERROR(N20/H20-1),"NM",N20/H20-1)</f>
        <v>-0.18690597239923656</v>
      </c>
      <c r="O42" s="181"/>
      <c r="P42" s="667">
        <f>IF(ISERROR(P20/J20-1),"NM",P20/J20-1)</f>
        <v>-0.92091636668850274</v>
      </c>
      <c r="Q42" s="667">
        <f>IF(ISERROR(Q20/K20-1),"NM",Q20/K20-1)</f>
        <v>-1.1749629513390538</v>
      </c>
      <c r="R42" s="667">
        <f>IF(ISERROR(R20/L20-1),"NM",R20/L20-1)</f>
        <v>-1.8986232079382424</v>
      </c>
      <c r="S42" s="667">
        <f>IF(ISERROR(S20/M20-1),"NM",S20/M20-1)</f>
        <v>-15.003094455093091</v>
      </c>
      <c r="T42" s="666">
        <f>IF(ISERROR(T20/N20-1),"NM",T20/N20-1)</f>
        <v>-1.5784145857988647</v>
      </c>
      <c r="U42" s="667"/>
      <c r="V42" s="667">
        <f>IF(ISERROR(V20/P20-1),"NM",V20/P20-1)</f>
        <v>-5.1751019299948497</v>
      </c>
      <c r="W42" s="667">
        <f>IF(ISERROR(W20/Q20-1),"NM",W20/Q20-1)</f>
        <v>3.5234011202207505</v>
      </c>
      <c r="X42" s="667">
        <f>IF(ISERROR(X20/R20-1),"NM",X20/R20-1)</f>
        <v>1.6124551605472726</v>
      </c>
      <c r="Y42" s="667">
        <f>IF(ISERROR(Y20/S20-1),"NM",Y20/S20-1)</f>
        <v>1.0909412930160087</v>
      </c>
      <c r="Z42" s="666">
        <f>IF(ISERROR(Z20/T20-1),"NM",Z20/T20-1)</f>
        <v>1.8391500691899911</v>
      </c>
      <c r="AA42" s="667"/>
      <c r="AB42" s="667">
        <f>IF(ISERROR(AB20/V20-1),"NM",AB20/V20-1)</f>
        <v>3.0526529196013605</v>
      </c>
      <c r="AC42" s="667">
        <f>IF(ISERROR(AC20/W20-1),"NM",AC20/W20-1)</f>
        <v>1.3478461181899051</v>
      </c>
      <c r="AD42" s="667">
        <f>IF(ISERROR(AD20/X20-1),"NM",AD20/X20-1)</f>
        <v>0.94136059904690628</v>
      </c>
      <c r="AE42" s="667">
        <f>IF(ISERROR(AE20/Y20-1),"NM",AE20/Y20-1)</f>
        <v>0.72028477302417904</v>
      </c>
      <c r="AF42" s="666">
        <f>IF(ISERROR(AF20/Z20-1),"NM",AF20/Z20-1)</f>
        <v>1.0827512667269668</v>
      </c>
      <c r="AG42" s="667"/>
      <c r="AH42" s="667">
        <f t="shared" ref="AH42:AL42" si="176">IF(ISERROR(AH20/AB20-1),"NM",AH20/AB20-1)</f>
        <v>0.94588074538670885</v>
      </c>
      <c r="AI42" s="667">
        <f t="shared" si="176"/>
        <v>0.62992824167505268</v>
      </c>
      <c r="AJ42" s="667">
        <f t="shared" si="176"/>
        <v>0.45904030669063989</v>
      </c>
      <c r="AK42" s="667">
        <f t="shared" si="176"/>
        <v>0.33651545324804766</v>
      </c>
      <c r="AL42" s="666">
        <f t="shared" si="176"/>
        <v>0.52677568443592349</v>
      </c>
      <c r="AM42" s="667"/>
      <c r="AN42" s="667">
        <f t="shared" ref="AN42:AR42" si="177">IF(ISERROR(AN20/AH20-1),"NM",AN20/AH20-1)</f>
        <v>0.41558606962113309</v>
      </c>
      <c r="AO42" s="667">
        <f t="shared" si="177"/>
        <v>0.36034621718376236</v>
      </c>
      <c r="AP42" s="667">
        <f t="shared" si="177"/>
        <v>0.325429910300846</v>
      </c>
      <c r="AQ42" s="667">
        <f t="shared" si="177"/>
        <v>0.29427130763016285</v>
      </c>
      <c r="AR42" s="666">
        <f t="shared" si="177"/>
        <v>0.34007259652790633</v>
      </c>
    </row>
    <row r="43" spans="1:44" ht="12" customHeight="1" x14ac:dyDescent="0.2">
      <c r="A43" s="43"/>
    </row>
    <row r="44" spans="1:44" ht="12" customHeight="1" x14ac:dyDescent="0.2">
      <c r="A44" s="43"/>
    </row>
    <row r="45" spans="1:44" ht="12" customHeight="1" x14ac:dyDescent="0.2"/>
    <row r="46" spans="1:44" ht="12" customHeight="1" x14ac:dyDescent="0.2"/>
    <row r="47" spans="1:44" ht="12" customHeight="1" x14ac:dyDescent="0.2"/>
    <row r="48" spans="1:44" ht="12" customHeight="1" x14ac:dyDescent="0.2">
      <c r="A48" s="43"/>
    </row>
    <row r="49" spans="1:44" s="73" customFormat="1" x14ac:dyDescent="0.2">
      <c r="A49" s="43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 s="73" customFormat="1" x14ac:dyDescent="0.2">
      <c r="A50" s="43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 s="73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 s="73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 s="73" customForma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65" spans="1:1" x14ac:dyDescent="0.2">
      <c r="A65" s="43"/>
    </row>
    <row r="66" spans="1:1" x14ac:dyDescent="0.2">
      <c r="A66" s="43"/>
    </row>
  </sheetData>
  <mergeCells count="7">
    <mergeCell ref="D5:H5"/>
    <mergeCell ref="AB5:AF5"/>
    <mergeCell ref="AH5:AL5"/>
    <mergeCell ref="AN5:AR5"/>
    <mergeCell ref="J5:N5"/>
    <mergeCell ref="P5:T5"/>
    <mergeCell ref="V5:Z5"/>
  </mergeCells>
  <pageMargins left="0.7" right="0.7" top="0.75" bottom="0.75" header="0.3" footer="0.3"/>
  <pageSetup orientation="portrait" r:id="rId1"/>
  <ignoredErrors>
    <ignoredError sqref="L6 P11:Q11 T11:AR1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89377" r:id="rId4" name="Drop Down 1">
              <controlPr defaultSize="0" autoLine="0" autoPict="0">
                <anchor moveWithCells="1">
                  <from>
                    <xdr:col>1</xdr:col>
                    <xdr:colOff>304800</xdr:colOff>
                    <xdr:row>4</xdr:row>
                    <xdr:rowOff>66675</xdr:rowOff>
                  </from>
                  <to>
                    <xdr:col>1</xdr:col>
                    <xdr:colOff>609600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42"/>
    <pageSetUpPr fitToPage="1"/>
  </sheetPr>
  <dimension ref="A1:DG193"/>
  <sheetViews>
    <sheetView showGridLines="0" zoomScaleNormal="100" zoomScaleSheetLayoutView="85" workbookViewId="0">
      <pane xSplit="2" ySplit="6" topLeftCell="BI7" activePane="bottomRight" state="frozen"/>
      <selection activeCell="BE34" sqref="BE34"/>
      <selection pane="topRight" activeCell="BE34" sqref="BE34"/>
      <selection pane="bottomLeft" activeCell="BE34" sqref="BE34"/>
      <selection pane="bottomRight" sqref="A1:XFD1048576"/>
    </sheetView>
  </sheetViews>
  <sheetFormatPr defaultRowHeight="12.75" outlineLevelRow="1" outlineLevelCol="1" x14ac:dyDescent="0.2"/>
  <cols>
    <col min="1" max="1" width="29.5703125" customWidth="1"/>
    <col min="2" max="2" width="1.42578125" hidden="1" customWidth="1" outlineLevel="1"/>
    <col min="3" max="6" width="6.5703125" hidden="1" customWidth="1" outlineLevel="1"/>
    <col min="7" max="7" width="6.5703125" hidden="1" customWidth="1" outlineLevel="1" collapsed="1"/>
    <col min="8" max="8" width="1.42578125" hidden="1" customWidth="1" outlineLevel="1"/>
    <col min="9" max="12" width="6.5703125" hidden="1" customWidth="1" outlineLevel="1"/>
    <col min="13" max="13" width="6.5703125" hidden="1" customWidth="1" outlineLevel="1" collapsed="1"/>
    <col min="14" max="14" width="1.42578125" hidden="1" customWidth="1" outlineLevel="1"/>
    <col min="15" max="19" width="6.5703125" hidden="1" customWidth="1" outlineLevel="1"/>
    <col min="20" max="20" width="1.42578125" hidden="1" customWidth="1" outlineLevel="1"/>
    <col min="21" max="25" width="6.5703125" hidden="1" customWidth="1" outlineLevel="1"/>
    <col min="26" max="26" width="1.42578125" hidden="1" customWidth="1" outlineLevel="1"/>
    <col min="27" max="30" width="6.5703125" hidden="1" customWidth="1" outlineLevel="1"/>
    <col min="31" max="31" width="6.5703125" hidden="1" customWidth="1" outlineLevel="1" collapsed="1"/>
    <col min="32" max="32" width="1.42578125" hidden="1" customWidth="1" outlineLevel="1"/>
    <col min="33" max="36" width="6.5703125" hidden="1" customWidth="1" outlineLevel="1"/>
    <col min="37" max="37" width="6.5703125" customWidth="1" collapsed="1"/>
    <col min="38" max="38" width="1.42578125" customWidth="1"/>
    <col min="39" max="42" width="6.5703125" hidden="1" customWidth="1" outlineLevel="1"/>
    <col min="43" max="43" width="6.5703125" customWidth="1" collapsed="1"/>
    <col min="44" max="44" width="1.42578125" customWidth="1"/>
    <col min="45" max="48" width="6.5703125" hidden="1" customWidth="1" outlineLevel="1"/>
    <col min="49" max="49" width="6.5703125" customWidth="1" collapsed="1"/>
    <col min="50" max="50" width="1.42578125" customWidth="1"/>
    <col min="51" max="54" width="6.5703125" hidden="1" customWidth="1" outlineLevel="1"/>
    <col min="55" max="55" width="6.5703125" customWidth="1" collapsed="1"/>
    <col min="56" max="56" width="1.42578125" customWidth="1"/>
    <col min="57" max="60" width="6.5703125" hidden="1" customWidth="1" outlineLevel="1"/>
    <col min="61" max="61" width="6.5703125" customWidth="1" collapsed="1"/>
    <col min="62" max="62" width="1.42578125" customWidth="1"/>
    <col min="63" max="66" width="6.5703125" hidden="1" customWidth="1" outlineLevel="1"/>
    <col min="67" max="67" width="6.5703125" customWidth="1" collapsed="1"/>
    <col min="68" max="68" width="1.42578125" customWidth="1"/>
    <col min="69" max="72" width="6.5703125" customWidth="1" outlineLevel="1"/>
    <col min="73" max="73" width="6.5703125" customWidth="1"/>
    <col min="74" max="74" width="1.42578125" customWidth="1"/>
    <col min="75" max="78" width="6.5703125" customWidth="1" outlineLevel="1"/>
    <col min="79" max="79" width="6.5703125" customWidth="1"/>
    <col min="80" max="80" width="1.42578125" customWidth="1"/>
    <col min="81" max="84" width="6.5703125" customWidth="1" outlineLevel="1"/>
    <col min="85" max="85" width="6.5703125" customWidth="1"/>
    <col min="86" max="86" width="1.42578125" customWidth="1"/>
    <col min="87" max="90" width="6.5703125" customWidth="1" outlineLevel="1"/>
    <col min="91" max="91" width="6.5703125" customWidth="1"/>
    <col min="92" max="92" width="1.42578125" customWidth="1"/>
    <col min="93" max="96" width="6.5703125" customWidth="1" outlineLevel="1"/>
    <col min="97" max="97" width="6.5703125" customWidth="1"/>
    <col min="98" max="100" width="7" customWidth="1"/>
    <col min="105" max="105" width="30.5703125" hidden="1" customWidth="1" outlineLevel="1"/>
    <col min="106" max="106" width="7.140625" hidden="1" customWidth="1" outlineLevel="1"/>
    <col min="107" max="110" width="9.140625" hidden="1" customWidth="1" outlineLevel="1"/>
    <col min="111" max="111" width="9.140625" collapsed="1"/>
  </cols>
  <sheetData>
    <row r="1" spans="1:104" x14ac:dyDescent="0.2">
      <c r="A1" s="242" t="s">
        <v>237</v>
      </c>
      <c r="B1" s="59"/>
      <c r="H1" s="59"/>
      <c r="N1" s="59"/>
      <c r="T1" s="59"/>
      <c r="Z1" s="59"/>
      <c r="AF1" s="59"/>
      <c r="AL1" s="59"/>
      <c r="AR1" s="59"/>
      <c r="AX1" s="59"/>
      <c r="BD1" s="59"/>
      <c r="BJ1" s="59"/>
      <c r="BP1" s="59"/>
      <c r="BV1" s="59"/>
      <c r="CB1" s="59"/>
      <c r="CH1" s="59"/>
      <c r="CN1" s="59"/>
      <c r="CY1" s="43"/>
      <c r="CZ1" s="43"/>
    </row>
    <row r="2" spans="1:104" x14ac:dyDescent="0.2">
      <c r="A2" s="7" t="s">
        <v>49</v>
      </c>
      <c r="B2" s="59"/>
      <c r="G2" s="73"/>
      <c r="H2" s="59"/>
      <c r="I2" s="73"/>
      <c r="J2" s="73"/>
      <c r="K2" s="73"/>
      <c r="L2" s="73"/>
      <c r="M2" s="73"/>
      <c r="N2" s="59"/>
      <c r="O2" s="73"/>
      <c r="T2" s="59"/>
      <c r="U2" s="73"/>
      <c r="Z2" s="59"/>
      <c r="AF2" s="59"/>
      <c r="AL2" s="59"/>
      <c r="AR2" s="59"/>
      <c r="AX2" s="59"/>
      <c r="BD2" s="59"/>
      <c r="BF2" s="504"/>
      <c r="BJ2" s="59"/>
      <c r="BP2" s="59"/>
      <c r="BV2" s="59"/>
      <c r="CB2" s="59"/>
      <c r="CH2" s="59"/>
      <c r="CN2" s="59"/>
      <c r="CY2" s="43"/>
      <c r="CZ2" s="43"/>
    </row>
    <row r="3" spans="1:104" x14ac:dyDescent="0.2">
      <c r="A3" s="8" t="s">
        <v>115</v>
      </c>
      <c r="B3" s="1"/>
      <c r="G3" s="328"/>
      <c r="H3" s="1"/>
      <c r="I3" s="73"/>
      <c r="J3" s="73"/>
      <c r="K3" s="73"/>
      <c r="L3" s="73"/>
      <c r="M3" s="328"/>
      <c r="N3" s="1"/>
      <c r="O3" s="73"/>
      <c r="S3" s="323"/>
      <c r="T3" s="1"/>
      <c r="U3" s="73"/>
      <c r="Y3" s="323"/>
      <c r="Z3" s="1"/>
      <c r="AA3" s="323"/>
      <c r="AB3" s="323"/>
      <c r="AC3" s="323"/>
      <c r="AD3" s="323"/>
      <c r="AE3" s="323"/>
      <c r="AF3" s="1"/>
      <c r="AK3" s="323"/>
      <c r="AL3" s="1"/>
      <c r="AQ3" s="323"/>
      <c r="AR3" s="1"/>
      <c r="AW3" s="323"/>
      <c r="AX3" s="1"/>
      <c r="BC3" s="323"/>
      <c r="BD3" s="1"/>
      <c r="BE3" s="310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48"/>
      <c r="CB3" s="348"/>
      <c r="CC3" s="348"/>
      <c r="CD3" s="348"/>
      <c r="CE3" s="348"/>
      <c r="CF3" s="348"/>
      <c r="CG3" s="348"/>
      <c r="CH3" s="348"/>
      <c r="CI3" s="348"/>
      <c r="CJ3" s="348"/>
      <c r="CK3" s="348"/>
      <c r="CL3" s="348"/>
      <c r="CM3" s="348"/>
      <c r="CN3" s="348"/>
      <c r="CO3" s="348"/>
      <c r="CP3" s="348"/>
      <c r="CQ3" s="348"/>
      <c r="CR3" s="348"/>
      <c r="CS3" s="348"/>
      <c r="CT3" s="323"/>
      <c r="CU3" s="323"/>
      <c r="CV3" s="323"/>
      <c r="CY3" s="43"/>
      <c r="CZ3" s="43"/>
    </row>
    <row r="4" spans="1:104" x14ac:dyDescent="0.2">
      <c r="A4" s="9" t="s">
        <v>236</v>
      </c>
      <c r="B4" s="1"/>
      <c r="G4" s="323"/>
      <c r="H4" s="1"/>
      <c r="M4" s="323"/>
      <c r="N4" s="1"/>
      <c r="S4" s="323"/>
      <c r="T4" s="1"/>
      <c r="Y4" s="323"/>
      <c r="Z4" s="1"/>
      <c r="AA4" s="323"/>
      <c r="AB4" s="323"/>
      <c r="AC4" s="323"/>
      <c r="AD4" s="323"/>
      <c r="AE4" s="323"/>
      <c r="AF4" s="1"/>
      <c r="AK4" s="323"/>
      <c r="AL4" s="1"/>
      <c r="AQ4" s="323"/>
      <c r="AR4" s="1"/>
      <c r="AW4" s="323"/>
      <c r="AX4" s="1"/>
      <c r="BC4" s="323"/>
      <c r="BD4" s="1"/>
      <c r="BI4" s="323"/>
      <c r="BJ4" s="1"/>
      <c r="BO4" s="323"/>
      <c r="BP4" s="1"/>
      <c r="BU4" s="323"/>
      <c r="BV4" s="1"/>
      <c r="CA4" s="323"/>
      <c r="CB4" s="1"/>
      <c r="CG4" s="323"/>
      <c r="CH4" s="1"/>
      <c r="CM4" s="323"/>
      <c r="CN4" s="1"/>
      <c r="CS4" s="323"/>
      <c r="CT4" s="323"/>
      <c r="CU4" s="323"/>
      <c r="CV4" s="323"/>
      <c r="CY4" s="43"/>
      <c r="CZ4" s="43"/>
    </row>
    <row r="5" spans="1:104" ht="13.5" thickBot="1" x14ac:dyDescent="0.25">
      <c r="A5" s="323"/>
      <c r="B5" s="1"/>
      <c r="C5" s="914" t="s">
        <v>103</v>
      </c>
      <c r="D5" s="914"/>
      <c r="E5" s="914"/>
      <c r="F5" s="914"/>
      <c r="G5" s="914"/>
      <c r="H5" s="1"/>
      <c r="I5" s="914" t="s">
        <v>104</v>
      </c>
      <c r="J5" s="914"/>
      <c r="K5" s="914"/>
      <c r="L5" s="914"/>
      <c r="M5" s="914"/>
      <c r="N5" s="1"/>
      <c r="O5" s="914" t="s">
        <v>105</v>
      </c>
      <c r="P5" s="914"/>
      <c r="Q5" s="914"/>
      <c r="R5" s="914"/>
      <c r="S5" s="914"/>
      <c r="T5" s="1"/>
      <c r="U5" s="914" t="s">
        <v>185</v>
      </c>
      <c r="V5" s="914"/>
      <c r="W5" s="914"/>
      <c r="X5" s="914"/>
      <c r="Y5" s="914"/>
      <c r="Z5" s="1"/>
      <c r="AA5" s="913" t="s">
        <v>151</v>
      </c>
      <c r="AB5" s="913"/>
      <c r="AC5" s="913"/>
      <c r="AD5" s="913"/>
      <c r="AE5" s="913"/>
      <c r="AF5" s="1"/>
      <c r="AG5" s="913" t="str">
        <f>+'P&amp;L'!AG5</f>
        <v>2012A</v>
      </c>
      <c r="AH5" s="913"/>
      <c r="AI5" s="913"/>
      <c r="AJ5" s="913"/>
      <c r="AK5" s="913"/>
      <c r="AL5" s="1"/>
      <c r="AM5" s="913" t="str">
        <f>+'P&amp;L'!AM5</f>
        <v>2013A</v>
      </c>
      <c r="AN5" s="913"/>
      <c r="AO5" s="913"/>
      <c r="AP5" s="913"/>
      <c r="AQ5" s="913"/>
      <c r="AR5" s="1"/>
      <c r="AS5" s="913" t="str">
        <f>+'P&amp;L'!AS5</f>
        <v>2014A</v>
      </c>
      <c r="AT5" s="913"/>
      <c r="AU5" s="913"/>
      <c r="AV5" s="913"/>
      <c r="AW5" s="913"/>
      <c r="AX5" s="1"/>
      <c r="AY5" s="913" t="str">
        <f>+'P&amp;L'!AY5</f>
        <v>2015A</v>
      </c>
      <c r="AZ5" s="913"/>
      <c r="BA5" s="913"/>
      <c r="BB5" s="913"/>
      <c r="BC5" s="913"/>
      <c r="BD5" s="1"/>
      <c r="BE5" s="913" t="str">
        <f>+'P&amp;L'!BE5</f>
        <v>2016A</v>
      </c>
      <c r="BF5" s="913"/>
      <c r="BG5" s="913"/>
      <c r="BH5" s="913"/>
      <c r="BI5" s="913"/>
      <c r="BJ5" s="1"/>
      <c r="BK5" s="913" t="str">
        <f>+'P&amp;L'!BK5</f>
        <v>2017A</v>
      </c>
      <c r="BL5" s="913"/>
      <c r="BM5" s="913"/>
      <c r="BN5" s="913"/>
      <c r="BO5" s="913"/>
      <c r="BP5" s="1"/>
      <c r="BQ5" s="913" t="str">
        <f>+'P&amp;L'!BQ5</f>
        <v>2018E</v>
      </c>
      <c r="BR5" s="913"/>
      <c r="BS5" s="913"/>
      <c r="BT5" s="913"/>
      <c r="BU5" s="913"/>
      <c r="BV5" s="1"/>
      <c r="BW5" s="913" t="str">
        <f>+'P&amp;L'!BW5</f>
        <v>2019E</v>
      </c>
      <c r="BX5" s="913"/>
      <c r="BY5" s="913"/>
      <c r="BZ5" s="913"/>
      <c r="CA5" s="913"/>
      <c r="CB5" s="1"/>
      <c r="CC5" s="913" t="str">
        <f>+'P&amp;L'!CC5</f>
        <v>2020E</v>
      </c>
      <c r="CD5" s="913"/>
      <c r="CE5" s="913"/>
      <c r="CF5" s="913"/>
      <c r="CG5" s="913"/>
      <c r="CH5" s="1"/>
      <c r="CI5" s="913" t="str">
        <f>+'P&amp;L'!CI5</f>
        <v>2021E</v>
      </c>
      <c r="CJ5" s="913"/>
      <c r="CK5" s="913"/>
      <c r="CL5" s="913"/>
      <c r="CM5" s="913"/>
      <c r="CN5" s="1"/>
      <c r="CO5" s="913" t="str">
        <f>+'P&amp;L'!CO5</f>
        <v>2022E</v>
      </c>
      <c r="CP5" s="913"/>
      <c r="CQ5" s="913"/>
      <c r="CR5" s="913"/>
      <c r="CS5" s="913"/>
      <c r="CT5" s="52"/>
      <c r="CU5" s="52"/>
      <c r="CV5" s="52"/>
      <c r="CY5" s="43"/>
      <c r="CZ5" s="43"/>
    </row>
    <row r="6" spans="1:104" x14ac:dyDescent="0.2">
      <c r="A6" s="323"/>
      <c r="B6" s="3"/>
      <c r="C6" s="2">
        <f>+'P&amp;L'!C6</f>
        <v>38990</v>
      </c>
      <c r="D6" s="2">
        <f>+'P&amp;L'!D6</f>
        <v>39082</v>
      </c>
      <c r="E6" s="2">
        <f>+'P&amp;L'!E6</f>
        <v>39172</v>
      </c>
      <c r="F6" s="2">
        <f>+'P&amp;L'!F6</f>
        <v>39263</v>
      </c>
      <c r="G6" s="128" t="str">
        <f>+'P&amp;L'!G6</f>
        <v>2007A</v>
      </c>
      <c r="H6" s="3"/>
      <c r="I6" s="2">
        <f>+'P&amp;L'!I6</f>
        <v>39355</v>
      </c>
      <c r="J6" s="2">
        <f>+'P&amp;L'!J6</f>
        <v>39447</v>
      </c>
      <c r="K6" s="2">
        <f>+'P&amp;L'!K6</f>
        <v>39538</v>
      </c>
      <c r="L6" s="2">
        <f>+'P&amp;L'!L6</f>
        <v>39629</v>
      </c>
      <c r="M6" s="128" t="str">
        <f>+'P&amp;L'!M6</f>
        <v>2008A</v>
      </c>
      <c r="N6" s="3"/>
      <c r="O6" s="2">
        <f>+'P&amp;L'!O6</f>
        <v>39721</v>
      </c>
      <c r="P6" s="2">
        <f>+'P&amp;L'!P6</f>
        <v>39813</v>
      </c>
      <c r="Q6" s="2">
        <f>+'P&amp;L'!Q6</f>
        <v>39903</v>
      </c>
      <c r="R6" s="2">
        <f>+'P&amp;L'!R6</f>
        <v>39994</v>
      </c>
      <c r="S6" s="128" t="str">
        <f>+'P&amp;L'!S6</f>
        <v>2009A</v>
      </c>
      <c r="T6" s="3"/>
      <c r="U6" s="2">
        <f>+'P&amp;L'!U6</f>
        <v>40086</v>
      </c>
      <c r="V6" s="2">
        <f>+'P&amp;L'!V6</f>
        <v>40178</v>
      </c>
      <c r="W6" s="2">
        <f>+'P&amp;L'!W6</f>
        <v>40268</v>
      </c>
      <c r="X6" s="2">
        <f>+'P&amp;L'!X6</f>
        <v>40359</v>
      </c>
      <c r="Y6" s="128" t="str">
        <f>+'P&amp;L'!Y6</f>
        <v>2010A</v>
      </c>
      <c r="Z6" s="3"/>
      <c r="AA6" s="2">
        <f>+'P&amp;L'!AA6</f>
        <v>40451</v>
      </c>
      <c r="AB6" s="2">
        <f>+'P&amp;L'!AB6</f>
        <v>40543</v>
      </c>
      <c r="AC6" s="2">
        <f>+'P&amp;L'!AC6</f>
        <v>40633</v>
      </c>
      <c r="AD6" s="2">
        <f>+'P&amp;L'!AD6</f>
        <v>40724</v>
      </c>
      <c r="AE6" s="232" t="str">
        <f>+'P&amp;L'!AE6</f>
        <v>2011A</v>
      </c>
      <c r="AF6" s="3"/>
      <c r="AG6" s="2">
        <f>+'P&amp;L'!AG6</f>
        <v>40816</v>
      </c>
      <c r="AH6" s="2">
        <f>+'P&amp;L'!AH6</f>
        <v>40908</v>
      </c>
      <c r="AI6" s="2">
        <f>+'P&amp;L'!AI6</f>
        <v>40999</v>
      </c>
      <c r="AJ6" s="2">
        <f>+'P&amp;L'!AJ6</f>
        <v>41090</v>
      </c>
      <c r="AK6" s="232" t="str">
        <f>+'P&amp;L'!AK6</f>
        <v>2012A</v>
      </c>
      <c r="AL6" s="3"/>
      <c r="AM6" s="2">
        <f>+'P&amp;L'!AM6</f>
        <v>41182</v>
      </c>
      <c r="AN6" s="2">
        <f>+'P&amp;L'!AN6</f>
        <v>41274</v>
      </c>
      <c r="AO6" s="2">
        <f>+'P&amp;L'!AO6</f>
        <v>41364</v>
      </c>
      <c r="AP6" s="2">
        <f>+'P&amp;L'!AP6</f>
        <v>41455</v>
      </c>
      <c r="AQ6" s="232" t="str">
        <f>+'P&amp;L'!AQ6</f>
        <v>2013A</v>
      </c>
      <c r="AR6" s="3"/>
      <c r="AS6" s="2">
        <f>+'P&amp;L'!AS6</f>
        <v>41547.25</v>
      </c>
      <c r="AT6" s="2">
        <f>+'P&amp;L'!AT6</f>
        <v>41639.25</v>
      </c>
      <c r="AU6" s="2">
        <f>+'P&amp;L'!AU6</f>
        <v>41729.25</v>
      </c>
      <c r="AV6" s="2">
        <f>+'P&amp;L'!AV6</f>
        <v>41820.25</v>
      </c>
      <c r="AW6" s="232" t="str">
        <f>+'P&amp;L'!AW6</f>
        <v>2014A</v>
      </c>
      <c r="AX6" s="3"/>
      <c r="AY6" s="2">
        <f>+'P&amp;L'!AY6</f>
        <v>41912.5</v>
      </c>
      <c r="AZ6" s="2">
        <f>+'P&amp;L'!AZ6</f>
        <v>42004.5</v>
      </c>
      <c r="BA6" s="2">
        <f>+'P&amp;L'!BA6</f>
        <v>42094.5</v>
      </c>
      <c r="BB6" s="2">
        <f>+'P&amp;L'!BB6</f>
        <v>42185.5</v>
      </c>
      <c r="BC6" s="232" t="str">
        <f>+'P&amp;L'!BC6</f>
        <v>2015A</v>
      </c>
      <c r="BD6" s="3"/>
      <c r="BE6" s="2">
        <f>+'P&amp;L'!BE6</f>
        <v>42277.75</v>
      </c>
      <c r="BF6" s="2">
        <f>+'P&amp;L'!BF6</f>
        <v>42369.75</v>
      </c>
      <c r="BG6" s="2">
        <f>+'P&amp;L'!BG6</f>
        <v>42459.75</v>
      </c>
      <c r="BH6" s="2">
        <f>+'P&amp;L'!BH6</f>
        <v>42550.75</v>
      </c>
      <c r="BI6" s="232" t="str">
        <f>+'P&amp;L'!BI6</f>
        <v>2016A</v>
      </c>
      <c r="BJ6" s="3"/>
      <c r="BK6" s="2">
        <f>+'P&amp;L'!BK6</f>
        <v>42643</v>
      </c>
      <c r="BL6" s="2">
        <f>+'P&amp;L'!BL6</f>
        <v>42735</v>
      </c>
      <c r="BM6" s="2">
        <f>+'P&amp;L'!BM6</f>
        <v>42825</v>
      </c>
      <c r="BN6" s="2">
        <f>+'P&amp;L'!BN6</f>
        <v>42916</v>
      </c>
      <c r="BO6" s="232" t="str">
        <f>+'P&amp;L'!BO6</f>
        <v>2017A</v>
      </c>
      <c r="BP6" s="3"/>
      <c r="BQ6" s="2">
        <f>+'P&amp;L'!BQ6</f>
        <v>43008.25</v>
      </c>
      <c r="BR6" s="2">
        <f>+'P&amp;L'!BR6</f>
        <v>43100.25</v>
      </c>
      <c r="BS6" s="231">
        <f>+'P&amp;L'!BS6</f>
        <v>43190.25</v>
      </c>
      <c r="BT6" s="231">
        <f>+'P&amp;L'!BT6</f>
        <v>43281.25</v>
      </c>
      <c r="BU6" s="232" t="str">
        <f>+'P&amp;L'!BU6</f>
        <v>2018E</v>
      </c>
      <c r="BV6" s="3"/>
      <c r="BW6" s="231">
        <f>+'P&amp;L'!BW6</f>
        <v>43373.5</v>
      </c>
      <c r="BX6" s="231">
        <f>+'P&amp;L'!BX6</f>
        <v>43465.5</v>
      </c>
      <c r="BY6" s="231">
        <f>+'P&amp;L'!BY6</f>
        <v>43555.5</v>
      </c>
      <c r="BZ6" s="231">
        <f>+'P&amp;L'!BZ6</f>
        <v>43646.5</v>
      </c>
      <c r="CA6" s="232" t="str">
        <f>+'P&amp;L'!CA6</f>
        <v>2019E</v>
      </c>
      <c r="CB6" s="3"/>
      <c r="CC6" s="231">
        <f>+'P&amp;L'!CC6</f>
        <v>43738.75</v>
      </c>
      <c r="CD6" s="231">
        <f>+'P&amp;L'!CD6</f>
        <v>43830.75</v>
      </c>
      <c r="CE6" s="231">
        <f>+'P&amp;L'!CE6</f>
        <v>43920.75</v>
      </c>
      <c r="CF6" s="231">
        <f>+'P&amp;L'!CF6</f>
        <v>44011.75</v>
      </c>
      <c r="CG6" s="232" t="str">
        <f>+'P&amp;L'!CG6</f>
        <v>2020E</v>
      </c>
      <c r="CH6" s="3"/>
      <c r="CI6" s="231">
        <f>+'P&amp;L'!CI6</f>
        <v>44104</v>
      </c>
      <c r="CJ6" s="231">
        <f>+'P&amp;L'!CJ6</f>
        <v>44196</v>
      </c>
      <c r="CK6" s="231">
        <f>+'P&amp;L'!CK6</f>
        <v>44286</v>
      </c>
      <c r="CL6" s="231">
        <f>+'P&amp;L'!CL6</f>
        <v>44377</v>
      </c>
      <c r="CM6" s="232" t="str">
        <f>+'P&amp;L'!CM6</f>
        <v>2021E</v>
      </c>
      <c r="CN6" s="3"/>
      <c r="CO6" s="231">
        <f>+'P&amp;L'!CO6</f>
        <v>44469.25</v>
      </c>
      <c r="CP6" s="231">
        <f>+'P&amp;L'!CP6</f>
        <v>44561.25</v>
      </c>
      <c r="CQ6" s="231">
        <f>+'P&amp;L'!CQ6</f>
        <v>44651.25</v>
      </c>
      <c r="CR6" s="231">
        <f>+'P&amp;L'!CR6</f>
        <v>44742.25</v>
      </c>
      <c r="CS6" s="232" t="str">
        <f>+'P&amp;L'!CS6</f>
        <v>2022E</v>
      </c>
      <c r="CT6" s="169"/>
      <c r="CU6" s="169"/>
      <c r="CV6" s="169"/>
      <c r="CY6" s="43"/>
      <c r="CZ6" s="43"/>
    </row>
    <row r="7" spans="1:104" x14ac:dyDescent="0.2">
      <c r="A7" s="5" t="s">
        <v>106</v>
      </c>
      <c r="B7" s="3"/>
      <c r="G7" s="323"/>
      <c r="H7" s="3"/>
      <c r="M7" s="323"/>
      <c r="N7" s="3"/>
      <c r="S7" s="323"/>
      <c r="T7" s="3"/>
      <c r="Y7" s="323"/>
      <c r="Z7" s="3"/>
      <c r="AA7" s="56"/>
      <c r="AB7" s="56"/>
      <c r="AC7" s="56"/>
      <c r="AD7" s="56"/>
      <c r="AE7" s="56"/>
      <c r="AF7" s="3"/>
      <c r="AG7" s="56"/>
      <c r="AH7" s="56"/>
      <c r="AI7" s="56"/>
      <c r="AJ7" s="56"/>
      <c r="AK7" s="56"/>
      <c r="AL7" s="3"/>
      <c r="AM7" s="56"/>
      <c r="AN7" s="56"/>
      <c r="AO7" s="56"/>
      <c r="AP7" s="56"/>
      <c r="AQ7" s="56"/>
      <c r="AR7" s="3"/>
      <c r="AS7" s="56"/>
      <c r="AT7" s="56"/>
      <c r="AU7" s="56"/>
      <c r="AV7" s="56"/>
      <c r="AW7" s="56"/>
      <c r="AX7" s="3"/>
      <c r="AY7" s="56"/>
      <c r="AZ7" s="56"/>
      <c r="BA7" s="56"/>
      <c r="BB7" s="56"/>
      <c r="BC7" s="56"/>
      <c r="BD7" s="3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6"/>
      <c r="CS7" s="56"/>
      <c r="CT7" s="56"/>
      <c r="CU7" s="56"/>
      <c r="CV7" s="56"/>
      <c r="CY7" s="43"/>
      <c r="CZ7" s="43"/>
    </row>
    <row r="8" spans="1:104" x14ac:dyDescent="0.2">
      <c r="A8" s="1" t="s">
        <v>241</v>
      </c>
      <c r="B8" s="4"/>
      <c r="C8" s="374">
        <v>88.625</v>
      </c>
      <c r="D8" s="374">
        <v>85.867999999999995</v>
      </c>
      <c r="E8" s="174">
        <v>194.87100000000001</v>
      </c>
      <c r="F8" s="174">
        <v>143.43199999999999</v>
      </c>
      <c r="G8" s="255">
        <f t="shared" ref="G8:G13" si="0">F8</f>
        <v>143.43199999999999</v>
      </c>
      <c r="H8" s="4"/>
      <c r="I8" s="374">
        <v>107.21599999999999</v>
      </c>
      <c r="J8" s="374">
        <v>114.575</v>
      </c>
      <c r="K8" s="174">
        <v>142.392</v>
      </c>
      <c r="L8" s="174">
        <v>237.73400000000001</v>
      </c>
      <c r="M8" s="255">
        <f t="shared" ref="M8:M13" si="1">L8</f>
        <v>237.73400000000001</v>
      </c>
      <c r="N8" s="4"/>
      <c r="O8" s="374">
        <v>230.233</v>
      </c>
      <c r="P8" s="374">
        <v>178.98500000000001</v>
      </c>
      <c r="Q8" s="174">
        <v>200.685</v>
      </c>
      <c r="R8" s="174">
        <v>63.51</v>
      </c>
      <c r="S8" s="255">
        <f t="shared" ref="S8:S13" si="2">R8</f>
        <v>63.51</v>
      </c>
      <c r="T8" s="4"/>
      <c r="U8" s="374">
        <v>91.195999999999998</v>
      </c>
      <c r="V8" s="374">
        <v>60.430999999999997</v>
      </c>
      <c r="W8" s="174">
        <v>102.149</v>
      </c>
      <c r="X8" s="174">
        <v>92.84</v>
      </c>
      <c r="Y8" s="255">
        <f t="shared" ref="Y8:Y13" si="3">X8</f>
        <v>92.84</v>
      </c>
      <c r="Z8" s="4"/>
      <c r="AA8" s="374">
        <v>123.30500000000001</v>
      </c>
      <c r="AB8" s="374">
        <v>67.668999999999997</v>
      </c>
      <c r="AC8" s="174">
        <v>67.378</v>
      </c>
      <c r="AD8" s="174">
        <v>52.680999999999997</v>
      </c>
      <c r="AE8" s="255">
        <f t="shared" ref="AE8:AE14" si="4">AD8</f>
        <v>52.680999999999997</v>
      </c>
      <c r="AF8" s="52"/>
      <c r="AG8" s="374">
        <v>62.676000000000002</v>
      </c>
      <c r="AH8" s="374">
        <v>108.848</v>
      </c>
      <c r="AI8" s="174">
        <v>104.852</v>
      </c>
      <c r="AJ8" s="174">
        <v>86.352000000000004</v>
      </c>
      <c r="AK8" s="255">
        <f t="shared" ref="AK8:AK14" si="5">AJ8</f>
        <v>86.352000000000004</v>
      </c>
      <c r="AL8" s="52"/>
      <c r="AM8" s="174">
        <v>95.582999999999998</v>
      </c>
      <c r="AN8" s="174">
        <v>68.423000000000002</v>
      </c>
      <c r="AO8" s="174">
        <v>112.32299999999999</v>
      </c>
      <c r="AP8" s="174">
        <v>104.07299999999999</v>
      </c>
      <c r="AQ8" s="255">
        <f t="shared" ref="AQ8:AQ13" si="6">AP8</f>
        <v>104.07299999999999</v>
      </c>
      <c r="AR8" s="52"/>
      <c r="AS8" s="174">
        <v>84.986999999999995</v>
      </c>
      <c r="AT8" s="174">
        <v>71.599000000000004</v>
      </c>
      <c r="AU8" s="174">
        <v>85.798000000000002</v>
      </c>
      <c r="AV8" s="174">
        <v>64.820999999999998</v>
      </c>
      <c r="AW8" s="255">
        <f t="shared" ref="AW8:AW14" si="7">AV8</f>
        <v>64.820999999999998</v>
      </c>
      <c r="AX8" s="52"/>
      <c r="AY8" s="174">
        <f>69.803</f>
        <v>69.802999999999997</v>
      </c>
      <c r="AZ8" s="174">
        <f>59.709</f>
        <v>59.709000000000003</v>
      </c>
      <c r="BA8" s="174">
        <v>55.209000000000003</v>
      </c>
      <c r="BB8" s="174">
        <v>64.120999999999995</v>
      </c>
      <c r="BC8" s="255">
        <f t="shared" ref="BC8:BC14" si="8">BB8</f>
        <v>64.120999999999995</v>
      </c>
      <c r="BD8" s="52"/>
      <c r="BE8" s="174">
        <v>87.4</v>
      </c>
      <c r="BF8" s="174">
        <v>134.69999999999999</v>
      </c>
      <c r="BG8" s="174">
        <v>120.5</v>
      </c>
      <c r="BH8" s="174">
        <v>68.5</v>
      </c>
      <c r="BI8" s="255">
        <f t="shared" ref="BI8:BI14" si="9">BH8</f>
        <v>68.5</v>
      </c>
      <c r="BJ8" s="52"/>
      <c r="BK8" s="174">
        <v>86.9</v>
      </c>
      <c r="BL8" s="174">
        <v>108.1</v>
      </c>
      <c r="BM8" s="174">
        <v>123.8</v>
      </c>
      <c r="BN8" s="174">
        <v>102.4</v>
      </c>
      <c r="BO8" s="255">
        <f t="shared" ref="BO8:BO14" si="10">BN8</f>
        <v>102.4</v>
      </c>
      <c r="BP8" s="402"/>
      <c r="BQ8" s="174">
        <v>87.9</v>
      </c>
      <c r="BR8" s="174">
        <v>88.7</v>
      </c>
      <c r="BS8" s="255">
        <f>+'Cash Flow'!BS50</f>
        <v>131.74871591025189</v>
      </c>
      <c r="BT8" s="255">
        <f>+'Cash Flow'!BT50</f>
        <v>189.15973985192443</v>
      </c>
      <c r="BU8" s="255">
        <f t="shared" ref="BU8" si="11">BT8</f>
        <v>189.15973985192443</v>
      </c>
      <c r="BV8" s="402"/>
      <c r="BW8" s="255">
        <f>+'Cash Flow'!BW50</f>
        <v>228.63051622129646</v>
      </c>
      <c r="BX8" s="255">
        <f>+'Cash Flow'!BX50</f>
        <v>273.45601221189827</v>
      </c>
      <c r="BY8" s="255">
        <f>+'Cash Flow'!BY50</f>
        <v>327.52935360935942</v>
      </c>
      <c r="BZ8" s="255">
        <f>+'Cash Flow'!BZ50</f>
        <v>384.78696349447722</v>
      </c>
      <c r="CA8" s="255">
        <f>BZ8</f>
        <v>384.78696349447722</v>
      </c>
      <c r="CB8" s="402"/>
      <c r="CC8" s="255">
        <f>+'Cash Flow'!CC50</f>
        <v>428.36639402859652</v>
      </c>
      <c r="CD8" s="255">
        <f>+'Cash Flow'!CD50</f>
        <v>475.12920402550742</v>
      </c>
      <c r="CE8" s="255">
        <f>+'Cash Flow'!CE50</f>
        <v>532.47171686595937</v>
      </c>
      <c r="CF8" s="255">
        <f>+'Cash Flow'!CF50</f>
        <v>592.70678525748144</v>
      </c>
      <c r="CG8" s="255">
        <f>CF8</f>
        <v>592.70678525748144</v>
      </c>
      <c r="CH8" s="402"/>
      <c r="CI8" s="255">
        <f>+'Cash Flow'!CI50</f>
        <v>636.76298444163183</v>
      </c>
      <c r="CJ8" s="255">
        <f>+'Cash Flow'!CJ50</f>
        <v>684.26031690427101</v>
      </c>
      <c r="CK8" s="255">
        <f>+'Cash Flow'!CK50</f>
        <v>743.56624610748474</v>
      </c>
      <c r="CL8" s="255">
        <f>+'Cash Flow'!CL50</f>
        <v>804.99122578031051</v>
      </c>
      <c r="CM8" s="255">
        <f t="shared" ref="CM8:CM14" si="12">CL8</f>
        <v>804.99122578031051</v>
      </c>
      <c r="CN8" s="402"/>
      <c r="CO8" s="255">
        <f>+'Cash Flow'!CO50</f>
        <v>850.77139627473332</v>
      </c>
      <c r="CP8" s="255">
        <f>+'Cash Flow'!CP50</f>
        <v>900.13947557413724</v>
      </c>
      <c r="CQ8" s="255">
        <f>+'Cash Flow'!CQ50</f>
        <v>963.75346612248961</v>
      </c>
      <c r="CR8" s="255">
        <f>+'Cash Flow'!CR50</f>
        <v>1028.2166911523273</v>
      </c>
      <c r="CS8" s="255">
        <f t="shared" ref="CS8:CS14" si="13">CR8</f>
        <v>1028.2166911523273</v>
      </c>
      <c r="CT8" s="255"/>
      <c r="CU8" s="255"/>
      <c r="CV8" s="606"/>
      <c r="CW8" s="43"/>
      <c r="CY8" s="43"/>
      <c r="CZ8" s="43"/>
    </row>
    <row r="9" spans="1:104" x14ac:dyDescent="0.2">
      <c r="A9" s="1" t="s">
        <v>242</v>
      </c>
      <c r="B9" s="62"/>
      <c r="C9" s="263">
        <v>123.49</v>
      </c>
      <c r="D9" s="263">
        <v>117.643</v>
      </c>
      <c r="E9" s="263">
        <v>109.476</v>
      </c>
      <c r="F9" s="263">
        <v>70.679000000000002</v>
      </c>
      <c r="G9" s="183">
        <f t="shared" si="0"/>
        <v>70.679000000000002</v>
      </c>
      <c r="H9" s="62"/>
      <c r="I9" s="263">
        <v>81.347999999999999</v>
      </c>
      <c r="J9" s="263">
        <v>66.575999999999993</v>
      </c>
      <c r="K9" s="263">
        <v>61.802</v>
      </c>
      <c r="L9" s="263">
        <v>90.994</v>
      </c>
      <c r="M9" s="183">
        <f t="shared" si="1"/>
        <v>90.994</v>
      </c>
      <c r="N9" s="62"/>
      <c r="O9" s="263">
        <v>78.106999999999999</v>
      </c>
      <c r="P9" s="263">
        <v>153.00899999999999</v>
      </c>
      <c r="Q9" s="263">
        <v>201.4</v>
      </c>
      <c r="R9" s="263">
        <v>253.345</v>
      </c>
      <c r="S9" s="183">
        <f t="shared" si="2"/>
        <v>253.345</v>
      </c>
      <c r="T9" s="62"/>
      <c r="U9" s="263">
        <v>266.43299999999999</v>
      </c>
      <c r="V9" s="263">
        <v>284.97800000000001</v>
      </c>
      <c r="W9" s="263">
        <v>296.5</v>
      </c>
      <c r="X9" s="263">
        <v>310.38799999999998</v>
      </c>
      <c r="Y9" s="183">
        <f t="shared" si="3"/>
        <v>310.38799999999998</v>
      </c>
      <c r="Z9" s="62"/>
      <c r="AA9" s="263">
        <v>305.03300000000002</v>
      </c>
      <c r="AB9" s="263">
        <v>323.63</v>
      </c>
      <c r="AC9" s="263">
        <v>293.846</v>
      </c>
      <c r="AD9" s="263">
        <v>293.77600000000001</v>
      </c>
      <c r="AE9" s="183">
        <f>AD9</f>
        <v>293.77600000000001</v>
      </c>
      <c r="AF9" s="184"/>
      <c r="AG9" s="263">
        <v>286.84500000000003</v>
      </c>
      <c r="AH9" s="263">
        <v>241.78200000000001</v>
      </c>
      <c r="AI9" s="263">
        <v>232.512</v>
      </c>
      <c r="AJ9" s="263">
        <v>254.18</v>
      </c>
      <c r="AK9" s="183">
        <f>AJ9</f>
        <v>254.18</v>
      </c>
      <c r="AL9" s="184"/>
      <c r="AM9" s="263">
        <v>253.58199999999999</v>
      </c>
      <c r="AN9" s="263">
        <v>290.20999999999998</v>
      </c>
      <c r="AO9" s="263">
        <v>223.834</v>
      </c>
      <c r="AP9" s="263">
        <v>268.24299999999999</v>
      </c>
      <c r="AQ9" s="183">
        <f t="shared" si="6"/>
        <v>268.24299999999999</v>
      </c>
      <c r="AR9" s="184"/>
      <c r="AS9" s="263">
        <v>272.03100000000001</v>
      </c>
      <c r="AT9" s="263">
        <v>281.99599999999998</v>
      </c>
      <c r="AU9" s="263">
        <v>126.36</v>
      </c>
      <c r="AV9" s="263">
        <v>121.64100000000001</v>
      </c>
      <c r="AW9" s="183">
        <f t="shared" si="7"/>
        <v>121.64100000000001</v>
      </c>
      <c r="AX9" s="184"/>
      <c r="AY9" s="263">
        <f>22.674+89.807</f>
        <v>112.48099999999999</v>
      </c>
      <c r="AZ9" s="263">
        <f>105.406+22.138</f>
        <v>127.54400000000001</v>
      </c>
      <c r="BA9" s="263">
        <v>79.224000000000004</v>
      </c>
      <c r="BB9" s="263">
        <v>80.7</v>
      </c>
      <c r="BC9" s="183">
        <f t="shared" si="8"/>
        <v>80.7</v>
      </c>
      <c r="BD9" s="184"/>
      <c r="BE9" s="263">
        <v>68</v>
      </c>
      <c r="BF9" s="263">
        <v>84.6</v>
      </c>
      <c r="BG9" s="263">
        <v>96.2</v>
      </c>
      <c r="BH9" s="263">
        <v>90.5</v>
      </c>
      <c r="BI9" s="183">
        <f t="shared" si="9"/>
        <v>90.5</v>
      </c>
      <c r="BJ9" s="184"/>
      <c r="BK9" s="263">
        <v>61.5</v>
      </c>
      <c r="BL9" s="263">
        <v>54.4</v>
      </c>
      <c r="BM9" s="263">
        <v>48.3</v>
      </c>
      <c r="BN9" s="263">
        <v>48.3</v>
      </c>
      <c r="BO9" s="183">
        <f t="shared" si="10"/>
        <v>48.3</v>
      </c>
      <c r="BP9" s="184"/>
      <c r="BQ9" s="263">
        <v>60.4</v>
      </c>
      <c r="BR9" s="263">
        <v>54.8</v>
      </c>
      <c r="BS9" s="183">
        <f>-'Cash Flow'!BS32+BR9</f>
        <v>54.8</v>
      </c>
      <c r="BT9" s="183">
        <f>+'Cash Flow'!BT32+'Cash Flow'!BT33+BS9</f>
        <v>54.8</v>
      </c>
      <c r="BU9" s="183">
        <f t="shared" ref="BU9:BU14" si="14">BT9</f>
        <v>54.8</v>
      </c>
      <c r="BV9" s="184"/>
      <c r="BW9" s="183">
        <f>-'Cash Flow'!BW32+BU9</f>
        <v>54.8</v>
      </c>
      <c r="BX9" s="183">
        <f>-'Cash Flow'!BX32+BW9</f>
        <v>54.8</v>
      </c>
      <c r="BY9" s="183">
        <f>-'Cash Flow'!BY32+BX9</f>
        <v>54.8</v>
      </c>
      <c r="BZ9" s="183">
        <f>+'Cash Flow'!BZ32+'Cash Flow'!BZ33+BY9</f>
        <v>54.8</v>
      </c>
      <c r="CA9" s="183">
        <f t="shared" ref="CA9" si="15">BZ9</f>
        <v>54.8</v>
      </c>
      <c r="CB9" s="184"/>
      <c r="CC9" s="183">
        <f>-'Cash Flow'!CC32+CA9</f>
        <v>54.8</v>
      </c>
      <c r="CD9" s="183">
        <f>-'Cash Flow'!CD32+CC9</f>
        <v>54.8</v>
      </c>
      <c r="CE9" s="183">
        <f>-'Cash Flow'!CE32+CD9</f>
        <v>54.8</v>
      </c>
      <c r="CF9" s="183">
        <f>+'Cash Flow'!CF32+'Cash Flow'!CF33+CE9</f>
        <v>54.8</v>
      </c>
      <c r="CG9" s="183">
        <f t="shared" ref="CG9:CG14" si="16">CF9</f>
        <v>54.8</v>
      </c>
      <c r="CH9" s="184"/>
      <c r="CI9" s="183">
        <f>-'Cash Flow'!CI32+CG9</f>
        <v>54.8</v>
      </c>
      <c r="CJ9" s="183">
        <f>-'Cash Flow'!CJ32+CI9</f>
        <v>54.8</v>
      </c>
      <c r="CK9" s="183">
        <f>-'Cash Flow'!CK32+CJ9</f>
        <v>54.8</v>
      </c>
      <c r="CL9" s="183">
        <f>+'Cash Flow'!CL32+'Cash Flow'!CL33+CK9</f>
        <v>54.8</v>
      </c>
      <c r="CM9" s="183">
        <f t="shared" si="12"/>
        <v>54.8</v>
      </c>
      <c r="CN9" s="184"/>
      <c r="CO9" s="183">
        <f>-'Cash Flow'!CO32+CM9</f>
        <v>54.8</v>
      </c>
      <c r="CP9" s="183">
        <f>-'Cash Flow'!CP32+CO9</f>
        <v>54.8</v>
      </c>
      <c r="CQ9" s="183">
        <f>-'Cash Flow'!CQ32+CP9</f>
        <v>54.8</v>
      </c>
      <c r="CR9" s="183">
        <f>+'Cash Flow'!CR32+'Cash Flow'!CR33+CQ9</f>
        <v>54.8</v>
      </c>
      <c r="CS9" s="183">
        <f t="shared" si="13"/>
        <v>54.8</v>
      </c>
      <c r="CT9" s="183"/>
      <c r="CU9" s="183"/>
      <c r="CV9" s="606"/>
      <c r="CW9" s="43"/>
      <c r="CY9" s="43"/>
      <c r="CZ9" s="43"/>
    </row>
    <row r="10" spans="1:104" x14ac:dyDescent="0.2">
      <c r="A10" s="1" t="s">
        <v>243</v>
      </c>
      <c r="B10" s="61"/>
      <c r="C10" s="61">
        <v>1.7809999999999999</v>
      </c>
      <c r="D10" s="61">
        <v>3.9319999999999999</v>
      </c>
      <c r="E10" s="61">
        <v>2.7879999999999998</v>
      </c>
      <c r="F10" s="61">
        <v>5.9720000000000004</v>
      </c>
      <c r="G10" s="184">
        <f t="shared" si="0"/>
        <v>5.9720000000000004</v>
      </c>
      <c r="H10" s="61"/>
      <c r="I10" s="61">
        <v>8.2880000000000003</v>
      </c>
      <c r="J10" s="61">
        <v>7.2830000000000004</v>
      </c>
      <c r="K10" s="61">
        <v>7.032</v>
      </c>
      <c r="L10" s="61">
        <v>3.1429999999999998</v>
      </c>
      <c r="M10" s="184">
        <f t="shared" si="1"/>
        <v>3.1429999999999998</v>
      </c>
      <c r="N10" s="61"/>
      <c r="O10" s="61">
        <v>3.1019999999999999</v>
      </c>
      <c r="P10" s="61">
        <v>2.7490000000000001</v>
      </c>
      <c r="Q10" s="61">
        <v>2.8109999999999999</v>
      </c>
      <c r="R10" s="61">
        <v>3.9929999999999999</v>
      </c>
      <c r="S10" s="184">
        <f t="shared" si="2"/>
        <v>3.9929999999999999</v>
      </c>
      <c r="T10" s="61"/>
      <c r="U10" s="61">
        <v>7.9109999999999996</v>
      </c>
      <c r="V10" s="61">
        <v>5.931</v>
      </c>
      <c r="W10" s="61">
        <v>2.9089999999999998</v>
      </c>
      <c r="X10" s="61">
        <v>4.0540000000000003</v>
      </c>
      <c r="Y10" s="184">
        <f t="shared" si="3"/>
        <v>4.0540000000000003</v>
      </c>
      <c r="Z10" s="61"/>
      <c r="AA10" s="61">
        <v>5</v>
      </c>
      <c r="AB10" s="61">
        <v>3.59</v>
      </c>
      <c r="AC10" s="61">
        <v>2.2349999999999999</v>
      </c>
      <c r="AD10" s="61">
        <v>2.9489999999999998</v>
      </c>
      <c r="AE10" s="184">
        <f>AD10</f>
        <v>2.9489999999999998</v>
      </c>
      <c r="AF10" s="241"/>
      <c r="AG10" s="61">
        <v>3.3130000000000002</v>
      </c>
      <c r="AH10" s="61">
        <f>3.087+16.569</f>
        <v>19.655999999999999</v>
      </c>
      <c r="AI10" s="61">
        <f>2.154+10.633</f>
        <v>12.786999999999999</v>
      </c>
      <c r="AJ10" s="61">
        <v>1.7130000000000001</v>
      </c>
      <c r="AK10" s="184">
        <f>AJ10</f>
        <v>1.7130000000000001</v>
      </c>
      <c r="AL10" s="241"/>
      <c r="AM10" s="61">
        <v>2.516</v>
      </c>
      <c r="AN10" s="61">
        <v>2.327</v>
      </c>
      <c r="AO10" s="61">
        <v>1.5409999999999999</v>
      </c>
      <c r="AP10" s="61">
        <v>0.95599999999999996</v>
      </c>
      <c r="AQ10" s="184">
        <f t="shared" si="6"/>
        <v>0.95599999999999996</v>
      </c>
      <c r="AR10" s="241"/>
      <c r="AS10" s="61">
        <v>4.8570000000000002</v>
      </c>
      <c r="AT10" s="61">
        <v>4.2370000000000001</v>
      </c>
      <c r="AU10" s="61">
        <f>2.307+12.36</f>
        <v>14.667</v>
      </c>
      <c r="AV10" s="61">
        <f>6.921+13.609</f>
        <v>20.53</v>
      </c>
      <c r="AW10" s="184">
        <f t="shared" si="7"/>
        <v>20.53</v>
      </c>
      <c r="AX10" s="241"/>
      <c r="AY10" s="61">
        <f>9.419+18.698</f>
        <v>28.117000000000001</v>
      </c>
      <c r="AZ10" s="61">
        <f>7.694+5.602</f>
        <v>13.295999999999999</v>
      </c>
      <c r="BA10" s="61">
        <v>9.9849999999999994</v>
      </c>
      <c r="BB10" s="61">
        <v>12.5</v>
      </c>
      <c r="BC10" s="184">
        <f t="shared" si="8"/>
        <v>12.5</v>
      </c>
      <c r="BD10" s="241"/>
      <c r="BE10" s="61">
        <f>5.6</f>
        <v>5.6</v>
      </c>
      <c r="BF10" s="61">
        <v>9.6999999999999993</v>
      </c>
      <c r="BG10" s="61">
        <v>21.1</v>
      </c>
      <c r="BH10" s="61">
        <v>18.399999999999999</v>
      </c>
      <c r="BI10" s="184">
        <f t="shared" si="9"/>
        <v>18.399999999999999</v>
      </c>
      <c r="BJ10" s="241"/>
      <c r="BK10" s="61">
        <v>12.2</v>
      </c>
      <c r="BL10" s="61">
        <v>12.1</v>
      </c>
      <c r="BM10" s="61">
        <v>9.5</v>
      </c>
      <c r="BN10" s="61">
        <v>12.7</v>
      </c>
      <c r="BO10" s="184">
        <f t="shared" si="10"/>
        <v>12.7</v>
      </c>
      <c r="BP10" s="241"/>
      <c r="BQ10" s="61">
        <v>9.5</v>
      </c>
      <c r="BR10" s="61">
        <v>9.8000000000000007</v>
      </c>
      <c r="BS10" s="184">
        <f>+'P&amp;L'!BS8*'Bal Sht'!BS88*4</f>
        <v>9.1597641974178359</v>
      </c>
      <c r="BT10" s="184">
        <f>+'P&amp;L'!BT8*'Bal Sht'!BT88*4</f>
        <v>12.493156552514186</v>
      </c>
      <c r="BU10" s="184">
        <f t="shared" si="14"/>
        <v>12.493156552514186</v>
      </c>
      <c r="BV10" s="241"/>
      <c r="BW10" s="184">
        <f>+'P&amp;L'!BW8*'Bal Sht'!BW88*4</f>
        <v>9.5120400810179664</v>
      </c>
      <c r="BX10" s="184">
        <f>+'P&amp;L'!BX8*'Bal Sht'!BX88*4</f>
        <v>10.094811774515968</v>
      </c>
      <c r="BY10" s="184">
        <f>+'P&amp;L'!BY8*'Bal Sht'!BY88*4</f>
        <v>9.5905198650755938</v>
      </c>
      <c r="BZ10" s="184">
        <f>+'P&amp;L'!BZ8*'Bal Sht'!BZ88*4</f>
        <v>13.217563090855744</v>
      </c>
      <c r="CA10" s="184">
        <f t="shared" ref="CA10:CA14" si="17">BZ10</f>
        <v>13.217563090855744</v>
      </c>
      <c r="CB10" s="241"/>
      <c r="CC10" s="184">
        <f>+'P&amp;L'!CC8*'Bal Sht'!CC88*4</f>
        <v>9.9666003181493057</v>
      </c>
      <c r="CD10" s="184">
        <f>+'P&amp;L'!CD8*'Bal Sht'!CD88*4</f>
        <v>10.693227221015487</v>
      </c>
      <c r="CE10" s="184">
        <f>+'P&amp;L'!CE8*'Bal Sht'!CE88*4</f>
        <v>10.165637113168986</v>
      </c>
      <c r="CF10" s="184">
        <f>+'P&amp;L'!CF8*'Bal Sht'!CF88*4</f>
        <v>14.069126729964797</v>
      </c>
      <c r="CG10" s="184">
        <f t="shared" si="16"/>
        <v>14.069126729964797</v>
      </c>
      <c r="CH10" s="241"/>
      <c r="CI10" s="184">
        <f>+'P&amp;L'!CI8*'Bal Sht'!CI88*4</f>
        <v>10.685197753859713</v>
      </c>
      <c r="CJ10" s="184">
        <f>+'P&amp;L'!CJ8*'Bal Sht'!CJ88*4</f>
        <v>11.502718618467139</v>
      </c>
      <c r="CK10" s="184">
        <f>+'P&amp;L'!CK8*'Bal Sht'!CK88*4</f>
        <v>10.877487151336025</v>
      </c>
      <c r="CL10" s="184">
        <f>+'P&amp;L'!CL8*'Bal Sht'!CL88*4</f>
        <v>15.05293472284392</v>
      </c>
      <c r="CM10" s="184">
        <f t="shared" si="12"/>
        <v>15.05293472284392</v>
      </c>
      <c r="CN10" s="241"/>
      <c r="CO10" s="184">
        <f>+'P&amp;L'!CO8*'Bal Sht'!CO88*4</f>
        <v>11.45320401710887</v>
      </c>
      <c r="CP10" s="184">
        <f>+'P&amp;L'!CP8*'Bal Sht'!CP88*4</f>
        <v>12.427256065931555</v>
      </c>
      <c r="CQ10" s="184">
        <f>+'P&amp;L'!CQ8*'Bal Sht'!CQ88*4</f>
        <v>11.630268138522084</v>
      </c>
      <c r="CR10" s="184">
        <f>+'P&amp;L'!CR8*'Bal Sht'!CR88*4</f>
        <v>16.178177639609345</v>
      </c>
      <c r="CS10" s="184">
        <f t="shared" si="13"/>
        <v>16.178177639609345</v>
      </c>
      <c r="CT10" s="184"/>
      <c r="CU10" s="184"/>
      <c r="CV10" s="606"/>
      <c r="CW10" s="31"/>
      <c r="CX10" s="73"/>
      <c r="CY10" s="31"/>
      <c r="CZ10" s="31"/>
    </row>
    <row r="11" spans="1:104" x14ac:dyDescent="0.2">
      <c r="A11" s="75" t="s">
        <v>255</v>
      </c>
      <c r="B11" s="241"/>
      <c r="C11" s="241">
        <v>0</v>
      </c>
      <c r="D11" s="241">
        <v>0</v>
      </c>
      <c r="E11" s="241">
        <v>0</v>
      </c>
      <c r="F11" s="241">
        <v>0</v>
      </c>
      <c r="G11" s="184">
        <f t="shared" si="0"/>
        <v>0</v>
      </c>
      <c r="H11" s="241"/>
      <c r="I11" s="241">
        <v>0</v>
      </c>
      <c r="J11" s="241">
        <v>0</v>
      </c>
      <c r="K11" s="241">
        <v>0</v>
      </c>
      <c r="L11" s="241">
        <v>0</v>
      </c>
      <c r="M11" s="184">
        <f t="shared" si="1"/>
        <v>0</v>
      </c>
      <c r="N11" s="241"/>
      <c r="O11" s="241">
        <v>0</v>
      </c>
      <c r="P11" s="241">
        <v>0</v>
      </c>
      <c r="Q11" s="241">
        <v>0</v>
      </c>
      <c r="R11" s="241">
        <v>0</v>
      </c>
      <c r="S11" s="184">
        <f t="shared" si="2"/>
        <v>0</v>
      </c>
      <c r="T11" s="241"/>
      <c r="U11" s="241">
        <v>0</v>
      </c>
      <c r="V11" s="241">
        <v>0</v>
      </c>
      <c r="W11" s="241">
        <v>0</v>
      </c>
      <c r="X11" s="241">
        <v>0</v>
      </c>
      <c r="Y11" s="184">
        <f t="shared" si="3"/>
        <v>0</v>
      </c>
      <c r="Z11" s="241"/>
      <c r="AA11" s="241">
        <v>0</v>
      </c>
      <c r="AB11" s="241">
        <v>0</v>
      </c>
      <c r="AC11" s="241">
        <v>0</v>
      </c>
      <c r="AD11" s="241">
        <v>8.218</v>
      </c>
      <c r="AE11" s="184">
        <f>AD11</f>
        <v>8.218</v>
      </c>
      <c r="AF11" s="241"/>
      <c r="AG11" s="241">
        <v>9.7029999999999994</v>
      </c>
      <c r="AH11" s="241">
        <v>10.294</v>
      </c>
      <c r="AI11" s="241">
        <v>10.382999999999999</v>
      </c>
      <c r="AJ11" s="241">
        <v>11.574</v>
      </c>
      <c r="AK11" s="184">
        <f>AJ11</f>
        <v>11.574</v>
      </c>
      <c r="AL11" s="241"/>
      <c r="AM11" s="241">
        <v>10.602</v>
      </c>
      <c r="AN11" s="241">
        <v>10.467000000000001</v>
      </c>
      <c r="AO11" s="241">
        <v>7.1360000000000001</v>
      </c>
      <c r="AP11" s="241">
        <v>5.0069999999999997</v>
      </c>
      <c r="AQ11" s="184">
        <f t="shared" si="6"/>
        <v>5.0069999999999997</v>
      </c>
      <c r="AR11" s="241"/>
      <c r="AS11" s="241">
        <v>0</v>
      </c>
      <c r="AT11" s="241">
        <v>0</v>
      </c>
      <c r="AU11" s="241">
        <v>18.905999999999999</v>
      </c>
      <c r="AV11" s="241">
        <v>23.919</v>
      </c>
      <c r="AW11" s="183">
        <f t="shared" si="7"/>
        <v>23.919</v>
      </c>
      <c r="AX11" s="241"/>
      <c r="AY11" s="241">
        <v>24.774999999999999</v>
      </c>
      <c r="AZ11" s="241">
        <v>20.172999999999998</v>
      </c>
      <c r="BA11" s="241">
        <v>29.359000000000002</v>
      </c>
      <c r="BB11" s="241">
        <v>25.1</v>
      </c>
      <c r="BC11" s="184">
        <f t="shared" si="8"/>
        <v>25.1</v>
      </c>
      <c r="BD11" s="241"/>
      <c r="BE11" s="241">
        <v>34.299999999999997</v>
      </c>
      <c r="BF11" s="241">
        <v>29.1</v>
      </c>
      <c r="BG11" s="241">
        <v>25.3</v>
      </c>
      <c r="BH11" s="241">
        <v>38.299999999999997</v>
      </c>
      <c r="BI11" s="184">
        <f t="shared" si="9"/>
        <v>38.299999999999997</v>
      </c>
      <c r="BJ11" s="241"/>
      <c r="BK11" s="241">
        <v>53.9</v>
      </c>
      <c r="BL11" s="241">
        <v>51.3</v>
      </c>
      <c r="BM11" s="241">
        <v>47.4</v>
      </c>
      <c r="BN11" s="241">
        <v>42.2</v>
      </c>
      <c r="BO11" s="184">
        <f t="shared" si="10"/>
        <v>42.2</v>
      </c>
      <c r="BP11" s="241"/>
      <c r="BQ11" s="241">
        <v>38.9</v>
      </c>
      <c r="BR11" s="241">
        <v>38.200000000000003</v>
      </c>
      <c r="BS11" s="183">
        <f>+BS75*('P&amp;L'!BS11/'P&amp;L'!BS7)</f>
        <v>45.934147849028449</v>
      </c>
      <c r="BT11" s="183">
        <f>+BT75*('P&amp;L'!BT11/'P&amp;L'!BT7)</f>
        <v>43.316532928998789</v>
      </c>
      <c r="BU11" s="184">
        <f t="shared" si="14"/>
        <v>43.316532928998789</v>
      </c>
      <c r="BV11" s="241"/>
      <c r="BW11" s="183">
        <f>+BW75*('P&amp;L'!BW11/'P&amp;L'!BW7)</f>
        <v>39.820317694747978</v>
      </c>
      <c r="BX11" s="183">
        <f>+BX75*('P&amp;L'!BX11/'P&amp;L'!BX7)</f>
        <v>40.366998221792493</v>
      </c>
      <c r="BY11" s="183">
        <f>+BY75*('P&amp;L'!BY11/'P&amp;L'!BY7)</f>
        <v>47.675818253028346</v>
      </c>
      <c r="BZ11" s="183">
        <f>+BZ75*('P&amp;L'!BZ11/'P&amp;L'!BZ7)</f>
        <v>44.832701803729499</v>
      </c>
      <c r="CA11" s="184">
        <f t="shared" si="17"/>
        <v>44.832701803729499</v>
      </c>
      <c r="CB11" s="241"/>
      <c r="CC11" s="183">
        <f>+CC75*('P&amp;L'!CC11/'P&amp;L'!CC7)</f>
        <v>40.336394203329604</v>
      </c>
      <c r="CD11" s="183">
        <f>+CD75*('P&amp;L'!CD11/'P&amp;L'!CD7)</f>
        <v>41.574414078903679</v>
      </c>
      <c r="CE11" s="183">
        <f>+CE75*('P&amp;L'!CE11/'P&amp;L'!CE7)</f>
        <v>49.572081953739286</v>
      </c>
      <c r="CF11" s="183">
        <f>+CF75*('P&amp;L'!CF11/'P&amp;L'!CF7)</f>
        <v>47.109261330499969</v>
      </c>
      <c r="CG11" s="184">
        <f t="shared" si="16"/>
        <v>47.109261330499969</v>
      </c>
      <c r="CH11" s="241"/>
      <c r="CI11" s="183">
        <f>+CI75*('P&amp;L'!CI11/'P&amp;L'!CI7)</f>
        <v>42.409704029976282</v>
      </c>
      <c r="CJ11" s="183">
        <f>+CJ75*('P&amp;L'!CJ11/'P&amp;L'!CJ7)</f>
        <v>43.953323121065488</v>
      </c>
      <c r="CK11" s="183">
        <f>+CK75*('P&amp;L'!CK11/'P&amp;L'!CK7)</f>
        <v>52.362422259977983</v>
      </c>
      <c r="CL11" s="183">
        <f>+CL75*('P&amp;L'!CL11/'P&amp;L'!CL7)</f>
        <v>50.031000012230351</v>
      </c>
      <c r="CM11" s="184">
        <f t="shared" si="12"/>
        <v>50.031000012230351</v>
      </c>
      <c r="CN11" s="241"/>
      <c r="CO11" s="183">
        <f>+CO75*('P&amp;L'!CO11/'P&amp;L'!CO7)</f>
        <v>44.760525152270446</v>
      </c>
      <c r="CP11" s="183">
        <f>+CP75*('P&amp;L'!CP11/'P&amp;L'!CP7)</f>
        <v>46.713654110756757</v>
      </c>
      <c r="CQ11" s="183">
        <f>+CQ75*('P&amp;L'!CQ11/'P&amp;L'!CQ7)</f>
        <v>54.963469717224022</v>
      </c>
      <c r="CR11" s="183">
        <f>+CR75*('P&amp;L'!CR11/'P&amp;L'!CR7)</f>
        <v>52.931331839361214</v>
      </c>
      <c r="CS11" s="184">
        <f t="shared" si="13"/>
        <v>52.931331839361214</v>
      </c>
      <c r="CT11" s="184"/>
      <c r="CU11" s="184"/>
      <c r="CV11" s="606"/>
      <c r="CW11" s="31"/>
      <c r="CX11" s="31"/>
      <c r="CY11" s="31"/>
      <c r="CZ11" s="31"/>
    </row>
    <row r="12" spans="1:104" x14ac:dyDescent="0.2">
      <c r="A12" s="1" t="s">
        <v>244</v>
      </c>
      <c r="B12" s="61"/>
      <c r="C12" s="263">
        <v>23.161999999999999</v>
      </c>
      <c r="D12" s="263">
        <v>24.006</v>
      </c>
      <c r="E12" s="263">
        <v>25.460999999999999</v>
      </c>
      <c r="F12" s="263">
        <v>31.103000000000002</v>
      </c>
      <c r="G12" s="183">
        <f t="shared" si="0"/>
        <v>31.103000000000002</v>
      </c>
      <c r="H12" s="61"/>
      <c r="I12" s="263">
        <v>33.488</v>
      </c>
      <c r="J12" s="263">
        <v>38.468000000000004</v>
      </c>
      <c r="K12" s="263">
        <v>39.704000000000001</v>
      </c>
      <c r="L12" s="263">
        <v>40.662999999999997</v>
      </c>
      <c r="M12" s="183">
        <f t="shared" si="1"/>
        <v>40.662999999999997</v>
      </c>
      <c r="N12" s="61"/>
      <c r="O12" s="263">
        <v>46.933999999999997</v>
      </c>
      <c r="P12" s="263">
        <v>41.432000000000002</v>
      </c>
      <c r="Q12" s="263">
        <v>47.472999999999999</v>
      </c>
      <c r="R12" s="263">
        <v>44.616999999999997</v>
      </c>
      <c r="S12" s="183">
        <f t="shared" si="2"/>
        <v>44.616999999999997</v>
      </c>
      <c r="T12" s="61"/>
      <c r="U12" s="263">
        <v>43.735999999999997</v>
      </c>
      <c r="V12" s="263">
        <v>48.768999999999998</v>
      </c>
      <c r="W12" s="263">
        <v>48.116999999999997</v>
      </c>
      <c r="X12" s="263">
        <v>47.801000000000002</v>
      </c>
      <c r="Y12" s="183">
        <f t="shared" si="3"/>
        <v>47.801000000000002</v>
      </c>
      <c r="Z12" s="61"/>
      <c r="AA12" s="263">
        <v>43.829000000000001</v>
      </c>
      <c r="AB12" s="263">
        <v>40.063000000000002</v>
      </c>
      <c r="AC12" s="263">
        <v>46.436</v>
      </c>
      <c r="AD12" s="263">
        <v>50.271999999999998</v>
      </c>
      <c r="AE12" s="183">
        <f>AD12</f>
        <v>50.271999999999998</v>
      </c>
      <c r="AF12" s="241"/>
      <c r="AG12" s="263">
        <v>44.817999999999998</v>
      </c>
      <c r="AH12" s="263">
        <v>42.988</v>
      </c>
      <c r="AI12" s="263">
        <v>50.948</v>
      </c>
      <c r="AJ12" s="263">
        <v>60.441000000000003</v>
      </c>
      <c r="AK12" s="183">
        <f>AJ12</f>
        <v>60.441000000000003</v>
      </c>
      <c r="AL12" s="241"/>
      <c r="AM12" s="263">
        <v>62.503</v>
      </c>
      <c r="AN12" s="263">
        <v>75.563999999999993</v>
      </c>
      <c r="AO12" s="263">
        <v>93.171999999999997</v>
      </c>
      <c r="AP12" s="263">
        <v>94.332999999999998</v>
      </c>
      <c r="AQ12" s="183">
        <f t="shared" si="6"/>
        <v>94.332999999999998</v>
      </c>
      <c r="AR12" s="241"/>
      <c r="AS12" s="263">
        <v>86.218000000000004</v>
      </c>
      <c r="AT12" s="263">
        <v>84.137</v>
      </c>
      <c r="AU12" s="263">
        <v>82.677999999999997</v>
      </c>
      <c r="AV12" s="263">
        <v>81.296999999999997</v>
      </c>
      <c r="AW12" s="183">
        <f t="shared" si="7"/>
        <v>81.296999999999997</v>
      </c>
      <c r="AX12" s="241"/>
      <c r="AY12" s="263">
        <v>75.716999999999999</v>
      </c>
      <c r="AZ12" s="263">
        <v>81.221999999999994</v>
      </c>
      <c r="BA12" s="263">
        <v>92.194999999999993</v>
      </c>
      <c r="BB12" s="263">
        <v>85.8</v>
      </c>
      <c r="BC12" s="183">
        <f t="shared" si="8"/>
        <v>85.8</v>
      </c>
      <c r="BD12" s="241"/>
      <c r="BE12" s="263">
        <v>83.4</v>
      </c>
      <c r="BF12" s="263">
        <v>84.3</v>
      </c>
      <c r="BG12" s="263">
        <v>91.1</v>
      </c>
      <c r="BH12" s="263">
        <v>91.7</v>
      </c>
      <c r="BI12" s="183">
        <f t="shared" si="9"/>
        <v>91.7</v>
      </c>
      <c r="BJ12" s="241"/>
      <c r="BK12" s="263">
        <v>98.2</v>
      </c>
      <c r="BL12" s="263">
        <v>107.6</v>
      </c>
      <c r="BM12" s="263">
        <v>114.8</v>
      </c>
      <c r="BN12" s="263">
        <v>105.6</v>
      </c>
      <c r="BO12" s="183">
        <f t="shared" si="10"/>
        <v>105.6</v>
      </c>
      <c r="BP12" s="241"/>
      <c r="BQ12" s="263">
        <v>113.2</v>
      </c>
      <c r="BR12" s="263">
        <v>121.1</v>
      </c>
      <c r="BS12" s="183">
        <f>+BS74*('P&amp;L'!BS8/'P&amp;L'!BS7)</f>
        <v>108.57897568889823</v>
      </c>
      <c r="BT12" s="183">
        <f>+BT74*('P&amp;L'!BT8/'P&amp;L'!BT7)</f>
        <v>101.71312601865671</v>
      </c>
      <c r="BU12" s="183">
        <f t="shared" si="14"/>
        <v>101.71312601865671</v>
      </c>
      <c r="BV12" s="241"/>
      <c r="BW12" s="183">
        <f>+BW74*('P&amp;L'!BW8/'P&amp;L'!BW7)</f>
        <v>111.27935154000323</v>
      </c>
      <c r="BX12" s="183">
        <f>+BX74*('P&amp;L'!BX8/'P&amp;L'!BX7)</f>
        <v>122.57117562699979</v>
      </c>
      <c r="BY12" s="183">
        <f>+BY74*('P&amp;L'!BY8/'P&amp;L'!BY7)</f>
        <v>111.47636389732898</v>
      </c>
      <c r="BZ12" s="183">
        <f>+BZ74*('P&amp;L'!BZ8/'P&amp;L'!BZ7)</f>
        <v>105.31825764004822</v>
      </c>
      <c r="CA12" s="183">
        <f t="shared" si="17"/>
        <v>105.31825764004822</v>
      </c>
      <c r="CB12" s="241"/>
      <c r="CC12" s="183">
        <f>+CC74*('P&amp;L'!CC8/'P&amp;L'!CC7)</f>
        <v>114.43440068442725</v>
      </c>
      <c r="CD12" s="183">
        <f>+CD74*('P&amp;L'!CD8/'P&amp;L'!CD7)</f>
        <v>127.53653215181713</v>
      </c>
      <c r="CE12" s="183">
        <f>+CE74*('P&amp;L'!CE8/'P&amp;L'!CE7)</f>
        <v>115.8200953561345</v>
      </c>
      <c r="CF12" s="183">
        <f>+CF74*('P&amp;L'!CF8/'P&amp;L'!CF7)</f>
        <v>109.66322673723647</v>
      </c>
      <c r="CG12" s="183">
        <f t="shared" si="16"/>
        <v>109.66322673723647</v>
      </c>
      <c r="CH12" s="241"/>
      <c r="CI12" s="183">
        <f>+CI74*('P&amp;L'!CI8/'P&amp;L'!CI7)</f>
        <v>120.36649363445481</v>
      </c>
      <c r="CJ12" s="183">
        <f>+CJ74*('P&amp;L'!CJ8/'P&amp;L'!CJ7)</f>
        <v>134.71645504263697</v>
      </c>
      <c r="CK12" s="183">
        <f>+CK74*('P&amp;L'!CK8/'P&amp;L'!CK7)</f>
        <v>121.42526820459099</v>
      </c>
      <c r="CL12" s="183">
        <f>+CL74*('P&amp;L'!CL8/'P&amp;L'!CL7)</f>
        <v>114.72063657110887</v>
      </c>
      <c r="CM12" s="183">
        <f t="shared" si="12"/>
        <v>114.72063657110887</v>
      </c>
      <c r="CN12" s="241"/>
      <c r="CO12" s="183">
        <f>+CO74*('P&amp;L'!CO8/'P&amp;L'!CO7)</f>
        <v>126.53257313525485</v>
      </c>
      <c r="CP12" s="183">
        <f>+CP74*('P&amp;L'!CP8/'P&amp;L'!CP7)</f>
        <v>142.87069452041749</v>
      </c>
      <c r="CQ12" s="183">
        <f>+CQ74*('P&amp;L'!CQ8/'P&amp;L'!CQ7)</f>
        <v>127.15004033412814</v>
      </c>
      <c r="CR12" s="183">
        <f>+CR74*('P&amp;L'!CR8/'P&amp;L'!CR7)</f>
        <v>120.49012105126684</v>
      </c>
      <c r="CS12" s="183">
        <f t="shared" si="13"/>
        <v>120.49012105126684</v>
      </c>
      <c r="CT12" s="183"/>
      <c r="CU12" s="183"/>
      <c r="CV12" s="606"/>
      <c r="CW12" s="43"/>
      <c r="CY12" s="43"/>
      <c r="CZ12" s="43"/>
    </row>
    <row r="13" spans="1:104" x14ac:dyDescent="0.2">
      <c r="A13" s="75" t="s">
        <v>245</v>
      </c>
      <c r="B13" s="52"/>
      <c r="C13" s="417">
        <v>0</v>
      </c>
      <c r="D13" s="417">
        <v>0</v>
      </c>
      <c r="E13" s="417">
        <v>0</v>
      </c>
      <c r="F13" s="417">
        <v>0</v>
      </c>
      <c r="G13" s="183">
        <f t="shared" si="0"/>
        <v>0</v>
      </c>
      <c r="H13" s="52"/>
      <c r="I13" s="417">
        <v>0</v>
      </c>
      <c r="J13" s="417">
        <v>0</v>
      </c>
      <c r="K13" s="417">
        <v>0</v>
      </c>
      <c r="L13" s="417">
        <v>0</v>
      </c>
      <c r="M13" s="183">
        <f t="shared" si="1"/>
        <v>0</v>
      </c>
      <c r="N13" s="52"/>
      <c r="O13" s="417">
        <v>0</v>
      </c>
      <c r="P13" s="417">
        <v>0</v>
      </c>
      <c r="Q13" s="417">
        <v>0</v>
      </c>
      <c r="R13" s="417">
        <v>0</v>
      </c>
      <c r="S13" s="183">
        <f t="shared" si="2"/>
        <v>0</v>
      </c>
      <c r="T13" s="52"/>
      <c r="U13" s="417">
        <v>0</v>
      </c>
      <c r="V13" s="417">
        <v>0</v>
      </c>
      <c r="W13" s="417">
        <v>0</v>
      </c>
      <c r="X13" s="417">
        <v>18.559999999999999</v>
      </c>
      <c r="Y13" s="183">
        <f t="shared" si="3"/>
        <v>18.559999999999999</v>
      </c>
      <c r="Z13" s="52"/>
      <c r="AA13" s="417">
        <v>14.292999999999999</v>
      </c>
      <c r="AB13" s="417">
        <v>9.5239999999999991</v>
      </c>
      <c r="AC13" s="417">
        <v>4.4269999999999996</v>
      </c>
      <c r="AD13" s="417">
        <v>9.7899999999999991</v>
      </c>
      <c r="AE13" s="183">
        <f t="shared" si="4"/>
        <v>9.7899999999999991</v>
      </c>
      <c r="AF13" s="52"/>
      <c r="AG13" s="417">
        <v>10.468999999999999</v>
      </c>
      <c r="AH13" s="417">
        <v>7.7859999999999996</v>
      </c>
      <c r="AI13" s="417">
        <v>5.6859999999999999</v>
      </c>
      <c r="AJ13" s="417">
        <v>5.5720000000000001</v>
      </c>
      <c r="AK13" s="183">
        <f t="shared" si="5"/>
        <v>5.5720000000000001</v>
      </c>
      <c r="AL13" s="52"/>
      <c r="AM13" s="417">
        <v>8.3780000000000001</v>
      </c>
      <c r="AN13" s="417">
        <v>9.3539999999999992</v>
      </c>
      <c r="AO13" s="417">
        <v>7.5119999999999996</v>
      </c>
      <c r="AP13" s="417">
        <v>8.0069999999999997</v>
      </c>
      <c r="AQ13" s="183">
        <f t="shared" si="6"/>
        <v>8.0069999999999997</v>
      </c>
      <c r="AR13" s="52"/>
      <c r="AS13" s="417">
        <v>8.7680000000000007</v>
      </c>
      <c r="AT13" s="417">
        <v>9.0739999999999998</v>
      </c>
      <c r="AU13" s="417">
        <v>6.5289999999999999</v>
      </c>
      <c r="AV13" s="417">
        <v>6.4450000000000003</v>
      </c>
      <c r="AW13" s="183">
        <f t="shared" si="7"/>
        <v>6.4450000000000003</v>
      </c>
      <c r="AX13" s="52"/>
      <c r="AY13" s="417">
        <v>13.228999999999999</v>
      </c>
      <c r="AZ13" s="417">
        <v>12.813000000000001</v>
      </c>
      <c r="BA13" s="417">
        <v>13.46</v>
      </c>
      <c r="BB13" s="653">
        <v>13.5</v>
      </c>
      <c r="BC13" s="183">
        <f t="shared" si="8"/>
        <v>13.5</v>
      </c>
      <c r="BD13" s="52"/>
      <c r="BE13" s="417">
        <v>13.5</v>
      </c>
      <c r="BF13" s="417">
        <v>0</v>
      </c>
      <c r="BG13" s="417">
        <v>0</v>
      </c>
      <c r="BH13" s="417">
        <v>0</v>
      </c>
      <c r="BI13" s="183">
        <f t="shared" si="9"/>
        <v>0</v>
      </c>
      <c r="BJ13" s="52"/>
      <c r="BK13" s="417">
        <v>0</v>
      </c>
      <c r="BL13" s="417">
        <v>0</v>
      </c>
      <c r="BM13" s="417">
        <v>0</v>
      </c>
      <c r="BN13" s="417">
        <v>0</v>
      </c>
      <c r="BO13" s="183">
        <f t="shared" si="10"/>
        <v>0</v>
      </c>
      <c r="BP13" s="52"/>
      <c r="BQ13" s="417">
        <v>0</v>
      </c>
      <c r="BR13" s="417">
        <v>0</v>
      </c>
      <c r="BS13" s="183">
        <f>+BS89*'P&amp;L'!BS20*4</f>
        <v>0</v>
      </c>
      <c r="BT13" s="183">
        <f>+BT89*'P&amp;L'!BT20*4</f>
        <v>0</v>
      </c>
      <c r="BU13" s="183">
        <f t="shared" si="14"/>
        <v>0</v>
      </c>
      <c r="BV13" s="52"/>
      <c r="BW13" s="183">
        <f>+BW89*'P&amp;L'!BW20*4</f>
        <v>0</v>
      </c>
      <c r="BX13" s="183">
        <f>+BX89*'P&amp;L'!BX20*4</f>
        <v>0</v>
      </c>
      <c r="BY13" s="183">
        <f>+BY89*'P&amp;L'!BY20*4</f>
        <v>0</v>
      </c>
      <c r="BZ13" s="183">
        <f>+BZ89*'P&amp;L'!BZ20*4</f>
        <v>0</v>
      </c>
      <c r="CA13" s="183">
        <f t="shared" si="17"/>
        <v>0</v>
      </c>
      <c r="CB13" s="52"/>
      <c r="CC13" s="183">
        <f>+CC89*'P&amp;L'!CC20*4</f>
        <v>0</v>
      </c>
      <c r="CD13" s="183">
        <f>+CD89*'P&amp;L'!CD20*4</f>
        <v>0</v>
      </c>
      <c r="CE13" s="183">
        <f>+CE89*'P&amp;L'!CE20*4</f>
        <v>0</v>
      </c>
      <c r="CF13" s="183">
        <f>+CF89*'P&amp;L'!CF20*4</f>
        <v>0</v>
      </c>
      <c r="CG13" s="183">
        <f t="shared" si="16"/>
        <v>0</v>
      </c>
      <c r="CH13" s="52"/>
      <c r="CI13" s="183">
        <f>+CI89*'P&amp;L'!CI20*4</f>
        <v>0</v>
      </c>
      <c r="CJ13" s="183">
        <f>+CJ89*'P&amp;L'!CJ20*4</f>
        <v>0</v>
      </c>
      <c r="CK13" s="183">
        <f>+CK89*'P&amp;L'!CK20*4</f>
        <v>0</v>
      </c>
      <c r="CL13" s="183">
        <f>+CL89*'P&amp;L'!CL20*4</f>
        <v>0</v>
      </c>
      <c r="CM13" s="183">
        <f t="shared" si="12"/>
        <v>0</v>
      </c>
      <c r="CN13" s="52"/>
      <c r="CO13" s="183">
        <f>+CO89*'P&amp;L'!CO20*4</f>
        <v>0</v>
      </c>
      <c r="CP13" s="183">
        <f>+CP89*'P&amp;L'!CP20*4</f>
        <v>0</v>
      </c>
      <c r="CQ13" s="183">
        <f>+CQ89*'P&amp;L'!CQ20*4</f>
        <v>0</v>
      </c>
      <c r="CR13" s="183">
        <f>+CR89*'P&amp;L'!CR20*4</f>
        <v>0</v>
      </c>
      <c r="CS13" s="183">
        <f t="shared" si="13"/>
        <v>0</v>
      </c>
      <c r="CT13" s="183"/>
      <c r="CU13" s="183"/>
      <c r="CV13" s="606"/>
      <c r="CW13" s="43"/>
      <c r="CX13" s="43"/>
      <c r="CY13" s="43"/>
      <c r="CZ13" s="43"/>
    </row>
    <row r="14" spans="1:104" x14ac:dyDescent="0.2">
      <c r="A14" s="1" t="s">
        <v>246</v>
      </c>
      <c r="B14" s="61"/>
      <c r="C14" s="116">
        <v>0.746</v>
      </c>
      <c r="D14" s="116">
        <v>2.92</v>
      </c>
      <c r="E14" s="116">
        <v>2.13</v>
      </c>
      <c r="F14" s="116">
        <v>1.3480000000000001</v>
      </c>
      <c r="G14" s="251">
        <f>F14</f>
        <v>1.3480000000000001</v>
      </c>
      <c r="H14" s="61"/>
      <c r="I14" s="116">
        <v>2.5590000000000002</v>
      </c>
      <c r="J14" s="116">
        <v>2.6</v>
      </c>
      <c r="K14" s="116">
        <v>2.0179999999999998</v>
      </c>
      <c r="L14" s="116">
        <v>4.7690000000000001</v>
      </c>
      <c r="M14" s="251">
        <f>L14</f>
        <v>4.7690000000000001</v>
      </c>
      <c r="N14" s="61"/>
      <c r="O14" s="116">
        <v>7.1779999999999999</v>
      </c>
      <c r="P14" s="116">
        <v>0.746</v>
      </c>
      <c r="Q14" s="116">
        <v>4.2050000000000001</v>
      </c>
      <c r="R14" s="116">
        <v>0.65500000000000003</v>
      </c>
      <c r="S14" s="251">
        <f>R14</f>
        <v>0.65500000000000003</v>
      </c>
      <c r="T14" s="61"/>
      <c r="U14" s="116">
        <v>1.075</v>
      </c>
      <c r="V14" s="116">
        <v>0.73899999999999999</v>
      </c>
      <c r="W14" s="116">
        <v>0.94599999999999995</v>
      </c>
      <c r="X14" s="116">
        <v>0.33300000000000002</v>
      </c>
      <c r="Y14" s="251">
        <f>X14</f>
        <v>0.33300000000000002</v>
      </c>
      <c r="Z14" s="61"/>
      <c r="AA14" s="116">
        <v>0.38700000000000001</v>
      </c>
      <c r="AB14" s="116">
        <v>0.33600000000000002</v>
      </c>
      <c r="AC14" s="116">
        <v>1.284</v>
      </c>
      <c r="AD14" s="116">
        <v>0.57499999999999996</v>
      </c>
      <c r="AE14" s="251">
        <f t="shared" si="4"/>
        <v>0.57499999999999996</v>
      </c>
      <c r="AF14" s="241"/>
      <c r="AG14" s="116">
        <v>0.65500000000000003</v>
      </c>
      <c r="AH14" s="116">
        <v>1.083</v>
      </c>
      <c r="AI14" s="116">
        <v>1.5009999999999999</v>
      </c>
      <c r="AJ14" s="116">
        <v>2.66</v>
      </c>
      <c r="AK14" s="251">
        <f t="shared" si="5"/>
        <v>2.66</v>
      </c>
      <c r="AL14" s="241"/>
      <c r="AM14" s="116">
        <v>1.97</v>
      </c>
      <c r="AN14" s="116">
        <v>0.98799999999999999</v>
      </c>
      <c r="AO14" s="116">
        <v>2.1869999999999998</v>
      </c>
      <c r="AP14" s="116">
        <v>3.3730000000000002</v>
      </c>
      <c r="AQ14" s="251">
        <f>AP14</f>
        <v>3.3730000000000002</v>
      </c>
      <c r="AR14" s="241"/>
      <c r="AS14" s="116">
        <v>1.8140000000000001</v>
      </c>
      <c r="AT14" s="116">
        <v>3.4630000000000001</v>
      </c>
      <c r="AU14" s="116">
        <v>3.226</v>
      </c>
      <c r="AV14" s="116">
        <f>3.77</f>
        <v>3.77</v>
      </c>
      <c r="AW14" s="251">
        <f t="shared" si="7"/>
        <v>3.77</v>
      </c>
      <c r="AX14" s="241"/>
      <c r="AY14" s="116">
        <v>11.244</v>
      </c>
      <c r="AZ14" s="116">
        <v>5.3310000000000004</v>
      </c>
      <c r="BA14" s="116">
        <v>2.992</v>
      </c>
      <c r="BB14" s="116">
        <v>1.9</v>
      </c>
      <c r="BC14" s="251">
        <f t="shared" si="8"/>
        <v>1.9</v>
      </c>
      <c r="BD14" s="241"/>
      <c r="BE14" s="116">
        <f>1.6+13.5</f>
        <v>15.1</v>
      </c>
      <c r="BF14" s="116">
        <f>28+5.1</f>
        <v>33.1</v>
      </c>
      <c r="BG14" s="116">
        <f>15.3+2.9</f>
        <v>18.2</v>
      </c>
      <c r="BH14" s="116">
        <f>3.8+3.3</f>
        <v>7.1</v>
      </c>
      <c r="BI14" s="251">
        <f t="shared" si="9"/>
        <v>7.1</v>
      </c>
      <c r="BJ14" s="241"/>
      <c r="BK14" s="116">
        <f>5.6+4.6</f>
        <v>10.199999999999999</v>
      </c>
      <c r="BL14" s="116">
        <f>4.2+3.9</f>
        <v>8.1</v>
      </c>
      <c r="BM14" s="116">
        <f>0.1+4.4</f>
        <v>4.5</v>
      </c>
      <c r="BN14" s="116">
        <f>0.2+5.7</f>
        <v>5.9</v>
      </c>
      <c r="BO14" s="251">
        <f t="shared" si="10"/>
        <v>5.9</v>
      </c>
      <c r="BP14" s="241"/>
      <c r="BQ14" s="116">
        <f>6.9+8.8</f>
        <v>15.700000000000001</v>
      </c>
      <c r="BR14" s="116">
        <f>8.4+6</f>
        <v>14.4</v>
      </c>
      <c r="BS14" s="251">
        <f>+BS91*'P&amp;L'!BS20*4</f>
        <v>1.6661128982250548</v>
      </c>
      <c r="BT14" s="251">
        <f>+BT91*'P&amp;L'!BT20*4</f>
        <v>1.6368986223136701</v>
      </c>
      <c r="BU14" s="251">
        <f t="shared" si="14"/>
        <v>1.6368986223136701</v>
      </c>
      <c r="BV14" s="241"/>
      <c r="BW14" s="251">
        <f>+BW91*'P&amp;L'!BW20*4</f>
        <v>1.8297457410013411</v>
      </c>
      <c r="BX14" s="251">
        <f>+BX91*'P&amp;L'!BX20*4</f>
        <v>2.1428801462695186</v>
      </c>
      <c r="BY14" s="251">
        <f>+BY91*'P&amp;L'!BY20*4</f>
        <v>1.7063049132579757</v>
      </c>
      <c r="BZ14" s="251">
        <f>+BZ91*'P&amp;L'!BZ20*4</f>
        <v>1.6939295816280957</v>
      </c>
      <c r="CA14" s="251">
        <f t="shared" si="17"/>
        <v>1.6939295816280957</v>
      </c>
      <c r="CB14" s="241"/>
      <c r="CC14" s="251">
        <f>+CC91*'P&amp;L'!CC20*4</f>
        <v>1.911100540511649</v>
      </c>
      <c r="CD14" s="251">
        <f>+CD91*'P&amp;L'!CD20*4</f>
        <v>2.2624892306033408</v>
      </c>
      <c r="CE14" s="251">
        <f>+CE91*'P&amp;L'!CE20*4</f>
        <v>1.8028489903439062</v>
      </c>
      <c r="CF14" s="251">
        <f>+CF91*'P&amp;L'!CF20*4</f>
        <v>1.7973032446216448</v>
      </c>
      <c r="CG14" s="251">
        <f t="shared" si="16"/>
        <v>1.7973032446216448</v>
      </c>
      <c r="CH14" s="241"/>
      <c r="CI14" s="251">
        <f>+CI91*'P&amp;L'!CI20*4</f>
        <v>2.0423683598111402</v>
      </c>
      <c r="CJ14" s="251">
        <f>+CJ91*'P&amp;L'!CJ20*4</f>
        <v>2.425781169761672</v>
      </c>
      <c r="CK14" s="251">
        <f>+CK91*'P&amp;L'!CK20*4</f>
        <v>1.9229107286267078</v>
      </c>
      <c r="CL14" s="251">
        <f>+CL91*'P&amp;L'!CL20*4</f>
        <v>1.9168193727388338</v>
      </c>
      <c r="CM14" s="251">
        <f t="shared" si="12"/>
        <v>1.9168193727388338</v>
      </c>
      <c r="CN14" s="241"/>
      <c r="CO14" s="251">
        <f>+CO91*'P&amp;L'!CO20*4</f>
        <v>2.1821725701601125</v>
      </c>
      <c r="CP14" s="251">
        <f>+CP91*'P&amp;L'!CP20*4</f>
        <v>2.6121316950774767</v>
      </c>
      <c r="CQ14" s="251">
        <f>+CQ91*'P&amp;L'!CQ20*4</f>
        <v>2.0493756698827337</v>
      </c>
      <c r="CR14" s="251">
        <f>+CR91*'P&amp;L'!CR20*4</f>
        <v>2.0534820752008081</v>
      </c>
      <c r="CS14" s="251">
        <f t="shared" si="13"/>
        <v>2.0534820752008081</v>
      </c>
      <c r="CT14" s="184"/>
      <c r="CU14" s="184"/>
      <c r="CV14" s="606"/>
      <c r="CW14" s="43"/>
      <c r="CY14" s="43"/>
      <c r="CZ14" s="43"/>
    </row>
    <row r="15" spans="1:104" x14ac:dyDescent="0.2">
      <c r="A15" s="5" t="s">
        <v>107</v>
      </c>
      <c r="B15" s="61"/>
      <c r="C15" s="252">
        <f>SUM(C8:C14)</f>
        <v>237.80400000000003</v>
      </c>
      <c r="D15" s="252">
        <f>SUM(D8:D14)</f>
        <v>234.36899999999997</v>
      </c>
      <c r="E15" s="252">
        <f>SUM(E8:E14)</f>
        <v>334.726</v>
      </c>
      <c r="F15" s="252">
        <f>SUM(F8:F14)</f>
        <v>252.53400000000002</v>
      </c>
      <c r="G15" s="252">
        <f>SUM(G8:G14)</f>
        <v>252.53400000000002</v>
      </c>
      <c r="H15" s="61"/>
      <c r="I15" s="252">
        <f>SUM(I8:I14)</f>
        <v>232.899</v>
      </c>
      <c r="J15" s="252">
        <f>SUM(J8:J14)</f>
        <v>229.50199999999998</v>
      </c>
      <c r="K15" s="252">
        <f>SUM(K8:K14)</f>
        <v>252.94800000000001</v>
      </c>
      <c r="L15" s="252">
        <f>SUM(L8:L14)</f>
        <v>377.303</v>
      </c>
      <c r="M15" s="252">
        <f>SUM(M8:M14)</f>
        <v>377.303</v>
      </c>
      <c r="N15" s="61"/>
      <c r="O15" s="252">
        <f>SUM(O8:O14)</f>
        <v>365.55399999999997</v>
      </c>
      <c r="P15" s="252">
        <f>SUM(P8:P14)</f>
        <v>376.92100000000005</v>
      </c>
      <c r="Q15" s="252">
        <f>SUM(Q8:Q14)</f>
        <v>456.57400000000001</v>
      </c>
      <c r="R15" s="252">
        <f>SUM(R8:R14)</f>
        <v>366.12</v>
      </c>
      <c r="S15" s="252">
        <f>SUM(S8:S14)</f>
        <v>366.12</v>
      </c>
      <c r="T15" s="61"/>
      <c r="U15" s="252">
        <f>SUM(U8:U14)</f>
        <v>410.351</v>
      </c>
      <c r="V15" s="252">
        <f>SUM(V8:V14)</f>
        <v>400.84799999999996</v>
      </c>
      <c r="W15" s="252">
        <f>SUM(W8:W14)</f>
        <v>450.62100000000004</v>
      </c>
      <c r="X15" s="252">
        <f>SUM(X8:X14)</f>
        <v>473.97599999999994</v>
      </c>
      <c r="Y15" s="252">
        <f>SUM(Y8:Y14)</f>
        <v>473.97599999999994</v>
      </c>
      <c r="Z15" s="61"/>
      <c r="AA15" s="252">
        <f>SUM(AA8:AA14)</f>
        <v>491.84700000000004</v>
      </c>
      <c r="AB15" s="252">
        <f>SUM(AB8:AB14)</f>
        <v>444.81199999999995</v>
      </c>
      <c r="AC15" s="252">
        <f>SUM(AC8:AC14)</f>
        <v>415.60599999999999</v>
      </c>
      <c r="AD15" s="252">
        <f>SUM(AD8:AD14)</f>
        <v>418.26100000000002</v>
      </c>
      <c r="AE15" s="252">
        <f>SUM(AE8:AE14)</f>
        <v>418.26100000000002</v>
      </c>
      <c r="AF15" s="241"/>
      <c r="AG15" s="252">
        <f>SUM(AG8:AG14)</f>
        <v>418.47899999999993</v>
      </c>
      <c r="AH15" s="252">
        <f>SUM(AH8:AH14)</f>
        <v>432.43700000000001</v>
      </c>
      <c r="AI15" s="252">
        <f>SUM(AI8:AI14)</f>
        <v>418.66899999999993</v>
      </c>
      <c r="AJ15" s="252">
        <f>SUM(AJ8:AJ14)</f>
        <v>422.49200000000013</v>
      </c>
      <c r="AK15" s="252">
        <f>SUM(AK8:AK14)</f>
        <v>422.49200000000013</v>
      </c>
      <c r="AL15" s="241"/>
      <c r="AM15" s="252">
        <f>SUM(AM8:AM14)</f>
        <v>435.13399999999996</v>
      </c>
      <c r="AN15" s="252">
        <f>SUM(AN8:AN14)</f>
        <v>457.33299999999997</v>
      </c>
      <c r="AO15" s="252">
        <f>SUM(AO8:AO14)</f>
        <v>447.70499999999998</v>
      </c>
      <c r="AP15" s="252">
        <f>SUM(AP8:AP14)</f>
        <v>483.99199999999996</v>
      </c>
      <c r="AQ15" s="252">
        <f>SUM(AQ8:AQ14)</f>
        <v>483.99199999999996</v>
      </c>
      <c r="AR15" s="241"/>
      <c r="AS15" s="252">
        <f>SUM(AS8:AS14)</f>
        <v>458.67500000000013</v>
      </c>
      <c r="AT15" s="252">
        <f>SUM(AT8:AT14)</f>
        <v>454.50600000000003</v>
      </c>
      <c r="AU15" s="252">
        <f>SUM(AU8:AU14)</f>
        <v>338.16399999999999</v>
      </c>
      <c r="AV15" s="252">
        <f>SUM(AV8:AV14)</f>
        <v>322.42299999999994</v>
      </c>
      <c r="AW15" s="252">
        <f>SUM(AW8:AW14)</f>
        <v>322.42299999999994</v>
      </c>
      <c r="AX15" s="241"/>
      <c r="AY15" s="252">
        <f>SUM(AY8:AY14)</f>
        <v>335.36599999999999</v>
      </c>
      <c r="AZ15" s="252">
        <f>SUM(AZ8:AZ14)</f>
        <v>320.08800000000002</v>
      </c>
      <c r="BA15" s="252">
        <f>SUM(BA8:BA14)</f>
        <v>282.42399999999998</v>
      </c>
      <c r="BB15" s="252">
        <f>SUM(BB8:BB14)</f>
        <v>283.62099999999998</v>
      </c>
      <c r="BC15" s="252">
        <f>SUM(BC8:BC14)</f>
        <v>283.62099999999998</v>
      </c>
      <c r="BD15" s="241"/>
      <c r="BE15" s="252">
        <f>SUM(BE8:BE14)</f>
        <v>307.30000000000007</v>
      </c>
      <c r="BF15" s="252">
        <f>SUM(BF8:BF14)</f>
        <v>375.5</v>
      </c>
      <c r="BG15" s="252">
        <f>SUM(BG8:BG14)</f>
        <v>372.39999999999992</v>
      </c>
      <c r="BH15" s="252">
        <f>SUM(BH8:BH14)</f>
        <v>314.5</v>
      </c>
      <c r="BI15" s="252">
        <f>SUM(BI8:BI14)</f>
        <v>314.5</v>
      </c>
      <c r="BJ15" s="241"/>
      <c r="BK15" s="252">
        <f>SUM(BK8:BK14)</f>
        <v>322.89999999999998</v>
      </c>
      <c r="BL15" s="252">
        <f>SUM(BL8:BL14)</f>
        <v>341.6</v>
      </c>
      <c r="BM15" s="252">
        <f>SUM(BM8:BM14)</f>
        <v>348.3</v>
      </c>
      <c r="BN15" s="252">
        <f>SUM(BN8:BN14)</f>
        <v>317.09999999999991</v>
      </c>
      <c r="BO15" s="252">
        <f>SUM(BO8:BO14)</f>
        <v>317.09999999999991</v>
      </c>
      <c r="BP15" s="241"/>
      <c r="BQ15" s="252">
        <f>SUM(BQ8:BQ14)</f>
        <v>325.60000000000002</v>
      </c>
      <c r="BR15" s="252">
        <f>SUM(BR8:BR14)</f>
        <v>327</v>
      </c>
      <c r="BS15" s="252">
        <f>SUM(BS8:BS14)</f>
        <v>351.8877165438214</v>
      </c>
      <c r="BT15" s="252">
        <f>SUM(BT8:BT14)</f>
        <v>403.11945397440775</v>
      </c>
      <c r="BU15" s="252">
        <f>SUM(BU8:BU14)</f>
        <v>403.11945397440775</v>
      </c>
      <c r="BV15" s="241"/>
      <c r="BW15" s="252">
        <f>SUM(BW8:BW14)</f>
        <v>445.87197127806695</v>
      </c>
      <c r="BX15" s="252">
        <f>SUM(BX8:BX14)</f>
        <v>503.43187798147602</v>
      </c>
      <c r="BY15" s="252">
        <f>SUM(BY8:BY14)</f>
        <v>552.77836053805038</v>
      </c>
      <c r="BZ15" s="252">
        <f>SUM(BZ8:BZ14)</f>
        <v>604.64941561073886</v>
      </c>
      <c r="CA15" s="252">
        <f>SUM(CA8:CA14)</f>
        <v>604.64941561073886</v>
      </c>
      <c r="CB15" s="241"/>
      <c r="CC15" s="252">
        <f>SUM(CC8:CC14)</f>
        <v>649.81488977501431</v>
      </c>
      <c r="CD15" s="252">
        <f>SUM(CD8:CD14)</f>
        <v>711.99586670784709</v>
      </c>
      <c r="CE15" s="252">
        <f>SUM(CE8:CE14)</f>
        <v>764.63238027934597</v>
      </c>
      <c r="CF15" s="252">
        <f>SUM(CF8:CF14)</f>
        <v>820.14570329980415</v>
      </c>
      <c r="CG15" s="252">
        <f>SUM(CG8:CG14)</f>
        <v>820.14570329980415</v>
      </c>
      <c r="CH15" s="241"/>
      <c r="CI15" s="252">
        <f t="shared" ref="CI15:CM15" si="18">SUM(CI8:CI14)</f>
        <v>867.06674821973377</v>
      </c>
      <c r="CJ15" s="252">
        <f t="shared" si="18"/>
        <v>931.65859485620228</v>
      </c>
      <c r="CK15" s="252">
        <f t="shared" si="18"/>
        <v>984.95433445201638</v>
      </c>
      <c r="CL15" s="252">
        <f t="shared" si="18"/>
        <v>1041.5126164592325</v>
      </c>
      <c r="CM15" s="252">
        <f t="shared" si="18"/>
        <v>1041.5126164592325</v>
      </c>
      <c r="CN15" s="241"/>
      <c r="CO15" s="252">
        <f t="shared" ref="CO15:CS15" si="19">SUM(CO8:CO14)</f>
        <v>1090.4998711495277</v>
      </c>
      <c r="CP15" s="252">
        <f t="shared" si="19"/>
        <v>1159.5632119663205</v>
      </c>
      <c r="CQ15" s="252">
        <f t="shared" si="19"/>
        <v>1214.3466199822465</v>
      </c>
      <c r="CR15" s="252">
        <f t="shared" si="19"/>
        <v>1274.6698037577657</v>
      </c>
      <c r="CS15" s="252">
        <f t="shared" si="19"/>
        <v>1274.6698037577657</v>
      </c>
      <c r="CT15" s="252"/>
      <c r="CU15" s="252"/>
      <c r="CV15" s="606"/>
      <c r="CW15" s="43"/>
      <c r="CY15" s="43"/>
      <c r="CZ15" s="43"/>
    </row>
    <row r="16" spans="1:104" x14ac:dyDescent="0.2">
      <c r="A16" s="1"/>
      <c r="B16" s="63"/>
      <c r="C16" s="12"/>
      <c r="D16" s="12"/>
      <c r="E16" s="12"/>
      <c r="F16" s="12"/>
      <c r="G16" s="286"/>
      <c r="H16" s="63"/>
      <c r="I16" s="12"/>
      <c r="J16" s="12"/>
      <c r="K16" s="12"/>
      <c r="L16" s="12"/>
      <c r="M16" s="286"/>
      <c r="N16" s="63"/>
      <c r="O16" s="12"/>
      <c r="P16" s="12"/>
      <c r="Q16" s="12"/>
      <c r="R16" s="12"/>
      <c r="S16" s="286"/>
      <c r="T16" s="63"/>
      <c r="U16" s="12"/>
      <c r="V16" s="12"/>
      <c r="W16" s="12"/>
      <c r="X16" s="12"/>
      <c r="Y16" s="286"/>
      <c r="Z16" s="63"/>
      <c r="AA16" s="12"/>
      <c r="AB16" s="12"/>
      <c r="AC16" s="12"/>
      <c r="AD16" s="12"/>
      <c r="AE16" s="286"/>
      <c r="AF16" s="253"/>
      <c r="AG16" s="12"/>
      <c r="AH16" s="170"/>
      <c r="AI16" s="12"/>
      <c r="AJ16" s="12"/>
      <c r="AK16" s="286"/>
      <c r="AL16" s="253"/>
      <c r="AM16" s="170"/>
      <c r="AN16" s="170"/>
      <c r="AO16" s="12"/>
      <c r="AP16" s="12"/>
      <c r="AQ16" s="286"/>
      <c r="AR16" s="253"/>
      <c r="AS16" s="170"/>
      <c r="AT16" s="170"/>
      <c r="AU16" s="12"/>
      <c r="AV16" s="12"/>
      <c r="AW16" s="286"/>
      <c r="AX16" s="253"/>
      <c r="AY16" s="170"/>
      <c r="AZ16" s="170"/>
      <c r="BA16" s="170"/>
      <c r="BB16" s="170"/>
      <c r="BC16" s="286"/>
      <c r="BD16" s="253"/>
      <c r="BE16" s="170"/>
      <c r="BF16" s="170"/>
      <c r="BG16" s="170"/>
      <c r="BH16" s="170"/>
      <c r="BI16" s="286"/>
      <c r="BJ16" s="253"/>
      <c r="BK16" s="170"/>
      <c r="BL16" s="170"/>
      <c r="BM16" s="170"/>
      <c r="BN16" s="170"/>
      <c r="BO16" s="286"/>
      <c r="BP16" s="253"/>
      <c r="BQ16" s="170"/>
      <c r="BR16" s="170"/>
      <c r="BS16" s="170"/>
      <c r="BT16" s="170"/>
      <c r="BU16" s="286"/>
      <c r="BV16" s="253"/>
      <c r="BW16" s="170"/>
      <c r="BX16" s="170"/>
      <c r="BY16" s="170"/>
      <c r="BZ16" s="170"/>
      <c r="CA16" s="286"/>
      <c r="CB16" s="253"/>
      <c r="CC16" s="170"/>
      <c r="CD16" s="170"/>
      <c r="CE16" s="170"/>
      <c r="CF16" s="170"/>
      <c r="CG16" s="286"/>
      <c r="CH16" s="253"/>
      <c r="CI16" s="170"/>
      <c r="CJ16" s="170"/>
      <c r="CK16" s="170"/>
      <c r="CL16" s="170"/>
      <c r="CM16" s="286"/>
      <c r="CN16" s="253"/>
      <c r="CO16" s="170"/>
      <c r="CP16" s="170"/>
      <c r="CQ16" s="170"/>
      <c r="CR16" s="170"/>
      <c r="CS16" s="286"/>
      <c r="CT16" s="286"/>
      <c r="CU16" s="286"/>
      <c r="CV16" s="606"/>
      <c r="CW16" s="43"/>
      <c r="CY16" s="43"/>
      <c r="CZ16" s="43"/>
    </row>
    <row r="17" spans="1:104" x14ac:dyDescent="0.2">
      <c r="A17" s="1" t="s">
        <v>247</v>
      </c>
      <c r="B17" s="61"/>
      <c r="C17" s="176">
        <v>20.663</v>
      </c>
      <c r="D17" s="176">
        <v>23.760999999999999</v>
      </c>
      <c r="E17" s="176">
        <v>23.369</v>
      </c>
      <c r="F17" s="176">
        <v>24.888000000000002</v>
      </c>
      <c r="G17" s="183">
        <f t="shared" ref="G17:G23" si="20">F17</f>
        <v>24.888000000000002</v>
      </c>
      <c r="H17" s="61"/>
      <c r="I17" s="176">
        <v>25.966000000000001</v>
      </c>
      <c r="J17" s="176">
        <v>28.812000000000001</v>
      </c>
      <c r="K17" s="176">
        <v>28.111000000000001</v>
      </c>
      <c r="L17" s="176">
        <v>30.026</v>
      </c>
      <c r="M17" s="183">
        <f t="shared" ref="M17:M23" si="21">L17</f>
        <v>30.026</v>
      </c>
      <c r="N17" s="61"/>
      <c r="O17" s="176">
        <v>28.785</v>
      </c>
      <c r="P17" s="176">
        <v>29.126000000000001</v>
      </c>
      <c r="Q17" s="176">
        <v>28.619</v>
      </c>
      <c r="R17" s="176">
        <v>22.623000000000001</v>
      </c>
      <c r="S17" s="183">
        <f t="shared" ref="S17:S23" si="22">R17</f>
        <v>22.623000000000001</v>
      </c>
      <c r="T17" s="61"/>
      <c r="U17" s="176">
        <v>22.213999999999999</v>
      </c>
      <c r="V17" s="176">
        <v>24.824999999999999</v>
      </c>
      <c r="W17" s="176">
        <v>24.274999999999999</v>
      </c>
      <c r="X17" s="176">
        <v>23.260999999999999</v>
      </c>
      <c r="Y17" s="183">
        <f t="shared" ref="Y17:Y23" si="23">X17</f>
        <v>23.260999999999999</v>
      </c>
      <c r="Z17" s="61"/>
      <c r="AA17" s="176">
        <v>23.542999999999999</v>
      </c>
      <c r="AB17" s="176">
        <v>22.905000000000001</v>
      </c>
      <c r="AC17" s="176">
        <v>21.343</v>
      </c>
      <c r="AD17" s="176">
        <v>23.08</v>
      </c>
      <c r="AE17" s="183">
        <f t="shared" ref="AE17:AE23" si="24">AD17</f>
        <v>23.08</v>
      </c>
      <c r="AF17" s="241"/>
      <c r="AG17" s="176">
        <v>23.259</v>
      </c>
      <c r="AH17" s="176">
        <v>24.329000000000001</v>
      </c>
      <c r="AI17" s="176">
        <v>24.100999999999999</v>
      </c>
      <c r="AJ17" s="176">
        <v>24.231000000000002</v>
      </c>
      <c r="AK17" s="183">
        <f t="shared" ref="AK17:AK23" si="25">AJ17</f>
        <v>24.231000000000002</v>
      </c>
      <c r="AL17" s="241"/>
      <c r="AM17" s="176">
        <v>24.757000000000001</v>
      </c>
      <c r="AN17" s="176">
        <v>27.285</v>
      </c>
      <c r="AO17" s="176">
        <v>26.875</v>
      </c>
      <c r="AP17" s="176">
        <v>27.602</v>
      </c>
      <c r="AQ17" s="183">
        <f t="shared" ref="AQ17:AQ23" si="26">AP17</f>
        <v>27.602</v>
      </c>
      <c r="AR17" s="241"/>
      <c r="AS17" s="176">
        <v>30.675000000000001</v>
      </c>
      <c r="AT17" s="176">
        <v>31.312999999999999</v>
      </c>
      <c r="AU17" s="176">
        <v>32.664999999999999</v>
      </c>
      <c r="AV17" s="176">
        <v>34.594000000000001</v>
      </c>
      <c r="AW17" s="183">
        <f t="shared" ref="AW17:AW23" si="27">AV17</f>
        <v>34.594000000000001</v>
      </c>
      <c r="AX17" s="241"/>
      <c r="AY17" s="176">
        <v>43.423999999999999</v>
      </c>
      <c r="AZ17" s="176">
        <v>46.457999999999998</v>
      </c>
      <c r="BA17" s="176">
        <v>69.099000000000004</v>
      </c>
      <c r="BB17" s="176">
        <v>67.2</v>
      </c>
      <c r="BC17" s="183">
        <f t="shared" ref="BC17:BC23" si="28">BB17</f>
        <v>67.2</v>
      </c>
      <c r="BD17" s="241"/>
      <c r="BE17" s="176">
        <v>64.900000000000006</v>
      </c>
      <c r="BF17" s="176">
        <v>61.7</v>
      </c>
      <c r="BG17" s="176">
        <v>60</v>
      </c>
      <c r="BH17" s="176">
        <v>58.3</v>
      </c>
      <c r="BI17" s="183">
        <f t="shared" ref="BI17:BI23" si="29">BH17</f>
        <v>58.3</v>
      </c>
      <c r="BJ17" s="241"/>
      <c r="BK17" s="176">
        <v>56.8</v>
      </c>
      <c r="BL17" s="176">
        <v>54.7</v>
      </c>
      <c r="BM17" s="176">
        <v>53</v>
      </c>
      <c r="BN17" s="176">
        <v>51.1</v>
      </c>
      <c r="BO17" s="183">
        <f t="shared" ref="BO17:BO23" si="30">BN17</f>
        <v>51.1</v>
      </c>
      <c r="BP17" s="241"/>
      <c r="BQ17" s="176">
        <v>49.8</v>
      </c>
      <c r="BR17" s="176">
        <v>48.4</v>
      </c>
      <c r="BS17" s="183">
        <f>+BS119</f>
        <v>49.243088092211167</v>
      </c>
      <c r="BT17" s="183">
        <f>+BT119</f>
        <v>50.14989535637531</v>
      </c>
      <c r="BU17" s="183">
        <f t="shared" ref="BU17:BU23" si="31">BT17</f>
        <v>50.14989535637531</v>
      </c>
      <c r="BV17" s="241"/>
      <c r="BW17" s="183">
        <f>+BW119</f>
        <v>49.635696853469028</v>
      </c>
      <c r="BX17" s="183">
        <f>+BX119</f>
        <v>49.388502765587077</v>
      </c>
      <c r="BY17" s="183">
        <f>+BY119</f>
        <v>49.020074704834173</v>
      </c>
      <c r="BZ17" s="183">
        <f>+BZ119</f>
        <v>48.748233824384329</v>
      </c>
      <c r="CA17" s="183">
        <f t="shared" ref="CA17:CA23" si="32">BZ17</f>
        <v>48.748233824384329</v>
      </c>
      <c r="CB17" s="241"/>
      <c r="CC17" s="183">
        <f>+CC119</f>
        <v>48.002251002917831</v>
      </c>
      <c r="CD17" s="183">
        <f>+CD119</f>
        <v>47.394347713060597</v>
      </c>
      <c r="CE17" s="183">
        <f>+CE119</f>
        <v>46.656379648968226</v>
      </c>
      <c r="CF17" s="183">
        <f>+CF119</f>
        <v>46.035039227890394</v>
      </c>
      <c r="CG17" s="183">
        <f t="shared" ref="CG17:CG23" si="33">CF17</f>
        <v>46.035039227890394</v>
      </c>
      <c r="CH17" s="241"/>
      <c r="CI17" s="183">
        <f t="shared" ref="CI17:CL17" si="34">+CI119</f>
        <v>45.1336852302409</v>
      </c>
      <c r="CJ17" s="183">
        <f t="shared" si="34"/>
        <v>44.395608785799652</v>
      </c>
      <c r="CK17" s="183">
        <f t="shared" si="34"/>
        <v>43.493701104935298</v>
      </c>
      <c r="CL17" s="183">
        <f t="shared" si="34"/>
        <v>42.716150896986392</v>
      </c>
      <c r="CM17" s="183">
        <f t="shared" ref="CM17:CM23" si="35">CL17</f>
        <v>42.716150896986392</v>
      </c>
      <c r="CN17" s="241"/>
      <c r="CO17" s="183">
        <f t="shared" ref="CO17:CR17" si="36">+CO119</f>
        <v>41.647344432144536</v>
      </c>
      <c r="CP17" s="183">
        <f t="shared" si="36"/>
        <v>40.792255747826829</v>
      </c>
      <c r="CQ17" s="183">
        <f t="shared" si="36"/>
        <v>39.70979870869138</v>
      </c>
      <c r="CR17" s="183">
        <f t="shared" si="36"/>
        <v>38.78666452759353</v>
      </c>
      <c r="CS17" s="183">
        <f t="shared" ref="CS17:CS23" si="37">CR17</f>
        <v>38.78666452759353</v>
      </c>
      <c r="CT17" s="183"/>
      <c r="CU17" s="183"/>
      <c r="CV17" s="606"/>
      <c r="CW17" s="43"/>
      <c r="CY17" s="43"/>
      <c r="CZ17" s="43"/>
    </row>
    <row r="18" spans="1:104" x14ac:dyDescent="0.2">
      <c r="A18" s="1" t="s">
        <v>248</v>
      </c>
      <c r="B18" s="61"/>
      <c r="C18" s="176">
        <v>0</v>
      </c>
      <c r="D18" s="176">
        <v>0</v>
      </c>
      <c r="E18" s="176">
        <v>0</v>
      </c>
      <c r="F18" s="176">
        <v>94.200999999999993</v>
      </c>
      <c r="G18" s="183">
        <f t="shared" si="20"/>
        <v>94.200999999999993</v>
      </c>
      <c r="H18" s="61"/>
      <c r="I18" s="176">
        <v>110.726</v>
      </c>
      <c r="J18" s="176">
        <v>122.30200000000001</v>
      </c>
      <c r="K18" s="176">
        <v>106.294</v>
      </c>
      <c r="L18" s="176">
        <v>91.328000000000003</v>
      </c>
      <c r="M18" s="183">
        <f t="shared" si="21"/>
        <v>91.328000000000003</v>
      </c>
      <c r="N18" s="61"/>
      <c r="O18" s="176">
        <v>134.285</v>
      </c>
      <c r="P18" s="176">
        <v>164.928</v>
      </c>
      <c r="Q18" s="176">
        <v>132.75700000000001</v>
      </c>
      <c r="R18" s="176">
        <v>75.37</v>
      </c>
      <c r="S18" s="183">
        <f t="shared" si="22"/>
        <v>75.37</v>
      </c>
      <c r="T18" s="61"/>
      <c r="U18" s="176">
        <v>59.37</v>
      </c>
      <c r="V18" s="176">
        <v>112.15</v>
      </c>
      <c r="W18" s="176">
        <v>112.53400000000001</v>
      </c>
      <c r="X18" s="176">
        <v>85.153999999999996</v>
      </c>
      <c r="Y18" s="183">
        <f t="shared" si="23"/>
        <v>85.153999999999996</v>
      </c>
      <c r="Z18" s="61"/>
      <c r="AA18" s="176">
        <v>80.063999999999993</v>
      </c>
      <c r="AB18" s="176">
        <v>103.10599999999999</v>
      </c>
      <c r="AC18" s="176">
        <v>90.266999999999996</v>
      </c>
      <c r="AD18" s="176">
        <v>70.856999999999999</v>
      </c>
      <c r="AE18" s="183">
        <f t="shared" si="24"/>
        <v>70.856999999999999</v>
      </c>
      <c r="AF18" s="241"/>
      <c r="AG18" s="176">
        <v>52.182000000000002</v>
      </c>
      <c r="AH18" s="176">
        <v>77.629000000000005</v>
      </c>
      <c r="AI18" s="176">
        <v>129.346</v>
      </c>
      <c r="AJ18" s="176">
        <v>113.69199999999999</v>
      </c>
      <c r="AK18" s="183">
        <f t="shared" si="25"/>
        <v>113.69199999999999</v>
      </c>
      <c r="AL18" s="241"/>
      <c r="AM18" s="176">
        <v>117.125</v>
      </c>
      <c r="AN18" s="176">
        <v>109.636</v>
      </c>
      <c r="AO18" s="176">
        <v>126.12</v>
      </c>
      <c r="AP18" s="176">
        <v>158.74799999999999</v>
      </c>
      <c r="AQ18" s="183">
        <f t="shared" si="26"/>
        <v>158.74799999999999</v>
      </c>
      <c r="AR18" s="241"/>
      <c r="AS18" s="176">
        <v>158.566</v>
      </c>
      <c r="AT18" s="176">
        <v>135.18700000000001</v>
      </c>
      <c r="AU18" s="176">
        <v>65.555000000000007</v>
      </c>
      <c r="AV18" s="176">
        <v>84.123999999999995</v>
      </c>
      <c r="AW18" s="183">
        <f t="shared" si="27"/>
        <v>84.123999999999995</v>
      </c>
      <c r="AX18" s="241"/>
      <c r="AY18" s="176">
        <v>54.073</v>
      </c>
      <c r="AZ18" s="176">
        <v>42.3</v>
      </c>
      <c r="BA18" s="176">
        <v>41.2</v>
      </c>
      <c r="BB18" s="176">
        <v>40.6</v>
      </c>
      <c r="BC18" s="183">
        <f t="shared" si="28"/>
        <v>40.6</v>
      </c>
      <c r="BD18" s="241"/>
      <c r="BE18" s="176">
        <v>43.1</v>
      </c>
      <c r="BF18" s="176">
        <v>66.2</v>
      </c>
      <c r="BG18" s="176">
        <v>69.7</v>
      </c>
      <c r="BH18" s="176">
        <v>79.900000000000006</v>
      </c>
      <c r="BI18" s="183">
        <f t="shared" si="29"/>
        <v>79.900000000000006</v>
      </c>
      <c r="BJ18" s="241"/>
      <c r="BK18" s="176">
        <v>52.2</v>
      </c>
      <c r="BL18" s="176">
        <v>55.5</v>
      </c>
      <c r="BM18" s="176">
        <v>53.4</v>
      </c>
      <c r="BN18" s="176">
        <v>48.5</v>
      </c>
      <c r="BO18" s="183">
        <f t="shared" si="30"/>
        <v>48.5</v>
      </c>
      <c r="BP18" s="241"/>
      <c r="BQ18" s="176">
        <v>50.1</v>
      </c>
      <c r="BR18" s="176">
        <v>58.5</v>
      </c>
      <c r="BS18" s="183">
        <f>+BR18-'Cash Flow'!BS33</f>
        <v>58.5</v>
      </c>
      <c r="BT18" s="183">
        <f>+BS18-'Cash Flow'!BT33</f>
        <v>58.5</v>
      </c>
      <c r="BU18" s="183">
        <f t="shared" si="31"/>
        <v>58.5</v>
      </c>
      <c r="BV18" s="241"/>
      <c r="BW18" s="183">
        <f>+BT18-'Cash Flow'!BW33</f>
        <v>58.5</v>
      </c>
      <c r="BX18" s="183">
        <f>+BW18-'Cash Flow'!BX33</f>
        <v>58.5</v>
      </c>
      <c r="BY18" s="183">
        <f>+BX18-'Cash Flow'!BY33</f>
        <v>58.5</v>
      </c>
      <c r="BZ18" s="183">
        <f>+BY18-'Cash Flow'!BZ33</f>
        <v>58.5</v>
      </c>
      <c r="CA18" s="183">
        <f t="shared" si="32"/>
        <v>58.5</v>
      </c>
      <c r="CB18" s="241"/>
      <c r="CC18" s="183">
        <f>+BZ18-'Cash Flow'!CC33</f>
        <v>58.5</v>
      </c>
      <c r="CD18" s="183">
        <f>+CC18-'Cash Flow'!CD33</f>
        <v>58.5</v>
      </c>
      <c r="CE18" s="183">
        <f>+CD18-'Cash Flow'!CE33</f>
        <v>58.5</v>
      </c>
      <c r="CF18" s="183">
        <f>+CE18-'Cash Flow'!CF33</f>
        <v>58.5</v>
      </c>
      <c r="CG18" s="183">
        <f t="shared" si="33"/>
        <v>58.5</v>
      </c>
      <c r="CH18" s="241"/>
      <c r="CI18" s="183">
        <f>+CF18-'Cash Flow'!CI33</f>
        <v>58.5</v>
      </c>
      <c r="CJ18" s="183">
        <f>+CI18-'Cash Flow'!CJ33</f>
        <v>58.5</v>
      </c>
      <c r="CK18" s="183">
        <f>+CJ18-'Cash Flow'!CK33</f>
        <v>58.5</v>
      </c>
      <c r="CL18" s="183">
        <f>+CK18-'Cash Flow'!CL33</f>
        <v>58.5</v>
      </c>
      <c r="CM18" s="183">
        <f t="shared" si="35"/>
        <v>58.5</v>
      </c>
      <c r="CN18" s="241"/>
      <c r="CO18" s="183">
        <f>+CL18-'Cash Flow'!CO33</f>
        <v>58.5</v>
      </c>
      <c r="CP18" s="183">
        <f>+CO18-'Cash Flow'!CP33</f>
        <v>58.5</v>
      </c>
      <c r="CQ18" s="183">
        <f>+CP18-'Cash Flow'!CQ33</f>
        <v>58.5</v>
      </c>
      <c r="CR18" s="183">
        <f>+CQ18-'Cash Flow'!CR33</f>
        <v>58.5</v>
      </c>
      <c r="CS18" s="183">
        <f t="shared" si="37"/>
        <v>58.5</v>
      </c>
      <c r="CT18" s="183"/>
      <c r="CU18" s="183"/>
      <c r="CV18" s="606"/>
      <c r="CW18" s="43"/>
      <c r="CY18" s="43"/>
      <c r="CZ18" s="43"/>
    </row>
    <row r="19" spans="1:104" x14ac:dyDescent="0.2">
      <c r="A19" s="1" t="s">
        <v>249</v>
      </c>
      <c r="B19" s="61"/>
      <c r="C19" s="176">
        <v>0</v>
      </c>
      <c r="D19" s="176">
        <v>0</v>
      </c>
      <c r="E19" s="176">
        <v>0</v>
      </c>
      <c r="F19" s="176">
        <v>0</v>
      </c>
      <c r="G19" s="183">
        <f t="shared" si="20"/>
        <v>0</v>
      </c>
      <c r="H19" s="61"/>
      <c r="I19" s="176">
        <v>0</v>
      </c>
      <c r="J19" s="176">
        <v>0</v>
      </c>
      <c r="K19" s="176">
        <v>0</v>
      </c>
      <c r="L19" s="176">
        <v>0</v>
      </c>
      <c r="M19" s="183">
        <f t="shared" si="21"/>
        <v>0</v>
      </c>
      <c r="N19" s="61"/>
      <c r="O19" s="176">
        <v>0</v>
      </c>
      <c r="P19" s="176">
        <v>0</v>
      </c>
      <c r="Q19" s="176">
        <v>0</v>
      </c>
      <c r="R19" s="176">
        <v>0</v>
      </c>
      <c r="S19" s="183">
        <f t="shared" si="22"/>
        <v>0</v>
      </c>
      <c r="T19" s="61"/>
      <c r="U19" s="176">
        <v>0</v>
      </c>
      <c r="V19" s="176">
        <v>0</v>
      </c>
      <c r="W19" s="176">
        <v>0</v>
      </c>
      <c r="X19" s="176">
        <v>9.4039999999999999</v>
      </c>
      <c r="Y19" s="183">
        <f t="shared" si="23"/>
        <v>9.4039999999999999</v>
      </c>
      <c r="Z19" s="61"/>
      <c r="AA19" s="176">
        <v>13.416</v>
      </c>
      <c r="AB19" s="176">
        <v>20.795000000000002</v>
      </c>
      <c r="AC19" s="176">
        <v>28.152999999999999</v>
      </c>
      <c r="AD19" s="176">
        <v>25.863</v>
      </c>
      <c r="AE19" s="183">
        <f t="shared" si="24"/>
        <v>25.863</v>
      </c>
      <c r="AF19" s="241"/>
      <c r="AG19" s="176">
        <v>27.524999999999999</v>
      </c>
      <c r="AH19" s="176">
        <v>28.081</v>
      </c>
      <c r="AI19" s="176">
        <v>27.963999999999999</v>
      </c>
      <c r="AJ19" s="176">
        <v>30.648</v>
      </c>
      <c r="AK19" s="183">
        <f t="shared" si="25"/>
        <v>30.648</v>
      </c>
      <c r="AL19" s="241"/>
      <c r="AM19" s="176">
        <v>26.081</v>
      </c>
      <c r="AN19" s="176">
        <v>24.59</v>
      </c>
      <c r="AO19" s="176">
        <v>28.952999999999999</v>
      </c>
      <c r="AP19" s="176">
        <v>28.632000000000001</v>
      </c>
      <c r="AQ19" s="183">
        <f t="shared" si="26"/>
        <v>28.632000000000001</v>
      </c>
      <c r="AR19" s="241"/>
      <c r="AS19" s="176">
        <v>28.472999999999999</v>
      </c>
      <c r="AT19" s="176">
        <v>29.983000000000001</v>
      </c>
      <c r="AU19" s="176">
        <v>0</v>
      </c>
      <c r="AV19" s="176">
        <v>3.18</v>
      </c>
      <c r="AW19" s="183">
        <f t="shared" si="27"/>
        <v>3.18</v>
      </c>
      <c r="AX19" s="241"/>
      <c r="AY19" s="176">
        <v>0</v>
      </c>
      <c r="AZ19" s="176">
        <v>0</v>
      </c>
      <c r="BA19" s="176">
        <v>0.40699999999999997</v>
      </c>
      <c r="BB19" s="176">
        <v>0</v>
      </c>
      <c r="BC19" s="183">
        <f t="shared" si="28"/>
        <v>0</v>
      </c>
      <c r="BD19" s="241"/>
      <c r="BE19" s="176">
        <v>0</v>
      </c>
      <c r="BF19" s="176">
        <v>0</v>
      </c>
      <c r="BG19" s="176">
        <v>0</v>
      </c>
      <c r="BH19" s="176">
        <v>0</v>
      </c>
      <c r="BI19" s="183">
        <f t="shared" si="29"/>
        <v>0</v>
      </c>
      <c r="BJ19" s="241"/>
      <c r="BK19" s="176">
        <v>0</v>
      </c>
      <c r="BL19" s="176">
        <v>0</v>
      </c>
      <c r="BM19" s="176">
        <v>0</v>
      </c>
      <c r="BN19" s="176">
        <v>0</v>
      </c>
      <c r="BO19" s="183">
        <f t="shared" si="30"/>
        <v>0</v>
      </c>
      <c r="BP19" s="241"/>
      <c r="BQ19" s="176">
        <v>0</v>
      </c>
      <c r="BR19" s="176">
        <v>0</v>
      </c>
      <c r="BS19" s="183">
        <f>+BR19</f>
        <v>0</v>
      </c>
      <c r="BT19" s="183">
        <f>+BS19</f>
        <v>0</v>
      </c>
      <c r="BU19" s="183">
        <f t="shared" si="31"/>
        <v>0</v>
      </c>
      <c r="BV19" s="241"/>
      <c r="BW19" s="183">
        <f>+BT19</f>
        <v>0</v>
      </c>
      <c r="BX19" s="183">
        <f>+BW19</f>
        <v>0</v>
      </c>
      <c r="BY19" s="183">
        <f>+BX19</f>
        <v>0</v>
      </c>
      <c r="BZ19" s="183">
        <f>+BY19</f>
        <v>0</v>
      </c>
      <c r="CA19" s="183">
        <f t="shared" si="32"/>
        <v>0</v>
      </c>
      <c r="CB19" s="241"/>
      <c r="CC19" s="183">
        <f>+BZ19</f>
        <v>0</v>
      </c>
      <c r="CD19" s="183">
        <f>+CC19</f>
        <v>0</v>
      </c>
      <c r="CE19" s="183">
        <f>+CD19</f>
        <v>0</v>
      </c>
      <c r="CF19" s="183">
        <f>+CE19</f>
        <v>0</v>
      </c>
      <c r="CG19" s="183">
        <f t="shared" si="33"/>
        <v>0</v>
      </c>
      <c r="CH19" s="241"/>
      <c r="CI19" s="183">
        <f t="shared" ref="CI19" si="38">+CF19</f>
        <v>0</v>
      </c>
      <c r="CJ19" s="183">
        <f t="shared" ref="CJ19:CL19" si="39">+CI19</f>
        <v>0</v>
      </c>
      <c r="CK19" s="183">
        <f t="shared" si="39"/>
        <v>0</v>
      </c>
      <c r="CL19" s="183">
        <f t="shared" si="39"/>
        <v>0</v>
      </c>
      <c r="CM19" s="183">
        <f t="shared" si="35"/>
        <v>0</v>
      </c>
      <c r="CN19" s="241"/>
      <c r="CO19" s="183">
        <f t="shared" ref="CO19" si="40">+CL19</f>
        <v>0</v>
      </c>
      <c r="CP19" s="183">
        <f t="shared" ref="CP19:CR19" si="41">+CO19</f>
        <v>0</v>
      </c>
      <c r="CQ19" s="183">
        <f t="shared" si="41"/>
        <v>0</v>
      </c>
      <c r="CR19" s="183">
        <f t="shared" si="41"/>
        <v>0</v>
      </c>
      <c r="CS19" s="183">
        <f t="shared" si="37"/>
        <v>0</v>
      </c>
      <c r="CT19" s="183"/>
      <c r="CU19" s="183"/>
      <c r="CV19" s="606"/>
      <c r="CW19" s="43"/>
      <c r="CY19" s="43"/>
      <c r="CZ19" s="43"/>
    </row>
    <row r="20" spans="1:104" x14ac:dyDescent="0.2">
      <c r="A20" s="1" t="s">
        <v>250</v>
      </c>
      <c r="B20" s="61"/>
      <c r="C20" s="176">
        <v>0</v>
      </c>
      <c r="D20" s="176">
        <v>0</v>
      </c>
      <c r="E20" s="176">
        <v>0</v>
      </c>
      <c r="F20" s="176">
        <v>0</v>
      </c>
      <c r="G20" s="183">
        <f t="shared" si="20"/>
        <v>0</v>
      </c>
      <c r="H20" s="61"/>
      <c r="I20" s="176">
        <v>0</v>
      </c>
      <c r="J20" s="176">
        <v>0</v>
      </c>
      <c r="K20" s="176">
        <v>0</v>
      </c>
      <c r="L20" s="176">
        <v>0</v>
      </c>
      <c r="M20" s="183">
        <f t="shared" si="21"/>
        <v>0</v>
      </c>
      <c r="N20" s="61"/>
      <c r="O20" s="176">
        <v>0</v>
      </c>
      <c r="P20" s="176">
        <v>0</v>
      </c>
      <c r="Q20" s="176">
        <v>0</v>
      </c>
      <c r="R20" s="176">
        <v>0</v>
      </c>
      <c r="S20" s="183">
        <f t="shared" si="22"/>
        <v>0</v>
      </c>
      <c r="T20" s="61"/>
      <c r="U20" s="176">
        <v>0</v>
      </c>
      <c r="V20" s="176">
        <v>0</v>
      </c>
      <c r="W20" s="176">
        <v>0</v>
      </c>
      <c r="X20" s="176">
        <v>0</v>
      </c>
      <c r="Y20" s="183">
        <f t="shared" si="23"/>
        <v>0</v>
      </c>
      <c r="Z20" s="61"/>
      <c r="AA20" s="176">
        <v>0</v>
      </c>
      <c r="AB20" s="176">
        <v>0</v>
      </c>
      <c r="AC20" s="176">
        <v>0</v>
      </c>
      <c r="AD20" s="176">
        <v>0</v>
      </c>
      <c r="AE20" s="183">
        <f t="shared" si="24"/>
        <v>0</v>
      </c>
      <c r="AF20" s="241"/>
      <c r="AG20" s="176">
        <v>17</v>
      </c>
      <c r="AH20" s="176">
        <v>17.667000000000002</v>
      </c>
      <c r="AI20" s="176">
        <v>18.332999999999998</v>
      </c>
      <c r="AJ20" s="176">
        <v>19</v>
      </c>
      <c r="AK20" s="183">
        <f t="shared" si="25"/>
        <v>19</v>
      </c>
      <c r="AL20" s="241"/>
      <c r="AM20" s="176">
        <v>19.667000000000002</v>
      </c>
      <c r="AN20" s="176">
        <v>20.332999999999998</v>
      </c>
      <c r="AO20" s="176">
        <v>21</v>
      </c>
      <c r="AP20" s="176">
        <v>21.667000000000002</v>
      </c>
      <c r="AQ20" s="183">
        <f t="shared" si="26"/>
        <v>21.667000000000002</v>
      </c>
      <c r="AR20" s="241"/>
      <c r="AS20" s="176">
        <v>22.332999999999998</v>
      </c>
      <c r="AT20" s="176">
        <v>23</v>
      </c>
      <c r="AU20" s="176">
        <v>0</v>
      </c>
      <c r="AV20" s="176">
        <v>0</v>
      </c>
      <c r="AW20" s="183">
        <f t="shared" si="27"/>
        <v>0</v>
      </c>
      <c r="AX20" s="241"/>
      <c r="AY20" s="176">
        <v>0</v>
      </c>
      <c r="AZ20" s="176">
        <v>0</v>
      </c>
      <c r="BA20" s="176">
        <v>0</v>
      </c>
      <c r="BB20" s="176">
        <v>0</v>
      </c>
      <c r="BC20" s="183">
        <f t="shared" si="28"/>
        <v>0</v>
      </c>
      <c r="BD20" s="241"/>
      <c r="BE20" s="176">
        <v>0</v>
      </c>
      <c r="BF20" s="176">
        <v>0</v>
      </c>
      <c r="BG20" s="176">
        <v>0</v>
      </c>
      <c r="BH20" s="176">
        <v>0</v>
      </c>
      <c r="BI20" s="183">
        <f t="shared" si="29"/>
        <v>0</v>
      </c>
      <c r="BJ20" s="241"/>
      <c r="BK20" s="176">
        <v>0</v>
      </c>
      <c r="BL20" s="176">
        <v>0</v>
      </c>
      <c r="BM20" s="176">
        <v>0</v>
      </c>
      <c r="BN20" s="176">
        <v>0</v>
      </c>
      <c r="BO20" s="183">
        <f t="shared" si="30"/>
        <v>0</v>
      </c>
      <c r="BP20" s="241"/>
      <c r="BQ20" s="176">
        <v>0</v>
      </c>
      <c r="BR20" s="176">
        <v>0</v>
      </c>
      <c r="BS20" s="183">
        <f>BR20-'Cash Flow'!BS13</f>
        <v>0</v>
      </c>
      <c r="BT20" s="183">
        <f>BS20-'Cash Flow'!BT13</f>
        <v>0</v>
      </c>
      <c r="BU20" s="183">
        <f t="shared" si="31"/>
        <v>0</v>
      </c>
      <c r="BV20" s="241"/>
      <c r="BW20" s="183">
        <f>BU20-'Cash Flow'!BW13</f>
        <v>0</v>
      </c>
      <c r="BX20" s="183">
        <f>BW20-'Cash Flow'!BX13</f>
        <v>0</v>
      </c>
      <c r="BY20" s="183">
        <f>BX20-'Cash Flow'!BY13</f>
        <v>0</v>
      </c>
      <c r="BZ20" s="183">
        <f>BY20-'Cash Flow'!BZ13</f>
        <v>0</v>
      </c>
      <c r="CA20" s="183">
        <f t="shared" si="32"/>
        <v>0</v>
      </c>
      <c r="CB20" s="241"/>
      <c r="CC20" s="183">
        <f>CA20-'Cash Flow'!CC13</f>
        <v>0</v>
      </c>
      <c r="CD20" s="183">
        <f>CC20-'Cash Flow'!CD13</f>
        <v>0</v>
      </c>
      <c r="CE20" s="183">
        <f>CD20-'Cash Flow'!CE13</f>
        <v>0</v>
      </c>
      <c r="CF20" s="183">
        <f>CE20-'Cash Flow'!CF13</f>
        <v>0</v>
      </c>
      <c r="CG20" s="183">
        <f t="shared" si="33"/>
        <v>0</v>
      </c>
      <c r="CH20" s="241"/>
      <c r="CI20" s="183">
        <f>CG20-'Cash Flow'!CI13</f>
        <v>0</v>
      </c>
      <c r="CJ20" s="183">
        <f>CI20-'Cash Flow'!CJ13</f>
        <v>0</v>
      </c>
      <c r="CK20" s="183">
        <f>CJ20-'Cash Flow'!CK13</f>
        <v>0</v>
      </c>
      <c r="CL20" s="183">
        <f>CK20-'Cash Flow'!CL13</f>
        <v>0</v>
      </c>
      <c r="CM20" s="183">
        <f t="shared" si="35"/>
        <v>0</v>
      </c>
      <c r="CN20" s="241"/>
      <c r="CO20" s="183">
        <f>CM20-'Cash Flow'!CO13</f>
        <v>0</v>
      </c>
      <c r="CP20" s="183">
        <f>CO20-'Cash Flow'!CP13</f>
        <v>0</v>
      </c>
      <c r="CQ20" s="183">
        <f>CP20-'Cash Flow'!CQ13</f>
        <v>0</v>
      </c>
      <c r="CR20" s="183">
        <f>CQ20-'Cash Flow'!CR13</f>
        <v>0</v>
      </c>
      <c r="CS20" s="183">
        <f t="shared" si="37"/>
        <v>0</v>
      </c>
      <c r="CT20" s="183"/>
      <c r="CU20" s="183"/>
      <c r="CV20" s="606"/>
      <c r="CW20" s="43"/>
      <c r="CY20" s="43"/>
      <c r="CZ20" s="43"/>
    </row>
    <row r="21" spans="1:104" x14ac:dyDescent="0.2">
      <c r="A21" s="1" t="s">
        <v>251</v>
      </c>
      <c r="B21" s="61"/>
      <c r="C21" s="176">
        <v>4.3490000000000002</v>
      </c>
      <c r="D21" s="176">
        <v>4.1920000000000002</v>
      </c>
      <c r="E21" s="176">
        <v>4.0540000000000003</v>
      </c>
      <c r="F21" s="176">
        <v>3.9169999999999998</v>
      </c>
      <c r="G21" s="183">
        <f t="shared" si="20"/>
        <v>3.9169999999999998</v>
      </c>
      <c r="H21" s="61"/>
      <c r="I21" s="176">
        <v>3.7789999999999999</v>
      </c>
      <c r="J21" s="176">
        <v>3.742</v>
      </c>
      <c r="K21" s="176">
        <v>3.6040000000000001</v>
      </c>
      <c r="L21" s="176">
        <v>0.68500000000000005</v>
      </c>
      <c r="M21" s="183">
        <f t="shared" si="21"/>
        <v>0.68500000000000005</v>
      </c>
      <c r="N21" s="61"/>
      <c r="O21" s="176">
        <v>2.6040000000000001</v>
      </c>
      <c r="P21" s="176">
        <v>2.5920000000000001</v>
      </c>
      <c r="Q21" s="176">
        <v>2.48</v>
      </c>
      <c r="R21" s="176">
        <v>2.2749999999999999</v>
      </c>
      <c r="S21" s="183">
        <f t="shared" si="22"/>
        <v>2.2749999999999999</v>
      </c>
      <c r="T21" s="61"/>
      <c r="U21" s="176">
        <v>2.194</v>
      </c>
      <c r="V21" s="176">
        <v>2.214</v>
      </c>
      <c r="W21" s="176">
        <v>2.133</v>
      </c>
      <c r="X21" s="176">
        <v>2.052</v>
      </c>
      <c r="Y21" s="183">
        <f t="shared" si="23"/>
        <v>2.052</v>
      </c>
      <c r="Z21" s="61"/>
      <c r="AA21" s="176">
        <v>1.972</v>
      </c>
      <c r="AB21" s="176">
        <v>1.9910000000000001</v>
      </c>
      <c r="AC21" s="176">
        <v>1.911</v>
      </c>
      <c r="AD21" s="176">
        <v>0</v>
      </c>
      <c r="AE21" s="183">
        <f t="shared" si="24"/>
        <v>0</v>
      </c>
      <c r="AF21" s="241"/>
      <c r="AG21" s="176">
        <v>8</v>
      </c>
      <c r="AH21" s="176">
        <v>8</v>
      </c>
      <c r="AI21" s="176">
        <v>8</v>
      </c>
      <c r="AJ21" s="176">
        <v>8</v>
      </c>
      <c r="AK21" s="183">
        <f t="shared" si="25"/>
        <v>8</v>
      </c>
      <c r="AL21" s="241"/>
      <c r="AM21" s="176">
        <v>8</v>
      </c>
      <c r="AN21" s="176">
        <v>8</v>
      </c>
      <c r="AO21" s="176">
        <v>8</v>
      </c>
      <c r="AP21" s="176">
        <v>13</v>
      </c>
      <c r="AQ21" s="183">
        <f t="shared" si="26"/>
        <v>13</v>
      </c>
      <c r="AR21" s="241"/>
      <c r="AS21" s="176">
        <v>13</v>
      </c>
      <c r="AT21" s="176">
        <v>13</v>
      </c>
      <c r="AU21" s="176">
        <v>5</v>
      </c>
      <c r="AV21" s="176">
        <v>5</v>
      </c>
      <c r="AW21" s="183">
        <f t="shared" si="27"/>
        <v>5</v>
      </c>
      <c r="AX21" s="241"/>
      <c r="AY21" s="176">
        <v>5</v>
      </c>
      <c r="AZ21" s="176">
        <v>5</v>
      </c>
      <c r="BA21" s="176">
        <v>5</v>
      </c>
      <c r="BB21" s="176">
        <v>5</v>
      </c>
      <c r="BC21" s="183">
        <f t="shared" si="28"/>
        <v>5</v>
      </c>
      <c r="BD21" s="241"/>
      <c r="BE21" s="176">
        <v>5</v>
      </c>
      <c r="BF21" s="176">
        <v>5</v>
      </c>
      <c r="BG21" s="176">
        <v>5</v>
      </c>
      <c r="BH21" s="176">
        <v>5</v>
      </c>
      <c r="BI21" s="183">
        <f t="shared" si="29"/>
        <v>5</v>
      </c>
      <c r="BJ21" s="241"/>
      <c r="BK21" s="176">
        <v>5</v>
      </c>
      <c r="BL21" s="176">
        <v>2.5</v>
      </c>
      <c r="BM21" s="176">
        <v>0</v>
      </c>
      <c r="BN21" s="176">
        <v>0</v>
      </c>
      <c r="BO21" s="183">
        <f t="shared" si="30"/>
        <v>0</v>
      </c>
      <c r="BP21" s="241"/>
      <c r="BQ21" s="176">
        <v>0</v>
      </c>
      <c r="BR21" s="176">
        <v>0</v>
      </c>
      <c r="BS21" s="183">
        <f>+BR21-'Cash Flow'!BS12-'Cash Flow'!BS17</f>
        <v>0</v>
      </c>
      <c r="BT21" s="183">
        <f>+BS21-'Cash Flow'!BT12-'Cash Flow'!BT17</f>
        <v>0</v>
      </c>
      <c r="BU21" s="183">
        <f t="shared" si="31"/>
        <v>0</v>
      </c>
      <c r="BV21" s="241"/>
      <c r="BW21" s="183">
        <f>+BU21-'Cash Flow'!BW12-'Cash Flow'!BW17</f>
        <v>0</v>
      </c>
      <c r="BX21" s="183">
        <f>+BW21-'Cash Flow'!BX12-'Cash Flow'!BX17</f>
        <v>0</v>
      </c>
      <c r="BY21" s="183">
        <f>+BX21-'Cash Flow'!BY12-'Cash Flow'!BY17</f>
        <v>0</v>
      </c>
      <c r="BZ21" s="183">
        <f>+BY21-'Cash Flow'!BZ12-'Cash Flow'!BZ17</f>
        <v>0</v>
      </c>
      <c r="CA21" s="183">
        <f t="shared" si="32"/>
        <v>0</v>
      </c>
      <c r="CB21" s="241"/>
      <c r="CC21" s="183">
        <f>+CA21-'Cash Flow'!CC12-'Cash Flow'!CC17</f>
        <v>0</v>
      </c>
      <c r="CD21" s="183">
        <f>+CC21-'Cash Flow'!CD12-'Cash Flow'!CD17</f>
        <v>0</v>
      </c>
      <c r="CE21" s="183">
        <f>+CD21-'Cash Flow'!CE12-'Cash Flow'!CE17</f>
        <v>0</v>
      </c>
      <c r="CF21" s="183">
        <f>+CE21-'Cash Flow'!CF12-'Cash Flow'!CF17</f>
        <v>0</v>
      </c>
      <c r="CG21" s="183">
        <f t="shared" si="33"/>
        <v>0</v>
      </c>
      <c r="CH21" s="241"/>
      <c r="CI21" s="183">
        <f>+CG21-'Cash Flow'!CI12-'Cash Flow'!CI17</f>
        <v>0</v>
      </c>
      <c r="CJ21" s="183">
        <f>+CI21-'Cash Flow'!CJ12-'Cash Flow'!CJ17</f>
        <v>0</v>
      </c>
      <c r="CK21" s="183">
        <f>+CJ21-'Cash Flow'!CK12-'Cash Flow'!CK17</f>
        <v>0</v>
      </c>
      <c r="CL21" s="183">
        <f>+CK21-'Cash Flow'!CL12-'Cash Flow'!CL17</f>
        <v>0</v>
      </c>
      <c r="CM21" s="183">
        <f t="shared" si="35"/>
        <v>0</v>
      </c>
      <c r="CN21" s="241"/>
      <c r="CO21" s="183">
        <f>+CM21-'Cash Flow'!CO12-'Cash Flow'!CO17</f>
        <v>0</v>
      </c>
      <c r="CP21" s="183">
        <f>+CO21-'Cash Flow'!CP12-'Cash Flow'!CP17</f>
        <v>0</v>
      </c>
      <c r="CQ21" s="183">
        <f>+CP21-'Cash Flow'!CQ12-'Cash Flow'!CQ17</f>
        <v>0</v>
      </c>
      <c r="CR21" s="183">
        <f>+CQ21-'Cash Flow'!CR12-'Cash Flow'!CR17</f>
        <v>0</v>
      </c>
      <c r="CS21" s="183">
        <f t="shared" si="37"/>
        <v>0</v>
      </c>
      <c r="CT21" s="183"/>
      <c r="CU21" s="183"/>
      <c r="CV21" s="606"/>
      <c r="CW21" s="43"/>
      <c r="CY21" s="43"/>
      <c r="CZ21" s="43"/>
    </row>
    <row r="22" spans="1:104" x14ac:dyDescent="0.2">
      <c r="A22" s="1" t="s">
        <v>252</v>
      </c>
      <c r="B22" s="61"/>
      <c r="C22" s="176">
        <v>0</v>
      </c>
      <c r="D22" s="176">
        <v>0</v>
      </c>
      <c r="E22" s="176">
        <v>0</v>
      </c>
      <c r="F22" s="176">
        <v>0</v>
      </c>
      <c r="G22" s="183">
        <f t="shared" si="20"/>
        <v>0</v>
      </c>
      <c r="H22" s="61"/>
      <c r="I22" s="176">
        <v>0</v>
      </c>
      <c r="J22" s="176">
        <v>0</v>
      </c>
      <c r="K22" s="176">
        <v>0</v>
      </c>
      <c r="L22" s="176">
        <v>0</v>
      </c>
      <c r="M22" s="183">
        <f t="shared" si="21"/>
        <v>0</v>
      </c>
      <c r="N22" s="61"/>
      <c r="O22" s="176">
        <v>0</v>
      </c>
      <c r="P22" s="176">
        <v>0</v>
      </c>
      <c r="Q22" s="176">
        <v>0</v>
      </c>
      <c r="R22" s="176">
        <v>0</v>
      </c>
      <c r="S22" s="183">
        <f t="shared" si="22"/>
        <v>0</v>
      </c>
      <c r="T22" s="61"/>
      <c r="U22" s="176">
        <v>0</v>
      </c>
      <c r="V22" s="176">
        <v>0</v>
      </c>
      <c r="W22" s="176">
        <v>0</v>
      </c>
      <c r="X22" s="176">
        <v>0</v>
      </c>
      <c r="Y22" s="183">
        <f t="shared" si="23"/>
        <v>0</v>
      </c>
      <c r="Z22" s="61"/>
      <c r="AA22" s="176">
        <v>0</v>
      </c>
      <c r="AB22" s="176">
        <v>0</v>
      </c>
      <c r="AC22" s="176">
        <v>0</v>
      </c>
      <c r="AD22" s="176">
        <v>16.715</v>
      </c>
      <c r="AE22" s="183">
        <f t="shared" si="24"/>
        <v>16.715</v>
      </c>
      <c r="AF22" s="241"/>
      <c r="AG22" s="176">
        <v>16.440000000000001</v>
      </c>
      <c r="AH22" s="176">
        <v>16.265000000000001</v>
      </c>
      <c r="AI22" s="176">
        <v>15.99</v>
      </c>
      <c r="AJ22" s="176">
        <v>15.722</v>
      </c>
      <c r="AK22" s="183">
        <f t="shared" si="25"/>
        <v>15.722</v>
      </c>
      <c r="AL22" s="241"/>
      <c r="AM22" s="176">
        <v>15.446999999999999</v>
      </c>
      <c r="AN22" s="176">
        <v>13.718999999999999</v>
      </c>
      <c r="AO22" s="176">
        <v>13.525</v>
      </c>
      <c r="AP22" s="176">
        <v>13.33</v>
      </c>
      <c r="AQ22" s="183">
        <f t="shared" si="26"/>
        <v>13.33</v>
      </c>
      <c r="AR22" s="241"/>
      <c r="AS22" s="176">
        <v>13.086</v>
      </c>
      <c r="AT22" s="176">
        <v>12.842000000000001</v>
      </c>
      <c r="AU22" s="176">
        <v>208.29599999999999</v>
      </c>
      <c r="AV22" s="176">
        <v>205.31200000000001</v>
      </c>
      <c r="AW22" s="183">
        <f t="shared" si="27"/>
        <v>205.31200000000001</v>
      </c>
      <c r="AX22" s="241"/>
      <c r="AY22" s="176">
        <v>201.96199999999999</v>
      </c>
      <c r="AZ22" s="176">
        <v>198.827</v>
      </c>
      <c r="BA22" s="176">
        <v>195.691</v>
      </c>
      <c r="BB22" s="176">
        <v>192.6</v>
      </c>
      <c r="BC22" s="183">
        <f t="shared" si="28"/>
        <v>192.6</v>
      </c>
      <c r="BD22" s="241"/>
      <c r="BE22" s="176">
        <v>189.4</v>
      </c>
      <c r="BF22" s="176">
        <v>186.3</v>
      </c>
      <c r="BG22" s="176">
        <v>183.2</v>
      </c>
      <c r="BH22" s="176">
        <v>227.5</v>
      </c>
      <c r="BI22" s="183">
        <f t="shared" si="29"/>
        <v>227.5</v>
      </c>
      <c r="BJ22" s="241"/>
      <c r="BK22" s="176">
        <v>521.20000000000005</v>
      </c>
      <c r="BL22" s="176">
        <v>506.4</v>
      </c>
      <c r="BM22" s="176">
        <v>498.1</v>
      </c>
      <c r="BN22" s="176">
        <v>491.6</v>
      </c>
      <c r="BO22" s="183">
        <f t="shared" si="30"/>
        <v>491.6</v>
      </c>
      <c r="BP22" s="241"/>
      <c r="BQ22" s="176">
        <v>483.8</v>
      </c>
      <c r="BR22" s="176">
        <v>475.2</v>
      </c>
      <c r="BS22" s="183">
        <f>+BS134</f>
        <v>465.88833542375914</v>
      </c>
      <c r="BT22" s="183">
        <f>+BT134</f>
        <v>456.57667084751836</v>
      </c>
      <c r="BU22" s="183">
        <f t="shared" si="31"/>
        <v>456.57667084751836</v>
      </c>
      <c r="BV22" s="241"/>
      <c r="BW22" s="183">
        <f>+BW134</f>
        <v>447.26500627127751</v>
      </c>
      <c r="BX22" s="183">
        <f>+BX134</f>
        <v>437.95334169503667</v>
      </c>
      <c r="BY22" s="183">
        <f>+BY134</f>
        <v>428.64167711879588</v>
      </c>
      <c r="BZ22" s="183">
        <f>+BZ134</f>
        <v>419.3300125425551</v>
      </c>
      <c r="CA22" s="183">
        <f t="shared" si="32"/>
        <v>419.3300125425551</v>
      </c>
      <c r="CB22" s="241"/>
      <c r="CC22" s="183">
        <f>+CC134</f>
        <v>410.0183479663142</v>
      </c>
      <c r="CD22" s="183">
        <f>+CD134</f>
        <v>400.70668339007341</v>
      </c>
      <c r="CE22" s="183">
        <f>+CE134</f>
        <v>391.39501881383262</v>
      </c>
      <c r="CF22" s="183">
        <f>+CF134</f>
        <v>382.08335423759178</v>
      </c>
      <c r="CG22" s="183">
        <f t="shared" si="33"/>
        <v>382.08335423759178</v>
      </c>
      <c r="CH22" s="241"/>
      <c r="CI22" s="183">
        <f t="shared" ref="CI22:CL22" si="42">+CI134</f>
        <v>372.77168966135093</v>
      </c>
      <c r="CJ22" s="183">
        <f t="shared" si="42"/>
        <v>363.46002508511015</v>
      </c>
      <c r="CK22" s="183">
        <f t="shared" si="42"/>
        <v>354.14836050886936</v>
      </c>
      <c r="CL22" s="183">
        <f t="shared" si="42"/>
        <v>344.83669593262852</v>
      </c>
      <c r="CM22" s="183">
        <f t="shared" si="35"/>
        <v>344.83669593262852</v>
      </c>
      <c r="CN22" s="241"/>
      <c r="CO22" s="183">
        <f t="shared" ref="CO22:CR22" si="43">+CO134</f>
        <v>335.52503135638767</v>
      </c>
      <c r="CP22" s="183">
        <f t="shared" si="43"/>
        <v>326.21336678014688</v>
      </c>
      <c r="CQ22" s="183">
        <f t="shared" si="43"/>
        <v>316.9017022039061</v>
      </c>
      <c r="CR22" s="183">
        <f t="shared" si="43"/>
        <v>307.59003762766525</v>
      </c>
      <c r="CS22" s="183">
        <f t="shared" si="37"/>
        <v>307.59003762766525</v>
      </c>
      <c r="CT22" s="183"/>
      <c r="CU22" s="183"/>
      <c r="CV22" s="606"/>
      <c r="CW22" s="43"/>
      <c r="CY22" s="43"/>
      <c r="CZ22" s="43"/>
    </row>
    <row r="23" spans="1:104" x14ac:dyDescent="0.2">
      <c r="A23" s="1" t="s">
        <v>108</v>
      </c>
      <c r="B23" s="61"/>
      <c r="C23" s="176">
        <v>0</v>
      </c>
      <c r="D23" s="176">
        <v>0</v>
      </c>
      <c r="E23" s="176">
        <v>0</v>
      </c>
      <c r="F23" s="176">
        <v>0</v>
      </c>
      <c r="G23" s="183">
        <f t="shared" si="20"/>
        <v>0</v>
      </c>
      <c r="H23" s="61"/>
      <c r="I23" s="176">
        <v>0</v>
      </c>
      <c r="J23" s="176">
        <v>0</v>
      </c>
      <c r="K23" s="176">
        <v>0</v>
      </c>
      <c r="L23" s="176">
        <v>0</v>
      </c>
      <c r="M23" s="183">
        <f t="shared" si="21"/>
        <v>0</v>
      </c>
      <c r="N23" s="61"/>
      <c r="O23" s="176">
        <v>0</v>
      </c>
      <c r="P23" s="176">
        <v>0</v>
      </c>
      <c r="Q23" s="176">
        <v>0</v>
      </c>
      <c r="R23" s="176">
        <v>0</v>
      </c>
      <c r="S23" s="183">
        <f t="shared" si="22"/>
        <v>0</v>
      </c>
      <c r="T23" s="61"/>
      <c r="U23" s="176">
        <v>0</v>
      </c>
      <c r="V23" s="176">
        <v>0</v>
      </c>
      <c r="W23" s="176">
        <v>0</v>
      </c>
      <c r="X23" s="176">
        <v>0</v>
      </c>
      <c r="Y23" s="183">
        <f t="shared" si="23"/>
        <v>0</v>
      </c>
      <c r="Z23" s="61"/>
      <c r="AA23" s="176">
        <v>0</v>
      </c>
      <c r="AB23" s="176">
        <v>0</v>
      </c>
      <c r="AC23" s="176">
        <v>0</v>
      </c>
      <c r="AD23" s="176">
        <v>56.051000000000002</v>
      </c>
      <c r="AE23" s="183">
        <f t="shared" si="24"/>
        <v>56.051000000000002</v>
      </c>
      <c r="AF23" s="241"/>
      <c r="AG23" s="176">
        <v>56.85</v>
      </c>
      <c r="AH23" s="176">
        <v>56.85</v>
      </c>
      <c r="AI23" s="176">
        <v>56.85</v>
      </c>
      <c r="AJ23" s="176">
        <v>56.85</v>
      </c>
      <c r="AK23" s="183">
        <f t="shared" si="25"/>
        <v>56.85</v>
      </c>
      <c r="AL23" s="241"/>
      <c r="AM23" s="176">
        <v>56.85</v>
      </c>
      <c r="AN23" s="176">
        <v>56.85</v>
      </c>
      <c r="AO23" s="176">
        <v>56.85</v>
      </c>
      <c r="AP23" s="176">
        <v>56.85</v>
      </c>
      <c r="AQ23" s="183">
        <f t="shared" si="26"/>
        <v>56.85</v>
      </c>
      <c r="AR23" s="241"/>
      <c r="AS23" s="176">
        <v>56.85</v>
      </c>
      <c r="AT23" s="176">
        <v>56.85</v>
      </c>
      <c r="AU23" s="176">
        <v>166.74600000000001</v>
      </c>
      <c r="AV23" s="176">
        <v>169.18100000000001</v>
      </c>
      <c r="AW23" s="183">
        <f t="shared" si="27"/>
        <v>169.18100000000001</v>
      </c>
      <c r="AX23" s="241"/>
      <c r="AY23" s="176">
        <v>169.18100000000001</v>
      </c>
      <c r="AZ23" s="176">
        <v>169.18100000000001</v>
      </c>
      <c r="BA23" s="176">
        <v>185.22800000000001</v>
      </c>
      <c r="BB23" s="176">
        <v>177.2</v>
      </c>
      <c r="BC23" s="183">
        <f t="shared" si="28"/>
        <v>177.2</v>
      </c>
      <c r="BD23" s="241"/>
      <c r="BE23" s="176">
        <v>177.3</v>
      </c>
      <c r="BF23" s="176">
        <v>177</v>
      </c>
      <c r="BG23" s="176">
        <v>177.9</v>
      </c>
      <c r="BH23" s="176">
        <v>195.3</v>
      </c>
      <c r="BI23" s="183">
        <f t="shared" si="29"/>
        <v>195.3</v>
      </c>
      <c r="BJ23" s="241"/>
      <c r="BK23" s="176">
        <v>312.8</v>
      </c>
      <c r="BL23" s="176">
        <v>315.39999999999998</v>
      </c>
      <c r="BM23" s="176">
        <v>315</v>
      </c>
      <c r="BN23" s="176">
        <v>316.10000000000002</v>
      </c>
      <c r="BO23" s="183">
        <f t="shared" si="30"/>
        <v>316.10000000000002</v>
      </c>
      <c r="BP23" s="241"/>
      <c r="BQ23" s="176">
        <v>319</v>
      </c>
      <c r="BR23" s="176">
        <v>319.39999999999998</v>
      </c>
      <c r="BS23" s="183">
        <f>+BS140</f>
        <v>319.39999999999998</v>
      </c>
      <c r="BT23" s="183">
        <f>+BT140</f>
        <v>319.39999999999998</v>
      </c>
      <c r="BU23" s="183">
        <f t="shared" si="31"/>
        <v>319.39999999999998</v>
      </c>
      <c r="BV23" s="241"/>
      <c r="BW23" s="183">
        <f>+BW140</f>
        <v>319.39999999999998</v>
      </c>
      <c r="BX23" s="183">
        <f>+BX140</f>
        <v>319.39999999999998</v>
      </c>
      <c r="BY23" s="183">
        <f>+BY140</f>
        <v>319.39999999999998</v>
      </c>
      <c r="BZ23" s="183">
        <f>+BZ140</f>
        <v>319.39999999999998</v>
      </c>
      <c r="CA23" s="183">
        <f t="shared" si="32"/>
        <v>319.39999999999998</v>
      </c>
      <c r="CB23" s="241"/>
      <c r="CC23" s="183">
        <f>+CC140</f>
        <v>319.39999999999998</v>
      </c>
      <c r="CD23" s="183">
        <f>+CD140</f>
        <v>319.39999999999998</v>
      </c>
      <c r="CE23" s="183">
        <f>+CE140</f>
        <v>319.39999999999998</v>
      </c>
      <c r="CF23" s="183">
        <f>+CF140</f>
        <v>319.39999999999998</v>
      </c>
      <c r="CG23" s="183">
        <f t="shared" si="33"/>
        <v>319.39999999999998</v>
      </c>
      <c r="CH23" s="241"/>
      <c r="CI23" s="183">
        <f t="shared" ref="CI23:CL23" si="44">+CI140</f>
        <v>319.39999999999998</v>
      </c>
      <c r="CJ23" s="183">
        <f t="shared" si="44"/>
        <v>319.39999999999998</v>
      </c>
      <c r="CK23" s="183">
        <f t="shared" si="44"/>
        <v>319.39999999999998</v>
      </c>
      <c r="CL23" s="183">
        <f t="shared" si="44"/>
        <v>319.39999999999998</v>
      </c>
      <c r="CM23" s="183">
        <f t="shared" si="35"/>
        <v>319.39999999999998</v>
      </c>
      <c r="CN23" s="241"/>
      <c r="CO23" s="183">
        <f t="shared" ref="CO23:CR23" si="45">+CO140</f>
        <v>319.39999999999998</v>
      </c>
      <c r="CP23" s="183">
        <f t="shared" si="45"/>
        <v>319.39999999999998</v>
      </c>
      <c r="CQ23" s="183">
        <f t="shared" si="45"/>
        <v>319.39999999999998</v>
      </c>
      <c r="CR23" s="183">
        <f t="shared" si="45"/>
        <v>319.39999999999998</v>
      </c>
      <c r="CS23" s="183">
        <f t="shared" si="37"/>
        <v>319.39999999999998</v>
      </c>
      <c r="CT23" s="183"/>
      <c r="CU23" s="183"/>
      <c r="CV23" s="606"/>
      <c r="CW23" s="43"/>
      <c r="CY23" s="43"/>
      <c r="CZ23" s="43"/>
    </row>
    <row r="24" spans="1:104" ht="13.5" thickBot="1" x14ac:dyDescent="0.25">
      <c r="A24" s="5" t="s">
        <v>110</v>
      </c>
      <c r="B24" s="61"/>
      <c r="C24" s="177">
        <f>C15+SUM(C17:C23)</f>
        <v>262.81600000000003</v>
      </c>
      <c r="D24" s="177">
        <f>D15+SUM(D17:D23)</f>
        <v>262.32199999999995</v>
      </c>
      <c r="E24" s="177">
        <f>E15+SUM(E17:E23)</f>
        <v>362.149</v>
      </c>
      <c r="F24" s="177">
        <f>F15+SUM(F17:F23)</f>
        <v>375.54</v>
      </c>
      <c r="G24" s="279">
        <f>G15+SUM(G17:G23)</f>
        <v>375.54</v>
      </c>
      <c r="H24" s="61"/>
      <c r="I24" s="177">
        <f>I15+SUM(I17:I23)</f>
        <v>373.37</v>
      </c>
      <c r="J24" s="177">
        <f>J15+SUM(J17:J23)</f>
        <v>384.35799999999995</v>
      </c>
      <c r="K24" s="177">
        <f>K15+SUM(K17:K23)</f>
        <v>390.95699999999999</v>
      </c>
      <c r="L24" s="177">
        <f>L15+SUM(L17:L23)</f>
        <v>499.34199999999998</v>
      </c>
      <c r="M24" s="279">
        <f>M15+SUM(M17:M23)</f>
        <v>499.34199999999998</v>
      </c>
      <c r="N24" s="61"/>
      <c r="O24" s="177">
        <f>O15+SUM(O17:O23)</f>
        <v>531.22799999999995</v>
      </c>
      <c r="P24" s="177">
        <f>P15+SUM(P17:P23)</f>
        <v>573.56700000000001</v>
      </c>
      <c r="Q24" s="177">
        <f>Q15+SUM(Q17:Q23)</f>
        <v>620.43000000000006</v>
      </c>
      <c r="R24" s="177">
        <f>R15+SUM(R17:R23)</f>
        <v>466.38800000000003</v>
      </c>
      <c r="S24" s="279">
        <f>S15+SUM(S17:S23)</f>
        <v>466.38800000000003</v>
      </c>
      <c r="T24" s="61"/>
      <c r="U24" s="177">
        <f>U15+SUM(U17:U23)</f>
        <v>494.12900000000002</v>
      </c>
      <c r="V24" s="177">
        <f>V15+SUM(V17:V23)</f>
        <v>540.03699999999992</v>
      </c>
      <c r="W24" s="177">
        <f>W15+SUM(W17:W23)</f>
        <v>589.5630000000001</v>
      </c>
      <c r="X24" s="177">
        <f>X15+SUM(X17:X23)</f>
        <v>593.84699999999998</v>
      </c>
      <c r="Y24" s="279">
        <f>Y15+SUM(Y17:Y23)</f>
        <v>593.84699999999998</v>
      </c>
      <c r="Z24" s="61"/>
      <c r="AA24" s="177">
        <f>AA15+SUM(AA17:AA23)</f>
        <v>610.84199999999998</v>
      </c>
      <c r="AB24" s="177">
        <f>AB15+SUM(AB17:AB23)</f>
        <v>593.60899999999992</v>
      </c>
      <c r="AC24" s="177">
        <f>AC15+SUM(AC17:AC23)</f>
        <v>557.28</v>
      </c>
      <c r="AD24" s="177">
        <f>AD15+SUM(AD17:AD23)</f>
        <v>610.827</v>
      </c>
      <c r="AE24" s="279">
        <f>AE15+SUM(AE17:AE23)</f>
        <v>610.827</v>
      </c>
      <c r="AF24" s="241"/>
      <c r="AG24" s="177">
        <f>AG15+SUM(AG17:AG23)</f>
        <v>619.7349999999999</v>
      </c>
      <c r="AH24" s="177">
        <f>AH15+SUM(AH17:AH23)</f>
        <v>661.25800000000004</v>
      </c>
      <c r="AI24" s="177">
        <f>AI15+SUM(AI17:AI23)</f>
        <v>699.25299999999993</v>
      </c>
      <c r="AJ24" s="177">
        <f>AJ15+SUM(AJ17:AJ23)</f>
        <v>690.63500000000022</v>
      </c>
      <c r="AK24" s="279">
        <f t="shared" ref="AK24:AQ24" si="46">AK15+SUM(AK17:AK23)</f>
        <v>690.63500000000022</v>
      </c>
      <c r="AL24" s="241"/>
      <c r="AM24" s="279">
        <f t="shared" si="46"/>
        <v>703.06099999999992</v>
      </c>
      <c r="AN24" s="279">
        <f t="shared" si="46"/>
        <v>717.74599999999998</v>
      </c>
      <c r="AO24" s="177">
        <f t="shared" si="46"/>
        <v>729.02800000000002</v>
      </c>
      <c r="AP24" s="177">
        <f t="shared" si="46"/>
        <v>803.82099999999991</v>
      </c>
      <c r="AQ24" s="279">
        <f t="shared" si="46"/>
        <v>803.82099999999991</v>
      </c>
      <c r="AR24" s="241"/>
      <c r="AS24" s="279">
        <f>AS15+SUM(AS17:AS23)</f>
        <v>781.65800000000013</v>
      </c>
      <c r="AT24" s="279">
        <f>AT15+SUM(AT17:AT23)</f>
        <v>756.68100000000004</v>
      </c>
      <c r="AU24" s="177">
        <f>AU15+SUM(AU17:AU23)</f>
        <v>816.42599999999993</v>
      </c>
      <c r="AV24" s="177">
        <f>AV15+SUM(AV17:AV23)</f>
        <v>823.81400000000008</v>
      </c>
      <c r="AW24" s="279">
        <f>AW15+SUM(AW17:AW23)</f>
        <v>823.81400000000008</v>
      </c>
      <c r="AX24" s="241"/>
      <c r="AY24" s="279">
        <f>AY15+SUM(AY17:AY23)</f>
        <v>809.00599999999997</v>
      </c>
      <c r="AZ24" s="279">
        <f>AZ15+SUM(AZ17:AZ23)</f>
        <v>781.85400000000004</v>
      </c>
      <c r="BA24" s="279">
        <f>BA15+SUM(BA17:BA23)</f>
        <v>779.04899999999998</v>
      </c>
      <c r="BB24" s="279">
        <f>BB15+SUM(BB17:BB23)</f>
        <v>766.221</v>
      </c>
      <c r="BC24" s="279">
        <f>BC15+SUM(BC17:BC23)</f>
        <v>766.221</v>
      </c>
      <c r="BD24" s="241"/>
      <c r="BE24" s="279">
        <f>BE15+SUM(BE17:BE23)</f>
        <v>787</v>
      </c>
      <c r="BF24" s="279">
        <f>BF15+SUM(BF17:BF23)</f>
        <v>871.7</v>
      </c>
      <c r="BG24" s="279">
        <f>BG15+SUM(BG17:BG23)</f>
        <v>868.19999999999982</v>
      </c>
      <c r="BH24" s="279">
        <f>BH15+SUM(BH17:BH23)</f>
        <v>880.5</v>
      </c>
      <c r="BI24" s="279">
        <f>BI15+SUM(BI17:BI23)</f>
        <v>880.5</v>
      </c>
      <c r="BJ24" s="241"/>
      <c r="BK24" s="401">
        <f>BK15+SUM(BK17:BK23)</f>
        <v>1270.9000000000001</v>
      </c>
      <c r="BL24" s="401">
        <f>BL15+SUM(BL17:BL23)</f>
        <v>1276.0999999999999</v>
      </c>
      <c r="BM24" s="401">
        <f>BM15+SUM(BM17:BM23)</f>
        <v>1267.8</v>
      </c>
      <c r="BN24" s="401">
        <f>BN15+SUM(BN17:BN23)</f>
        <v>1224.4000000000001</v>
      </c>
      <c r="BO24" s="401">
        <f>BO15+SUM(BO17:BO23)</f>
        <v>1224.4000000000001</v>
      </c>
      <c r="BP24" s="241"/>
      <c r="BQ24" s="401">
        <f>BQ15+SUM(BQ17:BQ23)</f>
        <v>1228.3000000000002</v>
      </c>
      <c r="BR24" s="401">
        <f>BR15+SUM(BR17:BR23)</f>
        <v>1228.5</v>
      </c>
      <c r="BS24" s="401">
        <f>BS15+SUM(BS17:BS23)</f>
        <v>1244.9191400597915</v>
      </c>
      <c r="BT24" s="401">
        <f>BT15+SUM(BT17:BT23)</f>
        <v>1287.7460201783015</v>
      </c>
      <c r="BU24" s="401">
        <f>BU15+SUM(BU17:BU23)</f>
        <v>1287.7460201783015</v>
      </c>
      <c r="BV24" s="241"/>
      <c r="BW24" s="401">
        <f>BW15+SUM(BW17:BW23)</f>
        <v>1320.6726744028135</v>
      </c>
      <c r="BX24" s="401">
        <f>BX15+SUM(BX17:BX23)</f>
        <v>1368.6737224420997</v>
      </c>
      <c r="BY24" s="401">
        <f>BY15+SUM(BY17:BY23)</f>
        <v>1408.3401123616804</v>
      </c>
      <c r="BZ24" s="401">
        <f>BZ15+SUM(BZ17:BZ23)</f>
        <v>1450.6276619776781</v>
      </c>
      <c r="CA24" s="401">
        <f>CA15+SUM(CA17:CA23)</f>
        <v>1450.6276619776781</v>
      </c>
      <c r="CB24" s="241"/>
      <c r="CC24" s="401">
        <f>CC15+SUM(CC17:CC23)</f>
        <v>1485.7354887442461</v>
      </c>
      <c r="CD24" s="401">
        <f>CD15+SUM(CD17:CD23)</f>
        <v>1537.996897810981</v>
      </c>
      <c r="CE24" s="401">
        <f>CE15+SUM(CE17:CE23)</f>
        <v>1580.5837787421469</v>
      </c>
      <c r="CF24" s="401">
        <f>CF15+SUM(CF17:CF23)</f>
        <v>1626.1640967652863</v>
      </c>
      <c r="CG24" s="401">
        <f>CG15+SUM(CG17:CG23)</f>
        <v>1626.1640967652863</v>
      </c>
      <c r="CH24" s="241"/>
      <c r="CI24" s="401">
        <f t="shared" ref="CI24:CM24" si="47">CI15+SUM(CI17:CI23)</f>
        <v>1662.8721231113254</v>
      </c>
      <c r="CJ24" s="401">
        <f t="shared" si="47"/>
        <v>1717.414228727112</v>
      </c>
      <c r="CK24" s="401">
        <f t="shared" si="47"/>
        <v>1760.496396065821</v>
      </c>
      <c r="CL24" s="401">
        <f t="shared" si="47"/>
        <v>1806.9654632888473</v>
      </c>
      <c r="CM24" s="401">
        <f t="shared" si="47"/>
        <v>1806.9654632888473</v>
      </c>
      <c r="CN24" s="241"/>
      <c r="CO24" s="401">
        <f t="shared" ref="CO24:CS24" si="48">CO15+SUM(CO17:CO23)</f>
        <v>1845.5722469380598</v>
      </c>
      <c r="CP24" s="401">
        <f t="shared" si="48"/>
        <v>1904.4688344942942</v>
      </c>
      <c r="CQ24" s="401">
        <f t="shared" si="48"/>
        <v>1948.858120894844</v>
      </c>
      <c r="CR24" s="401">
        <f t="shared" si="48"/>
        <v>1998.9465059130246</v>
      </c>
      <c r="CS24" s="401">
        <f t="shared" si="48"/>
        <v>1998.9465059130246</v>
      </c>
      <c r="CT24" s="256"/>
      <c r="CU24" s="256"/>
      <c r="CV24" s="606"/>
      <c r="CW24" s="43"/>
      <c r="CY24" s="43"/>
      <c r="CZ24" s="43"/>
    </row>
    <row r="25" spans="1:104" ht="13.5" thickTop="1" x14ac:dyDescent="0.2">
      <c r="A25" s="1"/>
      <c r="B25" s="61"/>
      <c r="C25" s="12"/>
      <c r="D25" s="12"/>
      <c r="E25" s="12"/>
      <c r="F25" s="12"/>
      <c r="G25" s="286"/>
      <c r="H25" s="61"/>
      <c r="I25" s="12"/>
      <c r="J25" s="12"/>
      <c r="K25" s="12"/>
      <c r="L25" s="12"/>
      <c r="M25" s="286"/>
      <c r="N25" s="61"/>
      <c r="O25" s="12"/>
      <c r="P25" s="12"/>
      <c r="Q25" s="12"/>
      <c r="R25" s="12"/>
      <c r="S25" s="286"/>
      <c r="T25" s="61"/>
      <c r="U25" s="12"/>
      <c r="V25" s="12"/>
      <c r="W25" s="12"/>
      <c r="X25" s="12"/>
      <c r="Y25" s="286"/>
      <c r="Z25" s="61"/>
      <c r="AA25" s="12"/>
      <c r="AB25" s="12"/>
      <c r="AC25" s="12"/>
      <c r="AD25" s="12"/>
      <c r="AE25" s="286"/>
      <c r="AF25" s="241"/>
      <c r="AG25" s="12"/>
      <c r="AH25" s="280"/>
      <c r="AI25" s="12"/>
      <c r="AJ25" s="12"/>
      <c r="AK25" s="286"/>
      <c r="AL25" s="241"/>
      <c r="AM25" s="280"/>
      <c r="AN25" s="280"/>
      <c r="AO25" s="12"/>
      <c r="AP25" s="12"/>
      <c r="AQ25" s="286"/>
      <c r="AR25" s="241"/>
      <c r="AS25" s="280"/>
      <c r="AT25" s="280"/>
      <c r="AU25" s="12"/>
      <c r="AV25" s="12"/>
      <c r="AW25" s="286"/>
      <c r="AX25" s="241"/>
      <c r="AY25" s="280"/>
      <c r="AZ25" s="280"/>
      <c r="BA25" s="280"/>
      <c r="BB25" s="280"/>
      <c r="BC25" s="286"/>
      <c r="BD25" s="241"/>
      <c r="BE25" s="280"/>
      <c r="BF25" s="280"/>
      <c r="BG25" s="280"/>
      <c r="BH25" s="280"/>
      <c r="BI25" s="286"/>
      <c r="BJ25" s="241"/>
      <c r="BK25" s="280"/>
      <c r="BL25" s="280"/>
      <c r="BM25" s="280"/>
      <c r="BN25" s="280"/>
      <c r="BO25" s="286"/>
      <c r="BP25" s="241"/>
      <c r="BQ25" s="280"/>
      <c r="BR25" s="280"/>
      <c r="BS25" s="280"/>
      <c r="BT25" s="280"/>
      <c r="BU25" s="286"/>
      <c r="BV25" s="241"/>
      <c r="BW25" s="280"/>
      <c r="BX25" s="280"/>
      <c r="BY25" s="280"/>
      <c r="BZ25" s="280"/>
      <c r="CA25" s="286"/>
      <c r="CB25" s="241"/>
      <c r="CC25" s="280"/>
      <c r="CD25" s="280"/>
      <c r="CE25" s="280"/>
      <c r="CF25" s="280"/>
      <c r="CG25" s="286"/>
      <c r="CH25" s="241"/>
      <c r="CI25" s="280"/>
      <c r="CJ25" s="280"/>
      <c r="CK25" s="280"/>
      <c r="CL25" s="280"/>
      <c r="CM25" s="286"/>
      <c r="CN25" s="241"/>
      <c r="CO25" s="280"/>
      <c r="CP25" s="280"/>
      <c r="CQ25" s="280"/>
      <c r="CR25" s="280"/>
      <c r="CS25" s="286"/>
      <c r="CT25" s="286"/>
      <c r="CU25" s="286"/>
      <c r="CV25" s="606"/>
      <c r="CW25" s="43"/>
      <c r="CY25" s="43"/>
      <c r="CZ25" s="43"/>
    </row>
    <row r="26" spans="1:104" x14ac:dyDescent="0.2">
      <c r="A26" s="5" t="s">
        <v>111</v>
      </c>
      <c r="B26" s="61"/>
      <c r="C26" s="12"/>
      <c r="D26" s="12"/>
      <c r="E26" s="12"/>
      <c r="F26" s="12"/>
      <c r="G26" s="286"/>
      <c r="H26" s="61"/>
      <c r="I26" s="12"/>
      <c r="J26" s="12"/>
      <c r="K26" s="12"/>
      <c r="L26" s="12"/>
      <c r="M26" s="286"/>
      <c r="N26" s="61"/>
      <c r="O26" s="12"/>
      <c r="P26" s="12"/>
      <c r="Q26" s="12"/>
      <c r="R26" s="12"/>
      <c r="S26" s="286"/>
      <c r="T26" s="61"/>
      <c r="U26" s="12"/>
      <c r="V26" s="12"/>
      <c r="W26" s="12"/>
      <c r="X26" s="12"/>
      <c r="Y26" s="286"/>
      <c r="Z26" s="61"/>
      <c r="AA26" s="12"/>
      <c r="AB26" s="12"/>
      <c r="AC26" s="12"/>
      <c r="AD26" s="12"/>
      <c r="AE26" s="286"/>
      <c r="AF26" s="241"/>
      <c r="AG26" s="12"/>
      <c r="AH26" s="170"/>
      <c r="AI26" s="12"/>
      <c r="AJ26" s="12"/>
      <c r="AK26" s="286"/>
      <c r="AL26" s="241"/>
      <c r="AM26" s="170"/>
      <c r="AN26" s="170"/>
      <c r="AO26" s="12"/>
      <c r="AP26" s="12"/>
      <c r="AQ26" s="286"/>
      <c r="AR26" s="241"/>
      <c r="AS26" s="170"/>
      <c r="AT26" s="170"/>
      <c r="AU26" s="12"/>
      <c r="AV26" s="12"/>
      <c r="AW26" s="286"/>
      <c r="AX26" s="241"/>
      <c r="AY26" s="170"/>
      <c r="AZ26" s="170"/>
      <c r="BA26" s="170"/>
      <c r="BB26" s="170"/>
      <c r="BC26" s="286"/>
      <c r="BD26" s="241"/>
      <c r="BE26" s="170"/>
      <c r="BF26" s="170"/>
      <c r="BG26" s="170"/>
      <c r="BH26" s="170"/>
      <c r="BI26" s="286"/>
      <c r="BJ26" s="241"/>
      <c r="BK26" s="170"/>
      <c r="BL26" s="170"/>
      <c r="BM26" s="170"/>
      <c r="BN26" s="170"/>
      <c r="BO26" s="286"/>
      <c r="BP26" s="241"/>
      <c r="BQ26" s="170"/>
      <c r="BR26" s="170"/>
      <c r="BS26" s="170"/>
      <c r="BT26" s="170"/>
      <c r="BU26" s="286"/>
      <c r="BV26" s="241"/>
      <c r="BW26" s="170"/>
      <c r="BX26" s="170"/>
      <c r="BY26" s="170"/>
      <c r="BZ26" s="170"/>
      <c r="CA26" s="286"/>
      <c r="CB26" s="241"/>
      <c r="CC26" s="170"/>
      <c r="CD26" s="170"/>
      <c r="CE26" s="170"/>
      <c r="CF26" s="170"/>
      <c r="CG26" s="286"/>
      <c r="CH26" s="241"/>
      <c r="CI26" s="170"/>
      <c r="CJ26" s="170"/>
      <c r="CK26" s="170"/>
      <c r="CL26" s="170"/>
      <c r="CM26" s="286"/>
      <c r="CN26" s="241"/>
      <c r="CO26" s="170"/>
      <c r="CP26" s="170"/>
      <c r="CQ26" s="170"/>
      <c r="CR26" s="170"/>
      <c r="CS26" s="286"/>
      <c r="CT26" s="286"/>
      <c r="CU26" s="286"/>
      <c r="CV26" s="606"/>
      <c r="CW26" s="43"/>
      <c r="CY26" s="43"/>
      <c r="CZ26" s="43"/>
    </row>
    <row r="27" spans="1:104" x14ac:dyDescent="0.2">
      <c r="A27" s="75" t="s">
        <v>112</v>
      </c>
      <c r="B27" s="65"/>
      <c r="C27" s="174">
        <v>11.65</v>
      </c>
      <c r="D27" s="174">
        <v>15.196999999999999</v>
      </c>
      <c r="E27" s="174">
        <v>10.997999999999999</v>
      </c>
      <c r="F27" s="174">
        <v>15.763</v>
      </c>
      <c r="G27" s="255">
        <f>F27</f>
        <v>15.763</v>
      </c>
      <c r="H27" s="65"/>
      <c r="I27" s="174">
        <v>13.993</v>
      </c>
      <c r="J27" s="174">
        <v>13.91</v>
      </c>
      <c r="K27" s="174">
        <v>12.009</v>
      </c>
      <c r="L27" s="174">
        <v>24.884</v>
      </c>
      <c r="M27" s="255">
        <f>L27</f>
        <v>24.884</v>
      </c>
      <c r="N27" s="65"/>
      <c r="O27" s="174">
        <v>14.999000000000001</v>
      </c>
      <c r="P27" s="174">
        <v>12.771000000000001</v>
      </c>
      <c r="Q27" s="174">
        <v>11.426</v>
      </c>
      <c r="R27" s="174">
        <v>14.177</v>
      </c>
      <c r="S27" s="255">
        <f>R27</f>
        <v>14.177</v>
      </c>
      <c r="T27" s="65"/>
      <c r="U27" s="174">
        <v>7.6479999999999997</v>
      </c>
      <c r="V27" s="174">
        <v>9.4030000000000005</v>
      </c>
      <c r="W27" s="174">
        <v>7.0259999999999998</v>
      </c>
      <c r="X27" s="174">
        <v>8.8699999999999992</v>
      </c>
      <c r="Y27" s="255">
        <f>X27</f>
        <v>8.8699999999999992</v>
      </c>
      <c r="Z27" s="65"/>
      <c r="AA27" s="174">
        <v>7.242</v>
      </c>
      <c r="AB27" s="174">
        <v>7.05</v>
      </c>
      <c r="AC27" s="174">
        <v>5.1909999999999998</v>
      </c>
      <c r="AD27" s="174">
        <v>11.395</v>
      </c>
      <c r="AE27" s="255">
        <f>AD27</f>
        <v>11.395</v>
      </c>
      <c r="AF27" s="256"/>
      <c r="AG27" s="174">
        <v>9.827</v>
      </c>
      <c r="AH27" s="374">
        <v>8.8759999999999994</v>
      </c>
      <c r="AI27" s="174">
        <v>7.9390000000000001</v>
      </c>
      <c r="AJ27" s="174">
        <v>10.141</v>
      </c>
      <c r="AK27" s="255">
        <f>AJ27</f>
        <v>10.141</v>
      </c>
      <c r="AL27" s="256"/>
      <c r="AM27" s="174">
        <v>11.086</v>
      </c>
      <c r="AN27" s="174">
        <v>13.574999999999999</v>
      </c>
      <c r="AO27" s="174">
        <v>12.238</v>
      </c>
      <c r="AP27" s="174">
        <v>18.132000000000001</v>
      </c>
      <c r="AQ27" s="255">
        <f>AP27</f>
        <v>18.132000000000001</v>
      </c>
      <c r="AR27" s="256"/>
      <c r="AS27" s="174">
        <v>18.745000000000001</v>
      </c>
      <c r="AT27" s="174">
        <v>17.596</v>
      </c>
      <c r="AU27" s="174">
        <v>18.934999999999999</v>
      </c>
      <c r="AV27" s="174">
        <v>23.077999999999999</v>
      </c>
      <c r="AW27" s="255">
        <f>AV27</f>
        <v>23.077999999999999</v>
      </c>
      <c r="AX27" s="256"/>
      <c r="AY27" s="174">
        <v>25.728000000000002</v>
      </c>
      <c r="AZ27" s="174">
        <v>16.832999999999998</v>
      </c>
      <c r="BA27" s="174">
        <v>17.954999999999998</v>
      </c>
      <c r="BB27" s="174">
        <v>21.1</v>
      </c>
      <c r="BC27" s="255">
        <f>BB27</f>
        <v>21.1</v>
      </c>
      <c r="BD27" s="256"/>
      <c r="BE27" s="174">
        <v>15.8</v>
      </c>
      <c r="BF27" s="174">
        <v>16.5</v>
      </c>
      <c r="BG27" s="174">
        <v>13.8</v>
      </c>
      <c r="BH27" s="174">
        <v>21.1</v>
      </c>
      <c r="BI27" s="255">
        <f>BH27</f>
        <v>21.1</v>
      </c>
      <c r="BJ27" s="256"/>
      <c r="BK27" s="174">
        <v>19.899999999999999</v>
      </c>
      <c r="BL27" s="174">
        <v>22.9</v>
      </c>
      <c r="BM27" s="174">
        <v>26.8</v>
      </c>
      <c r="BN27" s="174">
        <v>22</v>
      </c>
      <c r="BO27" s="255">
        <f>BN27</f>
        <v>22</v>
      </c>
      <c r="BP27" s="256"/>
      <c r="BQ27" s="174">
        <v>22.5</v>
      </c>
      <c r="BR27" s="174">
        <v>25.1</v>
      </c>
      <c r="BS27" s="255">
        <f>+BS76*('P&amp;L'!BS11/'P&amp;L'!BS7)</f>
        <v>26.586247714120098</v>
      </c>
      <c r="BT27" s="255">
        <f>+BT76*('P&amp;L'!BT11/'P&amp;L'!BT7)</f>
        <v>23.189790799391982</v>
      </c>
      <c r="BU27" s="255">
        <f>BT27</f>
        <v>23.189790799391982</v>
      </c>
      <c r="BV27" s="256"/>
      <c r="BW27" s="255">
        <f>+BW76*('P&amp;L'!BW11/'P&amp;L'!BW7)</f>
        <v>23.651171655941695</v>
      </c>
      <c r="BX27" s="255">
        <f>+BX76*('P&amp;L'!BX11/'P&amp;L'!BX7)</f>
        <v>27.205706149364527</v>
      </c>
      <c r="BY27" s="255">
        <f>+BY76*('P&amp;L'!BY11/'P&amp;L'!BY7)</f>
        <v>28.239370661942509</v>
      </c>
      <c r="BZ27" s="255">
        <f>+BZ76*('P&amp;L'!BZ11/'P&amp;L'!BZ7)</f>
        <v>24.637503927214748</v>
      </c>
      <c r="CA27" s="255">
        <f>BZ27</f>
        <v>24.637503927214748</v>
      </c>
      <c r="CB27" s="256"/>
      <c r="CC27" s="255">
        <f>+CC76*('P&amp;L'!CC11/'P&amp;L'!CC7)</f>
        <v>24.592171291916532</v>
      </c>
      <c r="CD27" s="255">
        <f>+CD76*('P&amp;L'!CD11/'P&amp;L'!CD7)</f>
        <v>28.730675781328824</v>
      </c>
      <c r="CE27" s="255">
        <f>+CE76*('P&amp;L'!CE11/'P&amp;L'!CE7)</f>
        <v>30.040359410906195</v>
      </c>
      <c r="CF27" s="255">
        <f>+CF76*('P&amp;L'!CF11/'P&amp;L'!CF7)</f>
        <v>26.56441155140401</v>
      </c>
      <c r="CG27" s="255">
        <f>CF27</f>
        <v>26.56441155140401</v>
      </c>
      <c r="CH27" s="256"/>
      <c r="CI27" s="255">
        <f>+CI76*('P&amp;L'!CI11/'P&amp;L'!CI7)</f>
        <v>26.531450187523205</v>
      </c>
      <c r="CJ27" s="255">
        <f>+CJ76*('P&amp;L'!CJ11/'P&amp;L'!CJ7)</f>
        <v>31.136259757204691</v>
      </c>
      <c r="CK27" s="255">
        <f>+CK76*('P&amp;L'!CK11/'P&amp;L'!CK7)</f>
        <v>32.454824463909368</v>
      </c>
      <c r="CL27" s="255">
        <f>+CL76*('P&amp;L'!CL11/'P&amp;L'!CL7)</f>
        <v>28.937828085471963</v>
      </c>
      <c r="CM27" s="255">
        <f t="shared" ref="CM27" si="49">CL27</f>
        <v>28.937828085471963</v>
      </c>
      <c r="CN27" s="256"/>
      <c r="CO27" s="255">
        <f>+CO76*('P&amp;L'!CO11/'P&amp;L'!CO7)</f>
        <v>28.723528124816198</v>
      </c>
      <c r="CP27" s="255">
        <f>+CP76*('P&amp;L'!CP11/'P&amp;L'!CP7)</f>
        <v>33.911581925102141</v>
      </c>
      <c r="CQ27" s="255">
        <f>+CQ76*('P&amp;L'!CQ11/'P&amp;L'!CQ7)</f>
        <v>34.83455808923879</v>
      </c>
      <c r="CR27" s="255">
        <f>+CR76*('P&amp;L'!CR11/'P&amp;L'!CR7)</f>
        <v>31.392073905184965</v>
      </c>
      <c r="CS27" s="255">
        <f t="shared" ref="CS27:CS30" si="50">CR27</f>
        <v>31.392073905184965</v>
      </c>
      <c r="CT27" s="255"/>
      <c r="CU27" s="255"/>
      <c r="CV27" s="606"/>
      <c r="CW27" s="43"/>
      <c r="CY27" s="43"/>
      <c r="CZ27" s="43"/>
    </row>
    <row r="28" spans="1:104" x14ac:dyDescent="0.2">
      <c r="A28" s="75" t="s">
        <v>253</v>
      </c>
      <c r="B28" s="64"/>
      <c r="C28" s="176">
        <v>11.239000000000001</v>
      </c>
      <c r="D28" s="176">
        <v>10.840999999999999</v>
      </c>
      <c r="E28" s="176">
        <v>11.555</v>
      </c>
      <c r="F28" s="176">
        <v>19.030999999999999</v>
      </c>
      <c r="G28" s="183">
        <f>F28</f>
        <v>19.030999999999999</v>
      </c>
      <c r="H28" s="64"/>
      <c r="I28" s="176">
        <v>17.62</v>
      </c>
      <c r="J28" s="176">
        <v>20.646999999999998</v>
      </c>
      <c r="K28" s="176">
        <v>23.594000000000001</v>
      </c>
      <c r="L28" s="176">
        <v>46.77</v>
      </c>
      <c r="M28" s="183">
        <f>L28</f>
        <v>46.77</v>
      </c>
      <c r="N28" s="64"/>
      <c r="O28" s="176">
        <v>39.177</v>
      </c>
      <c r="P28" s="176">
        <v>40.82</v>
      </c>
      <c r="Q28" s="176">
        <v>25.018999999999998</v>
      </c>
      <c r="R28" s="176">
        <v>17.992000000000001</v>
      </c>
      <c r="S28" s="183">
        <f>R28</f>
        <v>17.992000000000001</v>
      </c>
      <c r="T28" s="64"/>
      <c r="U28" s="176">
        <v>13.345000000000001</v>
      </c>
      <c r="V28" s="176">
        <v>13.308</v>
      </c>
      <c r="W28" s="176">
        <v>15.191000000000001</v>
      </c>
      <c r="X28" s="176">
        <v>18.596</v>
      </c>
      <c r="Y28" s="183">
        <f>X28</f>
        <v>18.596</v>
      </c>
      <c r="Z28" s="64"/>
      <c r="AA28" s="176">
        <v>23.689</v>
      </c>
      <c r="AB28" s="176">
        <v>16.138000000000002</v>
      </c>
      <c r="AC28" s="176">
        <v>18.181000000000001</v>
      </c>
      <c r="AD28" s="176">
        <v>21.645</v>
      </c>
      <c r="AE28" s="183">
        <f>AD28</f>
        <v>21.645</v>
      </c>
      <c r="AF28" s="254"/>
      <c r="AG28" s="176">
        <v>20.382999999999999</v>
      </c>
      <c r="AH28" s="240">
        <v>23.736000000000001</v>
      </c>
      <c r="AI28" s="176">
        <v>27.725999999999999</v>
      </c>
      <c r="AJ28" s="176">
        <v>32.771999999999998</v>
      </c>
      <c r="AK28" s="183">
        <f>AJ28</f>
        <v>32.771999999999998</v>
      </c>
      <c r="AL28" s="254"/>
      <c r="AM28" s="176">
        <v>42.994999999999997</v>
      </c>
      <c r="AN28" s="176">
        <v>29.192</v>
      </c>
      <c r="AO28" s="176">
        <v>38.351999999999997</v>
      </c>
      <c r="AP28" s="176">
        <v>44.334000000000003</v>
      </c>
      <c r="AQ28" s="183">
        <f>AP28</f>
        <v>44.334000000000003</v>
      </c>
      <c r="AR28" s="254"/>
      <c r="AS28" s="176">
        <v>59.39</v>
      </c>
      <c r="AT28" s="176">
        <v>45.844000000000001</v>
      </c>
      <c r="AU28" s="176">
        <v>51.103000000000002</v>
      </c>
      <c r="AV28" s="176">
        <v>56.41</v>
      </c>
      <c r="AW28" s="183">
        <f>AV28</f>
        <v>56.41</v>
      </c>
      <c r="AX28" s="254"/>
      <c r="AY28" s="176">
        <v>40.654000000000003</v>
      </c>
      <c r="AZ28" s="176">
        <v>41.18</v>
      </c>
      <c r="BA28" s="176">
        <v>47.878999999999998</v>
      </c>
      <c r="BB28" s="176">
        <v>46.1</v>
      </c>
      <c r="BC28" s="183">
        <f>BB28</f>
        <v>46.1</v>
      </c>
      <c r="BD28" s="254"/>
      <c r="BE28" s="176">
        <v>41.8</v>
      </c>
      <c r="BF28" s="176">
        <v>47.9</v>
      </c>
      <c r="BG28" s="176">
        <v>50.8</v>
      </c>
      <c r="BH28" s="176">
        <v>49.5</v>
      </c>
      <c r="BI28" s="183">
        <f>BH28</f>
        <v>49.5</v>
      </c>
      <c r="BJ28" s="254"/>
      <c r="BK28" s="176">
        <v>54.8</v>
      </c>
      <c r="BL28" s="176">
        <v>57.7</v>
      </c>
      <c r="BM28" s="176">
        <v>64</v>
      </c>
      <c r="BN28" s="176">
        <v>65.599999999999994</v>
      </c>
      <c r="BO28" s="183">
        <f>BN28</f>
        <v>65.599999999999994</v>
      </c>
      <c r="BP28" s="254"/>
      <c r="BQ28" s="176">
        <v>59.8</v>
      </c>
      <c r="BR28" s="176">
        <v>60.8</v>
      </c>
      <c r="BS28" s="183">
        <f>+BS87*'P&amp;L'!BS20*4</f>
        <v>60.471385809354572</v>
      </c>
      <c r="BT28" s="183">
        <f>+BT87*'P&amp;L'!BT20*4</f>
        <v>63.684908289661436</v>
      </c>
      <c r="BU28" s="183">
        <f>BT28</f>
        <v>63.684908289661436</v>
      </c>
      <c r="BV28" s="254"/>
      <c r="BW28" s="183">
        <f>+BW87*'P&amp;L'!BW20*4</f>
        <v>58.574440966637319</v>
      </c>
      <c r="BX28" s="183">
        <f>+BX87*'P&amp;L'!BX20*4</f>
        <v>61.228057075383134</v>
      </c>
      <c r="BY28" s="183">
        <f>+BY87*'P&amp;L'!BY20*4</f>
        <v>61.930150608606994</v>
      </c>
      <c r="BZ28" s="183">
        <f>+BZ87*'P&amp;L'!BZ20*4</f>
        <v>65.90374540278512</v>
      </c>
      <c r="CA28" s="183">
        <f>BZ28</f>
        <v>65.90374540278512</v>
      </c>
      <c r="CB28" s="254"/>
      <c r="CC28" s="183">
        <f>+CC87*'P&amp;L'!CC20*4</f>
        <v>61.178798388811884</v>
      </c>
      <c r="CD28" s="183">
        <f>+CD87*'P&amp;L'!CD20*4</f>
        <v>64.645621914496857</v>
      </c>
      <c r="CE28" s="183">
        <f>+CE87*'P&amp;L'!CE20*4</f>
        <v>65.434207350074431</v>
      </c>
      <c r="CF28" s="183">
        <f>+CF87*'P&amp;L'!CF20*4</f>
        <v>69.92558411507224</v>
      </c>
      <c r="CG28" s="183">
        <f>CF28</f>
        <v>69.92558411507224</v>
      </c>
      <c r="CH28" s="254"/>
      <c r="CI28" s="183">
        <f>+CI87*'P&amp;L'!CI20*4</f>
        <v>65.380988321588788</v>
      </c>
      <c r="CJ28" s="183">
        <f>+CJ87*'P&amp;L'!CJ20*4</f>
        <v>69.311327641502459</v>
      </c>
      <c r="CK28" s="183">
        <f>+CK87*'P&amp;L'!CK20*4</f>
        <v>69.791835038075419</v>
      </c>
      <c r="CL28" s="183">
        <f>+CL87*'P&amp;L'!CL20*4</f>
        <v>74.575458917654899</v>
      </c>
      <c r="CM28" s="183">
        <f t="shared" ref="CM28" si="51">CL28</f>
        <v>74.575458917654899</v>
      </c>
      <c r="CN28" s="254"/>
      <c r="CO28" s="183">
        <f>+CO87*'P&amp;L'!CO20*4</f>
        <v>69.856448098580401</v>
      </c>
      <c r="CP28" s="183">
        <f>+CP87*'P&amp;L'!CP20*4</f>
        <v>74.635881429509155</v>
      </c>
      <c r="CQ28" s="183">
        <f>+CQ87*'P&amp;L'!CQ20*4</f>
        <v>74.381866279174119</v>
      </c>
      <c r="CR28" s="183">
        <f>+CR87*'P&amp;L'!CR20*4</f>
        <v>79.892435518567652</v>
      </c>
      <c r="CS28" s="183">
        <f t="shared" si="50"/>
        <v>79.892435518567652</v>
      </c>
      <c r="CT28" s="183"/>
      <c r="CU28" s="183"/>
      <c r="CV28" s="606"/>
      <c r="CW28" s="43"/>
      <c r="CY28" s="43"/>
      <c r="CZ28" s="43"/>
    </row>
    <row r="29" spans="1:104" x14ac:dyDescent="0.2">
      <c r="A29" s="75" t="s">
        <v>372</v>
      </c>
      <c r="B29" s="64"/>
      <c r="C29" s="176">
        <v>0</v>
      </c>
      <c r="D29" s="176">
        <v>0</v>
      </c>
      <c r="E29" s="176">
        <v>0</v>
      </c>
      <c r="F29" s="176">
        <v>0</v>
      </c>
      <c r="G29" s="183">
        <f>F29</f>
        <v>0</v>
      </c>
      <c r="H29" s="64"/>
      <c r="I29" s="176">
        <v>0</v>
      </c>
      <c r="J29" s="176">
        <v>0</v>
      </c>
      <c r="K29" s="176">
        <v>0</v>
      </c>
      <c r="L29" s="176">
        <v>0</v>
      </c>
      <c r="M29" s="183">
        <f>L29</f>
        <v>0</v>
      </c>
      <c r="N29" s="64"/>
      <c r="O29" s="176">
        <v>0</v>
      </c>
      <c r="P29" s="176">
        <v>0</v>
      </c>
      <c r="Q29" s="176">
        <v>0</v>
      </c>
      <c r="R29" s="176">
        <v>0</v>
      </c>
      <c r="S29" s="183">
        <f>R29</f>
        <v>0</v>
      </c>
      <c r="T29" s="64"/>
      <c r="U29" s="176">
        <v>0</v>
      </c>
      <c r="V29" s="176">
        <v>0</v>
      </c>
      <c r="W29" s="176">
        <v>0</v>
      </c>
      <c r="X29" s="176">
        <v>0</v>
      </c>
      <c r="Y29" s="183">
        <f>X29</f>
        <v>0</v>
      </c>
      <c r="Z29" s="64"/>
      <c r="AA29" s="176">
        <v>0</v>
      </c>
      <c r="AB29" s="176">
        <v>0</v>
      </c>
      <c r="AC29" s="176">
        <v>0</v>
      </c>
      <c r="AD29" s="176">
        <v>0</v>
      </c>
      <c r="AE29" s="183">
        <f>AD29</f>
        <v>0</v>
      </c>
      <c r="AF29" s="254"/>
      <c r="AG29" s="176">
        <v>0</v>
      </c>
      <c r="AH29" s="176">
        <v>0</v>
      </c>
      <c r="AI29" s="176">
        <v>0</v>
      </c>
      <c r="AJ29" s="176">
        <v>0</v>
      </c>
      <c r="AK29" s="183">
        <f>AJ29</f>
        <v>0</v>
      </c>
      <c r="AL29" s="254"/>
      <c r="AM29" s="176">
        <v>0</v>
      </c>
      <c r="AN29" s="176">
        <v>0</v>
      </c>
      <c r="AO29" s="176">
        <v>0</v>
      </c>
      <c r="AP29" s="176">
        <v>0</v>
      </c>
      <c r="AQ29" s="183">
        <f>AP29</f>
        <v>0</v>
      </c>
      <c r="AR29" s="254"/>
      <c r="AS29" s="176">
        <v>0</v>
      </c>
      <c r="AT29" s="176">
        <v>0</v>
      </c>
      <c r="AU29" s="176">
        <v>0</v>
      </c>
      <c r="AV29" s="176">
        <v>0</v>
      </c>
      <c r="AW29" s="183">
        <f>AV29</f>
        <v>0</v>
      </c>
      <c r="AX29" s="254"/>
      <c r="AY29" s="176">
        <v>0</v>
      </c>
      <c r="AZ29" s="176">
        <v>0</v>
      </c>
      <c r="BA29" s="176">
        <v>0</v>
      </c>
      <c r="BB29" s="176">
        <v>0</v>
      </c>
      <c r="BC29" s="183">
        <f>BB29</f>
        <v>0</v>
      </c>
      <c r="BD29" s="254"/>
      <c r="BE29" s="176">
        <v>0</v>
      </c>
      <c r="BF29" s="176">
        <v>0</v>
      </c>
      <c r="BG29" s="176">
        <v>0</v>
      </c>
      <c r="BH29" s="176">
        <v>0</v>
      </c>
      <c r="BI29" s="183">
        <f>BH29</f>
        <v>0</v>
      </c>
      <c r="BJ29" s="254"/>
      <c r="BK29" s="240">
        <v>199.2</v>
      </c>
      <c r="BL29" s="176">
        <v>0</v>
      </c>
      <c r="BM29" s="176">
        <v>128.19999999999999</v>
      </c>
      <c r="BN29" s="176">
        <v>127.3</v>
      </c>
      <c r="BO29" s="183">
        <f>BN29</f>
        <v>127.3</v>
      </c>
      <c r="BP29" s="254"/>
      <c r="BQ29" s="240">
        <v>54</v>
      </c>
      <c r="BR29" s="176">
        <v>70</v>
      </c>
      <c r="BS29" s="183">
        <f>BR29</f>
        <v>70</v>
      </c>
      <c r="BT29" s="183">
        <f>BS29</f>
        <v>70</v>
      </c>
      <c r="BU29" s="183">
        <f>BT29</f>
        <v>70</v>
      </c>
      <c r="BV29" s="254"/>
      <c r="BW29" s="183">
        <f>BU29</f>
        <v>70</v>
      </c>
      <c r="BX29" s="183">
        <f>BW29</f>
        <v>70</v>
      </c>
      <c r="BY29" s="183">
        <f>BX29</f>
        <v>70</v>
      </c>
      <c r="BZ29" s="183">
        <f>BY29</f>
        <v>70</v>
      </c>
      <c r="CA29" s="183">
        <f>BZ29</f>
        <v>70</v>
      </c>
      <c r="CB29" s="254"/>
      <c r="CC29" s="183">
        <f>CA29</f>
        <v>70</v>
      </c>
      <c r="CD29" s="183">
        <f>CC29</f>
        <v>70</v>
      </c>
      <c r="CE29" s="183">
        <f>CD29</f>
        <v>70</v>
      </c>
      <c r="CF29" s="183">
        <f>CE29</f>
        <v>70</v>
      </c>
      <c r="CG29" s="183">
        <f>CF29</f>
        <v>70</v>
      </c>
      <c r="CH29" s="254"/>
      <c r="CI29" s="183">
        <f t="shared" ref="CI29" si="52">CG29</f>
        <v>70</v>
      </c>
      <c r="CJ29" s="183">
        <f t="shared" ref="CJ29:CM29" si="53">CI29</f>
        <v>70</v>
      </c>
      <c r="CK29" s="183">
        <f t="shared" si="53"/>
        <v>70</v>
      </c>
      <c r="CL29" s="183">
        <f t="shared" si="53"/>
        <v>70</v>
      </c>
      <c r="CM29" s="183">
        <f t="shared" si="53"/>
        <v>70</v>
      </c>
      <c r="CN29" s="254"/>
      <c r="CO29" s="183">
        <f t="shared" ref="CO29" si="54">CM29</f>
        <v>70</v>
      </c>
      <c r="CP29" s="183">
        <f t="shared" ref="CP29:CR29" si="55">CO29</f>
        <v>70</v>
      </c>
      <c r="CQ29" s="183">
        <f t="shared" si="55"/>
        <v>70</v>
      </c>
      <c r="CR29" s="183">
        <f t="shared" si="55"/>
        <v>70</v>
      </c>
      <c r="CS29" s="183">
        <f t="shared" si="50"/>
        <v>70</v>
      </c>
      <c r="CT29" s="183"/>
      <c r="CU29" s="183"/>
      <c r="CV29" s="606"/>
      <c r="CW29" s="43"/>
      <c r="CY29" s="43"/>
      <c r="CZ29" s="43"/>
    </row>
    <row r="30" spans="1:104" x14ac:dyDescent="0.2">
      <c r="A30" s="75" t="s">
        <v>76</v>
      </c>
      <c r="B30" s="61"/>
      <c r="C30" s="116">
        <v>5.8000000000000003E-2</v>
      </c>
      <c r="D30" s="116">
        <v>0.434</v>
      </c>
      <c r="E30" s="116">
        <v>0.40699999999999997</v>
      </c>
      <c r="F30" s="116">
        <v>0.38300000000000001</v>
      </c>
      <c r="G30" s="251">
        <f>F30</f>
        <v>0.38300000000000001</v>
      </c>
      <c r="H30" s="61"/>
      <c r="I30" s="116">
        <v>8.9999999999999993E-3</v>
      </c>
      <c r="J30" s="116">
        <v>0.33300000000000002</v>
      </c>
      <c r="K30" s="116">
        <v>2.0579999999999998</v>
      </c>
      <c r="L30" s="116">
        <v>2.0329999999999999</v>
      </c>
      <c r="M30" s="251">
        <f>L30</f>
        <v>2.0329999999999999</v>
      </c>
      <c r="N30" s="61"/>
      <c r="O30" s="116">
        <v>8.0000000000000002E-3</v>
      </c>
      <c r="P30" s="116">
        <v>0.23</v>
      </c>
      <c r="Q30" s="116">
        <v>5.8000000000000003E-2</v>
      </c>
      <c r="R30" s="116">
        <v>0</v>
      </c>
      <c r="S30" s="251">
        <f>R30</f>
        <v>0</v>
      </c>
      <c r="T30" s="61"/>
      <c r="U30" s="116">
        <v>0</v>
      </c>
      <c r="V30" s="116">
        <v>0</v>
      </c>
      <c r="W30" s="116">
        <v>0</v>
      </c>
      <c r="X30" s="116">
        <v>0</v>
      </c>
      <c r="Y30" s="251">
        <f>X30</f>
        <v>0</v>
      </c>
      <c r="Z30" s="61"/>
      <c r="AA30" s="116">
        <v>0</v>
      </c>
      <c r="AB30" s="116">
        <v>0</v>
      </c>
      <c r="AC30" s="116">
        <v>0</v>
      </c>
      <c r="AD30" s="116">
        <v>1.347</v>
      </c>
      <c r="AE30" s="251">
        <f>AD30</f>
        <v>1.347</v>
      </c>
      <c r="AF30" s="241"/>
      <c r="AG30" s="116">
        <v>1.083</v>
      </c>
      <c r="AH30" s="375">
        <v>2.4340000000000002</v>
      </c>
      <c r="AI30" s="116">
        <v>1.387</v>
      </c>
      <c r="AJ30" s="116">
        <v>2.0539999999999998</v>
      </c>
      <c r="AK30" s="251">
        <f>AJ30</f>
        <v>2.0539999999999998</v>
      </c>
      <c r="AL30" s="241"/>
      <c r="AM30" s="116">
        <v>3.2749999999999999</v>
      </c>
      <c r="AN30" s="116">
        <v>2.7210000000000001</v>
      </c>
      <c r="AO30" s="116">
        <v>3.0310000000000001</v>
      </c>
      <c r="AP30" s="116">
        <v>2.0430000000000001</v>
      </c>
      <c r="AQ30" s="251">
        <f>AP30</f>
        <v>2.0430000000000001</v>
      </c>
      <c r="AR30" s="241"/>
      <c r="AS30" s="116">
        <v>0.89500000000000002</v>
      </c>
      <c r="AT30" s="116">
        <v>3.952</v>
      </c>
      <c r="AU30" s="116">
        <v>2.1179999999999999</v>
      </c>
      <c r="AV30" s="116">
        <v>1.0900000000000001</v>
      </c>
      <c r="AW30" s="251">
        <f>AV30</f>
        <v>1.0900000000000001</v>
      </c>
      <c r="AX30" s="241"/>
      <c r="AY30" s="116">
        <v>1.343</v>
      </c>
      <c r="AZ30" s="116">
        <v>1.8240000000000001</v>
      </c>
      <c r="BA30" s="116">
        <v>1.339</v>
      </c>
      <c r="BB30" s="116">
        <v>1.5</v>
      </c>
      <c r="BC30" s="251">
        <f>BB30</f>
        <v>1.5</v>
      </c>
      <c r="BD30" s="241"/>
      <c r="BE30" s="116">
        <v>1.4</v>
      </c>
      <c r="BF30" s="116">
        <v>1.5</v>
      </c>
      <c r="BG30" s="116">
        <v>1.5</v>
      </c>
      <c r="BH30" s="116">
        <v>1.7</v>
      </c>
      <c r="BI30" s="251">
        <f>BH30</f>
        <v>1.7</v>
      </c>
      <c r="BJ30" s="241"/>
      <c r="BK30" s="116">
        <v>1</v>
      </c>
      <c r="BL30" s="116">
        <v>2.2000000000000002</v>
      </c>
      <c r="BM30" s="116">
        <v>2.7</v>
      </c>
      <c r="BN30" s="116">
        <v>2.6</v>
      </c>
      <c r="BO30" s="251">
        <f>BN30</f>
        <v>2.6</v>
      </c>
      <c r="BP30" s="241"/>
      <c r="BQ30" s="116">
        <v>2.9</v>
      </c>
      <c r="BR30" s="116">
        <v>3.4</v>
      </c>
      <c r="BS30" s="251">
        <f>+BS90*'P&amp;L'!BS8*4</f>
        <v>2.6033014034766482</v>
      </c>
      <c r="BT30" s="251">
        <f>+BT90*'P&amp;L'!BT8*4</f>
        <v>2.5576540973651092</v>
      </c>
      <c r="BU30" s="251">
        <f>BT30</f>
        <v>2.5576540973651092</v>
      </c>
      <c r="BV30" s="241"/>
      <c r="BW30" s="251">
        <f>+BW90*'P&amp;L'!BW8*4</f>
        <v>2.9036753931528532</v>
      </c>
      <c r="BX30" s="251">
        <f>+BX90*'P&amp;L'!BX8*4</f>
        <v>3.5022816360565598</v>
      </c>
      <c r="BY30" s="251">
        <f>+BY90*'P&amp;L'!BY8*4</f>
        <v>2.7257266984951687</v>
      </c>
      <c r="BZ30" s="251">
        <f>+BZ90*'P&amp;L'!BZ8*4</f>
        <v>2.7059577981279479</v>
      </c>
      <c r="CA30" s="251">
        <f>BZ30</f>
        <v>2.7059577981279479</v>
      </c>
      <c r="CB30" s="241"/>
      <c r="CC30" s="251">
        <f>+CC90*'P&amp;L'!CC8*4</f>
        <v>3.0424358865929459</v>
      </c>
      <c r="CD30" s="251">
        <f>+CD90*'P&amp;L'!CD8*4</f>
        <v>3.709895158311495</v>
      </c>
      <c r="CE30" s="251">
        <f>+CE90*'P&amp;L'!CE8*4</f>
        <v>2.8891810742690804</v>
      </c>
      <c r="CF30" s="251">
        <f>+CF90*'P&amp;L'!CF8*4</f>
        <v>2.8802936612526358</v>
      </c>
      <c r="CG30" s="251">
        <f>CF30</f>
        <v>2.8802936612526358</v>
      </c>
      <c r="CH30" s="241"/>
      <c r="CI30" s="251">
        <f>+CI90*'P&amp;L'!CI8*4</f>
        <v>3.2617972090729652</v>
      </c>
      <c r="CJ30" s="251">
        <f>+CJ90*'P&amp;L'!CJ8*4</f>
        <v>3.9907391125294152</v>
      </c>
      <c r="CK30" s="251">
        <f>+CK90*'P&amp;L'!CK8*4</f>
        <v>3.0914963482744495</v>
      </c>
      <c r="CL30" s="251">
        <f>+CL90*'P&amp;L'!CL8*4</f>
        <v>3.0817031716058421</v>
      </c>
      <c r="CM30" s="251">
        <f t="shared" ref="CM30" si="56">CL30</f>
        <v>3.0817031716058421</v>
      </c>
      <c r="CN30" s="241"/>
      <c r="CO30" s="251">
        <f>+CO90*'P&amp;L'!CO8*4</f>
        <v>3.4962412262753397</v>
      </c>
      <c r="CP30" s="251">
        <f>+CP90*'P&amp;L'!CP8*4</f>
        <v>4.3114970024660488</v>
      </c>
      <c r="CQ30" s="251">
        <f>+CQ90*'P&amp;L'!CQ8*4</f>
        <v>3.305444628843119</v>
      </c>
      <c r="CR30" s="251">
        <f>+CR90*'P&amp;L'!CR8*4</f>
        <v>3.3120678632271101</v>
      </c>
      <c r="CS30" s="251">
        <f t="shared" si="50"/>
        <v>3.3120678632271101</v>
      </c>
      <c r="CT30" s="184"/>
      <c r="CU30" s="184"/>
      <c r="CV30" s="606"/>
      <c r="CW30" s="43"/>
      <c r="CY30" s="43"/>
      <c r="CZ30" s="43"/>
    </row>
    <row r="31" spans="1:104" x14ac:dyDescent="0.2">
      <c r="A31" s="5" t="s">
        <v>113</v>
      </c>
      <c r="B31" s="61"/>
      <c r="C31" s="13">
        <f>SUM(C27:C30)</f>
        <v>22.947000000000003</v>
      </c>
      <c r="D31" s="13">
        <f>SUM(D27:D30)</f>
        <v>26.471999999999998</v>
      </c>
      <c r="E31" s="13">
        <f>SUM(E27:E30)</f>
        <v>22.959999999999997</v>
      </c>
      <c r="F31" s="13">
        <f>SUM(F27:F30)</f>
        <v>35.177</v>
      </c>
      <c r="G31" s="252">
        <f>SUM(G27:G30)</f>
        <v>35.177</v>
      </c>
      <c r="H31" s="61"/>
      <c r="I31" s="13">
        <f>SUM(I27:I30)</f>
        <v>31.622</v>
      </c>
      <c r="J31" s="13">
        <f>SUM(J27:J30)</f>
        <v>34.89</v>
      </c>
      <c r="K31" s="13">
        <f>SUM(K27:K30)</f>
        <v>37.661000000000001</v>
      </c>
      <c r="L31" s="13">
        <f>SUM(L27:L30)</f>
        <v>73.686999999999998</v>
      </c>
      <c r="M31" s="252">
        <f>SUM(M27:M30)</f>
        <v>73.686999999999998</v>
      </c>
      <c r="N31" s="61"/>
      <c r="O31" s="13">
        <f>SUM(O27:O30)</f>
        <v>54.184000000000005</v>
      </c>
      <c r="P31" s="13">
        <f>SUM(P27:P30)</f>
        <v>53.820999999999998</v>
      </c>
      <c r="Q31" s="13">
        <f>SUM(Q27:Q30)</f>
        <v>36.503</v>
      </c>
      <c r="R31" s="13">
        <f>SUM(R27:R30)</f>
        <v>32.168999999999997</v>
      </c>
      <c r="S31" s="252">
        <f>SUM(S27:S30)</f>
        <v>32.168999999999997</v>
      </c>
      <c r="T31" s="61"/>
      <c r="U31" s="13">
        <f>SUM(U27:U30)</f>
        <v>20.993000000000002</v>
      </c>
      <c r="V31" s="13">
        <f>SUM(V27:V30)</f>
        <v>22.710999999999999</v>
      </c>
      <c r="W31" s="13">
        <f>SUM(W27:W30)</f>
        <v>22.216999999999999</v>
      </c>
      <c r="X31" s="13">
        <f>SUM(X27:X30)</f>
        <v>27.466000000000001</v>
      </c>
      <c r="Y31" s="252">
        <f>SUM(Y27:Y30)</f>
        <v>27.466000000000001</v>
      </c>
      <c r="Z31" s="61"/>
      <c r="AA31" s="13">
        <f>SUM(AA27:AA30)</f>
        <v>30.931000000000001</v>
      </c>
      <c r="AB31" s="13">
        <f>SUM(AB27:AB30)</f>
        <v>23.188000000000002</v>
      </c>
      <c r="AC31" s="13">
        <f>SUM(AC27:AC30)</f>
        <v>23.372</v>
      </c>
      <c r="AD31" s="13">
        <f>SUM(AD27:AD30)</f>
        <v>34.387</v>
      </c>
      <c r="AE31" s="252">
        <f>SUM(AE27:AE30)</f>
        <v>34.387</v>
      </c>
      <c r="AF31" s="241"/>
      <c r="AG31" s="13">
        <f>SUM(AG27:AG30)</f>
        <v>31.292999999999999</v>
      </c>
      <c r="AH31" s="13">
        <f>SUM(AH27:AH30)</f>
        <v>35.045999999999999</v>
      </c>
      <c r="AI31" s="13">
        <f>SUM(AI27:AI30)</f>
        <v>37.052</v>
      </c>
      <c r="AJ31" s="13">
        <f>SUM(AJ27:AJ30)</f>
        <v>44.966999999999999</v>
      </c>
      <c r="AK31" s="252">
        <f>SUM(AK27:AK30)</f>
        <v>44.966999999999999</v>
      </c>
      <c r="AL31" s="241"/>
      <c r="AM31" s="252">
        <f>SUM(AM27:AM30)</f>
        <v>57.355999999999995</v>
      </c>
      <c r="AN31" s="252">
        <f>SUM(AN27:AN30)</f>
        <v>45.488</v>
      </c>
      <c r="AO31" s="13">
        <f>SUM(AO27:AO30)</f>
        <v>53.620999999999995</v>
      </c>
      <c r="AP31" s="13">
        <f>SUM(AP27:AP30)</f>
        <v>64.509000000000015</v>
      </c>
      <c r="AQ31" s="252">
        <f>SUM(AQ27:AQ30)</f>
        <v>64.509000000000015</v>
      </c>
      <c r="AR31" s="241"/>
      <c r="AS31" s="252">
        <f>SUM(AS27:AS30)</f>
        <v>79.03</v>
      </c>
      <c r="AT31" s="252">
        <f>SUM(AT27:AT30)</f>
        <v>67.391999999999996</v>
      </c>
      <c r="AU31" s="13">
        <f>SUM(AU27:AU30)</f>
        <v>72.155999999999992</v>
      </c>
      <c r="AV31" s="13">
        <f>SUM(AV27:AV30)</f>
        <v>80.578000000000003</v>
      </c>
      <c r="AW31" s="252">
        <f>SUM(AW27:AW30)</f>
        <v>80.578000000000003</v>
      </c>
      <c r="AX31" s="241"/>
      <c r="AY31" s="252">
        <f>SUM(AY27:AY30)</f>
        <v>67.725000000000009</v>
      </c>
      <c r="AZ31" s="252">
        <f>SUM(AZ27:AZ30)</f>
        <v>59.836999999999996</v>
      </c>
      <c r="BA31" s="252">
        <f>SUM(BA27:BA30)</f>
        <v>67.173000000000002</v>
      </c>
      <c r="BB31" s="252">
        <f>SUM(BB27:BB30)</f>
        <v>68.7</v>
      </c>
      <c r="BC31" s="252">
        <f>SUM(BC27:BC30)</f>
        <v>68.7</v>
      </c>
      <c r="BD31" s="241"/>
      <c r="BE31" s="252">
        <f>SUM(BE27:BE30)</f>
        <v>58.999999999999993</v>
      </c>
      <c r="BF31" s="252">
        <f>SUM(BF27:BF30)</f>
        <v>65.900000000000006</v>
      </c>
      <c r="BG31" s="252">
        <f>SUM(BG27:BG30)</f>
        <v>66.099999999999994</v>
      </c>
      <c r="BH31" s="252">
        <f>SUM(BH27:BH30)</f>
        <v>72.3</v>
      </c>
      <c r="BI31" s="252">
        <f>SUM(BI27:BI30)</f>
        <v>72.3</v>
      </c>
      <c r="BJ31" s="241"/>
      <c r="BK31" s="252">
        <f>SUM(BK27:BK30)</f>
        <v>274.89999999999998</v>
      </c>
      <c r="BL31" s="252">
        <f>SUM(BL27:BL30)</f>
        <v>82.8</v>
      </c>
      <c r="BM31" s="252">
        <f>SUM(BM27:BM30)</f>
        <v>221.7</v>
      </c>
      <c r="BN31" s="252">
        <f>SUM(BN27:BN30)</f>
        <v>217.49999999999997</v>
      </c>
      <c r="BO31" s="252">
        <f>SUM(BO27:BO30)</f>
        <v>217.49999999999997</v>
      </c>
      <c r="BP31" s="241"/>
      <c r="BQ31" s="252">
        <f>SUM(BQ27:BQ30)</f>
        <v>139.20000000000002</v>
      </c>
      <c r="BR31" s="252">
        <f>SUM(BR27:BR30)</f>
        <v>159.30000000000001</v>
      </c>
      <c r="BS31" s="252">
        <f>SUM(BS27:BS30)</f>
        <v>159.66093492695131</v>
      </c>
      <c r="BT31" s="252">
        <f>SUM(BT27:BT30)</f>
        <v>159.43235318641854</v>
      </c>
      <c r="BU31" s="252">
        <f>SUM(BU27:BU30)</f>
        <v>159.43235318641854</v>
      </c>
      <c r="BV31" s="241"/>
      <c r="BW31" s="252">
        <f>SUM(BW27:BW30)</f>
        <v>155.12928801573187</v>
      </c>
      <c r="BX31" s="252">
        <f>SUM(BX27:BX30)</f>
        <v>161.93604486080423</v>
      </c>
      <c r="BY31" s="252">
        <f>SUM(BY27:BY30)</f>
        <v>162.89524796904468</v>
      </c>
      <c r="BZ31" s="252">
        <f>SUM(BZ27:BZ30)</f>
        <v>163.2472071281278</v>
      </c>
      <c r="CA31" s="252">
        <f>SUM(CA27:CA30)</f>
        <v>163.2472071281278</v>
      </c>
      <c r="CB31" s="241"/>
      <c r="CC31" s="252">
        <f>SUM(CC27:CC30)</f>
        <v>158.81340556732135</v>
      </c>
      <c r="CD31" s="252">
        <f>SUM(CD27:CD30)</f>
        <v>167.08619285413718</v>
      </c>
      <c r="CE31" s="252">
        <f>SUM(CE27:CE30)</f>
        <v>168.36374783524971</v>
      </c>
      <c r="CF31" s="252">
        <f>SUM(CF27:CF30)</f>
        <v>169.3702893277289</v>
      </c>
      <c r="CG31" s="252">
        <f>SUM(CG27:CG30)</f>
        <v>169.3702893277289</v>
      </c>
      <c r="CH31" s="241"/>
      <c r="CI31" s="252">
        <f t="shared" ref="CI31:CM31" si="57">SUM(CI27:CI30)</f>
        <v>165.17423571818497</v>
      </c>
      <c r="CJ31" s="252">
        <f t="shared" si="57"/>
        <v>174.43832651123657</v>
      </c>
      <c r="CK31" s="252">
        <f t="shared" si="57"/>
        <v>175.33815585025926</v>
      </c>
      <c r="CL31" s="252">
        <f t="shared" si="57"/>
        <v>176.59499017473271</v>
      </c>
      <c r="CM31" s="252">
        <f t="shared" si="57"/>
        <v>176.59499017473271</v>
      </c>
      <c r="CN31" s="241"/>
      <c r="CO31" s="252">
        <f t="shared" ref="CO31:CS31" si="58">SUM(CO27:CO30)</f>
        <v>172.07621744967196</v>
      </c>
      <c r="CP31" s="252">
        <f t="shared" si="58"/>
        <v>182.85896035707734</v>
      </c>
      <c r="CQ31" s="252">
        <f t="shared" si="58"/>
        <v>182.52186899725601</v>
      </c>
      <c r="CR31" s="252">
        <f t="shared" si="58"/>
        <v>184.59657728697971</v>
      </c>
      <c r="CS31" s="252">
        <f t="shared" si="58"/>
        <v>184.59657728697971</v>
      </c>
      <c r="CT31" s="252"/>
      <c r="CU31" s="252"/>
      <c r="CV31" s="606"/>
      <c r="CW31" s="43"/>
      <c r="CY31" s="43"/>
      <c r="CZ31" s="43"/>
    </row>
    <row r="32" spans="1:104" x14ac:dyDescent="0.2">
      <c r="A32" s="1"/>
      <c r="B32" s="61"/>
      <c r="C32" s="12"/>
      <c r="D32" s="12"/>
      <c r="E32" s="12"/>
      <c r="F32" s="12"/>
      <c r="G32" s="286"/>
      <c r="H32" s="61"/>
      <c r="I32" s="12"/>
      <c r="J32" s="12"/>
      <c r="K32" s="12"/>
      <c r="L32" s="12"/>
      <c r="M32" s="286"/>
      <c r="N32" s="61"/>
      <c r="O32" s="12"/>
      <c r="P32" s="12"/>
      <c r="Q32" s="12"/>
      <c r="R32" s="12"/>
      <c r="S32" s="286"/>
      <c r="T32" s="61"/>
      <c r="U32" s="12"/>
      <c r="V32" s="12"/>
      <c r="W32" s="12"/>
      <c r="X32" s="12"/>
      <c r="Y32" s="286"/>
      <c r="Z32" s="61"/>
      <c r="AA32" s="12"/>
      <c r="AB32" s="12"/>
      <c r="AC32" s="12"/>
      <c r="AD32" s="12"/>
      <c r="AE32" s="286"/>
      <c r="AF32" s="241"/>
      <c r="AG32" s="12"/>
      <c r="AH32" s="170"/>
      <c r="AI32" s="12"/>
      <c r="AJ32" s="12"/>
      <c r="AK32" s="286"/>
      <c r="AL32" s="241"/>
      <c r="AM32" s="170"/>
      <c r="AN32" s="170"/>
      <c r="AO32" s="12"/>
      <c r="AP32" s="12"/>
      <c r="AQ32" s="286"/>
      <c r="AR32" s="241"/>
      <c r="AS32" s="170"/>
      <c r="AT32" s="170"/>
      <c r="AU32" s="12"/>
      <c r="AV32" s="12"/>
      <c r="AW32" s="286"/>
      <c r="AX32" s="241"/>
      <c r="AY32" s="170"/>
      <c r="AZ32" s="170"/>
      <c r="BA32" s="170"/>
      <c r="BB32" s="170"/>
      <c r="BC32" s="286"/>
      <c r="BD32" s="241"/>
      <c r="BE32" s="170"/>
      <c r="BF32" s="170"/>
      <c r="BG32" s="170"/>
      <c r="BH32" s="170"/>
      <c r="BI32" s="286"/>
      <c r="BJ32" s="241"/>
      <c r="BK32" s="170"/>
      <c r="BL32" s="170"/>
      <c r="BM32" s="170"/>
      <c r="BN32" s="170"/>
      <c r="BO32" s="286"/>
      <c r="BP32" s="241"/>
      <c r="BQ32" s="170"/>
      <c r="BR32" s="170"/>
      <c r="BS32" s="170"/>
      <c r="BT32" s="170"/>
      <c r="BU32" s="286"/>
      <c r="BV32" s="241"/>
      <c r="BW32" s="170"/>
      <c r="BX32" s="170"/>
      <c r="BY32" s="170"/>
      <c r="BZ32" s="170"/>
      <c r="CA32" s="286"/>
      <c r="CB32" s="241"/>
      <c r="CC32" s="170"/>
      <c r="CD32" s="170"/>
      <c r="CE32" s="170"/>
      <c r="CF32" s="170"/>
      <c r="CG32" s="286"/>
      <c r="CH32" s="241"/>
      <c r="CI32" s="170"/>
      <c r="CJ32" s="170"/>
      <c r="CK32" s="170"/>
      <c r="CL32" s="170"/>
      <c r="CM32" s="286"/>
      <c r="CN32" s="241"/>
      <c r="CO32" s="170"/>
      <c r="CP32" s="170"/>
      <c r="CQ32" s="170"/>
      <c r="CR32" s="170"/>
      <c r="CS32" s="286"/>
      <c r="CT32" s="286"/>
      <c r="CU32" s="286"/>
      <c r="CV32" s="606"/>
      <c r="CW32" s="43"/>
      <c r="CY32" s="43"/>
      <c r="CZ32" s="43"/>
    </row>
    <row r="33" spans="1:104" x14ac:dyDescent="0.2">
      <c r="A33" s="1" t="s">
        <v>254</v>
      </c>
      <c r="B33" s="63"/>
      <c r="C33" s="176">
        <v>0</v>
      </c>
      <c r="D33" s="176">
        <v>0</v>
      </c>
      <c r="E33" s="176">
        <v>0</v>
      </c>
      <c r="F33" s="176">
        <v>0</v>
      </c>
      <c r="G33" s="183">
        <f>F33</f>
        <v>0</v>
      </c>
      <c r="H33" s="63"/>
      <c r="I33" s="176">
        <v>0</v>
      </c>
      <c r="J33" s="176">
        <v>0</v>
      </c>
      <c r="K33" s="176">
        <v>0</v>
      </c>
      <c r="L33" s="176">
        <v>0</v>
      </c>
      <c r="M33" s="183">
        <f>L33</f>
        <v>0</v>
      </c>
      <c r="N33" s="63"/>
      <c r="O33" s="176">
        <v>0</v>
      </c>
      <c r="P33" s="176">
        <v>0</v>
      </c>
      <c r="Q33" s="176">
        <v>0</v>
      </c>
      <c r="R33" s="176">
        <v>0</v>
      </c>
      <c r="S33" s="183">
        <f>R33</f>
        <v>0</v>
      </c>
      <c r="T33" s="63"/>
      <c r="U33" s="176">
        <v>0</v>
      </c>
      <c r="V33" s="176">
        <v>0</v>
      </c>
      <c r="W33" s="176">
        <v>0</v>
      </c>
      <c r="X33" s="176">
        <v>8.8000000000000007</v>
      </c>
      <c r="Y33" s="183">
        <f>X33</f>
        <v>8.8000000000000007</v>
      </c>
      <c r="Z33" s="63"/>
      <c r="AA33" s="176">
        <v>8.8000000000000007</v>
      </c>
      <c r="AB33" s="176">
        <v>9.32</v>
      </c>
      <c r="AC33" s="176">
        <v>9.4480000000000004</v>
      </c>
      <c r="AD33" s="176">
        <v>9.6479999999999997</v>
      </c>
      <c r="AE33" s="183">
        <f>AD33</f>
        <v>9.6479999999999997</v>
      </c>
      <c r="AF33" s="253"/>
      <c r="AG33" s="176">
        <v>9.4480000000000004</v>
      </c>
      <c r="AH33" s="176">
        <v>9.4480000000000004</v>
      </c>
      <c r="AI33" s="176">
        <v>10.007999999999999</v>
      </c>
      <c r="AJ33" s="176">
        <v>10.007999999999999</v>
      </c>
      <c r="AK33" s="183">
        <f>AJ33</f>
        <v>10.007999999999999</v>
      </c>
      <c r="AL33" s="253"/>
      <c r="AM33" s="176">
        <v>10.138</v>
      </c>
      <c r="AN33" s="176">
        <v>10.138</v>
      </c>
      <c r="AO33" s="176">
        <v>10.478</v>
      </c>
      <c r="AP33" s="176">
        <v>10.718</v>
      </c>
      <c r="AQ33" s="183">
        <f>AP33</f>
        <v>10.718</v>
      </c>
      <c r="AR33" s="253"/>
      <c r="AS33" s="176">
        <v>12.356</v>
      </c>
      <c r="AT33" s="176">
        <v>13.318</v>
      </c>
      <c r="AU33" s="176">
        <v>13.641</v>
      </c>
      <c r="AV33" s="176">
        <v>24.238</v>
      </c>
      <c r="AW33" s="183">
        <f>AV33</f>
        <v>24.238</v>
      </c>
      <c r="AX33" s="253"/>
      <c r="AY33" s="176">
        <v>24.513999999999999</v>
      </c>
      <c r="AZ33" s="176">
        <v>25.326000000000001</v>
      </c>
      <c r="BA33" s="176">
        <f>26.111+10.447</f>
        <v>36.558</v>
      </c>
      <c r="BB33" s="176">
        <v>26.4</v>
      </c>
      <c r="BC33" s="183">
        <f>BB33</f>
        <v>26.4</v>
      </c>
      <c r="BD33" s="253"/>
      <c r="BE33" s="176">
        <v>27.2</v>
      </c>
      <c r="BF33" s="176">
        <v>27.9</v>
      </c>
      <c r="BG33" s="176">
        <v>24</v>
      </c>
      <c r="BH33" s="176">
        <v>24</v>
      </c>
      <c r="BI33" s="183">
        <f>BH33</f>
        <v>24</v>
      </c>
      <c r="BJ33" s="253"/>
      <c r="BK33" s="176">
        <v>24.4</v>
      </c>
      <c r="BL33" s="176">
        <v>24.6</v>
      </c>
      <c r="BM33" s="176">
        <v>24.9</v>
      </c>
      <c r="BN33" s="176">
        <v>25.2</v>
      </c>
      <c r="BO33" s="183">
        <f>BN33</f>
        <v>25.2</v>
      </c>
      <c r="BP33" s="253"/>
      <c r="BQ33" s="176">
        <v>31.9</v>
      </c>
      <c r="BR33" s="176">
        <v>33.4</v>
      </c>
      <c r="BS33" s="183">
        <f>+BR33+'Cash Flow'!BS14</f>
        <v>33.4</v>
      </c>
      <c r="BT33" s="183">
        <f>+BS33+'Cash Flow'!BT14</f>
        <v>33.4</v>
      </c>
      <c r="BU33" s="183">
        <f>BT33</f>
        <v>33.4</v>
      </c>
      <c r="BV33" s="253"/>
      <c r="BW33" s="183">
        <f>+BU33+'Cash Flow'!BW14</f>
        <v>33.4</v>
      </c>
      <c r="BX33" s="183">
        <f>+BW33+'Cash Flow'!BX14</f>
        <v>33.4</v>
      </c>
      <c r="BY33" s="183">
        <f>+BX33+'Cash Flow'!BY14</f>
        <v>33.4</v>
      </c>
      <c r="BZ33" s="183">
        <f>+BY33+'Cash Flow'!BZ14</f>
        <v>33.4</v>
      </c>
      <c r="CA33" s="183">
        <f>BZ33</f>
        <v>33.4</v>
      </c>
      <c r="CB33" s="253"/>
      <c r="CC33" s="183">
        <f>+CA33+'Cash Flow'!CC14</f>
        <v>33.4</v>
      </c>
      <c r="CD33" s="183">
        <f>+CC33+'Cash Flow'!CD14</f>
        <v>33.4</v>
      </c>
      <c r="CE33" s="183">
        <f>+CD33+'Cash Flow'!CE14</f>
        <v>33.4</v>
      </c>
      <c r="CF33" s="183">
        <f>+CE33+'Cash Flow'!CF14</f>
        <v>33.4</v>
      </c>
      <c r="CG33" s="183">
        <f>CF33</f>
        <v>33.4</v>
      </c>
      <c r="CH33" s="253"/>
      <c r="CI33" s="183">
        <f>+CG33+'Cash Flow'!CI14</f>
        <v>33.4</v>
      </c>
      <c r="CJ33" s="183">
        <f>+CI33+'Cash Flow'!CJ14</f>
        <v>33.4</v>
      </c>
      <c r="CK33" s="183">
        <f>+CJ33+'Cash Flow'!CK14</f>
        <v>33.4</v>
      </c>
      <c r="CL33" s="183">
        <f>+CK33+'Cash Flow'!CL14</f>
        <v>33.4</v>
      </c>
      <c r="CM33" s="183">
        <f t="shared" ref="CM33" si="59">CL33</f>
        <v>33.4</v>
      </c>
      <c r="CN33" s="253"/>
      <c r="CO33" s="183">
        <f>+CM33+'Cash Flow'!CO14</f>
        <v>33.4</v>
      </c>
      <c r="CP33" s="183">
        <f>+CO33+'Cash Flow'!CP14</f>
        <v>33.4</v>
      </c>
      <c r="CQ33" s="183">
        <f>+CP33+'Cash Flow'!CQ14</f>
        <v>33.4</v>
      </c>
      <c r="CR33" s="183">
        <f>+CQ33+'Cash Flow'!CR14</f>
        <v>33.4</v>
      </c>
      <c r="CS33" s="183">
        <f t="shared" ref="CS33:CS35" si="60">CR33</f>
        <v>33.4</v>
      </c>
      <c r="CT33" s="183"/>
      <c r="CU33" s="183"/>
      <c r="CV33" s="606"/>
      <c r="CW33" s="43"/>
      <c r="CY33" s="43"/>
      <c r="CZ33" s="43"/>
    </row>
    <row r="34" spans="1:104" x14ac:dyDescent="0.2">
      <c r="A34" s="75" t="s">
        <v>293</v>
      </c>
      <c r="B34" s="62"/>
      <c r="C34" s="429">
        <v>0</v>
      </c>
      <c r="D34" s="429">
        <v>0</v>
      </c>
      <c r="E34" s="429">
        <v>0</v>
      </c>
      <c r="F34" s="429">
        <v>0</v>
      </c>
      <c r="G34" s="183">
        <f>F34</f>
        <v>0</v>
      </c>
      <c r="H34" s="62"/>
      <c r="I34" s="429">
        <v>0</v>
      </c>
      <c r="J34" s="429">
        <v>0</v>
      </c>
      <c r="K34" s="429">
        <v>0</v>
      </c>
      <c r="L34" s="429">
        <v>0</v>
      </c>
      <c r="M34" s="183">
        <f>L34</f>
        <v>0</v>
      </c>
      <c r="N34" s="62"/>
      <c r="O34" s="429">
        <v>0</v>
      </c>
      <c r="P34" s="429">
        <v>0</v>
      </c>
      <c r="Q34" s="429">
        <v>0</v>
      </c>
      <c r="R34" s="429">
        <v>0</v>
      </c>
      <c r="S34" s="183">
        <f>R34</f>
        <v>0</v>
      </c>
      <c r="T34" s="62"/>
      <c r="U34" s="429">
        <v>0</v>
      </c>
      <c r="V34" s="429">
        <v>0</v>
      </c>
      <c r="W34" s="429">
        <v>0</v>
      </c>
      <c r="X34" s="429">
        <v>0</v>
      </c>
      <c r="Y34" s="183">
        <f>X34</f>
        <v>0</v>
      </c>
      <c r="Z34" s="62"/>
      <c r="AA34" s="429">
        <v>0</v>
      </c>
      <c r="AB34" s="429">
        <v>0</v>
      </c>
      <c r="AC34" s="429">
        <v>0</v>
      </c>
      <c r="AD34" s="429">
        <v>0</v>
      </c>
      <c r="AE34" s="183">
        <f>AD34</f>
        <v>0</v>
      </c>
      <c r="AF34" s="184"/>
      <c r="AG34" s="429">
        <v>0</v>
      </c>
      <c r="AH34" s="429">
        <v>0</v>
      </c>
      <c r="AI34" s="429">
        <v>0</v>
      </c>
      <c r="AJ34" s="429">
        <v>0</v>
      </c>
      <c r="AK34" s="183">
        <f>AJ34</f>
        <v>0</v>
      </c>
      <c r="AL34" s="184"/>
      <c r="AM34" s="429">
        <v>0</v>
      </c>
      <c r="AN34" s="429">
        <v>0</v>
      </c>
      <c r="AO34" s="429">
        <v>0</v>
      </c>
      <c r="AP34" s="429">
        <v>0</v>
      </c>
      <c r="AQ34" s="183">
        <f>AP34</f>
        <v>0</v>
      </c>
      <c r="AR34" s="184"/>
      <c r="AS34" s="429">
        <v>0</v>
      </c>
      <c r="AT34" s="429">
        <v>0</v>
      </c>
      <c r="AU34" s="429">
        <v>8.3870000000000005</v>
      </c>
      <c r="AV34" s="429">
        <v>0</v>
      </c>
      <c r="AW34" s="183">
        <f>AV34</f>
        <v>0</v>
      </c>
      <c r="AX34" s="184"/>
      <c r="AY34" s="429">
        <v>4.617</v>
      </c>
      <c r="AZ34" s="429">
        <v>2.4500000000000002</v>
      </c>
      <c r="BA34" s="429">
        <f>6.42</f>
        <v>6.42</v>
      </c>
      <c r="BB34" s="429">
        <f>8.8+0.2</f>
        <v>9</v>
      </c>
      <c r="BC34" s="183">
        <f>BB34</f>
        <v>9</v>
      </c>
      <c r="BD34" s="184"/>
      <c r="BE34" s="429">
        <f>7.1+6.6</f>
        <v>13.7</v>
      </c>
      <c r="BF34" s="429">
        <f>6.8+0.3</f>
        <v>7.1</v>
      </c>
      <c r="BG34" s="429">
        <f>7.7+0.2</f>
        <v>7.9</v>
      </c>
      <c r="BH34" s="429">
        <f>18.2+17.9</f>
        <v>36.099999999999994</v>
      </c>
      <c r="BI34" s="183">
        <f>BH34</f>
        <v>36.099999999999994</v>
      </c>
      <c r="BJ34" s="184"/>
      <c r="BK34" s="429">
        <f>87.6+148.7</f>
        <v>236.29999999999998</v>
      </c>
      <c r="BL34" s="429">
        <f>8.8+137.1+86.1</f>
        <v>232</v>
      </c>
      <c r="BM34" s="429">
        <f>7.2+14.3+84.7</f>
        <v>106.2</v>
      </c>
      <c r="BN34" s="429">
        <f>7.2+13.2+84.4</f>
        <v>104.80000000000001</v>
      </c>
      <c r="BO34" s="183">
        <f>BN34</f>
        <v>104.80000000000001</v>
      </c>
      <c r="BP34" s="184"/>
      <c r="BQ34" s="429">
        <f>7.4+13.8+91.2</f>
        <v>112.4</v>
      </c>
      <c r="BR34" s="429">
        <f>6.6+11+60.8</f>
        <v>78.400000000000006</v>
      </c>
      <c r="BS34" s="183">
        <f>BR34</f>
        <v>78.400000000000006</v>
      </c>
      <c r="BT34" s="183">
        <f>BS34</f>
        <v>78.400000000000006</v>
      </c>
      <c r="BU34" s="183">
        <f>BT34</f>
        <v>78.400000000000006</v>
      </c>
      <c r="BV34" s="184"/>
      <c r="BW34" s="183">
        <f>BU34</f>
        <v>78.400000000000006</v>
      </c>
      <c r="BX34" s="183">
        <f>BW34</f>
        <v>78.400000000000006</v>
      </c>
      <c r="BY34" s="183">
        <f>BX34</f>
        <v>78.400000000000006</v>
      </c>
      <c r="BZ34" s="183">
        <f>BY34</f>
        <v>78.400000000000006</v>
      </c>
      <c r="CA34" s="183">
        <f>BZ34</f>
        <v>78.400000000000006</v>
      </c>
      <c r="CB34" s="184"/>
      <c r="CC34" s="183">
        <f>CA34</f>
        <v>78.400000000000006</v>
      </c>
      <c r="CD34" s="183">
        <f>CC34</f>
        <v>78.400000000000006</v>
      </c>
      <c r="CE34" s="183">
        <f>CD34</f>
        <v>78.400000000000006</v>
      </c>
      <c r="CF34" s="183">
        <f>CE34</f>
        <v>78.400000000000006</v>
      </c>
      <c r="CG34" s="183">
        <f>CF34</f>
        <v>78.400000000000006</v>
      </c>
      <c r="CH34" s="184"/>
      <c r="CI34" s="183">
        <f t="shared" ref="CI34" si="61">CG34</f>
        <v>78.400000000000006</v>
      </c>
      <c r="CJ34" s="183">
        <f t="shared" ref="CJ34:CM34" si="62">CI34</f>
        <v>78.400000000000006</v>
      </c>
      <c r="CK34" s="183">
        <f t="shared" si="62"/>
        <v>78.400000000000006</v>
      </c>
      <c r="CL34" s="183">
        <f t="shared" si="62"/>
        <v>78.400000000000006</v>
      </c>
      <c r="CM34" s="183">
        <f t="shared" si="62"/>
        <v>78.400000000000006</v>
      </c>
      <c r="CN34" s="184"/>
      <c r="CO34" s="183">
        <f t="shared" ref="CO34" si="63">CM34</f>
        <v>78.400000000000006</v>
      </c>
      <c r="CP34" s="183">
        <f t="shared" ref="CP34:CR34" si="64">CO34</f>
        <v>78.400000000000006</v>
      </c>
      <c r="CQ34" s="183">
        <f t="shared" si="64"/>
        <v>78.400000000000006</v>
      </c>
      <c r="CR34" s="183">
        <f t="shared" si="64"/>
        <v>78.400000000000006</v>
      </c>
      <c r="CS34" s="183">
        <f t="shared" si="60"/>
        <v>78.400000000000006</v>
      </c>
      <c r="CT34" s="183"/>
      <c r="CU34" s="183"/>
      <c r="CV34" s="606"/>
      <c r="CW34" s="43"/>
      <c r="CY34" s="43"/>
      <c r="CZ34" s="43"/>
    </row>
    <row r="35" spans="1:104" x14ac:dyDescent="0.2">
      <c r="A35" s="75" t="s">
        <v>358</v>
      </c>
      <c r="B35" s="62"/>
      <c r="C35" s="429">
        <v>0</v>
      </c>
      <c r="D35" s="429">
        <v>0</v>
      </c>
      <c r="E35" s="429">
        <v>0</v>
      </c>
      <c r="F35" s="429">
        <v>0</v>
      </c>
      <c r="G35" s="183">
        <f>F35</f>
        <v>0</v>
      </c>
      <c r="H35" s="184"/>
      <c r="I35" s="429">
        <v>0</v>
      </c>
      <c r="J35" s="429">
        <v>0</v>
      </c>
      <c r="K35" s="429">
        <v>0</v>
      </c>
      <c r="L35" s="429">
        <v>0</v>
      </c>
      <c r="M35" s="183">
        <f>L35</f>
        <v>0</v>
      </c>
      <c r="N35" s="184"/>
      <c r="O35" s="429">
        <v>0</v>
      </c>
      <c r="P35" s="429">
        <v>0</v>
      </c>
      <c r="Q35" s="429">
        <v>0</v>
      </c>
      <c r="R35" s="429">
        <v>0</v>
      </c>
      <c r="S35" s="183">
        <f>R35</f>
        <v>0</v>
      </c>
      <c r="T35" s="184"/>
      <c r="U35" s="429">
        <v>0</v>
      </c>
      <c r="V35" s="429">
        <v>0</v>
      </c>
      <c r="W35" s="429">
        <v>0</v>
      </c>
      <c r="X35" s="429">
        <v>0</v>
      </c>
      <c r="Y35" s="183">
        <f>X35</f>
        <v>0</v>
      </c>
      <c r="Z35" s="184"/>
      <c r="AA35" s="429">
        <v>0</v>
      </c>
      <c r="AB35" s="429">
        <v>0</v>
      </c>
      <c r="AC35" s="429">
        <v>0</v>
      </c>
      <c r="AD35" s="429">
        <v>0</v>
      </c>
      <c r="AE35" s="183">
        <f>AD35</f>
        <v>0</v>
      </c>
      <c r="AF35" s="184"/>
      <c r="AG35" s="429">
        <v>0</v>
      </c>
      <c r="AH35" s="429">
        <v>0</v>
      </c>
      <c r="AI35" s="429">
        <v>0</v>
      </c>
      <c r="AJ35" s="429">
        <v>0</v>
      </c>
      <c r="AK35" s="183">
        <f>AJ35</f>
        <v>0</v>
      </c>
      <c r="AL35" s="184"/>
      <c r="AM35" s="429">
        <v>0</v>
      </c>
      <c r="AN35" s="429">
        <v>0</v>
      </c>
      <c r="AO35" s="429">
        <v>0</v>
      </c>
      <c r="AP35" s="429">
        <v>0</v>
      </c>
      <c r="AQ35" s="183">
        <f>AP35</f>
        <v>0</v>
      </c>
      <c r="AR35" s="184"/>
      <c r="AS35" s="429">
        <v>0</v>
      </c>
      <c r="AT35" s="429">
        <v>0</v>
      </c>
      <c r="AU35" s="429">
        <v>0</v>
      </c>
      <c r="AV35" s="429">
        <v>0</v>
      </c>
      <c r="AW35" s="183">
        <f>AV35</f>
        <v>0</v>
      </c>
      <c r="AX35" s="184"/>
      <c r="AY35" s="429">
        <v>0</v>
      </c>
      <c r="AZ35" s="429">
        <v>0</v>
      </c>
      <c r="BA35" s="429">
        <v>0</v>
      </c>
      <c r="BB35" s="429">
        <v>0</v>
      </c>
      <c r="BC35" s="183">
        <f>BB35</f>
        <v>0</v>
      </c>
      <c r="BD35" s="184"/>
      <c r="BE35" s="429">
        <v>0</v>
      </c>
      <c r="BF35" s="429">
        <v>0</v>
      </c>
      <c r="BG35" s="429">
        <v>0</v>
      </c>
      <c r="BH35" s="429">
        <v>0</v>
      </c>
      <c r="BI35" s="183">
        <f>BH35</f>
        <v>0</v>
      </c>
      <c r="BJ35" s="184"/>
      <c r="BK35" s="429">
        <v>0</v>
      </c>
      <c r="BL35" s="429">
        <v>204</v>
      </c>
      <c r="BM35" s="429">
        <v>167.1</v>
      </c>
      <c r="BN35" s="429">
        <v>99.1</v>
      </c>
      <c r="BO35" s="183">
        <f>BN35</f>
        <v>99.1</v>
      </c>
      <c r="BP35" s="184"/>
      <c r="BQ35" s="429">
        <v>74.2</v>
      </c>
      <c r="BR35" s="429">
        <v>43.2</v>
      </c>
      <c r="BS35" s="183">
        <f>+BS157</f>
        <v>18.425000000000004</v>
      </c>
      <c r="BT35" s="183">
        <f>+BT157</f>
        <v>18.425000000000004</v>
      </c>
      <c r="BU35" s="183">
        <f>BT35</f>
        <v>18.425000000000004</v>
      </c>
      <c r="BV35" s="184"/>
      <c r="BW35" s="183">
        <f>+BW157</f>
        <v>18.425000000000004</v>
      </c>
      <c r="BX35" s="183">
        <f>+BX157</f>
        <v>18.425000000000004</v>
      </c>
      <c r="BY35" s="183">
        <f>+BY157</f>
        <v>18.425000000000004</v>
      </c>
      <c r="BZ35" s="183">
        <f>+BZ157</f>
        <v>18.425000000000004</v>
      </c>
      <c r="CA35" s="183">
        <f>BZ35</f>
        <v>18.425000000000004</v>
      </c>
      <c r="CB35" s="184"/>
      <c r="CC35" s="183">
        <f>+CC157</f>
        <v>18.425000000000004</v>
      </c>
      <c r="CD35" s="183">
        <f>+CD157</f>
        <v>18.425000000000004</v>
      </c>
      <c r="CE35" s="183">
        <f>+CE157</f>
        <v>18.425000000000004</v>
      </c>
      <c r="CF35" s="183">
        <f>+CF157</f>
        <v>18.425000000000004</v>
      </c>
      <c r="CG35" s="183">
        <f>CF35</f>
        <v>18.425000000000004</v>
      </c>
      <c r="CH35" s="184"/>
      <c r="CI35" s="183">
        <f t="shared" ref="CI35:CL35" si="65">+CI157</f>
        <v>18.425000000000004</v>
      </c>
      <c r="CJ35" s="183">
        <f t="shared" si="65"/>
        <v>18.425000000000004</v>
      </c>
      <c r="CK35" s="183">
        <f t="shared" si="65"/>
        <v>18.425000000000004</v>
      </c>
      <c r="CL35" s="183">
        <f t="shared" si="65"/>
        <v>18.425000000000004</v>
      </c>
      <c r="CM35" s="183">
        <f t="shared" ref="CM35" si="66">CL35</f>
        <v>18.425000000000004</v>
      </c>
      <c r="CN35" s="184"/>
      <c r="CO35" s="183">
        <f t="shared" ref="CO35:CR35" si="67">+CO157</f>
        <v>18.425000000000004</v>
      </c>
      <c r="CP35" s="183">
        <f t="shared" si="67"/>
        <v>18.425000000000004</v>
      </c>
      <c r="CQ35" s="183">
        <f t="shared" si="67"/>
        <v>18.425000000000004</v>
      </c>
      <c r="CR35" s="183">
        <f t="shared" si="67"/>
        <v>18.425000000000004</v>
      </c>
      <c r="CS35" s="183">
        <f t="shared" si="60"/>
        <v>18.425000000000004</v>
      </c>
      <c r="CT35" s="183"/>
      <c r="CU35" s="183"/>
      <c r="CV35" s="606"/>
      <c r="CW35" s="43"/>
      <c r="CY35" s="43"/>
      <c r="CZ35" s="43"/>
    </row>
    <row r="36" spans="1:104" x14ac:dyDescent="0.2">
      <c r="A36" s="5" t="s">
        <v>114</v>
      </c>
      <c r="B36" s="63"/>
      <c r="C36" s="257">
        <f>C31+C33+C34+C35</f>
        <v>22.947000000000003</v>
      </c>
      <c r="D36" s="257">
        <f>D31+D33+D34+D35</f>
        <v>26.471999999999998</v>
      </c>
      <c r="E36" s="257">
        <f>E31+E33+E34+E35</f>
        <v>22.959999999999997</v>
      </c>
      <c r="F36" s="257">
        <f>F31+F33+F34+F35</f>
        <v>35.177</v>
      </c>
      <c r="G36" s="257">
        <f>G31+G33+G34+G35</f>
        <v>35.177</v>
      </c>
      <c r="H36" s="253"/>
      <c r="I36" s="257">
        <f>I31+I33+I34+I35</f>
        <v>31.622</v>
      </c>
      <c r="J36" s="257">
        <f>J31+J33+J34+J35</f>
        <v>34.89</v>
      </c>
      <c r="K36" s="257">
        <f>K31+K33+K34+K35</f>
        <v>37.661000000000001</v>
      </c>
      <c r="L36" s="257">
        <f>L31+L33+L34+L35</f>
        <v>73.686999999999998</v>
      </c>
      <c r="M36" s="257">
        <f>M31+M33+M34+M35</f>
        <v>73.686999999999998</v>
      </c>
      <c r="N36" s="253"/>
      <c r="O36" s="257">
        <f>O31+O33+O34+O35</f>
        <v>54.184000000000005</v>
      </c>
      <c r="P36" s="257">
        <f>P31+P33+P34+P35</f>
        <v>53.820999999999998</v>
      </c>
      <c r="Q36" s="257">
        <f>Q31+Q33+Q34+Q35</f>
        <v>36.503</v>
      </c>
      <c r="R36" s="257">
        <f>R31+R33+R34+R35</f>
        <v>32.168999999999997</v>
      </c>
      <c r="S36" s="257">
        <f>S31+S33+S34+S35</f>
        <v>32.168999999999997</v>
      </c>
      <c r="T36" s="253"/>
      <c r="U36" s="257">
        <f>U31+U33+U34+U35</f>
        <v>20.993000000000002</v>
      </c>
      <c r="V36" s="257">
        <f>V31+V33+V34+V35</f>
        <v>22.710999999999999</v>
      </c>
      <c r="W36" s="257">
        <f>W31+W33+W34+W35</f>
        <v>22.216999999999999</v>
      </c>
      <c r="X36" s="257">
        <f>X31+X33+X34+X35</f>
        <v>36.266000000000005</v>
      </c>
      <c r="Y36" s="257">
        <f>Y31+Y33+Y34+Y35</f>
        <v>36.266000000000005</v>
      </c>
      <c r="Z36" s="253"/>
      <c r="AA36" s="257">
        <f>AA31+AA33+AA34+AA35</f>
        <v>39.731000000000002</v>
      </c>
      <c r="AB36" s="257">
        <f>AB31+AB33+AB34+AB35</f>
        <v>32.508000000000003</v>
      </c>
      <c r="AC36" s="257">
        <f>AC31+AC33+AC34+AC35</f>
        <v>32.82</v>
      </c>
      <c r="AD36" s="257">
        <f>AD31+AD33+AD34+AD35</f>
        <v>44.034999999999997</v>
      </c>
      <c r="AE36" s="257">
        <f>AE31+AE33+AE34+AE35</f>
        <v>44.034999999999997</v>
      </c>
      <c r="AF36" s="253"/>
      <c r="AG36" s="257">
        <f>AG31+AG33+AG34+AG35</f>
        <v>40.741</v>
      </c>
      <c r="AH36" s="257">
        <f>AH31+AH33+AH34+AH35</f>
        <v>44.494</v>
      </c>
      <c r="AI36" s="257">
        <f>AI31+AI33+AI34+AI35</f>
        <v>47.06</v>
      </c>
      <c r="AJ36" s="257">
        <f>AJ31+AJ33+AJ34+AJ35</f>
        <v>54.974999999999994</v>
      </c>
      <c r="AK36" s="257">
        <f>AK31+AK33+AK34+AK35</f>
        <v>54.974999999999994</v>
      </c>
      <c r="AL36" s="253"/>
      <c r="AM36" s="257">
        <f>AM31+AM33+AM34+AM35</f>
        <v>67.494</v>
      </c>
      <c r="AN36" s="257">
        <f>AN31+AN33+AN34+AN35</f>
        <v>55.625999999999998</v>
      </c>
      <c r="AO36" s="257">
        <f>AO31+AO33+AO34+AO35</f>
        <v>64.09899999999999</v>
      </c>
      <c r="AP36" s="257">
        <f>AP31+AP33+AP34+AP35</f>
        <v>75.227000000000018</v>
      </c>
      <c r="AQ36" s="257">
        <f>AQ31+AQ33+AQ34+AQ35</f>
        <v>75.227000000000018</v>
      </c>
      <c r="AR36" s="253"/>
      <c r="AS36" s="257">
        <f>AS31+AS33+AS34+AS35</f>
        <v>91.385999999999996</v>
      </c>
      <c r="AT36" s="257">
        <f>AT31+AT33+AT34+AT35</f>
        <v>80.709999999999994</v>
      </c>
      <c r="AU36" s="257">
        <f>AU31+AU33+AU34+AU35</f>
        <v>94.183999999999997</v>
      </c>
      <c r="AV36" s="257">
        <f>AV31+AV33+AV34+AV35</f>
        <v>104.816</v>
      </c>
      <c r="AW36" s="257">
        <f>AW31+AW33+AW34+AW35</f>
        <v>104.816</v>
      </c>
      <c r="AX36" s="253"/>
      <c r="AY36" s="257">
        <f>AY31+AY33+AY34+AY35</f>
        <v>96.856000000000009</v>
      </c>
      <c r="AZ36" s="257">
        <f>AZ31+AZ33+AZ34+AZ35</f>
        <v>87.613</v>
      </c>
      <c r="BA36" s="257">
        <f>BA31+BA33+BA34+BA35</f>
        <v>110.151</v>
      </c>
      <c r="BB36" s="257">
        <f>BB31+BB33+BB34+BB35</f>
        <v>104.1</v>
      </c>
      <c r="BC36" s="257">
        <f>BC31+BC33+BC34+BC35</f>
        <v>104.1</v>
      </c>
      <c r="BD36" s="253"/>
      <c r="BE36" s="257">
        <f>BE31+BE33+BE34+BE35</f>
        <v>99.899999999999991</v>
      </c>
      <c r="BF36" s="257">
        <f>BF31+BF33+BF34+BF35</f>
        <v>100.9</v>
      </c>
      <c r="BG36" s="257">
        <f>BG31+BG33+BG34+BG35</f>
        <v>98</v>
      </c>
      <c r="BH36" s="257">
        <f>BH31+BH33+BH34+BH35</f>
        <v>132.39999999999998</v>
      </c>
      <c r="BI36" s="257">
        <f>BI31+BI33+BI34+BI35</f>
        <v>132.39999999999998</v>
      </c>
      <c r="BJ36" s="253"/>
      <c r="BK36" s="257">
        <f>BK31+BK33+BK34+BK35</f>
        <v>535.59999999999991</v>
      </c>
      <c r="BL36" s="257">
        <f>BL31+BL33+BL34+BL35</f>
        <v>543.4</v>
      </c>
      <c r="BM36" s="257">
        <f>BM31+BM33+BM34+BM35</f>
        <v>519.9</v>
      </c>
      <c r="BN36" s="257">
        <f>BN31+BN33+BN34+BN35</f>
        <v>446.6</v>
      </c>
      <c r="BO36" s="257">
        <f>BO31+BO33+BO34+BO35</f>
        <v>446.6</v>
      </c>
      <c r="BP36" s="253"/>
      <c r="BQ36" s="257">
        <f>BQ31+BQ33+BQ34+BQ35</f>
        <v>357.7</v>
      </c>
      <c r="BR36" s="257">
        <f>BR31+BR33+BR34+BR35</f>
        <v>314.3</v>
      </c>
      <c r="BS36" s="257">
        <f>BS31+BS33+BS34+BS35</f>
        <v>289.88593492695134</v>
      </c>
      <c r="BT36" s="257">
        <f>BT31+BT33+BT34+BT35</f>
        <v>289.65735318641856</v>
      </c>
      <c r="BU36" s="257">
        <f>BU31+BU33+BU34+BU35</f>
        <v>289.65735318641856</v>
      </c>
      <c r="BV36" s="253"/>
      <c r="BW36" s="257">
        <f>BW31+BW33+BW34+BW35</f>
        <v>285.35428801573192</v>
      </c>
      <c r="BX36" s="257">
        <f>BX31+BX33+BX34+BX35</f>
        <v>292.16104486080422</v>
      </c>
      <c r="BY36" s="257">
        <f>BY31+BY33+BY34+BY35</f>
        <v>293.12024796904467</v>
      </c>
      <c r="BZ36" s="257">
        <f>BZ31+BZ33+BZ34+BZ35</f>
        <v>293.47220712812782</v>
      </c>
      <c r="CA36" s="257">
        <f>CA31+CA33+CA34+CA35</f>
        <v>293.47220712812782</v>
      </c>
      <c r="CB36" s="253"/>
      <c r="CC36" s="257">
        <f>CC31+CC33+CC34+CC35</f>
        <v>289.03840556732138</v>
      </c>
      <c r="CD36" s="257">
        <f>CD31+CD33+CD34+CD35</f>
        <v>297.31119285413723</v>
      </c>
      <c r="CE36" s="257">
        <f>CE31+CE33+CE34+CE35</f>
        <v>298.58874783524976</v>
      </c>
      <c r="CF36" s="257">
        <f>CF31+CF33+CF34+CF35</f>
        <v>299.59528932772895</v>
      </c>
      <c r="CG36" s="257">
        <f>CG31+CG33+CG34+CG35</f>
        <v>299.59528932772895</v>
      </c>
      <c r="CH36" s="253"/>
      <c r="CI36" s="257">
        <f t="shared" ref="CI36:CM36" si="68">CI31+CI33+CI34+CI35</f>
        <v>295.39923571818503</v>
      </c>
      <c r="CJ36" s="257">
        <f t="shared" si="68"/>
        <v>304.66332651123656</v>
      </c>
      <c r="CK36" s="257">
        <f t="shared" si="68"/>
        <v>305.56315585025931</v>
      </c>
      <c r="CL36" s="257">
        <f t="shared" si="68"/>
        <v>306.81999017473271</v>
      </c>
      <c r="CM36" s="257">
        <f t="shared" si="68"/>
        <v>306.81999017473271</v>
      </c>
      <c r="CN36" s="253"/>
      <c r="CO36" s="257">
        <f t="shared" ref="CO36:CS36" si="69">CO31+CO33+CO34+CO35</f>
        <v>302.30121744967198</v>
      </c>
      <c r="CP36" s="257">
        <f t="shared" si="69"/>
        <v>313.08396035707739</v>
      </c>
      <c r="CQ36" s="257">
        <f t="shared" si="69"/>
        <v>312.74686899725606</v>
      </c>
      <c r="CR36" s="257">
        <f t="shared" si="69"/>
        <v>314.82157728697973</v>
      </c>
      <c r="CS36" s="257">
        <f t="shared" si="69"/>
        <v>314.82157728697973</v>
      </c>
      <c r="CT36" s="253"/>
      <c r="CU36" s="253"/>
      <c r="CV36" s="606"/>
      <c r="CW36" s="43"/>
      <c r="CY36" s="43"/>
      <c r="CZ36" s="43"/>
    </row>
    <row r="37" spans="1:104" x14ac:dyDescent="0.2">
      <c r="A37" s="1"/>
      <c r="B37" s="61"/>
      <c r="C37" s="14"/>
      <c r="D37" s="14"/>
      <c r="E37" s="14"/>
      <c r="F37" s="14"/>
      <c r="G37" s="123"/>
      <c r="H37" s="61"/>
      <c r="I37" s="14"/>
      <c r="J37" s="14"/>
      <c r="K37" s="14"/>
      <c r="L37" s="14"/>
      <c r="M37" s="123"/>
      <c r="N37" s="61"/>
      <c r="O37" s="14"/>
      <c r="P37" s="14"/>
      <c r="Q37" s="14"/>
      <c r="R37" s="14"/>
      <c r="S37" s="123"/>
      <c r="T37" s="61"/>
      <c r="U37" s="14"/>
      <c r="V37" s="14"/>
      <c r="W37" s="14"/>
      <c r="X37" s="14"/>
      <c r="Y37" s="123"/>
      <c r="Z37" s="61"/>
      <c r="AA37" s="14"/>
      <c r="AB37" s="14"/>
      <c r="AC37" s="14"/>
      <c r="AD37" s="14"/>
      <c r="AE37" s="123"/>
      <c r="AF37" s="111"/>
      <c r="AG37" s="14"/>
      <c r="AH37" s="179"/>
      <c r="AI37" s="14"/>
      <c r="AJ37" s="14"/>
      <c r="AK37" s="123"/>
      <c r="AL37" s="111"/>
      <c r="AM37" s="179"/>
      <c r="AN37" s="179"/>
      <c r="AO37" s="14"/>
      <c r="AP37" s="14"/>
      <c r="AQ37" s="123"/>
      <c r="AR37" s="111"/>
      <c r="AS37" s="179"/>
      <c r="AT37" s="179"/>
      <c r="AU37" s="14"/>
      <c r="AV37" s="14"/>
      <c r="AW37" s="123"/>
      <c r="AX37" s="111"/>
      <c r="AY37" s="179"/>
      <c r="AZ37" s="179"/>
      <c r="BA37" s="179"/>
      <c r="BB37" s="179"/>
      <c r="BC37" s="123"/>
      <c r="BD37" s="111"/>
      <c r="BE37" s="179"/>
      <c r="BF37" s="179"/>
      <c r="BG37" s="179"/>
      <c r="BH37" s="179"/>
      <c r="BI37" s="123"/>
      <c r="BJ37" s="111"/>
      <c r="BK37" s="179"/>
      <c r="BL37" s="179"/>
      <c r="BM37" s="179"/>
      <c r="BN37" s="179"/>
      <c r="BO37" s="123"/>
      <c r="BP37" s="111"/>
      <c r="BQ37" s="179"/>
      <c r="BR37" s="179"/>
      <c r="BS37" s="179"/>
      <c r="BT37" s="179"/>
      <c r="BU37" s="123"/>
      <c r="BV37" s="111"/>
      <c r="BW37" s="179"/>
      <c r="BX37" s="179"/>
      <c r="BY37" s="179"/>
      <c r="BZ37" s="179"/>
      <c r="CA37" s="123"/>
      <c r="CB37" s="111"/>
      <c r="CC37" s="179"/>
      <c r="CD37" s="179"/>
      <c r="CE37" s="179"/>
      <c r="CF37" s="179"/>
      <c r="CG37" s="123"/>
      <c r="CH37" s="111"/>
      <c r="CI37" s="179"/>
      <c r="CJ37" s="179"/>
      <c r="CK37" s="179"/>
      <c r="CL37" s="179"/>
      <c r="CM37" s="123"/>
      <c r="CN37" s="111"/>
      <c r="CO37" s="179"/>
      <c r="CP37" s="179"/>
      <c r="CQ37" s="179"/>
      <c r="CR37" s="179"/>
      <c r="CS37" s="123"/>
      <c r="CT37" s="123"/>
      <c r="CU37" s="123"/>
      <c r="CV37" s="606"/>
      <c r="CW37" s="43"/>
      <c r="CY37" s="43"/>
      <c r="CZ37" s="43"/>
    </row>
    <row r="38" spans="1:104" x14ac:dyDescent="0.2">
      <c r="A38" s="5" t="s">
        <v>77</v>
      </c>
      <c r="B38" s="61"/>
      <c r="C38" s="14"/>
      <c r="D38" s="14"/>
      <c r="E38" s="14"/>
      <c r="F38" s="14"/>
      <c r="G38" s="123"/>
      <c r="H38" s="61"/>
      <c r="I38" s="14"/>
      <c r="J38" s="14"/>
      <c r="K38" s="14"/>
      <c r="L38" s="14"/>
      <c r="M38" s="123"/>
      <c r="N38" s="61"/>
      <c r="O38" s="14"/>
      <c r="P38" s="14"/>
      <c r="Q38" s="14"/>
      <c r="R38" s="14"/>
      <c r="S38" s="123"/>
      <c r="T38" s="61"/>
      <c r="U38" s="14"/>
      <c r="V38" s="14"/>
      <c r="W38" s="14"/>
      <c r="X38" s="14"/>
      <c r="Y38" s="123"/>
      <c r="Z38" s="61"/>
      <c r="AA38" s="14"/>
      <c r="AB38" s="14"/>
      <c r="AC38" s="14"/>
      <c r="AD38" s="14"/>
      <c r="AE38" s="123"/>
      <c r="AF38" s="241"/>
      <c r="AG38" s="14"/>
      <c r="AH38" s="179"/>
      <c r="AI38" s="14"/>
      <c r="AJ38" s="14"/>
      <c r="AK38" s="123"/>
      <c r="AL38" s="241"/>
      <c r="AM38" s="179"/>
      <c r="AN38" s="179"/>
      <c r="AO38" s="14"/>
      <c r="AP38" s="14"/>
      <c r="AQ38" s="123"/>
      <c r="AR38" s="241"/>
      <c r="AS38" s="179"/>
      <c r="AT38" s="179"/>
      <c r="AU38" s="14"/>
      <c r="AV38" s="14"/>
      <c r="AW38" s="123"/>
      <c r="AX38" s="241"/>
      <c r="AY38" s="179"/>
      <c r="AZ38" s="179"/>
      <c r="BA38" s="179"/>
      <c r="BB38" s="179"/>
      <c r="BC38" s="123"/>
      <c r="BD38" s="241"/>
      <c r="BE38" s="179"/>
      <c r="BF38" s="179"/>
      <c r="BG38" s="179"/>
      <c r="BH38" s="179"/>
      <c r="BI38" s="123"/>
      <c r="BJ38" s="241"/>
      <c r="BK38" s="179"/>
      <c r="BL38" s="179"/>
      <c r="BM38" s="179"/>
      <c r="BN38" s="179"/>
      <c r="BO38" s="123"/>
      <c r="BP38" s="241"/>
      <c r="BQ38" s="179"/>
      <c r="BR38" s="179"/>
      <c r="BS38" s="179"/>
      <c r="BT38" s="179"/>
      <c r="BU38" s="123"/>
      <c r="BV38" s="241"/>
      <c r="BW38" s="179"/>
      <c r="BX38" s="179"/>
      <c r="BY38" s="179"/>
      <c r="BZ38" s="179"/>
      <c r="CA38" s="123"/>
      <c r="CB38" s="241"/>
      <c r="CC38" s="179"/>
      <c r="CD38" s="179"/>
      <c r="CE38" s="179"/>
      <c r="CF38" s="179"/>
      <c r="CG38" s="123"/>
      <c r="CH38" s="241"/>
      <c r="CI38" s="179"/>
      <c r="CJ38" s="179"/>
      <c r="CK38" s="179"/>
      <c r="CL38" s="179"/>
      <c r="CM38" s="123"/>
      <c r="CN38" s="241"/>
      <c r="CO38" s="179"/>
      <c r="CP38" s="179"/>
      <c r="CQ38" s="179"/>
      <c r="CR38" s="179"/>
      <c r="CS38" s="123"/>
      <c r="CT38" s="123"/>
      <c r="CU38" s="123"/>
      <c r="CV38" s="606"/>
      <c r="CW38" s="43"/>
      <c r="CY38" s="43"/>
      <c r="CZ38" s="43"/>
    </row>
    <row r="39" spans="1:104" outlineLevel="1" x14ac:dyDescent="0.2">
      <c r="A39" s="1" t="s">
        <v>240</v>
      </c>
      <c r="B39" s="61"/>
      <c r="C39" s="176">
        <v>0</v>
      </c>
      <c r="D39" s="176">
        <v>0</v>
      </c>
      <c r="E39" s="176">
        <v>0</v>
      </c>
      <c r="F39" s="176">
        <v>0</v>
      </c>
      <c r="G39" s="183">
        <f>F39</f>
        <v>0</v>
      </c>
      <c r="H39" s="61"/>
      <c r="I39" s="176">
        <v>0</v>
      </c>
      <c r="J39" s="176">
        <v>0</v>
      </c>
      <c r="K39" s="176">
        <v>0</v>
      </c>
      <c r="L39" s="176">
        <v>0</v>
      </c>
      <c r="M39" s="183">
        <f>L39</f>
        <v>0</v>
      </c>
      <c r="N39" s="61"/>
      <c r="O39" s="176">
        <v>0</v>
      </c>
      <c r="P39" s="176">
        <v>0</v>
      </c>
      <c r="Q39" s="176">
        <v>0</v>
      </c>
      <c r="R39" s="176">
        <v>0</v>
      </c>
      <c r="S39" s="183">
        <f>R39</f>
        <v>0</v>
      </c>
      <c r="T39" s="61"/>
      <c r="U39" s="176">
        <v>0</v>
      </c>
      <c r="V39" s="176">
        <v>0</v>
      </c>
      <c r="W39" s="176">
        <v>0</v>
      </c>
      <c r="X39" s="176">
        <v>0</v>
      </c>
      <c r="Y39" s="183">
        <f>X39</f>
        <v>0</v>
      </c>
      <c r="Z39" s="61"/>
      <c r="AA39" s="176">
        <v>0</v>
      </c>
      <c r="AB39" s="176">
        <v>0</v>
      </c>
      <c r="AC39" s="176">
        <v>0</v>
      </c>
      <c r="AD39" s="176">
        <v>0</v>
      </c>
      <c r="AE39" s="183">
        <f>AD39</f>
        <v>0</v>
      </c>
      <c r="AF39" s="241"/>
      <c r="AG39" s="176">
        <v>0</v>
      </c>
      <c r="AH39" s="176">
        <v>0</v>
      </c>
      <c r="AI39" s="176">
        <v>0</v>
      </c>
      <c r="AJ39" s="176">
        <v>0</v>
      </c>
      <c r="AK39" s="183">
        <f>AJ39</f>
        <v>0</v>
      </c>
      <c r="AL39" s="241"/>
      <c r="AM39" s="176">
        <v>0</v>
      </c>
      <c r="AN39" s="176">
        <v>0</v>
      </c>
      <c r="AO39" s="176">
        <v>0</v>
      </c>
      <c r="AP39" s="176">
        <v>0</v>
      </c>
      <c r="AQ39" s="183">
        <f>AP39</f>
        <v>0</v>
      </c>
      <c r="AR39" s="241"/>
      <c r="AS39" s="176">
        <v>0</v>
      </c>
      <c r="AT39" s="176">
        <v>0</v>
      </c>
      <c r="AU39" s="176">
        <v>0</v>
      </c>
      <c r="AV39" s="176">
        <v>0</v>
      </c>
      <c r="AW39" s="183">
        <f>AV39</f>
        <v>0</v>
      </c>
      <c r="AX39" s="241"/>
      <c r="AY39" s="176">
        <v>0</v>
      </c>
      <c r="AZ39" s="240">
        <v>0</v>
      </c>
      <c r="BA39" s="240">
        <v>0</v>
      </c>
      <c r="BB39" s="240">
        <v>0</v>
      </c>
      <c r="BC39" s="183">
        <f>BB39</f>
        <v>0</v>
      </c>
      <c r="BD39" s="241"/>
      <c r="BE39" s="176">
        <v>0</v>
      </c>
      <c r="BF39" s="176">
        <v>0</v>
      </c>
      <c r="BG39" s="176">
        <v>0</v>
      </c>
      <c r="BH39" s="176">
        <v>0</v>
      </c>
      <c r="BI39" s="183">
        <f>BH39</f>
        <v>0</v>
      </c>
      <c r="BJ39" s="241"/>
      <c r="BK39" s="176">
        <v>0</v>
      </c>
      <c r="BL39" s="176">
        <v>0</v>
      </c>
      <c r="BM39" s="176">
        <v>0</v>
      </c>
      <c r="BN39" s="176">
        <v>0</v>
      </c>
      <c r="BO39" s="183">
        <f>BN39</f>
        <v>0</v>
      </c>
      <c r="BP39" s="241"/>
      <c r="BQ39" s="176">
        <v>0</v>
      </c>
      <c r="BR39" s="176">
        <v>0</v>
      </c>
      <c r="BS39" s="183">
        <f>BR39</f>
        <v>0</v>
      </c>
      <c r="BT39" s="183">
        <f>BS39</f>
        <v>0</v>
      </c>
      <c r="BU39" s="183">
        <f>BT39</f>
        <v>0</v>
      </c>
      <c r="BV39" s="241"/>
      <c r="BW39" s="183">
        <f>BU39</f>
        <v>0</v>
      </c>
      <c r="BX39" s="183">
        <f>BW39</f>
        <v>0</v>
      </c>
      <c r="BY39" s="183">
        <f>BX39</f>
        <v>0</v>
      </c>
      <c r="BZ39" s="183">
        <f>BY39</f>
        <v>0</v>
      </c>
      <c r="CA39" s="183">
        <f>BZ39</f>
        <v>0</v>
      </c>
      <c r="CB39" s="241"/>
      <c r="CC39" s="183">
        <f>CA39</f>
        <v>0</v>
      </c>
      <c r="CD39" s="183">
        <f>CC39</f>
        <v>0</v>
      </c>
      <c r="CE39" s="183">
        <f>CD39</f>
        <v>0</v>
      </c>
      <c r="CF39" s="183">
        <f>CE39</f>
        <v>0</v>
      </c>
      <c r="CG39" s="183">
        <f>CF39</f>
        <v>0</v>
      </c>
      <c r="CH39" s="241"/>
      <c r="CI39" s="183">
        <f t="shared" ref="CI39" si="70">CG39</f>
        <v>0</v>
      </c>
      <c r="CJ39" s="183">
        <f t="shared" ref="CJ39:CM39" si="71">CI39</f>
        <v>0</v>
      </c>
      <c r="CK39" s="183">
        <f t="shared" si="71"/>
        <v>0</v>
      </c>
      <c r="CL39" s="183">
        <f t="shared" si="71"/>
        <v>0</v>
      </c>
      <c r="CM39" s="183">
        <f t="shared" si="71"/>
        <v>0</v>
      </c>
      <c r="CN39" s="241"/>
      <c r="CO39" s="183">
        <f t="shared" ref="CO39" si="72">CM39</f>
        <v>0</v>
      </c>
      <c r="CP39" s="183">
        <f t="shared" ref="CP39:CS39" si="73">CO39</f>
        <v>0</v>
      </c>
      <c r="CQ39" s="183">
        <f t="shared" si="73"/>
        <v>0</v>
      </c>
      <c r="CR39" s="183">
        <f t="shared" si="73"/>
        <v>0</v>
      </c>
      <c r="CS39" s="183">
        <f t="shared" si="73"/>
        <v>0</v>
      </c>
      <c r="CT39" s="183"/>
      <c r="CU39" s="183"/>
      <c r="CV39" s="606"/>
      <c r="CW39" s="43"/>
      <c r="CY39" s="43"/>
      <c r="CZ39" s="43"/>
    </row>
    <row r="40" spans="1:104" outlineLevel="1" x14ac:dyDescent="0.2">
      <c r="A40" s="1" t="s">
        <v>116</v>
      </c>
      <c r="B40" s="61"/>
      <c r="C40" s="176">
        <v>0.39700000000000002</v>
      </c>
      <c r="D40" s="176">
        <v>0.39900000000000002</v>
      </c>
      <c r="E40" s="176">
        <v>0.43</v>
      </c>
      <c r="F40" s="176">
        <v>0.434</v>
      </c>
      <c r="G40" s="183">
        <f>F40</f>
        <v>0.434</v>
      </c>
      <c r="H40" s="61"/>
      <c r="I40" s="176">
        <v>0.439</v>
      </c>
      <c r="J40" s="176">
        <v>0.44400000000000001</v>
      </c>
      <c r="K40" s="176">
        <v>0.44600000000000001</v>
      </c>
      <c r="L40" s="176">
        <v>0.44700000000000001</v>
      </c>
      <c r="M40" s="183">
        <f>L40</f>
        <v>0.44700000000000001</v>
      </c>
      <c r="N40" s="61"/>
      <c r="O40" s="176">
        <v>0.46400000000000002</v>
      </c>
      <c r="P40" s="176">
        <v>0.46700000000000003</v>
      </c>
      <c r="Q40" s="176">
        <v>0.95399999999999996</v>
      </c>
      <c r="R40" s="176">
        <v>0.95899999999999996</v>
      </c>
      <c r="S40" s="183">
        <f>R40</f>
        <v>0.95899999999999996</v>
      </c>
      <c r="T40" s="61"/>
      <c r="U40" s="176">
        <v>0.96199999999999997</v>
      </c>
      <c r="V40" s="176">
        <v>0.96399999999999997</v>
      </c>
      <c r="W40" s="176">
        <v>0.97599999999999998</v>
      </c>
      <c r="X40" s="176">
        <v>0.94</v>
      </c>
      <c r="Y40" s="183">
        <f>X40</f>
        <v>0.94</v>
      </c>
      <c r="Z40" s="61"/>
      <c r="AA40" s="176">
        <v>0.92400000000000004</v>
      </c>
      <c r="AB40" s="176">
        <v>0.90100000000000002</v>
      </c>
      <c r="AC40" s="176">
        <v>0.85699999999999998</v>
      </c>
      <c r="AD40" s="176">
        <v>0.86199999999999999</v>
      </c>
      <c r="AE40" s="183">
        <f>AD40</f>
        <v>0.86199999999999999</v>
      </c>
      <c r="AF40" s="241"/>
      <c r="AG40" s="176">
        <v>0.84599999999999997</v>
      </c>
      <c r="AH40" s="176">
        <v>0.84199999999999997</v>
      </c>
      <c r="AI40" s="176">
        <v>0.84499999999999997</v>
      </c>
      <c r="AJ40" s="176">
        <v>0.82599999999999996</v>
      </c>
      <c r="AK40" s="183">
        <f>AJ40</f>
        <v>0.82599999999999996</v>
      </c>
      <c r="AL40" s="241"/>
      <c r="AM40" s="176">
        <v>0.81399999999999995</v>
      </c>
      <c r="AN40" s="176">
        <v>0.81299999999999994</v>
      </c>
      <c r="AO40" s="176">
        <v>0.79700000000000004</v>
      </c>
      <c r="AP40" s="176">
        <v>0.80600000000000005</v>
      </c>
      <c r="AQ40" s="183">
        <f>AP40</f>
        <v>0.80600000000000005</v>
      </c>
      <c r="AR40" s="241"/>
      <c r="AS40" s="176">
        <v>0.76800000000000002</v>
      </c>
      <c r="AT40" s="176">
        <v>0.74</v>
      </c>
      <c r="AU40" s="176">
        <v>0.745</v>
      </c>
      <c r="AV40" s="176">
        <v>0.73499999999999999</v>
      </c>
      <c r="AW40" s="183">
        <f>AV40</f>
        <v>0.73499999999999999</v>
      </c>
      <c r="AX40" s="241"/>
      <c r="AY40" s="176">
        <v>0.72899999999999998</v>
      </c>
      <c r="AZ40" s="176">
        <v>0.71899999999999997</v>
      </c>
      <c r="BA40" s="176">
        <v>0.7</v>
      </c>
      <c r="BB40" s="176">
        <v>0.7</v>
      </c>
      <c r="BC40" s="183">
        <f>BB40</f>
        <v>0.7</v>
      </c>
      <c r="BD40" s="241"/>
      <c r="BE40" s="176">
        <v>0.7</v>
      </c>
      <c r="BF40" s="176">
        <v>0.7</v>
      </c>
      <c r="BG40" s="176">
        <v>0.7</v>
      </c>
      <c r="BH40" s="176">
        <v>0.7</v>
      </c>
      <c r="BI40" s="183">
        <f>BH40</f>
        <v>0.7</v>
      </c>
      <c r="BJ40" s="241"/>
      <c r="BK40" s="176">
        <v>0.7</v>
      </c>
      <c r="BL40" s="176">
        <v>0.7</v>
      </c>
      <c r="BM40" s="176">
        <v>0.7</v>
      </c>
      <c r="BN40" s="176">
        <v>0.7</v>
      </c>
      <c r="BO40" s="183">
        <f>BN40</f>
        <v>0.7</v>
      </c>
      <c r="BP40" s="241"/>
      <c r="BQ40" s="176">
        <v>0.7</v>
      </c>
      <c r="BR40" s="176">
        <v>0.7</v>
      </c>
      <c r="BS40" s="183">
        <f>+BR40</f>
        <v>0.7</v>
      </c>
      <c r="BT40" s="183">
        <f>+BS40</f>
        <v>0.7</v>
      </c>
      <c r="BU40" s="183">
        <f>BT40</f>
        <v>0.7</v>
      </c>
      <c r="BV40" s="241"/>
      <c r="BW40" s="183">
        <f>+BU40</f>
        <v>0.7</v>
      </c>
      <c r="BX40" s="183">
        <f>+BW40</f>
        <v>0.7</v>
      </c>
      <c r="BY40" s="183">
        <f>+BX40</f>
        <v>0.7</v>
      </c>
      <c r="BZ40" s="183">
        <f>+BY40</f>
        <v>0.7</v>
      </c>
      <c r="CA40" s="183">
        <f>BZ40</f>
        <v>0.7</v>
      </c>
      <c r="CB40" s="241"/>
      <c r="CC40" s="183">
        <f>+CA40</f>
        <v>0.7</v>
      </c>
      <c r="CD40" s="183">
        <f>+CC40</f>
        <v>0.7</v>
      </c>
      <c r="CE40" s="183">
        <f>+CD40</f>
        <v>0.7</v>
      </c>
      <c r="CF40" s="183">
        <f>+CE40</f>
        <v>0.7</v>
      </c>
      <c r="CG40" s="183">
        <f>CF40</f>
        <v>0.7</v>
      </c>
      <c r="CH40" s="241"/>
      <c r="CI40" s="183">
        <f t="shared" ref="CI40" si="74">+CG40</f>
        <v>0.7</v>
      </c>
      <c r="CJ40" s="183">
        <f t="shared" ref="CJ40:CL40" si="75">+CI40</f>
        <v>0.7</v>
      </c>
      <c r="CK40" s="183">
        <f t="shared" si="75"/>
        <v>0.7</v>
      </c>
      <c r="CL40" s="183">
        <f t="shared" si="75"/>
        <v>0.7</v>
      </c>
      <c r="CM40" s="183">
        <f t="shared" ref="CM40" si="76">CL40</f>
        <v>0.7</v>
      </c>
      <c r="CN40" s="241"/>
      <c r="CO40" s="183">
        <f t="shared" ref="CO40" si="77">+CM40</f>
        <v>0.7</v>
      </c>
      <c r="CP40" s="183">
        <f t="shared" ref="CP40:CR40" si="78">+CO40</f>
        <v>0.7</v>
      </c>
      <c r="CQ40" s="183">
        <f t="shared" si="78"/>
        <v>0.7</v>
      </c>
      <c r="CR40" s="183">
        <f t="shared" si="78"/>
        <v>0.7</v>
      </c>
      <c r="CS40" s="183">
        <f t="shared" ref="CS40:CS43" si="79">CR40</f>
        <v>0.7</v>
      </c>
      <c r="CT40" s="183"/>
      <c r="CU40" s="183"/>
      <c r="CV40" s="606"/>
      <c r="CW40" s="43"/>
      <c r="CY40" s="43"/>
      <c r="CZ40" s="43"/>
    </row>
    <row r="41" spans="1:104" outlineLevel="1" x14ac:dyDescent="0.2">
      <c r="A41" s="1" t="s">
        <v>117</v>
      </c>
      <c r="B41" s="61"/>
      <c r="C41" s="176">
        <v>469.73599999999999</v>
      </c>
      <c r="D41" s="176">
        <v>474.39100000000002</v>
      </c>
      <c r="E41" s="176">
        <v>583.48800000000006</v>
      </c>
      <c r="F41" s="176">
        <v>592.72699999999998</v>
      </c>
      <c r="G41" s="183">
        <f>F41</f>
        <v>592.72699999999998</v>
      </c>
      <c r="H41" s="61"/>
      <c r="I41" s="176">
        <v>601.64499999999998</v>
      </c>
      <c r="J41" s="176">
        <v>613.97299999999996</v>
      </c>
      <c r="K41" s="176">
        <v>621.68200000000002</v>
      </c>
      <c r="L41" s="176">
        <v>630</v>
      </c>
      <c r="M41" s="183">
        <f>L41</f>
        <v>630</v>
      </c>
      <c r="N41" s="61"/>
      <c r="O41" s="176">
        <v>673.29399999999998</v>
      </c>
      <c r="P41" s="176">
        <v>687.73099999999999</v>
      </c>
      <c r="Q41" s="176">
        <v>725.89700000000005</v>
      </c>
      <c r="R41" s="176">
        <v>550.43200000000002</v>
      </c>
      <c r="S41" s="183">
        <f>R41</f>
        <v>550.43200000000002</v>
      </c>
      <c r="T41" s="61"/>
      <c r="U41" s="176">
        <v>559</v>
      </c>
      <c r="V41" s="176">
        <v>568.64599999999996</v>
      </c>
      <c r="W41" s="176">
        <v>586.10199999999998</v>
      </c>
      <c r="X41" s="176">
        <v>566.96699999999998</v>
      </c>
      <c r="Y41" s="183">
        <f>X41</f>
        <v>566.96699999999998</v>
      </c>
      <c r="Z41" s="61"/>
      <c r="AA41" s="176">
        <v>573.68299999999999</v>
      </c>
      <c r="AB41" s="176">
        <v>580.76199999999994</v>
      </c>
      <c r="AC41" s="176">
        <v>571.58500000000004</v>
      </c>
      <c r="AD41" s="176">
        <v>604.40899999999999</v>
      </c>
      <c r="AE41" s="183">
        <f>AD41</f>
        <v>604.40899999999999</v>
      </c>
      <c r="AF41" s="241"/>
      <c r="AG41" s="176">
        <v>616.55999999999995</v>
      </c>
      <c r="AH41" s="176">
        <v>637.60500000000002</v>
      </c>
      <c r="AI41" s="176">
        <v>651.53499999999997</v>
      </c>
      <c r="AJ41" s="176">
        <v>647.67999999999995</v>
      </c>
      <c r="AK41" s="183">
        <f>AJ41</f>
        <v>647.67999999999995</v>
      </c>
      <c r="AL41" s="241"/>
      <c r="AM41" s="176">
        <v>649.62099999999998</v>
      </c>
      <c r="AN41" s="176">
        <v>665.8</v>
      </c>
      <c r="AO41" s="176">
        <v>662.54100000000005</v>
      </c>
      <c r="AP41" s="176">
        <v>697.346</v>
      </c>
      <c r="AQ41" s="183">
        <f>AP41</f>
        <v>697.346</v>
      </c>
      <c r="AR41" s="241"/>
      <c r="AS41" s="176">
        <v>675.18399999999997</v>
      </c>
      <c r="AT41" s="176">
        <v>663.12199999999996</v>
      </c>
      <c r="AU41" s="176">
        <v>702.75400000000002</v>
      </c>
      <c r="AV41" s="176">
        <v>717.774</v>
      </c>
      <c r="AW41" s="183">
        <f>AV41</f>
        <v>717.774</v>
      </c>
      <c r="AX41" s="241"/>
      <c r="AY41" s="176">
        <v>731.23800000000006</v>
      </c>
      <c r="AZ41" s="176">
        <v>734.67899999999997</v>
      </c>
      <c r="BA41" s="176">
        <v>738.04</v>
      </c>
      <c r="BB41" s="176">
        <v>745.42100000000005</v>
      </c>
      <c r="BC41" s="183">
        <f>BB41</f>
        <v>745.42100000000005</v>
      </c>
      <c r="BD41" s="241"/>
      <c r="BE41" s="176">
        <v>772.3</v>
      </c>
      <c r="BF41" s="176">
        <v>847.8</v>
      </c>
      <c r="BG41" s="176">
        <v>847</v>
      </c>
      <c r="BH41" s="176">
        <v>830.1</v>
      </c>
      <c r="BI41" s="183">
        <f>BH41</f>
        <v>830.1</v>
      </c>
      <c r="BJ41" s="241"/>
      <c r="BK41" s="176">
        <v>826.9</v>
      </c>
      <c r="BL41" s="176">
        <v>831.8</v>
      </c>
      <c r="BM41" s="176">
        <v>839.5</v>
      </c>
      <c r="BN41" s="176">
        <v>851.4</v>
      </c>
      <c r="BO41" s="183">
        <f>BN41</f>
        <v>851.4</v>
      </c>
      <c r="BP41" s="241"/>
      <c r="BQ41" s="176">
        <v>859.6</v>
      </c>
      <c r="BR41" s="176">
        <v>871.1</v>
      </c>
      <c r="BS41" s="183">
        <f>+BR41+'Cash Flow'!BS11+'Cash Flow'!BS40+'Cash Flow'!BS15+'Cash Flow'!BS41+'Cash Flow'!BS42+'Cash Flow'!BS38</f>
        <v>881.89951050138086</v>
      </c>
      <c r="BT41" s="183">
        <f>+BS41+'Cash Flow'!BT11+'Cash Flow'!BT40+'Cash Flow'!BT15+'Cash Flow'!BT41+'Cash Flow'!BT42+'Cash Flow'!BT38</f>
        <v>893.18849627311579</v>
      </c>
      <c r="BU41" s="183">
        <f>BT41</f>
        <v>893.18849627311579</v>
      </c>
      <c r="BV41" s="241"/>
      <c r="BW41" s="183">
        <f>+BU41+'Cash Flow'!BW11+'Cash Flow'!BW40+'Cash Flow'!BW15+'Cash Flow'!BW41+'Cash Flow'!BW42+'Cash Flow'!BW38</f>
        <v>885.56312997166231</v>
      </c>
      <c r="BX41" s="183">
        <f>+BW41+'Cash Flow'!BX11+'Cash Flow'!BX40+'Cash Flow'!BX15+'Cash Flow'!BX41+'Cash Flow'!BX42+'Cash Flow'!BX38</f>
        <v>878.19715390037436</v>
      </c>
      <c r="BY41" s="183">
        <f>+BX41+'Cash Flow'!BY11+'Cash Flow'!BY40+'Cash Flow'!BY15+'Cash Flow'!BY41+'Cash Flow'!BY42+'Cash Flow'!BY38</f>
        <v>869.05774335533374</v>
      </c>
      <c r="BZ41" s="183">
        <f>+BY41+'Cash Flow'!BZ11+'Cash Flow'!BZ40+'Cash Flow'!BZ15+'Cash Flow'!BZ41+'Cash Flow'!BZ42+'Cash Flow'!BZ38</f>
        <v>860.46173054120015</v>
      </c>
      <c r="CA41" s="183">
        <f>BZ41</f>
        <v>860.46173054120015</v>
      </c>
      <c r="CB41" s="241"/>
      <c r="CC41" s="183">
        <f>+CA41+'Cash Flow'!CC11+'Cash Flow'!CC40+'Cash Flow'!CC15+'Cash Flow'!CC41+'Cash Flow'!CC42+'Cash Flow'!CC38</f>
        <v>852.85510855450286</v>
      </c>
      <c r="CD41" s="183">
        <f>+CC41+'Cash Flow'!CD11+'Cash Flow'!CD40+'Cash Flow'!CD15+'Cash Flow'!CD41+'Cash Flow'!CD42+'Cash Flow'!CD38</f>
        <v>845.62623680959575</v>
      </c>
      <c r="CE41" s="183">
        <f>+CD41+'Cash Flow'!CE11+'Cash Flow'!CE40+'Cash Flow'!CE15+'Cash Flow'!CE41+'Cash Flow'!CE42+'Cash Flow'!CE38</f>
        <v>836.77420993743874</v>
      </c>
      <c r="CF41" s="183">
        <f>+CE41+'Cash Flow'!CF11+'Cash Flow'!CF40+'Cash Flow'!CF15+'Cash Flow'!CF41+'Cash Flow'!CF42+'Cash Flow'!CF38</f>
        <v>828.52535037254029</v>
      </c>
      <c r="CG41" s="183">
        <f>CF41</f>
        <v>828.52535037254029</v>
      </c>
      <c r="CH41" s="241"/>
      <c r="CI41" s="183">
        <f>+CG41+'Cash Flow'!CI11+'Cash Flow'!CI40+'Cash Flow'!CI15+'Cash Flow'!CI41+'Cash Flow'!CI42+'Cash Flow'!CI38</f>
        <v>821.20954334567512</v>
      </c>
      <c r="CJ41" s="183">
        <f>+CI41+'Cash Flow'!CJ11+'Cash Flow'!CJ40+'Cash Flow'!CJ15+'Cash Flow'!CJ41+'Cash Flow'!CJ42+'Cash Flow'!CJ38</f>
        <v>814.33314169213509</v>
      </c>
      <c r="CK41" s="183">
        <f>+CJ41+'Cash Flow'!CK11+'Cash Flow'!CK40+'Cash Flow'!CK15+'Cash Flow'!CK41+'Cash Flow'!CK42+'Cash Flow'!CK38</f>
        <v>805.90962237642384</v>
      </c>
      <c r="CL41" s="183">
        <f>+CK41+'Cash Flow'!CL11+'Cash Flow'!CL40+'Cash Flow'!CL15+'Cash Flow'!CL41+'Cash Flow'!CL42+'Cash Flow'!CL38</f>
        <v>798.11744538088431</v>
      </c>
      <c r="CM41" s="183">
        <f t="shared" ref="CM41" si="80">CL41</f>
        <v>798.11744538088431</v>
      </c>
      <c r="CN41" s="241"/>
      <c r="CO41" s="183">
        <f>+CM41+'Cash Flow'!CO11+'Cash Flow'!CO40+'Cash Flow'!CO15+'Cash Flow'!CO41+'Cash Flow'!CO42+'Cash Flow'!CO38</f>
        <v>791.15659959462334</v>
      </c>
      <c r="CP41" s="183">
        <f>+CO41+'Cash Flow'!CP11+'Cash Flow'!CP40+'Cash Flow'!CP15+'Cash Flow'!CP41+'Cash Flow'!CP42+'Cash Flow'!CP38</f>
        <v>784.74205401979657</v>
      </c>
      <c r="CQ41" s="183">
        <f>+CP41+'Cash Flow'!CQ11+'Cash Flow'!CQ40+'Cash Flow'!CQ15+'Cash Flow'!CQ41+'Cash Flow'!CQ42+'Cash Flow'!CQ38</f>
        <v>776.77367199918444</v>
      </c>
      <c r="CR41" s="183">
        <f>+CQ41+'Cash Flow'!CR11+'Cash Flow'!CR40+'Cash Flow'!CR15+'Cash Flow'!CR41+'Cash Flow'!CR42+'Cash Flow'!CR38</f>
        <v>769.51676871640871</v>
      </c>
      <c r="CS41" s="183">
        <f t="shared" si="79"/>
        <v>769.51676871640871</v>
      </c>
      <c r="CT41" s="183"/>
      <c r="CU41" s="183"/>
      <c r="CV41" s="606"/>
      <c r="CW41" s="43"/>
      <c r="CY41" s="43"/>
      <c r="CZ41" s="43"/>
    </row>
    <row r="42" spans="1:104" outlineLevel="1" x14ac:dyDescent="0.2">
      <c r="A42" s="1" t="s">
        <v>118</v>
      </c>
      <c r="B42" s="64"/>
      <c r="C42" s="176">
        <v>-0.40100000000000002</v>
      </c>
      <c r="D42" s="176">
        <v>-0.28100000000000003</v>
      </c>
      <c r="E42" s="176">
        <v>-0.13300000000000001</v>
      </c>
      <c r="F42" s="176">
        <v>-0.39800000000000002</v>
      </c>
      <c r="G42" s="183">
        <f>F42</f>
        <v>-0.39800000000000002</v>
      </c>
      <c r="H42" s="64"/>
      <c r="I42" s="176">
        <v>6.3E-2</v>
      </c>
      <c r="J42" s="176">
        <v>0.51600000000000001</v>
      </c>
      <c r="K42" s="176">
        <v>1.264</v>
      </c>
      <c r="L42" s="176">
        <v>-0.23699999999999999</v>
      </c>
      <c r="M42" s="183">
        <f>L42</f>
        <v>-0.23699999999999999</v>
      </c>
      <c r="N42" s="64"/>
      <c r="O42" s="176">
        <v>-6.6130000000000004</v>
      </c>
      <c r="P42" s="176">
        <v>0.44600000000000001</v>
      </c>
      <c r="Q42" s="176">
        <v>0.65600000000000003</v>
      </c>
      <c r="R42" s="176">
        <v>2.7679999999999998</v>
      </c>
      <c r="S42" s="183">
        <f>R42</f>
        <v>2.7679999999999998</v>
      </c>
      <c r="T42" s="64"/>
      <c r="U42" s="176">
        <v>2.6720000000000002</v>
      </c>
      <c r="V42" s="176">
        <v>1.8540000000000001</v>
      </c>
      <c r="W42" s="176">
        <v>1.155</v>
      </c>
      <c r="X42" s="176">
        <v>0.13900000000000001</v>
      </c>
      <c r="Y42" s="183">
        <f>X42</f>
        <v>0.13900000000000001</v>
      </c>
      <c r="Z42" s="64"/>
      <c r="AA42" s="176">
        <v>0.26200000000000001</v>
      </c>
      <c r="AB42" s="176">
        <v>9.9000000000000005E-2</v>
      </c>
      <c r="AC42" s="176">
        <v>0.1</v>
      </c>
      <c r="AD42" s="176">
        <v>0.151</v>
      </c>
      <c r="AE42" s="183">
        <f>AD42</f>
        <v>0.151</v>
      </c>
      <c r="AF42" s="254"/>
      <c r="AG42" s="176">
        <v>-0.113</v>
      </c>
      <c r="AH42" s="176">
        <v>-0.253</v>
      </c>
      <c r="AI42" s="176">
        <v>-9.9000000000000005E-2</v>
      </c>
      <c r="AJ42" s="176">
        <v>-0.16200000000000001</v>
      </c>
      <c r="AK42" s="183">
        <f>AJ42</f>
        <v>-0.16200000000000001</v>
      </c>
      <c r="AL42" s="254"/>
      <c r="AM42" s="176">
        <v>0.129</v>
      </c>
      <c r="AN42" s="176">
        <v>-0.221</v>
      </c>
      <c r="AO42" s="176">
        <v>-0.45900000000000002</v>
      </c>
      <c r="AP42" s="176">
        <v>-0.42399999999999999</v>
      </c>
      <c r="AQ42" s="183">
        <f>AP42</f>
        <v>-0.42399999999999999</v>
      </c>
      <c r="AR42" s="254"/>
      <c r="AS42" s="176">
        <v>0.36499999999999999</v>
      </c>
      <c r="AT42" s="176">
        <v>0.50600000000000001</v>
      </c>
      <c r="AU42" s="176">
        <v>-0.122</v>
      </c>
      <c r="AV42" s="176">
        <v>-1.5149999999999999</v>
      </c>
      <c r="AW42" s="183">
        <f>AV42</f>
        <v>-1.5149999999999999</v>
      </c>
      <c r="AX42" s="254"/>
      <c r="AY42" s="176">
        <v>-2.3679999999999999</v>
      </c>
      <c r="AZ42" s="176">
        <v>-4.1820000000000004</v>
      </c>
      <c r="BA42" s="176">
        <v>-7.56</v>
      </c>
      <c r="BB42" s="176">
        <v>-7</v>
      </c>
      <c r="BC42" s="183">
        <f>BB42</f>
        <v>-7</v>
      </c>
      <c r="BD42" s="254"/>
      <c r="BE42" s="176">
        <v>-7.1</v>
      </c>
      <c r="BF42" s="176">
        <v>-9.1</v>
      </c>
      <c r="BG42" s="176">
        <v>-8.3000000000000007</v>
      </c>
      <c r="BH42" s="176">
        <v>-9.5</v>
      </c>
      <c r="BI42" s="183">
        <f>BH42</f>
        <v>-9.5</v>
      </c>
      <c r="BJ42" s="254"/>
      <c r="BK42" s="176">
        <f>-5.6-0.2</f>
        <v>-5.8</v>
      </c>
      <c r="BL42" s="176">
        <f>-13.9-0.2</f>
        <v>-14.1</v>
      </c>
      <c r="BM42" s="176">
        <f>-10.6-0.3</f>
        <v>-10.9</v>
      </c>
      <c r="BN42" s="176">
        <f>-5.5-0.4</f>
        <v>-5.9</v>
      </c>
      <c r="BO42" s="183">
        <f>BN42</f>
        <v>-5.9</v>
      </c>
      <c r="BP42" s="254"/>
      <c r="BQ42" s="176">
        <f>-2.2-0.3</f>
        <v>-2.5</v>
      </c>
      <c r="BR42" s="240">
        <f>-2.4</f>
        <v>-2.4</v>
      </c>
      <c r="BS42" s="183">
        <f>+BR42+'Cash Flow'!BS46</f>
        <v>-2.4</v>
      </c>
      <c r="BT42" s="183">
        <f>+BS42+'Cash Flow'!BT46</f>
        <v>-2.4</v>
      </c>
      <c r="BU42" s="183">
        <f>BT42</f>
        <v>-2.4</v>
      </c>
      <c r="BV42" s="254"/>
      <c r="BW42" s="183">
        <f>+BU42+'Cash Flow'!BW46</f>
        <v>-2.4</v>
      </c>
      <c r="BX42" s="183">
        <f>+BW42+'Cash Flow'!BX46</f>
        <v>-2.4</v>
      </c>
      <c r="BY42" s="183">
        <f>+BX42+'Cash Flow'!BY46</f>
        <v>-2.4</v>
      </c>
      <c r="BZ42" s="183">
        <f>+BY42+'Cash Flow'!BZ46</f>
        <v>-2.4</v>
      </c>
      <c r="CA42" s="183">
        <f>BZ42</f>
        <v>-2.4</v>
      </c>
      <c r="CB42" s="254"/>
      <c r="CC42" s="183">
        <f>+CA42+'Cash Flow'!CC46</f>
        <v>-2.4</v>
      </c>
      <c r="CD42" s="183">
        <f>+CC42+'Cash Flow'!CD46</f>
        <v>-2.4</v>
      </c>
      <c r="CE42" s="183">
        <f>+CD42+'Cash Flow'!CE46</f>
        <v>-2.4</v>
      </c>
      <c r="CF42" s="183">
        <f>+CE42+'Cash Flow'!CF46</f>
        <v>-2.4</v>
      </c>
      <c r="CG42" s="183">
        <f>CF42</f>
        <v>-2.4</v>
      </c>
      <c r="CH42" s="254"/>
      <c r="CI42" s="183">
        <f>+CG42+'Cash Flow'!CI46</f>
        <v>-2.4</v>
      </c>
      <c r="CJ42" s="183">
        <f>+CI42+'Cash Flow'!CJ46</f>
        <v>-2.4</v>
      </c>
      <c r="CK42" s="183">
        <f>+CJ42+'Cash Flow'!CK46</f>
        <v>-2.4</v>
      </c>
      <c r="CL42" s="183">
        <f>+CK42+'Cash Flow'!CL46</f>
        <v>-2.4</v>
      </c>
      <c r="CM42" s="183">
        <f t="shared" ref="CM42" si="81">CL42</f>
        <v>-2.4</v>
      </c>
      <c r="CN42" s="254"/>
      <c r="CO42" s="183">
        <f>+CM42+'Cash Flow'!CO46</f>
        <v>-2.4</v>
      </c>
      <c r="CP42" s="183">
        <f>+CO42+'Cash Flow'!CP46</f>
        <v>-2.4</v>
      </c>
      <c r="CQ42" s="183">
        <f>+CP42+'Cash Flow'!CQ46</f>
        <v>-2.4</v>
      </c>
      <c r="CR42" s="183">
        <f>+CQ42+'Cash Flow'!CR46</f>
        <v>-2.4</v>
      </c>
      <c r="CS42" s="183">
        <f t="shared" si="79"/>
        <v>-2.4</v>
      </c>
      <c r="CT42" s="183"/>
      <c r="CU42" s="183"/>
      <c r="CV42" s="606"/>
      <c r="CW42" s="43"/>
      <c r="CY42" s="43"/>
      <c r="CZ42" s="43"/>
    </row>
    <row r="43" spans="1:104" outlineLevel="1" x14ac:dyDescent="0.2">
      <c r="A43" s="1" t="s">
        <v>119</v>
      </c>
      <c r="B43" s="64"/>
      <c r="C43" s="176">
        <v>-229.863</v>
      </c>
      <c r="D43" s="176">
        <v>-238.65899999999999</v>
      </c>
      <c r="E43" s="176">
        <v>-244.596</v>
      </c>
      <c r="F43" s="176">
        <v>-252.4</v>
      </c>
      <c r="G43" s="79">
        <f>F43</f>
        <v>-252.4</v>
      </c>
      <c r="H43" s="64"/>
      <c r="I43" s="176">
        <v>-260.399</v>
      </c>
      <c r="J43" s="176">
        <v>-265.46499999999997</v>
      </c>
      <c r="K43" s="176">
        <v>-270.096</v>
      </c>
      <c r="L43" s="176">
        <v>-204.55500000000001</v>
      </c>
      <c r="M43" s="79">
        <f>L43</f>
        <v>-204.55500000000001</v>
      </c>
      <c r="N43" s="64"/>
      <c r="O43" s="176">
        <v>-190.101</v>
      </c>
      <c r="P43" s="176">
        <v>-168.898</v>
      </c>
      <c r="Q43" s="176">
        <v>-143.58000000000001</v>
      </c>
      <c r="R43" s="176">
        <v>-119.94</v>
      </c>
      <c r="S43" s="79">
        <f>R43</f>
        <v>-119.94</v>
      </c>
      <c r="T43" s="64"/>
      <c r="U43" s="176">
        <v>-89.498000000000005</v>
      </c>
      <c r="V43" s="176">
        <v>-54.137999999999998</v>
      </c>
      <c r="W43" s="176">
        <v>-20.887</v>
      </c>
      <c r="X43" s="176">
        <v>-10.465</v>
      </c>
      <c r="Y43" s="79">
        <f>X43</f>
        <v>-10.465</v>
      </c>
      <c r="Z43" s="64"/>
      <c r="AA43" s="176">
        <v>-3.758</v>
      </c>
      <c r="AB43" s="176">
        <v>-20.661000000000001</v>
      </c>
      <c r="AC43" s="176">
        <v>-48.082000000000001</v>
      </c>
      <c r="AD43" s="176">
        <v>-38.630000000000003</v>
      </c>
      <c r="AE43" s="79">
        <f>AD43</f>
        <v>-38.630000000000003</v>
      </c>
      <c r="AF43" s="254"/>
      <c r="AG43" s="176">
        <v>-38.298999999999999</v>
      </c>
      <c r="AH43" s="176">
        <v>-21.43</v>
      </c>
      <c r="AI43" s="176">
        <v>-8.7999999999999995E-2</v>
      </c>
      <c r="AJ43" s="176">
        <v>-12.683999999999999</v>
      </c>
      <c r="AK43" s="79">
        <f>AJ43</f>
        <v>-12.683999999999999</v>
      </c>
      <c r="AL43" s="254"/>
      <c r="AM43" s="176">
        <v>-14.997</v>
      </c>
      <c r="AN43" s="176">
        <v>-4.2720000000000002</v>
      </c>
      <c r="AO43" s="176">
        <v>2.0499999999999998</v>
      </c>
      <c r="AP43" s="176">
        <v>30.866</v>
      </c>
      <c r="AQ43" s="79">
        <f>AP43</f>
        <v>30.866</v>
      </c>
      <c r="AR43" s="254"/>
      <c r="AS43" s="176">
        <v>13.955</v>
      </c>
      <c r="AT43" s="176">
        <v>11.603</v>
      </c>
      <c r="AU43" s="176">
        <v>18.864999999999998</v>
      </c>
      <c r="AV43" s="176">
        <v>2.004</v>
      </c>
      <c r="AW43" s="79">
        <f>AV43</f>
        <v>2.004</v>
      </c>
      <c r="AX43" s="254"/>
      <c r="AY43" s="176">
        <v>-17.449000000000002</v>
      </c>
      <c r="AZ43" s="176">
        <v>-36.975000000000001</v>
      </c>
      <c r="BA43" s="176">
        <v>-62.281999999999996</v>
      </c>
      <c r="BB43" s="176">
        <v>-77</v>
      </c>
      <c r="BC43" s="183">
        <f>BB43</f>
        <v>-77</v>
      </c>
      <c r="BD43" s="254"/>
      <c r="BE43" s="176">
        <v>-78.8</v>
      </c>
      <c r="BF43" s="176">
        <v>-68.599999999999994</v>
      </c>
      <c r="BG43" s="176">
        <v>-69.2</v>
      </c>
      <c r="BH43" s="176">
        <v>-73.2</v>
      </c>
      <c r="BI43" s="183">
        <f>BH43</f>
        <v>-73.2</v>
      </c>
      <c r="BJ43" s="254"/>
      <c r="BK43" s="176">
        <v>-86.5</v>
      </c>
      <c r="BL43" s="176">
        <v>-85.7</v>
      </c>
      <c r="BM43" s="176">
        <v>-81.400000000000006</v>
      </c>
      <c r="BN43" s="176">
        <v>-68.400000000000006</v>
      </c>
      <c r="BO43" s="183">
        <f>BN43</f>
        <v>-68.400000000000006</v>
      </c>
      <c r="BP43" s="254"/>
      <c r="BQ43" s="176">
        <v>12.8</v>
      </c>
      <c r="BR43" s="176">
        <v>44.8</v>
      </c>
      <c r="BS43" s="183">
        <f>+BR43+'Cash Flow'!BS8+'Cash Flow'!BS43</f>
        <v>74.833694631459821</v>
      </c>
      <c r="BT43" s="183">
        <f>+BS43+'Cash Flow'!BT8+'Cash Flow'!BT43</f>
        <v>106.60017071876743</v>
      </c>
      <c r="BU43" s="183">
        <f>BT43</f>
        <v>106.60017071876743</v>
      </c>
      <c r="BV43" s="254"/>
      <c r="BW43" s="183">
        <f>+BU43+'Cash Flow'!BW8+'Cash Flow'!BW43</f>
        <v>151.45525641541963</v>
      </c>
      <c r="BX43" s="183">
        <f>+BW43+'Cash Flow'!BX8+'Cash Flow'!BX43</f>
        <v>200.01552368092149</v>
      </c>
      <c r="BY43" s="183">
        <f>+BX43+'Cash Flow'!BY8+'Cash Flow'!BY43</f>
        <v>247.86212103730219</v>
      </c>
      <c r="BZ43" s="183">
        <f>+BY43+'Cash Flow'!BZ8+'Cash Flow'!BZ43</f>
        <v>298.39372430835039</v>
      </c>
      <c r="CA43" s="183">
        <f>BZ43</f>
        <v>298.39372430835039</v>
      </c>
      <c r="CB43" s="254"/>
      <c r="CC43" s="183">
        <f>+CA43+'Cash Flow'!CC8+'Cash Flow'!CC43</f>
        <v>345.54197462242229</v>
      </c>
      <c r="CD43" s="183">
        <f>+CC43+'Cash Flow'!CD8+'Cash Flow'!CD43</f>
        <v>396.75946814724836</v>
      </c>
      <c r="CE43" s="183">
        <f>+CD43+'Cash Flow'!CE8+'Cash Flow'!CE43</f>
        <v>446.92082096945859</v>
      </c>
      <c r="CF43" s="183">
        <f>+CE43+'Cash Flow'!CF8+'Cash Flow'!CF43</f>
        <v>499.74345706501748</v>
      </c>
      <c r="CG43" s="183">
        <f>CF43</f>
        <v>499.74345706501748</v>
      </c>
      <c r="CH43" s="254"/>
      <c r="CI43" s="183">
        <f>+CG43+'Cash Flow'!CI8+'Cash Flow'!CI43</f>
        <v>547.96334404746574</v>
      </c>
      <c r="CJ43" s="183">
        <f>+CI43+'Cash Flow'!CJ8+'Cash Flow'!CJ43</f>
        <v>600.11776052374069</v>
      </c>
      <c r="CK43" s="183">
        <f>+CJ43+'Cash Flow'!CK8+'Cash Flow'!CK43</f>
        <v>650.72361783913823</v>
      </c>
      <c r="CL43" s="183">
        <f>+CK43+'Cash Flow'!CL8+'Cash Flow'!CL43</f>
        <v>703.72802773323053</v>
      </c>
      <c r="CM43" s="183">
        <f t="shared" ref="CM43" si="82">CL43</f>
        <v>703.72802773323053</v>
      </c>
      <c r="CN43" s="254"/>
      <c r="CO43" s="183">
        <f>+CM43+'Cash Flow'!CO8+'Cash Flow'!CO43</f>
        <v>753.81442989376467</v>
      </c>
      <c r="CP43" s="183">
        <f>+CO43+'Cash Flow'!CP8+'Cash Flow'!CP43</f>
        <v>808.34282011742039</v>
      </c>
      <c r="CQ43" s="183">
        <f>+CP43+'Cash Flow'!CQ8+'Cash Flow'!CQ43</f>
        <v>861.03757989840358</v>
      </c>
      <c r="CR43" s="183">
        <f>+CQ43+'Cash Flow'!CR8+'Cash Flow'!CR43</f>
        <v>916.30815990963583</v>
      </c>
      <c r="CS43" s="183">
        <f t="shared" si="79"/>
        <v>916.30815990963583</v>
      </c>
      <c r="CT43" s="79"/>
      <c r="CU43" s="79"/>
      <c r="CV43" s="606"/>
      <c r="CY43" s="43"/>
      <c r="CZ43" s="43"/>
    </row>
    <row r="44" spans="1:104" x14ac:dyDescent="0.2">
      <c r="A44" s="5" t="s">
        <v>66</v>
      </c>
      <c r="B44" s="65"/>
      <c r="C44" s="178">
        <f>SUM(C39:C43)</f>
        <v>239.86899999999997</v>
      </c>
      <c r="D44" s="178">
        <f>SUM(D39:D43)</f>
        <v>235.85000000000002</v>
      </c>
      <c r="E44" s="178">
        <f>SUM(E39:E43)</f>
        <v>339.18899999999996</v>
      </c>
      <c r="F44" s="178">
        <f>SUM(F39:F43)</f>
        <v>340.36299999999994</v>
      </c>
      <c r="G44" s="178">
        <f>SUM(G39:G43)</f>
        <v>340.36299999999994</v>
      </c>
      <c r="H44" s="65"/>
      <c r="I44" s="178">
        <f>SUM(I39:I43)</f>
        <v>341.74799999999993</v>
      </c>
      <c r="J44" s="178">
        <f>SUM(J39:J43)</f>
        <v>349.4679999999999</v>
      </c>
      <c r="K44" s="178">
        <f>SUM(K39:K43)</f>
        <v>353.29600000000005</v>
      </c>
      <c r="L44" s="178">
        <f>SUM(L39:L43)</f>
        <v>425.65500000000003</v>
      </c>
      <c r="M44" s="178">
        <f>SUM(M39:M43)</f>
        <v>425.65500000000003</v>
      </c>
      <c r="N44" s="65"/>
      <c r="O44" s="178">
        <f>SUM(O39:O43)</f>
        <v>477.04399999999998</v>
      </c>
      <c r="P44" s="178">
        <f>SUM(P39:P43)</f>
        <v>519.74599999999998</v>
      </c>
      <c r="Q44" s="178">
        <f>SUM(Q39:Q43)</f>
        <v>583.92699999999991</v>
      </c>
      <c r="R44" s="178">
        <f>SUM(R39:R43)</f>
        <v>434.21899999999999</v>
      </c>
      <c r="S44" s="178">
        <f>SUM(S39:S43)</f>
        <v>434.21899999999999</v>
      </c>
      <c r="T44" s="65"/>
      <c r="U44" s="178">
        <f>SUM(U39:U43)</f>
        <v>473.13600000000002</v>
      </c>
      <c r="V44" s="178">
        <f>SUM(V39:V43)</f>
        <v>517.32600000000002</v>
      </c>
      <c r="W44" s="178">
        <f>SUM(W39:W43)</f>
        <v>567.346</v>
      </c>
      <c r="X44" s="178">
        <f>SUM(X39:X43)</f>
        <v>557.58100000000002</v>
      </c>
      <c r="Y44" s="178">
        <f>SUM(Y39:Y43)</f>
        <v>557.58100000000002</v>
      </c>
      <c r="Z44" s="65"/>
      <c r="AA44" s="178">
        <f>SUM(AA39:AA43)</f>
        <v>571.11099999999988</v>
      </c>
      <c r="AB44" s="178">
        <f>SUM(AB39:AB43)</f>
        <v>561.10099999999989</v>
      </c>
      <c r="AC44" s="178">
        <f>SUM(AC39:AC43)</f>
        <v>524.46</v>
      </c>
      <c r="AD44" s="178">
        <f>SUM(AD39:AD43)</f>
        <v>566.79199999999992</v>
      </c>
      <c r="AE44" s="178">
        <f>SUM(AE39:AE43)</f>
        <v>566.79199999999992</v>
      </c>
      <c r="AF44" s="254"/>
      <c r="AG44" s="178">
        <f>SUM(AG39:AG43)</f>
        <v>578.99399999999991</v>
      </c>
      <c r="AH44" s="178">
        <f>SUM(AH39:AH43)</f>
        <v>616.76400000000001</v>
      </c>
      <c r="AI44" s="178">
        <f>SUM(AI39:AI43)</f>
        <v>652.19299999999998</v>
      </c>
      <c r="AJ44" s="178">
        <f>SUM(AJ39:AJ43)</f>
        <v>635.66</v>
      </c>
      <c r="AK44" s="178">
        <f>SUM(AK39:AK43)</f>
        <v>635.66</v>
      </c>
      <c r="AL44" s="254"/>
      <c r="AM44" s="178">
        <f>SUM(AM39:AM43)</f>
        <v>635.56700000000001</v>
      </c>
      <c r="AN44" s="178">
        <f>SUM(AN39:AN43)</f>
        <v>662.11999999999989</v>
      </c>
      <c r="AO44" s="178">
        <f>SUM(AO39:AO43)</f>
        <v>664.92900000000009</v>
      </c>
      <c r="AP44" s="178">
        <f>SUM(AP39:AP43)</f>
        <v>728.59400000000005</v>
      </c>
      <c r="AQ44" s="178">
        <f>SUM(AQ39:AQ43)</f>
        <v>728.59400000000005</v>
      </c>
      <c r="AR44" s="254"/>
      <c r="AS44" s="178">
        <f>SUM(AS39:AS43)</f>
        <v>690.27200000000005</v>
      </c>
      <c r="AT44" s="178">
        <f>SUM(AT39:AT43)</f>
        <v>675.97099999999989</v>
      </c>
      <c r="AU44" s="178">
        <f>SUM(AU39:AU43)</f>
        <v>722.24200000000008</v>
      </c>
      <c r="AV44" s="178">
        <f>SUM(AV39:AV43)</f>
        <v>718.99800000000005</v>
      </c>
      <c r="AW44" s="178">
        <f>SUM(AW39:AW43)</f>
        <v>718.99800000000005</v>
      </c>
      <c r="AX44" s="254"/>
      <c r="AY44" s="178">
        <f>SUM(AY39:AY43)</f>
        <v>712.15000000000009</v>
      </c>
      <c r="AZ44" s="178">
        <f>SUM(AZ39:AZ43)</f>
        <v>694.24099999999999</v>
      </c>
      <c r="BA44" s="178">
        <f>SUM(BA39:BA43)</f>
        <v>668.89800000000002</v>
      </c>
      <c r="BB44" s="178">
        <f>SUM(BB39:BB43)</f>
        <v>662.12100000000009</v>
      </c>
      <c r="BC44" s="178">
        <f>SUM(BC39:BC43)</f>
        <v>662.12100000000009</v>
      </c>
      <c r="BD44" s="254"/>
      <c r="BE44" s="178">
        <f>SUM(BE39:BE43)</f>
        <v>687.1</v>
      </c>
      <c r="BF44" s="178">
        <f>SUM(BF39:BF43)</f>
        <v>770.8</v>
      </c>
      <c r="BG44" s="178">
        <f>SUM(BG39:BG43)</f>
        <v>770.2</v>
      </c>
      <c r="BH44" s="178">
        <f>SUM(BH39:BH43)</f>
        <v>748.1</v>
      </c>
      <c r="BI44" s="178">
        <f>SUM(BI39:BI43)</f>
        <v>748.1</v>
      </c>
      <c r="BJ44" s="254"/>
      <c r="BK44" s="178">
        <f>SUM(BK39:BK43)</f>
        <v>735.30000000000007</v>
      </c>
      <c r="BL44" s="178">
        <f>SUM(BL39:BL43)</f>
        <v>732.69999999999993</v>
      </c>
      <c r="BM44" s="178">
        <f>SUM(BM39:BM43)</f>
        <v>747.90000000000009</v>
      </c>
      <c r="BN44" s="178">
        <f>SUM(BN39:BN43)</f>
        <v>777.80000000000007</v>
      </c>
      <c r="BO44" s="178">
        <f>SUM(BO39:BO43)</f>
        <v>777.80000000000007</v>
      </c>
      <c r="BP44" s="254"/>
      <c r="BQ44" s="178">
        <f>SUM(BQ39:BQ43)</f>
        <v>870.6</v>
      </c>
      <c r="BR44" s="178">
        <f>SUM(BR39:BR43)</f>
        <v>914.2</v>
      </c>
      <c r="BS44" s="178">
        <f>SUM(BS39:BS43)</f>
        <v>955.03320513284075</v>
      </c>
      <c r="BT44" s="178">
        <f>SUM(BT39:BT43)</f>
        <v>998.08866699188331</v>
      </c>
      <c r="BU44" s="178">
        <f>SUM(BU39:BU43)</f>
        <v>998.08866699188331</v>
      </c>
      <c r="BV44" s="254"/>
      <c r="BW44" s="178">
        <f>SUM(BW39:BW43)</f>
        <v>1035.318386387082</v>
      </c>
      <c r="BX44" s="178">
        <f>SUM(BX39:BX43)</f>
        <v>1076.512677581296</v>
      </c>
      <c r="BY44" s="178">
        <f>SUM(BY39:BY43)</f>
        <v>1115.2198643926361</v>
      </c>
      <c r="BZ44" s="178">
        <f>SUM(BZ39:BZ43)</f>
        <v>1157.1554548495506</v>
      </c>
      <c r="CA44" s="178">
        <f>SUM(CA39:CA43)</f>
        <v>1157.1554548495506</v>
      </c>
      <c r="CB44" s="254"/>
      <c r="CC44" s="178">
        <f>SUM(CC39:CC43)</f>
        <v>1196.6970831769252</v>
      </c>
      <c r="CD44" s="178">
        <f>SUM(CD39:CD43)</f>
        <v>1240.6857049568441</v>
      </c>
      <c r="CE44" s="178">
        <f>SUM(CE39:CE43)</f>
        <v>1281.9950309068975</v>
      </c>
      <c r="CF44" s="178">
        <f>SUM(CF39:CF43)</f>
        <v>1326.5688074375578</v>
      </c>
      <c r="CG44" s="178">
        <f>SUM(CG39:CG43)</f>
        <v>1326.5688074375578</v>
      </c>
      <c r="CH44" s="254"/>
      <c r="CI44" s="178">
        <f t="shared" ref="CI44:CM44" si="83">SUM(CI39:CI43)</f>
        <v>1367.4728873931408</v>
      </c>
      <c r="CJ44" s="178">
        <f t="shared" si="83"/>
        <v>1412.7509022158758</v>
      </c>
      <c r="CK44" s="178">
        <f t="shared" si="83"/>
        <v>1454.9332402155621</v>
      </c>
      <c r="CL44" s="178">
        <f t="shared" si="83"/>
        <v>1500.1454731141148</v>
      </c>
      <c r="CM44" s="178">
        <f t="shared" si="83"/>
        <v>1500.1454731141148</v>
      </c>
      <c r="CN44" s="254"/>
      <c r="CO44" s="178">
        <f t="shared" ref="CO44:CS44" si="84">SUM(CO39:CO43)</f>
        <v>1543.2710294883882</v>
      </c>
      <c r="CP44" s="178">
        <f t="shared" si="84"/>
        <v>1591.3848741372171</v>
      </c>
      <c r="CQ44" s="178">
        <f t="shared" si="84"/>
        <v>1636.1112518975881</v>
      </c>
      <c r="CR44" s="178">
        <f t="shared" si="84"/>
        <v>1684.1249286260445</v>
      </c>
      <c r="CS44" s="178">
        <f t="shared" si="84"/>
        <v>1684.1249286260445</v>
      </c>
      <c r="CT44" s="63"/>
      <c r="CU44" s="63"/>
      <c r="CV44" s="63"/>
      <c r="CY44" s="43"/>
      <c r="CZ44" s="43"/>
    </row>
    <row r="45" spans="1:104" ht="13.5" thickBot="1" x14ac:dyDescent="0.25">
      <c r="A45" s="5" t="s">
        <v>120</v>
      </c>
      <c r="B45" s="67"/>
      <c r="C45" s="177">
        <f>+C44+C36</f>
        <v>262.81599999999997</v>
      </c>
      <c r="D45" s="177">
        <f>+D44+D36</f>
        <v>262.322</v>
      </c>
      <c r="E45" s="177">
        <f>+E44+E36</f>
        <v>362.14899999999994</v>
      </c>
      <c r="F45" s="177">
        <f>+F44+F36</f>
        <v>375.53999999999996</v>
      </c>
      <c r="G45" s="177">
        <f>+G44+G36</f>
        <v>375.53999999999996</v>
      </c>
      <c r="H45" s="67"/>
      <c r="I45" s="177">
        <f>+I44+I36</f>
        <v>373.36999999999995</v>
      </c>
      <c r="J45" s="177">
        <f>+J44+J36</f>
        <v>384.35799999999989</v>
      </c>
      <c r="K45" s="177">
        <f>+K44+K36</f>
        <v>390.95700000000005</v>
      </c>
      <c r="L45" s="177">
        <f>+L44+L36</f>
        <v>499.34200000000004</v>
      </c>
      <c r="M45" s="177">
        <f>+M44+M36</f>
        <v>499.34200000000004</v>
      </c>
      <c r="N45" s="67"/>
      <c r="O45" s="177">
        <f>+O44+O36</f>
        <v>531.22799999999995</v>
      </c>
      <c r="P45" s="177">
        <f>+P44+P36</f>
        <v>573.56700000000001</v>
      </c>
      <c r="Q45" s="177">
        <f>+Q44+Q36</f>
        <v>620.42999999999995</v>
      </c>
      <c r="R45" s="177">
        <f>+R44+R36</f>
        <v>466.38799999999998</v>
      </c>
      <c r="S45" s="177">
        <f>+S44+S36</f>
        <v>466.38799999999998</v>
      </c>
      <c r="T45" s="67"/>
      <c r="U45" s="177">
        <f>+U44+U36</f>
        <v>494.12900000000002</v>
      </c>
      <c r="V45" s="177">
        <f>+V44+V36</f>
        <v>540.03700000000003</v>
      </c>
      <c r="W45" s="177">
        <f>+W44+W36</f>
        <v>589.56299999999999</v>
      </c>
      <c r="X45" s="177">
        <f>+X44+X36</f>
        <v>593.84699999999998</v>
      </c>
      <c r="Y45" s="177">
        <f>+Y44+Y36</f>
        <v>593.84699999999998</v>
      </c>
      <c r="Z45" s="67"/>
      <c r="AA45" s="177">
        <f>+AA44+AA36</f>
        <v>610.84199999999987</v>
      </c>
      <c r="AB45" s="177">
        <f>+AB44+AB36</f>
        <v>593.60899999999992</v>
      </c>
      <c r="AC45" s="177">
        <f>+AC44+AC36</f>
        <v>557.28000000000009</v>
      </c>
      <c r="AD45" s="177">
        <f>+AD44+AD36</f>
        <v>610.82699999999988</v>
      </c>
      <c r="AE45" s="177">
        <f>+AE44+AE36</f>
        <v>610.82699999999988</v>
      </c>
      <c r="AF45" s="103"/>
      <c r="AG45" s="177">
        <f>+AG44+AG36</f>
        <v>619.7349999999999</v>
      </c>
      <c r="AH45" s="177">
        <f>+AH44+AH36</f>
        <v>661.25800000000004</v>
      </c>
      <c r="AI45" s="177">
        <f>+AI44+AI36</f>
        <v>699.25299999999993</v>
      </c>
      <c r="AJ45" s="177">
        <f>+AJ44+AJ36</f>
        <v>690.63499999999999</v>
      </c>
      <c r="AK45" s="177">
        <f>+AK44+AK36</f>
        <v>690.63499999999999</v>
      </c>
      <c r="AL45" s="103"/>
      <c r="AM45" s="177">
        <f>+AM44+AM36</f>
        <v>703.06100000000004</v>
      </c>
      <c r="AN45" s="177">
        <f>+AN44+AN36</f>
        <v>717.74599999999987</v>
      </c>
      <c r="AO45" s="177">
        <f>+AO44+AO36</f>
        <v>729.02800000000002</v>
      </c>
      <c r="AP45" s="279">
        <f>+AP44+AP36</f>
        <v>803.82100000000003</v>
      </c>
      <c r="AQ45" s="177">
        <f>+AQ44+AQ36</f>
        <v>803.82100000000003</v>
      </c>
      <c r="AR45" s="103"/>
      <c r="AS45" s="177">
        <f>+AS44+AS36</f>
        <v>781.65800000000002</v>
      </c>
      <c r="AT45" s="177">
        <f>+AT44+AT36</f>
        <v>756.68099999999993</v>
      </c>
      <c r="AU45" s="177">
        <f>+AU44+AU36</f>
        <v>816.42600000000004</v>
      </c>
      <c r="AV45" s="279">
        <f>+AV44+AV36</f>
        <v>823.81400000000008</v>
      </c>
      <c r="AW45" s="177">
        <f>+AW44+AW36</f>
        <v>823.81400000000008</v>
      </c>
      <c r="AX45" s="103"/>
      <c r="AY45" s="177">
        <f>+AY44+AY36</f>
        <v>809.00600000000009</v>
      </c>
      <c r="AZ45" s="177">
        <f>+AZ44+AZ36</f>
        <v>781.85400000000004</v>
      </c>
      <c r="BA45" s="177">
        <f>+BA44+BA36</f>
        <v>779.04899999999998</v>
      </c>
      <c r="BB45" s="177">
        <f>+BB44+BB36</f>
        <v>766.22100000000012</v>
      </c>
      <c r="BC45" s="177">
        <f>+BC44+BC36</f>
        <v>766.22100000000012</v>
      </c>
      <c r="BD45" s="103"/>
      <c r="BE45" s="177">
        <f>+BE44+BE36</f>
        <v>787</v>
      </c>
      <c r="BF45" s="279">
        <f>+BF44+BF36</f>
        <v>871.69999999999993</v>
      </c>
      <c r="BG45" s="279">
        <f>+BG44+BG36</f>
        <v>868.2</v>
      </c>
      <c r="BH45" s="279">
        <f>+BH44+BH36</f>
        <v>880.5</v>
      </c>
      <c r="BI45" s="177">
        <f>+BI44+BI36</f>
        <v>880.5</v>
      </c>
      <c r="BJ45" s="103"/>
      <c r="BK45" s="747">
        <f>+BK44+BK36</f>
        <v>1270.9000000000001</v>
      </c>
      <c r="BL45" s="401">
        <f>+BL44+BL36</f>
        <v>1276.0999999999999</v>
      </c>
      <c r="BM45" s="401">
        <f>+BM44+BM36</f>
        <v>1267.8000000000002</v>
      </c>
      <c r="BN45" s="401">
        <f>+BN44+BN36</f>
        <v>1224.4000000000001</v>
      </c>
      <c r="BO45" s="747">
        <f>+BO44+BO36</f>
        <v>1224.4000000000001</v>
      </c>
      <c r="BP45" s="103"/>
      <c r="BQ45" s="747">
        <f>+BQ44+BQ36</f>
        <v>1228.3</v>
      </c>
      <c r="BR45" s="401">
        <f>+BR44+BR36</f>
        <v>1228.5</v>
      </c>
      <c r="BS45" s="401">
        <f>+BS44+BS36</f>
        <v>1244.919140059792</v>
      </c>
      <c r="BT45" s="401">
        <f>+BT44+BT36</f>
        <v>1287.7460201783019</v>
      </c>
      <c r="BU45" s="747">
        <f>+BU44+BU36</f>
        <v>1287.7460201783019</v>
      </c>
      <c r="BV45" s="103"/>
      <c r="BW45" s="401">
        <f>+BW44+BW36</f>
        <v>1320.672674402814</v>
      </c>
      <c r="BX45" s="401">
        <f>+BX44+BX36</f>
        <v>1368.6737224421001</v>
      </c>
      <c r="BY45" s="401">
        <f>+BY44+BY36</f>
        <v>1408.3401123616807</v>
      </c>
      <c r="BZ45" s="401">
        <f>+BZ44+BZ36</f>
        <v>1450.6276619776784</v>
      </c>
      <c r="CA45" s="747">
        <f>+CA44+CA36</f>
        <v>1450.6276619776784</v>
      </c>
      <c r="CB45" s="103"/>
      <c r="CC45" s="401">
        <f>+CC44+CC36</f>
        <v>1485.7354887442466</v>
      </c>
      <c r="CD45" s="401">
        <f>+CD44+CD36</f>
        <v>1537.9968978109814</v>
      </c>
      <c r="CE45" s="401">
        <f>+CE44+CE36</f>
        <v>1580.5837787421472</v>
      </c>
      <c r="CF45" s="401">
        <f>+CF44+CF36</f>
        <v>1626.1640967652868</v>
      </c>
      <c r="CG45" s="747">
        <f>+CG44+CG36</f>
        <v>1626.1640967652868</v>
      </c>
      <c r="CH45" s="103"/>
      <c r="CI45" s="401">
        <f t="shared" ref="CI45:CM45" si="85">+CI44+CI36</f>
        <v>1662.8721231113259</v>
      </c>
      <c r="CJ45" s="401">
        <f t="shared" si="85"/>
        <v>1717.4142287271125</v>
      </c>
      <c r="CK45" s="401">
        <f t="shared" si="85"/>
        <v>1760.4963960658215</v>
      </c>
      <c r="CL45" s="401">
        <f t="shared" si="85"/>
        <v>1806.9654632888476</v>
      </c>
      <c r="CM45" s="747">
        <f t="shared" si="85"/>
        <v>1806.9654632888476</v>
      </c>
      <c r="CN45" s="103"/>
      <c r="CO45" s="401">
        <f t="shared" ref="CO45:CS45" si="86">+CO44+CO36</f>
        <v>1845.5722469380603</v>
      </c>
      <c r="CP45" s="401">
        <f t="shared" si="86"/>
        <v>1904.4688344942945</v>
      </c>
      <c r="CQ45" s="401">
        <f t="shared" si="86"/>
        <v>1948.8581208948442</v>
      </c>
      <c r="CR45" s="401">
        <f t="shared" si="86"/>
        <v>1998.9465059130243</v>
      </c>
      <c r="CS45" s="747">
        <f t="shared" si="86"/>
        <v>1998.9465059130243</v>
      </c>
      <c r="CT45" s="65"/>
      <c r="CU45" s="65"/>
      <c r="CV45" s="65"/>
      <c r="CY45" s="43"/>
      <c r="CZ45" s="43"/>
    </row>
    <row r="46" spans="1:104" ht="13.5" thickTop="1" x14ac:dyDescent="0.2">
      <c r="B46" s="67"/>
      <c r="H46" s="67"/>
      <c r="N46" s="67"/>
      <c r="O46" s="40"/>
      <c r="P46" s="40"/>
      <c r="Q46" s="40"/>
      <c r="R46" s="40"/>
      <c r="T46" s="67"/>
      <c r="U46" s="40"/>
      <c r="V46" s="40"/>
      <c r="W46" s="40"/>
      <c r="X46" s="40"/>
      <c r="Z46" s="67"/>
      <c r="AA46" s="40"/>
      <c r="AB46" s="40"/>
      <c r="AC46" s="40"/>
      <c r="AD46" s="40"/>
      <c r="AE46" s="40"/>
      <c r="AF46" s="67"/>
      <c r="AG46" s="323"/>
      <c r="AH46" s="40"/>
      <c r="AI46" s="40"/>
      <c r="AJ46" s="40"/>
      <c r="AK46" s="40"/>
      <c r="AL46" s="67"/>
      <c r="AM46" s="40"/>
      <c r="AN46" s="40"/>
      <c r="AO46" s="40"/>
      <c r="AP46" s="40"/>
      <c r="AQ46" s="40"/>
      <c r="AR46" s="67"/>
      <c r="AS46" s="40"/>
      <c r="AT46" s="40"/>
      <c r="AU46" s="40"/>
      <c r="AV46" s="40"/>
      <c r="AW46" s="40"/>
      <c r="AX46" s="67"/>
      <c r="AY46" s="40"/>
      <c r="AZ46" s="40"/>
      <c r="BA46" s="40"/>
      <c r="BB46" s="40"/>
      <c r="BC46" s="40"/>
      <c r="BD46" s="67"/>
      <c r="BE46" s="40"/>
      <c r="BF46" s="40"/>
      <c r="BG46" s="40"/>
      <c r="BH46" s="40"/>
      <c r="BI46" s="40"/>
      <c r="BJ46" s="67"/>
      <c r="BK46" s="40"/>
      <c r="BL46" s="40"/>
      <c r="BM46" s="40"/>
      <c r="BN46" s="40"/>
      <c r="BO46" s="40"/>
      <c r="BP46" s="67"/>
      <c r="BQ46" s="40"/>
      <c r="BR46" s="40"/>
      <c r="BS46" s="40"/>
      <c r="BT46" s="40"/>
      <c r="BU46" s="40"/>
      <c r="BV46" s="67"/>
      <c r="BW46" s="40"/>
      <c r="BX46" s="40"/>
      <c r="BY46" s="40"/>
      <c r="BZ46" s="40"/>
      <c r="CA46" s="40"/>
      <c r="CB46" s="67"/>
      <c r="CC46" s="40"/>
      <c r="CD46" s="40"/>
      <c r="CE46" s="40"/>
      <c r="CF46" s="40"/>
      <c r="CG46" s="40"/>
      <c r="CH46" s="67"/>
      <c r="CI46" s="40"/>
      <c r="CJ46" s="40"/>
      <c r="CK46" s="40"/>
      <c r="CL46" s="40"/>
      <c r="CM46" s="40"/>
      <c r="CN46" s="67"/>
      <c r="CO46" s="40"/>
      <c r="CP46" s="40"/>
      <c r="CQ46" s="40"/>
      <c r="CR46" s="40"/>
      <c r="CS46" s="40"/>
      <c r="CT46" s="113"/>
      <c r="CU46" s="113"/>
      <c r="CV46" s="113"/>
      <c r="CY46" s="43"/>
      <c r="CZ46" s="43"/>
    </row>
    <row r="47" spans="1:104" ht="11.25" customHeight="1" outlineLevel="1" x14ac:dyDescent="0.2">
      <c r="A47" s="227" t="s">
        <v>121</v>
      </c>
      <c r="B47" s="229"/>
      <c r="C47" s="228">
        <f>C45-C24</f>
        <v>0</v>
      </c>
      <c r="D47" s="228">
        <f>D45-D24</f>
        <v>0</v>
      </c>
      <c r="E47" s="228">
        <f>E45-E24</f>
        <v>0</v>
      </c>
      <c r="F47" s="228">
        <f>F45-F24</f>
        <v>0</v>
      </c>
      <c r="G47" s="228">
        <f>G45-G24</f>
        <v>0</v>
      </c>
      <c r="H47" s="229"/>
      <c r="I47" s="228">
        <f>I45-I24</f>
        <v>0</v>
      </c>
      <c r="J47" s="228">
        <f>J45-J24</f>
        <v>0</v>
      </c>
      <c r="K47" s="228">
        <f>K45-K24</f>
        <v>0</v>
      </c>
      <c r="L47" s="228">
        <f>L45-L24</f>
        <v>0</v>
      </c>
      <c r="M47" s="228">
        <f>M45-M24</f>
        <v>0</v>
      </c>
      <c r="N47" s="229"/>
      <c r="O47" s="228">
        <f>O45-O24</f>
        <v>0</v>
      </c>
      <c r="P47" s="228">
        <f>P45-P24</f>
        <v>0</v>
      </c>
      <c r="Q47" s="228">
        <f>Q45-Q24</f>
        <v>0</v>
      </c>
      <c r="R47" s="228">
        <f>R45-R24</f>
        <v>0</v>
      </c>
      <c r="S47" s="228">
        <f>S45-S24</f>
        <v>0</v>
      </c>
      <c r="T47" s="229"/>
      <c r="U47" s="228">
        <f>U45-U24</f>
        <v>0</v>
      </c>
      <c r="V47" s="228">
        <f>V45-V24</f>
        <v>0</v>
      </c>
      <c r="W47" s="228">
        <f>W45-W24</f>
        <v>0</v>
      </c>
      <c r="X47" s="228">
        <f>X45-X24</f>
        <v>0</v>
      </c>
      <c r="Y47" s="228">
        <f>Y45-Y24</f>
        <v>0</v>
      </c>
      <c r="Z47" s="229"/>
      <c r="AA47" s="228">
        <f>AA45-AA24</f>
        <v>0</v>
      </c>
      <c r="AB47" s="228">
        <f>AB45-AB24</f>
        <v>0</v>
      </c>
      <c r="AC47" s="228">
        <f>AC45-AC24</f>
        <v>0</v>
      </c>
      <c r="AD47" s="228">
        <f>AD45-AD24</f>
        <v>0</v>
      </c>
      <c r="AE47" s="228">
        <f>AE45-AE24</f>
        <v>0</v>
      </c>
      <c r="AF47" s="230"/>
      <c r="AG47" s="228">
        <f>AG45-AG24</f>
        <v>0</v>
      </c>
      <c r="AH47" s="228">
        <f>AH45-AH24</f>
        <v>0</v>
      </c>
      <c r="AI47" s="228">
        <f>AI45-AI24</f>
        <v>0</v>
      </c>
      <c r="AJ47" s="228">
        <f>AJ45-AJ24</f>
        <v>0</v>
      </c>
      <c r="AK47" s="228">
        <f>AK45-AK24</f>
        <v>0</v>
      </c>
      <c r="AL47" s="230"/>
      <c r="AM47" s="228">
        <f>AM45-AM24</f>
        <v>0</v>
      </c>
      <c r="AN47" s="228">
        <f>AN45-AN24</f>
        <v>0</v>
      </c>
      <c r="AO47" s="396">
        <f>AO45-AO24</f>
        <v>0</v>
      </c>
      <c r="AP47" s="396">
        <f>AP45-AP24</f>
        <v>0</v>
      </c>
      <c r="AQ47" s="396">
        <f>AQ45-AQ24</f>
        <v>0</v>
      </c>
      <c r="AR47" s="230"/>
      <c r="AS47" s="228">
        <f>AS45-AS24</f>
        <v>0</v>
      </c>
      <c r="AT47" s="228">
        <f>AT45-AT24</f>
        <v>0</v>
      </c>
      <c r="AU47" s="396">
        <f>AU45-AU24</f>
        <v>0</v>
      </c>
      <c r="AV47" s="396">
        <f>AV45-AV24</f>
        <v>0</v>
      </c>
      <c r="AW47" s="396">
        <f>AW45-AW24</f>
        <v>0</v>
      </c>
      <c r="AX47" s="397"/>
      <c r="AY47" s="396">
        <f>AY45-AY24</f>
        <v>0</v>
      </c>
      <c r="AZ47" s="228">
        <f>AZ45-AZ24</f>
        <v>0</v>
      </c>
      <c r="BA47" s="396">
        <f>BA45-BA24</f>
        <v>0</v>
      </c>
      <c r="BB47" s="396">
        <f>BB45-BB24</f>
        <v>0</v>
      </c>
      <c r="BC47" s="228">
        <f>BC45-BC24</f>
        <v>0</v>
      </c>
      <c r="BD47" s="397"/>
      <c r="BE47" s="396">
        <f>BE45-BE24</f>
        <v>0</v>
      </c>
      <c r="BF47" s="396">
        <f>BF45-BF24</f>
        <v>0</v>
      </c>
      <c r="BG47" s="396">
        <f>BG45-BG24</f>
        <v>0</v>
      </c>
      <c r="BH47" s="396">
        <f>BH45-BH24</f>
        <v>0</v>
      </c>
      <c r="BI47" s="228">
        <f>BI45-BI24</f>
        <v>0</v>
      </c>
      <c r="BJ47" s="228"/>
      <c r="BK47" s="396">
        <f>BK45-BK24</f>
        <v>0</v>
      </c>
      <c r="BL47" s="396">
        <f>BL45-BL24</f>
        <v>0</v>
      </c>
      <c r="BM47" s="396">
        <f>BM45-BM24</f>
        <v>0</v>
      </c>
      <c r="BN47" s="396">
        <f>BN45-BN24</f>
        <v>0</v>
      </c>
      <c r="BO47" s="228">
        <f>BO45-BO24</f>
        <v>0</v>
      </c>
      <c r="BP47" s="833"/>
      <c r="BQ47" s="396">
        <f>BQ45-BQ24</f>
        <v>0</v>
      </c>
      <c r="BR47" s="833">
        <f>BR45-BR24</f>
        <v>0</v>
      </c>
      <c r="BS47" s="833">
        <f>BS45-BS24</f>
        <v>0</v>
      </c>
      <c r="BT47" s="833">
        <f>BT45-BT24</f>
        <v>0</v>
      </c>
      <c r="BU47" s="833">
        <f>BU45-BU24</f>
        <v>0</v>
      </c>
      <c r="BV47" s="833"/>
      <c r="BW47" s="833">
        <f>BW45-BW24</f>
        <v>0</v>
      </c>
      <c r="BX47" s="833">
        <f>BX45-BX24</f>
        <v>0</v>
      </c>
      <c r="BY47" s="833">
        <f>BY45-BY24</f>
        <v>0</v>
      </c>
      <c r="BZ47" s="833">
        <f>BZ45-BZ24</f>
        <v>0</v>
      </c>
      <c r="CA47" s="833">
        <f>CA45-CA24</f>
        <v>0</v>
      </c>
      <c r="CB47" s="833"/>
      <c r="CC47" s="833">
        <f>CC45-CC24</f>
        <v>0</v>
      </c>
      <c r="CD47" s="833">
        <f>CD45-CD24</f>
        <v>0</v>
      </c>
      <c r="CE47" s="833">
        <f>CE45-CE24</f>
        <v>0</v>
      </c>
      <c r="CF47" s="833">
        <f>CF45-CF24</f>
        <v>0</v>
      </c>
      <c r="CG47" s="833">
        <f>CG45-CG24</f>
        <v>0</v>
      </c>
      <c r="CH47" s="833"/>
      <c r="CI47" s="833">
        <f t="shared" ref="CI47:CM47" si="87">CI45-CI24</f>
        <v>0</v>
      </c>
      <c r="CJ47" s="833">
        <f t="shared" si="87"/>
        <v>0</v>
      </c>
      <c r="CK47" s="833">
        <f t="shared" si="87"/>
        <v>0</v>
      </c>
      <c r="CL47" s="833">
        <f t="shared" si="87"/>
        <v>0</v>
      </c>
      <c r="CM47" s="833">
        <f t="shared" si="87"/>
        <v>0</v>
      </c>
      <c r="CN47" s="833"/>
      <c r="CO47" s="833">
        <f t="shared" ref="CO47:CS47" si="88">CO45-CO24</f>
        <v>0</v>
      </c>
      <c r="CP47" s="833">
        <f t="shared" si="88"/>
        <v>0</v>
      </c>
      <c r="CQ47" s="833">
        <f t="shared" si="88"/>
        <v>0</v>
      </c>
      <c r="CR47" s="833">
        <f t="shared" si="88"/>
        <v>0</v>
      </c>
      <c r="CS47" s="833">
        <f t="shared" si="88"/>
        <v>0</v>
      </c>
      <c r="CT47" s="338"/>
      <c r="CU47" s="338"/>
      <c r="CV47" s="338"/>
      <c r="CW47" s="226"/>
      <c r="CX47" s="226"/>
      <c r="CY47" s="226"/>
      <c r="CZ47" s="226"/>
    </row>
    <row r="48" spans="1:104" ht="12.75" customHeight="1" outlineLevel="1" x14ac:dyDescent="0.2">
      <c r="B48" s="67"/>
      <c r="H48" s="67"/>
      <c r="N48" s="67"/>
      <c r="T48" s="67"/>
      <c r="Z48" s="67"/>
      <c r="AE48" s="43"/>
      <c r="AF48" s="86"/>
      <c r="AK48" s="43"/>
      <c r="AL48" s="86"/>
      <c r="AM48" s="394"/>
      <c r="AN48" s="394"/>
      <c r="AQ48" s="43"/>
      <c r="AR48" s="86"/>
      <c r="AS48" s="394"/>
      <c r="AT48" s="394"/>
      <c r="AW48" s="43"/>
      <c r="AX48" s="86"/>
      <c r="AY48" s="310"/>
      <c r="BC48" s="43"/>
      <c r="BD48" s="86"/>
      <c r="BE48" s="310"/>
      <c r="BH48" s="725"/>
      <c r="BI48" s="43"/>
      <c r="BJ48" s="86"/>
      <c r="BK48" s="725"/>
      <c r="BL48" s="725"/>
      <c r="BM48" s="725"/>
      <c r="BN48" s="725"/>
      <c r="BO48" s="43"/>
      <c r="BP48" s="86"/>
      <c r="BQ48" s="725"/>
      <c r="BR48" s="725"/>
      <c r="BS48" s="725"/>
      <c r="BT48" s="725"/>
      <c r="BU48" s="725"/>
      <c r="BV48" s="86"/>
      <c r="BW48" s="725"/>
      <c r="BX48" s="725"/>
      <c r="BY48" s="725"/>
      <c r="BZ48" s="725"/>
      <c r="CA48" s="725"/>
      <c r="CB48" s="86"/>
      <c r="CC48" s="725"/>
      <c r="CD48" s="725"/>
      <c r="CE48" s="725"/>
      <c r="CF48" s="725"/>
      <c r="CG48" s="725"/>
      <c r="CH48" s="86"/>
      <c r="CI48" s="725"/>
      <c r="CJ48" s="725"/>
      <c r="CK48" s="725"/>
      <c r="CL48" s="725"/>
      <c r="CM48" s="725"/>
      <c r="CN48" s="86"/>
      <c r="CO48" s="725"/>
      <c r="CP48" s="725"/>
      <c r="CQ48" s="725"/>
      <c r="CR48" s="725"/>
      <c r="CS48" s="725"/>
      <c r="CT48" s="43"/>
      <c r="CU48" s="43"/>
      <c r="CV48" s="43"/>
      <c r="CY48" s="43"/>
      <c r="CZ48" s="43"/>
    </row>
    <row r="49" spans="1:104" ht="12.75" customHeight="1" outlineLevel="1" x14ac:dyDescent="0.2">
      <c r="A49" s="15" t="s">
        <v>122</v>
      </c>
      <c r="B49" s="67"/>
      <c r="C49" s="69"/>
      <c r="D49" s="69"/>
      <c r="E49" s="69"/>
      <c r="F49" s="69"/>
      <c r="G49" s="69"/>
      <c r="H49" s="67"/>
      <c r="I49" s="69"/>
      <c r="J49" s="69"/>
      <c r="K49" s="69"/>
      <c r="L49" s="69"/>
      <c r="M49" s="69"/>
      <c r="N49" s="67"/>
      <c r="O49" s="69"/>
      <c r="P49" s="69"/>
      <c r="Q49" s="69"/>
      <c r="R49" s="69"/>
      <c r="S49" s="69"/>
      <c r="T49" s="67"/>
      <c r="U49" s="69"/>
      <c r="V49" s="69"/>
      <c r="W49" s="69"/>
      <c r="X49" s="69"/>
      <c r="Y49" s="69"/>
      <c r="Z49" s="67"/>
      <c r="AA49" s="69"/>
      <c r="AB49" s="69"/>
      <c r="AC49" s="69"/>
      <c r="AD49" s="69"/>
      <c r="AE49" s="69"/>
      <c r="AF49" s="103"/>
      <c r="AG49" s="69"/>
      <c r="AH49" s="69"/>
      <c r="AI49" s="69"/>
      <c r="AJ49" s="69"/>
      <c r="AK49" s="69"/>
      <c r="AL49" s="103"/>
      <c r="AM49" s="69"/>
      <c r="AN49" s="69"/>
      <c r="AO49" s="69"/>
      <c r="AP49" s="69"/>
      <c r="AQ49" s="69"/>
      <c r="AR49" s="103"/>
      <c r="AS49" s="69"/>
      <c r="AT49" s="69"/>
      <c r="AU49" s="69"/>
      <c r="AV49" s="69"/>
      <c r="AW49" s="69"/>
      <c r="AX49" s="103"/>
      <c r="AY49" s="69"/>
      <c r="AZ49" s="69"/>
      <c r="BA49" s="69"/>
      <c r="BB49" s="69"/>
      <c r="BC49" s="69"/>
      <c r="BD49" s="103"/>
      <c r="BE49" s="69"/>
      <c r="BF49" s="69"/>
      <c r="BG49" s="69"/>
      <c r="BH49" s="69"/>
      <c r="BI49" s="69"/>
      <c r="BJ49" s="103"/>
      <c r="BK49" s="69"/>
      <c r="BL49" s="69"/>
      <c r="BM49" s="69"/>
      <c r="BN49" s="69"/>
      <c r="BO49" s="69"/>
      <c r="BP49" s="103"/>
      <c r="BQ49" s="69"/>
      <c r="BR49" s="69"/>
      <c r="BS49" s="69"/>
      <c r="BT49" s="69"/>
      <c r="BU49" s="69"/>
      <c r="BV49" s="103"/>
      <c r="BW49" s="69"/>
      <c r="BX49" s="69"/>
      <c r="BY49" s="69"/>
      <c r="BZ49" s="69"/>
      <c r="CA49" s="69"/>
      <c r="CB49" s="103"/>
      <c r="CC49" s="69"/>
      <c r="CD49" s="69"/>
      <c r="CE49" s="69"/>
      <c r="CF49" s="69"/>
      <c r="CG49" s="69"/>
      <c r="CH49" s="103"/>
      <c r="CI49" s="69"/>
      <c r="CJ49" s="69"/>
      <c r="CK49" s="69"/>
      <c r="CL49" s="69"/>
      <c r="CM49" s="69"/>
      <c r="CN49" s="103"/>
      <c r="CO49" s="69"/>
      <c r="CP49" s="69"/>
      <c r="CQ49" s="69"/>
      <c r="CR49" s="69"/>
      <c r="CS49" s="69"/>
      <c r="CT49" s="69"/>
      <c r="CU49" s="69"/>
      <c r="CV49" s="69"/>
      <c r="CW49" s="75"/>
      <c r="CX49" s="75"/>
      <c r="CY49" s="75"/>
      <c r="CZ49" s="75"/>
    </row>
    <row r="50" spans="1:104" ht="12.75" customHeight="1" outlineLevel="1" x14ac:dyDescent="0.2">
      <c r="A50" s="1" t="s">
        <v>123</v>
      </c>
      <c r="B50" s="277"/>
      <c r="C50" s="292">
        <v>0</v>
      </c>
      <c r="D50" s="292">
        <v>0</v>
      </c>
      <c r="E50" s="292">
        <v>0</v>
      </c>
      <c r="F50" s="292">
        <v>0</v>
      </c>
      <c r="G50" s="292">
        <v>0</v>
      </c>
      <c r="H50" s="277"/>
      <c r="I50" s="292">
        <v>0</v>
      </c>
      <c r="J50" s="292">
        <v>0</v>
      </c>
      <c r="K50" s="292">
        <v>0</v>
      </c>
      <c r="L50" s="292">
        <v>0</v>
      </c>
      <c r="M50" s="292">
        <v>0</v>
      </c>
      <c r="N50" s="277"/>
      <c r="O50" s="292">
        <v>0</v>
      </c>
      <c r="P50" s="292">
        <v>0</v>
      </c>
      <c r="Q50" s="292">
        <v>0</v>
      </c>
      <c r="R50" s="292">
        <v>0</v>
      </c>
      <c r="S50" s="292">
        <v>0</v>
      </c>
      <c r="T50" s="277"/>
      <c r="U50" s="292">
        <v>0</v>
      </c>
      <c r="V50" s="292">
        <v>0</v>
      </c>
      <c r="W50" s="292">
        <v>0</v>
      </c>
      <c r="X50" s="292">
        <v>0</v>
      </c>
      <c r="Y50" s="292">
        <v>0</v>
      </c>
      <c r="Z50" s="277"/>
      <c r="AA50" s="179">
        <f>+AA35+AA29</f>
        <v>0</v>
      </c>
      <c r="AB50" s="179">
        <f t="shared" ref="AB50:AE50" si="89">+AB35+AB29</f>
        <v>0</v>
      </c>
      <c r="AC50" s="179">
        <f t="shared" si="89"/>
        <v>0</v>
      </c>
      <c r="AD50" s="179">
        <f t="shared" si="89"/>
        <v>0</v>
      </c>
      <c r="AE50" s="179">
        <f t="shared" si="89"/>
        <v>0</v>
      </c>
      <c r="AF50" s="277"/>
      <c r="AG50" s="179">
        <f>+AG35+AG29</f>
        <v>0</v>
      </c>
      <c r="AH50" s="179">
        <f t="shared" ref="AH50:AK50" si="90">+AH35+AH29</f>
        <v>0</v>
      </c>
      <c r="AI50" s="179">
        <f t="shared" si="90"/>
        <v>0</v>
      </c>
      <c r="AJ50" s="179">
        <f t="shared" si="90"/>
        <v>0</v>
      </c>
      <c r="AK50" s="179">
        <f t="shared" si="90"/>
        <v>0</v>
      </c>
      <c r="AL50" s="277"/>
      <c r="AM50" s="179">
        <f>+AM35+AM29</f>
        <v>0</v>
      </c>
      <c r="AN50" s="179">
        <f t="shared" ref="AN50:AQ50" si="91">+AN35+AN29</f>
        <v>0</v>
      </c>
      <c r="AO50" s="179">
        <f t="shared" si="91"/>
        <v>0</v>
      </c>
      <c r="AP50" s="179">
        <f t="shared" si="91"/>
        <v>0</v>
      </c>
      <c r="AQ50" s="179">
        <f t="shared" si="91"/>
        <v>0</v>
      </c>
      <c r="AR50" s="277"/>
      <c r="AS50" s="179">
        <f>+AS35+AS29</f>
        <v>0</v>
      </c>
      <c r="AT50" s="179">
        <f t="shared" ref="AT50:AW50" si="92">+AT35+AT29</f>
        <v>0</v>
      </c>
      <c r="AU50" s="179">
        <f t="shared" si="92"/>
        <v>0</v>
      </c>
      <c r="AV50" s="179">
        <f t="shared" si="92"/>
        <v>0</v>
      </c>
      <c r="AW50" s="179">
        <f t="shared" si="92"/>
        <v>0</v>
      </c>
      <c r="AX50" s="277"/>
      <c r="AY50" s="179">
        <f>+AY35+AY29</f>
        <v>0</v>
      </c>
      <c r="AZ50" s="179">
        <f t="shared" ref="AZ50:BC50" si="93">+AZ35+AZ29</f>
        <v>0</v>
      </c>
      <c r="BA50" s="179">
        <f t="shared" si="93"/>
        <v>0</v>
      </c>
      <c r="BB50" s="179">
        <f t="shared" si="93"/>
        <v>0</v>
      </c>
      <c r="BC50" s="179">
        <f t="shared" si="93"/>
        <v>0</v>
      </c>
      <c r="BD50" s="277"/>
      <c r="BE50" s="179">
        <f>+BE35+BE29</f>
        <v>0</v>
      </c>
      <c r="BF50" s="179">
        <f t="shared" ref="BF50:BI50" si="94">+BF35+BF29</f>
        <v>0</v>
      </c>
      <c r="BG50" s="179">
        <f t="shared" si="94"/>
        <v>0</v>
      </c>
      <c r="BH50" s="179">
        <f t="shared" si="94"/>
        <v>0</v>
      </c>
      <c r="BI50" s="179">
        <f t="shared" si="94"/>
        <v>0</v>
      </c>
      <c r="BJ50" s="277"/>
      <c r="BK50" s="179">
        <f>+BK35+BK29</f>
        <v>199.2</v>
      </c>
      <c r="BL50" s="179">
        <f t="shared" ref="BL50:BO50" si="95">+BL35+BL29</f>
        <v>204</v>
      </c>
      <c r="BM50" s="179">
        <f t="shared" ref="BM50" si="96">+BM35+BM29</f>
        <v>295.29999999999995</v>
      </c>
      <c r="BN50" s="179">
        <f t="shared" si="95"/>
        <v>226.39999999999998</v>
      </c>
      <c r="BO50" s="179">
        <f t="shared" si="95"/>
        <v>226.39999999999998</v>
      </c>
      <c r="BP50" s="277"/>
      <c r="BQ50" s="179">
        <f>+BQ35+BQ29</f>
        <v>128.19999999999999</v>
      </c>
      <c r="BR50" s="179">
        <f t="shared" ref="BR50" si="97">+BR35+BR29</f>
        <v>113.2</v>
      </c>
      <c r="BS50" s="179">
        <f t="shared" ref="BS50:BU50" si="98">+BS35+BS29</f>
        <v>88.425000000000011</v>
      </c>
      <c r="BT50" s="179">
        <f t="shared" si="98"/>
        <v>88.425000000000011</v>
      </c>
      <c r="BU50" s="179">
        <f t="shared" si="98"/>
        <v>88.425000000000011</v>
      </c>
      <c r="BV50" s="277"/>
      <c r="BW50" s="179">
        <f>+BW35+BW29</f>
        <v>88.425000000000011</v>
      </c>
      <c r="BX50" s="179">
        <f t="shared" ref="BX50:CA50" si="99">+BX35+BX29</f>
        <v>88.425000000000011</v>
      </c>
      <c r="BY50" s="179">
        <f t="shared" si="99"/>
        <v>88.425000000000011</v>
      </c>
      <c r="BZ50" s="179">
        <f t="shared" si="99"/>
        <v>88.425000000000011</v>
      </c>
      <c r="CA50" s="179">
        <f t="shared" si="99"/>
        <v>88.425000000000011</v>
      </c>
      <c r="CB50" s="277"/>
      <c r="CC50" s="179">
        <f>+CC35+CC29</f>
        <v>88.425000000000011</v>
      </c>
      <c r="CD50" s="179">
        <f t="shared" ref="CD50:CG50" si="100">+CD35+CD29</f>
        <v>88.425000000000011</v>
      </c>
      <c r="CE50" s="179">
        <f t="shared" si="100"/>
        <v>88.425000000000011</v>
      </c>
      <c r="CF50" s="179">
        <f t="shared" si="100"/>
        <v>88.425000000000011</v>
      </c>
      <c r="CG50" s="179">
        <f t="shared" si="100"/>
        <v>88.425000000000011</v>
      </c>
      <c r="CH50" s="277"/>
      <c r="CI50" s="179">
        <f t="shared" ref="CI50:CM50" si="101">+CI35+CI29</f>
        <v>88.425000000000011</v>
      </c>
      <c r="CJ50" s="179">
        <f t="shared" si="101"/>
        <v>88.425000000000011</v>
      </c>
      <c r="CK50" s="179">
        <f t="shared" si="101"/>
        <v>88.425000000000011</v>
      </c>
      <c r="CL50" s="179">
        <f t="shared" si="101"/>
        <v>88.425000000000011</v>
      </c>
      <c r="CM50" s="179">
        <f t="shared" si="101"/>
        <v>88.425000000000011</v>
      </c>
      <c r="CN50" s="277"/>
      <c r="CO50" s="179">
        <f t="shared" ref="CO50:CS50" si="102">+CO35+CO29</f>
        <v>88.425000000000011</v>
      </c>
      <c r="CP50" s="179">
        <f t="shared" si="102"/>
        <v>88.425000000000011</v>
      </c>
      <c r="CQ50" s="179">
        <f t="shared" si="102"/>
        <v>88.425000000000011</v>
      </c>
      <c r="CR50" s="179">
        <f t="shared" si="102"/>
        <v>88.425000000000011</v>
      </c>
      <c r="CS50" s="179">
        <f t="shared" si="102"/>
        <v>88.425000000000011</v>
      </c>
      <c r="CT50" s="292"/>
      <c r="CU50" s="292"/>
      <c r="CV50" s="292"/>
      <c r="CW50" s="75"/>
      <c r="CX50" s="75"/>
      <c r="CY50" s="75"/>
      <c r="CZ50" s="75"/>
    </row>
    <row r="51" spans="1:104" ht="12.75" customHeight="1" outlineLevel="1" x14ac:dyDescent="0.2">
      <c r="A51" s="1" t="s">
        <v>90</v>
      </c>
      <c r="B51" s="103"/>
      <c r="C51" s="179">
        <f>C50-C8-C9</f>
        <v>-212.11500000000001</v>
      </c>
      <c r="D51" s="179">
        <f>D50-D8-D9</f>
        <v>-203.511</v>
      </c>
      <c r="E51" s="179">
        <f>E50-E8-E9</f>
        <v>-304.34699999999998</v>
      </c>
      <c r="F51" s="179">
        <f>F50-F8-F9</f>
        <v>-214.11099999999999</v>
      </c>
      <c r="G51" s="179">
        <f>G50-G8-G9</f>
        <v>-214.11099999999999</v>
      </c>
      <c r="H51" s="103"/>
      <c r="I51" s="179">
        <f>I50-I8-I9</f>
        <v>-188.56399999999999</v>
      </c>
      <c r="J51" s="179">
        <f>J50-J8-J9</f>
        <v>-181.15100000000001</v>
      </c>
      <c r="K51" s="179">
        <f>K50-K8-K9</f>
        <v>-204.19399999999999</v>
      </c>
      <c r="L51" s="179">
        <f>L50-L8-L9</f>
        <v>-328.72800000000001</v>
      </c>
      <c r="M51" s="179">
        <f>M50-M8-M9</f>
        <v>-328.72800000000001</v>
      </c>
      <c r="N51" s="103"/>
      <c r="O51" s="179">
        <f>O50-O8-O9</f>
        <v>-308.34000000000003</v>
      </c>
      <c r="P51" s="179">
        <f>P50-P8-P9</f>
        <v>-331.99400000000003</v>
      </c>
      <c r="Q51" s="179">
        <f>Q50-Q8-Q9</f>
        <v>-402.08500000000004</v>
      </c>
      <c r="R51" s="179">
        <f>R50-R8-R9</f>
        <v>-316.85500000000002</v>
      </c>
      <c r="S51" s="179">
        <f>S50-S8-S9</f>
        <v>-316.85500000000002</v>
      </c>
      <c r="T51" s="103"/>
      <c r="U51" s="179">
        <f>U50-U8-U9</f>
        <v>-357.62900000000002</v>
      </c>
      <c r="V51" s="179">
        <f>V50-V8-V9</f>
        <v>-345.40899999999999</v>
      </c>
      <c r="W51" s="179">
        <f>W50-W8-W9</f>
        <v>-398.649</v>
      </c>
      <c r="X51" s="179">
        <f>X50-X8-X9</f>
        <v>-403.22799999999995</v>
      </c>
      <c r="Y51" s="179">
        <f>Y50-Y8-Y9</f>
        <v>-403.22799999999995</v>
      </c>
      <c r="Z51" s="103"/>
      <c r="AA51" s="179">
        <f>AA50-AA8-AA9</f>
        <v>-428.33800000000002</v>
      </c>
      <c r="AB51" s="179">
        <f>AB50-AB8-AB9</f>
        <v>-391.29899999999998</v>
      </c>
      <c r="AC51" s="179">
        <f>AC50-AC8-AC9</f>
        <v>-361.22399999999999</v>
      </c>
      <c r="AD51" s="179">
        <f>AD50-AD8-AD9</f>
        <v>-346.45699999999999</v>
      </c>
      <c r="AE51" s="179">
        <f>AE50-AE8-AE9</f>
        <v>-346.45699999999999</v>
      </c>
      <c r="AF51" s="103"/>
      <c r="AG51" s="179">
        <f>AG50-AG8-AG9</f>
        <v>-349.52100000000002</v>
      </c>
      <c r="AH51" s="179">
        <f>AH50-AH8-AH9</f>
        <v>-350.63</v>
      </c>
      <c r="AI51" s="179">
        <f>AI50-AI8-AI9</f>
        <v>-337.36400000000003</v>
      </c>
      <c r="AJ51" s="179">
        <f>AJ50-AJ8-AJ9</f>
        <v>-340.53200000000004</v>
      </c>
      <c r="AK51" s="179">
        <f>AK50-AK8-AK9</f>
        <v>-340.53200000000004</v>
      </c>
      <c r="AL51" s="103"/>
      <c r="AM51" s="179">
        <f>AM50-AM8-AM9</f>
        <v>-349.16499999999996</v>
      </c>
      <c r="AN51" s="179">
        <f>AN50-AN8-AN9</f>
        <v>-358.63299999999998</v>
      </c>
      <c r="AO51" s="179">
        <f>AO50-AO8-AO9</f>
        <v>-336.15699999999998</v>
      </c>
      <c r="AP51" s="179">
        <f>AP50-AP8-AP9</f>
        <v>-372.31599999999997</v>
      </c>
      <c r="AQ51" s="179">
        <f>AQ50-AQ8-AQ9</f>
        <v>-372.31599999999997</v>
      </c>
      <c r="AR51" s="103"/>
      <c r="AS51" s="179">
        <f>AS50-AS8-AS9</f>
        <v>-357.01800000000003</v>
      </c>
      <c r="AT51" s="179">
        <f>AT50-AT8-AT9</f>
        <v>-353.59499999999997</v>
      </c>
      <c r="AU51" s="179">
        <f>AU50-AU8-AU9</f>
        <v>-212.15800000000002</v>
      </c>
      <c r="AV51" s="179">
        <f>AV50-AV8-AV9</f>
        <v>-186.46199999999999</v>
      </c>
      <c r="AW51" s="179">
        <f>AW50-AW8-AW9</f>
        <v>-186.46199999999999</v>
      </c>
      <c r="AX51" s="103"/>
      <c r="AY51" s="179">
        <f>AY50-AY8-AY9</f>
        <v>-182.28399999999999</v>
      </c>
      <c r="AZ51" s="179">
        <f>AZ50-AZ8-AZ9</f>
        <v>-187.25300000000001</v>
      </c>
      <c r="BA51" s="179">
        <f>BA50-BA8-BA9</f>
        <v>-134.43299999999999</v>
      </c>
      <c r="BB51" s="179">
        <f>BB50-BB8-BB9</f>
        <v>-144.821</v>
      </c>
      <c r="BC51" s="179">
        <f>BC50-BC8-BC9</f>
        <v>-144.821</v>
      </c>
      <c r="BD51" s="103"/>
      <c r="BE51" s="179">
        <f>BE50-BE8-BE9</f>
        <v>-155.4</v>
      </c>
      <c r="BF51" s="179">
        <f>BF50-BF8-BF9</f>
        <v>-219.29999999999998</v>
      </c>
      <c r="BG51" s="179">
        <f>BG50-BG8-BG9</f>
        <v>-216.7</v>
      </c>
      <c r="BH51" s="179">
        <f>BH50-BH8-BH9</f>
        <v>-159</v>
      </c>
      <c r="BI51" s="179">
        <f>BI50-BI8-BI9</f>
        <v>-159</v>
      </c>
      <c r="BJ51" s="103"/>
      <c r="BK51" s="179">
        <f>BK50-BK8-BK9</f>
        <v>50.799999999999983</v>
      </c>
      <c r="BL51" s="179">
        <f>BL50-BL8-BL9</f>
        <v>41.500000000000007</v>
      </c>
      <c r="BM51" s="179">
        <f>BM50-BM8-BM9</f>
        <v>123.19999999999995</v>
      </c>
      <c r="BN51" s="179">
        <f>BN50-BN8-BN9</f>
        <v>75.699999999999974</v>
      </c>
      <c r="BO51" s="179">
        <f>BO50-BO8-BO9</f>
        <v>75.699999999999974</v>
      </c>
      <c r="BP51" s="103"/>
      <c r="BQ51" s="179">
        <f>BQ50-BQ8-BQ9</f>
        <v>-20.100000000000016</v>
      </c>
      <c r="BR51" s="179">
        <f>BR50-BR8-BR9</f>
        <v>-30.299999999999997</v>
      </c>
      <c r="BS51" s="179">
        <f>BS50-BS8-BS9</f>
        <v>-98.123715910251875</v>
      </c>
      <c r="BT51" s="179">
        <f>BT50-BT8-BT9</f>
        <v>-155.53473985192443</v>
      </c>
      <c r="BU51" s="179">
        <f>BU50-BU8-BU9</f>
        <v>-155.53473985192443</v>
      </c>
      <c r="BV51" s="103"/>
      <c r="BW51" s="179">
        <f>BW50-BW8-BW9</f>
        <v>-195.00551622129643</v>
      </c>
      <c r="BX51" s="179">
        <f>BX50-BX8-BX9</f>
        <v>-239.83101221189827</v>
      </c>
      <c r="BY51" s="179">
        <f t="shared" ref="BY51" si="103">BY50-BY8-BY9</f>
        <v>-293.90435360935942</v>
      </c>
      <c r="BZ51" s="179">
        <f t="shared" ref="BZ51" si="104">BZ50-BZ8-BZ9</f>
        <v>-351.16196349447722</v>
      </c>
      <c r="CA51" s="179">
        <f t="shared" ref="CA51" si="105">CA50-CA8-CA9</f>
        <v>-351.16196349447722</v>
      </c>
      <c r="CB51" s="103"/>
      <c r="CC51" s="179">
        <f>CC50-CC8-CC9</f>
        <v>-394.74139402859652</v>
      </c>
      <c r="CD51" s="179">
        <f>CD50-CD8-CD9</f>
        <v>-441.50420402550742</v>
      </c>
      <c r="CE51" s="179">
        <f t="shared" ref="CE51:CG51" si="106">CE50-CE8-CE9</f>
        <v>-498.84671686595937</v>
      </c>
      <c r="CF51" s="179">
        <f t="shared" si="106"/>
        <v>-559.08178525748144</v>
      </c>
      <c r="CG51" s="179">
        <f t="shared" si="106"/>
        <v>-559.08178525748144</v>
      </c>
      <c r="CH51" s="103"/>
      <c r="CI51" s="179">
        <f t="shared" ref="CI51:CM51" si="107">CI50-CI8-CI9</f>
        <v>-603.13798444163172</v>
      </c>
      <c r="CJ51" s="179">
        <f t="shared" si="107"/>
        <v>-650.63531690427089</v>
      </c>
      <c r="CK51" s="179">
        <f t="shared" si="107"/>
        <v>-709.94124610748463</v>
      </c>
      <c r="CL51" s="179">
        <f t="shared" si="107"/>
        <v>-771.36622578031051</v>
      </c>
      <c r="CM51" s="179">
        <f t="shared" si="107"/>
        <v>-771.36622578031051</v>
      </c>
      <c r="CN51" s="103"/>
      <c r="CO51" s="179">
        <f t="shared" ref="CO51:CS51" si="108">CO50-CO8-CO9</f>
        <v>-817.14639627473321</v>
      </c>
      <c r="CP51" s="179">
        <f t="shared" si="108"/>
        <v>-866.51447557413712</v>
      </c>
      <c r="CQ51" s="179">
        <f t="shared" si="108"/>
        <v>-930.1284661224895</v>
      </c>
      <c r="CR51" s="179">
        <f t="shared" si="108"/>
        <v>-994.59169115232726</v>
      </c>
      <c r="CS51" s="179">
        <f t="shared" si="108"/>
        <v>-994.59169115232726</v>
      </c>
      <c r="CT51" s="179"/>
      <c r="CU51" s="179"/>
      <c r="CV51" s="179"/>
      <c r="CW51" s="75"/>
      <c r="CX51" s="75"/>
      <c r="CY51" s="75"/>
      <c r="CZ51" s="75"/>
    </row>
    <row r="52" spans="1:104" ht="12.75" customHeight="1" outlineLevel="1" x14ac:dyDescent="0.2">
      <c r="A52" s="1" t="s">
        <v>91</v>
      </c>
      <c r="B52" s="180"/>
      <c r="C52" s="180">
        <f>+(C51)/'P&amp;L'!C42</f>
        <v>-2.6714735516372796</v>
      </c>
      <c r="D52" s="180">
        <f>+(D51)/'P&amp;L'!D42</f>
        <v>-2.556157053858521</v>
      </c>
      <c r="E52" s="180">
        <f>+(E51)/'P&amp;L'!E42</f>
        <v>-3.6665662723176635</v>
      </c>
      <c r="F52" s="180">
        <f>+(F51)/'P&amp;L'!F42</f>
        <v>-2.4757296147264234</v>
      </c>
      <c r="G52" s="180">
        <f>+(G51)/'P&amp;L'!G42</f>
        <v>-2.6076117403483132</v>
      </c>
      <c r="H52" s="180"/>
      <c r="I52" s="180">
        <f>+(I51)/'P&amp;L'!I42</f>
        <v>-2.1640194638266617</v>
      </c>
      <c r="J52" s="180">
        <f>+(J51)/'P&amp;L'!J42</f>
        <v>-2.05414568875584</v>
      </c>
      <c r="K52" s="180">
        <f>+(K51)/'P&amp;L'!K42</f>
        <v>-2.2969987401007916</v>
      </c>
      <c r="L52" s="180">
        <f>+(L51)/'P&amp;L'!L42</f>
        <v>-3.4994145074410783</v>
      </c>
      <c r="M52" s="180">
        <f>+(M51)/'P&amp;L'!M42</f>
        <v>-3.5192702980472763</v>
      </c>
      <c r="N52" s="180"/>
      <c r="O52" s="180">
        <f>+(O51)/'P&amp;L'!O42</f>
        <v>-3.1913308079239897</v>
      </c>
      <c r="P52" s="180">
        <f>+(P51)/'P&amp;L'!P42</f>
        <v>-3.3975398092431131</v>
      </c>
      <c r="Q52" s="180">
        <f>+(Q51)/'P&amp;L'!Q42</f>
        <v>-4.0372411992690331</v>
      </c>
      <c r="R52" s="180">
        <f>+(R51)/'P&amp;L'!R42</f>
        <v>-3.162478042159055</v>
      </c>
      <c r="S52" s="180">
        <f>+(S51)/'P&amp;L'!S42</f>
        <v>-3.2144197701196071</v>
      </c>
      <c r="T52" s="180"/>
      <c r="U52" s="180">
        <f>+(U51)/'P&amp;L'!U42</f>
        <v>-3.5945503156032648</v>
      </c>
      <c r="V52" s="180">
        <f>+(V51)/'P&amp;L'!V42</f>
        <v>-3.4740309375817189</v>
      </c>
      <c r="W52" s="180">
        <f>+(W51)/'P&amp;L'!W42</f>
        <v>-3.9995284627886907</v>
      </c>
      <c r="X52" s="180">
        <f>+(X51)/'P&amp;L'!X42</f>
        <v>-4.1037258673505725</v>
      </c>
      <c r="Y52" s="180">
        <f>+(Y51)/'P&amp;L'!Y42</f>
        <v>-4.0667661771825072</v>
      </c>
      <c r="Z52" s="180"/>
      <c r="AA52" s="180">
        <f>+(AA51)/'P&amp;L'!AA42</f>
        <v>-4.5214811999915554</v>
      </c>
      <c r="AB52" s="180">
        <f>+(AB51)/'P&amp;L'!AB42</f>
        <v>-4.1784467201298492</v>
      </c>
      <c r="AC52" s="180">
        <f>+(AC51)/'P&amp;L'!AC42</f>
        <v>-4.0079443452017713</v>
      </c>
      <c r="AD52" s="180">
        <f>+(AD51)/'P&amp;L'!AD42</f>
        <v>-3.9342395130703367</v>
      </c>
      <c r="AE52" s="180">
        <f>+(AE51)/'P&amp;L'!AE42</f>
        <v>-3.7779922358893834</v>
      </c>
      <c r="AF52" s="180"/>
      <c r="AG52" s="180">
        <f>+(AG51)/'P&amp;L'!AG42</f>
        <v>-4.0157749003297445</v>
      </c>
      <c r="AH52" s="180">
        <f>+(AH51)/'P&amp;L'!AH42</f>
        <v>-4.0661710985608428</v>
      </c>
      <c r="AI52" s="180">
        <f>+(AI51)/'P&amp;L'!AI42</f>
        <v>-3.9018759686336195</v>
      </c>
      <c r="AJ52" s="180">
        <f>+(AJ51)/'P&amp;L'!AJ42</f>
        <v>-3.9448582648888486</v>
      </c>
      <c r="AK52" s="180">
        <f>+(AK51)/'P&amp;L'!AK42</f>
        <v>-3.9383796912045339</v>
      </c>
      <c r="AL52" s="180"/>
      <c r="AM52" s="180">
        <f>+(AM51)/'P&amp;L'!AM42</f>
        <v>-4.1609862478251536</v>
      </c>
      <c r="AN52" s="180">
        <f>+(AN51)/'P&amp;L'!AN42</f>
        <v>-4.2572768281101618</v>
      </c>
      <c r="AO52" s="180">
        <f>+(AO51)/'P&amp;L'!AO42</f>
        <v>-4.077892617124002</v>
      </c>
      <c r="AP52" s="180">
        <f>+(AP51)/'P&amp;L'!AP42</f>
        <v>-4.5053304130011256</v>
      </c>
      <c r="AQ52" s="180">
        <f>+(AQ51)/'P&amp;L'!AQ42</f>
        <v>-4.4681315779999276</v>
      </c>
      <c r="AR52" s="180"/>
      <c r="AS52" s="180">
        <f>+(AS51)/'P&amp;L'!AS42</f>
        <v>-4.3646299420523729</v>
      </c>
      <c r="AT52" s="180">
        <f>+(AT51)/'P&amp;L'!AT42</f>
        <v>-4.6026033192320206</v>
      </c>
      <c r="AU52" s="180">
        <f>+(AU51)/'P&amp;L'!AU42</f>
        <v>-2.777882525466782</v>
      </c>
      <c r="AV52" s="180">
        <f>+(AV51)/'P&amp;L'!AV42</f>
        <v>-2.4004480032956566</v>
      </c>
      <c r="AW52" s="180">
        <f>+(AW51)/'P&amp;L'!AW42</f>
        <v>-2.3849735233173872</v>
      </c>
      <c r="AX52" s="180"/>
      <c r="AY52" s="180">
        <f>+(AY51)/'P&amp;L'!AY42</f>
        <v>-2.3957626895880977</v>
      </c>
      <c r="AZ52" s="180">
        <f>+(AZ51)/'P&amp;L'!AZ42</f>
        <v>-2.4834286017426828</v>
      </c>
      <c r="BA52" s="180">
        <f>+(BA51)/'P&amp;L'!BA42</f>
        <v>-1.8198592121294164</v>
      </c>
      <c r="BB52" s="180">
        <f>+(BB51)/'P&amp;L'!BB42</f>
        <v>-2.0002900552486187</v>
      </c>
      <c r="BC52" s="180">
        <f>+(BC51)/'P&amp;L'!BC42</f>
        <v>-1.9439060402684563</v>
      </c>
      <c r="BD52" s="180"/>
      <c r="BE52" s="180">
        <f>+(BE51)/'P&amp;L'!BE42</f>
        <v>-2.1553398058252431</v>
      </c>
      <c r="BF52" s="180">
        <f>+(BF51)/'P&amp;L'!BF42</f>
        <v>-2.9715447154471542</v>
      </c>
      <c r="BG52" s="180">
        <f>+(BG51)/'P&amp;L'!BG42</f>
        <v>-2.9482993197278908</v>
      </c>
      <c r="BH52" s="180">
        <f>+(BH51)/'P&amp;L'!BH42</f>
        <v>-2.1961325966850826</v>
      </c>
      <c r="BI52" s="180">
        <f>+(BI51)/'P&amp;L'!BI42</f>
        <v>-2.1662125340599454</v>
      </c>
      <c r="BJ52" s="180"/>
      <c r="BK52" s="180">
        <f>+(BK51)/'P&amp;L'!BK42</f>
        <v>0.73093525179856089</v>
      </c>
      <c r="BL52" s="180">
        <f>+(BL51)/'P&amp;L'!BL42</f>
        <v>0.60761346998535881</v>
      </c>
      <c r="BM52" s="180">
        <f>+(BM51)/'P&amp;L'!BM42</f>
        <v>1.8038067349926787</v>
      </c>
      <c r="BN52" s="180">
        <f>+(BN51)/'P&amp;L'!BN42</f>
        <v>1.098693759071117</v>
      </c>
      <c r="BO52" s="180">
        <f>+(BO51)/'P&amp;L'!BO42</f>
        <v>1.1010909090909087</v>
      </c>
      <c r="BP52" s="180"/>
      <c r="BQ52" s="180">
        <f>+(BQ51)/'P&amp;L'!BQ42</f>
        <v>-0.28551136363636381</v>
      </c>
      <c r="BR52" s="180">
        <f>+(BR51)/'P&amp;L'!BR42</f>
        <v>-0.42141863699582749</v>
      </c>
      <c r="BS52" s="180">
        <f>+(BS51)/'P&amp;L'!BS42</f>
        <v>-1.36107176596333</v>
      </c>
      <c r="BT52" s="180">
        <f>+(BT51)/'P&amp;L'!BT42</f>
        <v>-2.1519443923370249</v>
      </c>
      <c r="BU52" s="180">
        <f>+(BU51)/'P&amp;L'!BU42</f>
        <v>-2.1702318523808071</v>
      </c>
      <c r="BV52" s="180"/>
      <c r="BW52" s="180">
        <f>+(BW51)/'P&amp;L'!BW42</f>
        <v>-2.7059022412989617</v>
      </c>
      <c r="BX52" s="180">
        <f>+(BX51)/'P&amp;L'!BX42</f>
        <v>-3.3603544788344313</v>
      </c>
      <c r="BY52" s="180">
        <f>+(BY51)/'P&amp;L'!BY42</f>
        <v>-4.1643327590194819</v>
      </c>
      <c r="BZ52" s="180">
        <f>+(BZ51)/'P&amp;L'!BZ42</f>
        <v>-5.0325765856083375</v>
      </c>
      <c r="CA52" s="180">
        <f>+(CA51)/'P&amp;L'!CA42</f>
        <v>-4.9495713222595956</v>
      </c>
      <c r="CB52" s="180"/>
      <c r="CC52" s="180">
        <f>+(CC51)/'P&amp;L'!CC42</f>
        <v>-5.7123507744190114</v>
      </c>
      <c r="CD52" s="180">
        <f>+(CD51)/'P&amp;L'!CD42</f>
        <v>-6.4483389067885035</v>
      </c>
      <c r="CE52" s="180">
        <f>+(CE51)/'P&amp;L'!CE42</f>
        <v>-7.3637625359227323</v>
      </c>
      <c r="CF52" s="180">
        <f>+(CF51)/'P&amp;L'!CF42</f>
        <v>-8.3426534149471614</v>
      </c>
      <c r="CG52" s="180">
        <f>+(CG51)/'P&amp;L'!CG42</f>
        <v>-8.2118473924653372</v>
      </c>
      <c r="CH52" s="180"/>
      <c r="CI52" s="180">
        <f>+(CI51)/'P&amp;L'!CI42</f>
        <v>-9.0493937614832873</v>
      </c>
      <c r="CJ52" s="180">
        <f>+(CJ51)/'P&amp;L'!CJ42</f>
        <v>-9.7620367638510146</v>
      </c>
      <c r="CK52" s="180">
        <f>+(CK51)/'P&amp;L'!CK42</f>
        <v>-10.651854217890786</v>
      </c>
      <c r="CL52" s="180">
        <f>+(CL51)/'P&amp;L'!CL42</f>
        <v>-11.573465594042309</v>
      </c>
      <c r="CM52" s="180">
        <f>+(CM51)/'P&amp;L'!CM42</f>
        <v>-11.573465594042309</v>
      </c>
      <c r="CN52" s="180"/>
      <c r="CO52" s="180">
        <f>+(CO51)/'P&amp;L'!CO42</f>
        <v>-12.260344550365051</v>
      </c>
      <c r="CP52" s="180">
        <f>+(CP51)/'P&amp;L'!CP42</f>
        <v>-13.001055963595023</v>
      </c>
      <c r="CQ52" s="180">
        <f>+(CQ51)/'P&amp;L'!CQ42</f>
        <v>-13.955510937516545</v>
      </c>
      <c r="CR52" s="180">
        <f>+(CR51)/'P&amp;L'!CR42</f>
        <v>-14.922707700907528</v>
      </c>
      <c r="CS52" s="180">
        <f>+(CS51)/'P&amp;L'!CS42</f>
        <v>-14.922707700907528</v>
      </c>
      <c r="CT52" s="180"/>
      <c r="CU52" s="180"/>
      <c r="CV52" s="180"/>
      <c r="CW52" s="75"/>
      <c r="CX52" s="75"/>
      <c r="CY52" s="75"/>
      <c r="CZ52" s="75"/>
    </row>
    <row r="53" spans="1:104" ht="12.75" customHeight="1" outlineLevel="1" x14ac:dyDescent="0.2">
      <c r="A53" s="1" t="s">
        <v>94</v>
      </c>
      <c r="B53" s="180"/>
      <c r="C53" s="376">
        <f>(C24-C8-C9-C18)-(C45)</f>
        <v>-212.11499999999995</v>
      </c>
      <c r="D53" s="376">
        <f>(D24-D8-D9-D18)-(D45)</f>
        <v>-203.51100000000005</v>
      </c>
      <c r="E53" s="376">
        <f>(E24-E8-E9-E18)-(E45)</f>
        <v>-304.34699999999998</v>
      </c>
      <c r="F53" s="376">
        <f>(F24-F8-F9-F18)-(F45)</f>
        <v>-308.3119999999999</v>
      </c>
      <c r="G53" s="376">
        <f>(G24-G8-G9-G18)-(G45)</f>
        <v>-308.3119999999999</v>
      </c>
      <c r="H53" s="180"/>
      <c r="I53" s="376">
        <f>(I24-I8-I9-I18)-(I45)</f>
        <v>-299.28999999999996</v>
      </c>
      <c r="J53" s="376">
        <f>(J24-J8-J9-J18)-(J45)</f>
        <v>-303.45299999999992</v>
      </c>
      <c r="K53" s="376">
        <f>(K24-K8-K9-K18)-(K45)</f>
        <v>-310.48800000000006</v>
      </c>
      <c r="L53" s="376">
        <f>(L24-L8-L9-L18)-(L45)</f>
        <v>-420.0560000000001</v>
      </c>
      <c r="M53" s="376">
        <f>(M24-M8-M9-M18)-(M45)</f>
        <v>-420.0560000000001</v>
      </c>
      <c r="N53" s="180"/>
      <c r="O53" s="376">
        <f>(O24-O8-O9-O18)-(O45)</f>
        <v>-442.625</v>
      </c>
      <c r="P53" s="376">
        <f>(P24-P8-P9-P18)-(P45)</f>
        <v>-496.92200000000003</v>
      </c>
      <c r="Q53" s="376">
        <f>(Q24-Q8-Q9-Q18)-(Q45)</f>
        <v>-534.84199999999987</v>
      </c>
      <c r="R53" s="376">
        <f>(R24-R8-R9-R18)-(R45)</f>
        <v>-392.22499999999991</v>
      </c>
      <c r="S53" s="376">
        <f>(S24-S8-S9-S18)-(S45)</f>
        <v>-392.22499999999991</v>
      </c>
      <c r="T53" s="180"/>
      <c r="U53" s="376">
        <f>(U24-U8-U9-U18)-(U45)</f>
        <v>-416.99900000000002</v>
      </c>
      <c r="V53" s="376">
        <f>(V24-V8-V9-V18)-(V45)</f>
        <v>-457.55900000000008</v>
      </c>
      <c r="W53" s="376">
        <f>(W24-W8-W9-W18)-(W45)</f>
        <v>-511.18299999999988</v>
      </c>
      <c r="X53" s="376">
        <f>(X24-X8-X9-X18)-(X45)</f>
        <v>-488.38200000000001</v>
      </c>
      <c r="Y53" s="376">
        <f>(Y24-Y8-Y9-Y18)-(Y45)</f>
        <v>-488.38200000000001</v>
      </c>
      <c r="Z53" s="180"/>
      <c r="AA53" s="376">
        <f>(AA24-AA8-AA9-AA18)-(AA45)</f>
        <v>-508.40199999999993</v>
      </c>
      <c r="AB53" s="376">
        <f>(AB24-AB8-AB9-AB18)-(AB45)</f>
        <v>-494.40499999999997</v>
      </c>
      <c r="AC53" s="376">
        <f>(AC24-AC8-AC9-AC18)-(AC45)</f>
        <v>-451.4910000000001</v>
      </c>
      <c r="AD53" s="376">
        <f>(AD24-AD8-AD9-AD18)-(AD45)</f>
        <v>-417.31399999999996</v>
      </c>
      <c r="AE53" s="376">
        <f>(AE24-AE8-AE9-AE18)-(AE45)</f>
        <v>-417.31399999999996</v>
      </c>
      <c r="AF53" s="180"/>
      <c r="AG53" s="376">
        <f>(AG24-AG8-AG9-AG18)-(AG45)</f>
        <v>-401.70300000000009</v>
      </c>
      <c r="AH53" s="376">
        <f>(AH24-AH8-AH9-AH18)-(AH45)</f>
        <v>-428.25900000000001</v>
      </c>
      <c r="AI53" s="376">
        <f>(AI24-AI8-AI9-AI18)-(AI45)</f>
        <v>-466.71</v>
      </c>
      <c r="AJ53" s="376">
        <f>(AJ24-AJ8-AJ9-AJ18)-(AJ45)</f>
        <v>-454.22399999999976</v>
      </c>
      <c r="AK53" s="376">
        <f>(AK24-AK8-AK9-AK18)-(AK45)</f>
        <v>-454.22399999999976</v>
      </c>
      <c r="AL53" s="180"/>
      <c r="AM53" s="376">
        <f>(AM24-AM8-AM9-AM18)-(AM45)</f>
        <v>-466.29000000000008</v>
      </c>
      <c r="AN53" s="376">
        <f>(AN24-AN8-AN9-AN18)-(AN45)</f>
        <v>-468.26899999999989</v>
      </c>
      <c r="AO53" s="376">
        <f>(AO24-AO8-AO9-AO18)-(AO45)</f>
        <v>-462.27699999999999</v>
      </c>
      <c r="AP53" s="376">
        <f>(AP24-AP8-AP9-AP18)-(AP45)</f>
        <v>-531.06400000000008</v>
      </c>
      <c r="AQ53" s="376">
        <f>(AQ24-AQ8-AQ9-AQ18)-(AQ45)</f>
        <v>-531.06400000000008</v>
      </c>
      <c r="AR53" s="180"/>
      <c r="AS53" s="376">
        <f>(AS24-AS8-AS9-AS18)-(AS45)</f>
        <v>-515.58399999999983</v>
      </c>
      <c r="AT53" s="376">
        <f>(AT24-AT8-AT9-AT18)-(AT45)</f>
        <v>-488.78199999999993</v>
      </c>
      <c r="AU53" s="376">
        <f>(AU24-AU8-AU9-AU18)-(AU45)</f>
        <v>-277.71300000000008</v>
      </c>
      <c r="AV53" s="376">
        <f>(AV24-AV8-AV9-AV18)-(AV45)</f>
        <v>-270.58600000000001</v>
      </c>
      <c r="AW53" s="376">
        <f>(AW24-AW8-AW9-AW18)-(AW45)</f>
        <v>-270.58600000000001</v>
      </c>
      <c r="AX53" s="180"/>
      <c r="AY53" s="376">
        <f>(AY24-AY8-AY9-AY18)-(AY45)</f>
        <v>-236.35700000000008</v>
      </c>
      <c r="AZ53" s="376">
        <f>(AZ24-AZ8-AZ9-AZ18)-(AZ45)</f>
        <v>-229.553</v>
      </c>
      <c r="BA53" s="376">
        <f>(BA24-BA8-BA9-BA18)-(BA45)</f>
        <v>-175.63300000000015</v>
      </c>
      <c r="BB53" s="376">
        <f>(BB24-BB8-BB9-BB18)-(BB45)</f>
        <v>-185.42100000000016</v>
      </c>
      <c r="BC53" s="376">
        <f>(BC24-BC8-BC9-BC18)-(BC45)</f>
        <v>-185.42100000000016</v>
      </c>
      <c r="BD53" s="180"/>
      <c r="BE53" s="376">
        <f>(BE24-BE8-BE9-BE18)-(BE45)</f>
        <v>-198.5</v>
      </c>
      <c r="BF53" s="376">
        <f>(BF24-BF8-BF9-BF18)-(BF45)</f>
        <v>-285.5</v>
      </c>
      <c r="BG53" s="376">
        <f>(BG24-BG8-BG9-BG18)-(BG45)</f>
        <v>-286.40000000000032</v>
      </c>
      <c r="BH53" s="376">
        <f>(BH24-BH8-BH9-BH18)-(BH45)</f>
        <v>-238.89999999999998</v>
      </c>
      <c r="BI53" s="376">
        <f>(BI24-BI8-BI9-BI18)-(BI45)</f>
        <v>-238.89999999999998</v>
      </c>
      <c r="BJ53" s="180"/>
      <c r="BK53" s="376">
        <f>(BK24-BK8-BK9-BK18)-(BK45)</f>
        <v>-200.60000000000014</v>
      </c>
      <c r="BL53" s="376">
        <f>(BL24-BL8-BL9-BL18)-(BL45)</f>
        <v>-218</v>
      </c>
      <c r="BM53" s="376">
        <f>(BM24-BM8-BM9-BM18)-(BM45)</f>
        <v>-225.50000000000023</v>
      </c>
      <c r="BN53" s="376">
        <f>(BN24-BN8-BN9-BN18)-(BN45)</f>
        <v>-199.20000000000005</v>
      </c>
      <c r="BO53" s="376">
        <f>(BO24-BO8-BO9-BO18)-(BO45)</f>
        <v>-199.20000000000005</v>
      </c>
      <c r="BP53" s="180"/>
      <c r="BQ53" s="376">
        <f>(BQ24-BQ8-BQ9-BQ18)-(BQ45)</f>
        <v>-198.39999999999986</v>
      </c>
      <c r="BR53" s="376">
        <f>(BR24-BR8-BR9-BR18)-(BR45)</f>
        <v>-202</v>
      </c>
      <c r="BS53" s="376">
        <f>(BS24-BS8-BS9-BS18)-(BS45)</f>
        <v>-245.04871591025221</v>
      </c>
      <c r="BT53" s="376">
        <f>(BT24-BT8-BT9-BT18)-(BT45)</f>
        <v>-302.45973985192472</v>
      </c>
      <c r="BU53" s="376">
        <f>(BU24-BU8-BU9-BU18)-(BU45)</f>
        <v>-302.45973985192472</v>
      </c>
      <c r="BV53" s="180"/>
      <c r="BW53" s="376">
        <f>(BW24-BW8-BW9-BW18)-(BW45)</f>
        <v>-341.93051622129678</v>
      </c>
      <c r="BX53" s="376">
        <f>(BX24-BX8-BX9-BX18)-(BX45)</f>
        <v>-386.75601221189868</v>
      </c>
      <c r="BY53" s="376">
        <f>(BY24-BY8-BY9-BY18)-(BY45)</f>
        <v>-440.82935360935971</v>
      </c>
      <c r="BZ53" s="376">
        <f>(BZ24-BZ8-BZ9-BZ18)-(BZ45)</f>
        <v>-498.08696349447746</v>
      </c>
      <c r="CA53" s="376">
        <f>(CA24-CA8-CA9-CA18)-(CA45)</f>
        <v>-498.08696349447746</v>
      </c>
      <c r="CB53" s="180"/>
      <c r="CC53" s="376">
        <f>(CC24-CC8-CC9-CC18)-(CC45)</f>
        <v>-541.66639402859687</v>
      </c>
      <c r="CD53" s="376">
        <f>(CD24-CD8-CD9-CD18)-(CD45)</f>
        <v>-588.42920402550794</v>
      </c>
      <c r="CE53" s="376">
        <f>(CE24-CE8-CE9-CE18)-(CE45)</f>
        <v>-645.77171686595966</v>
      </c>
      <c r="CF53" s="376">
        <f>(CF24-CF8-CF9-CF18)-(CF45)</f>
        <v>-706.00678525748185</v>
      </c>
      <c r="CG53" s="376">
        <f>(CG24-CG8-CG9-CG18)-(CG45)</f>
        <v>-706.00678525748185</v>
      </c>
      <c r="CH53" s="180"/>
      <c r="CI53" s="376">
        <f t="shared" ref="CI53:CM53" si="109">(CI24-CI8-CI9-CI18)-(CI45)</f>
        <v>-750.06298444163235</v>
      </c>
      <c r="CJ53" s="376">
        <f t="shared" si="109"/>
        <v>-797.5603169042713</v>
      </c>
      <c r="CK53" s="376">
        <f t="shared" si="109"/>
        <v>-856.86624610748515</v>
      </c>
      <c r="CL53" s="376">
        <f t="shared" si="109"/>
        <v>-918.2912257803107</v>
      </c>
      <c r="CM53" s="376">
        <f t="shared" si="109"/>
        <v>-918.2912257803107</v>
      </c>
      <c r="CN53" s="180"/>
      <c r="CO53" s="376">
        <f t="shared" ref="CO53:CS53" si="110">(CO24-CO8-CO9-CO18)-(CO45)</f>
        <v>-964.07139627473373</v>
      </c>
      <c r="CP53" s="376">
        <f t="shared" si="110"/>
        <v>-1013.4394755741374</v>
      </c>
      <c r="CQ53" s="376">
        <f t="shared" si="110"/>
        <v>-1077.0534661224897</v>
      </c>
      <c r="CR53" s="376">
        <f t="shared" si="110"/>
        <v>-1141.516691152327</v>
      </c>
      <c r="CS53" s="376">
        <f t="shared" si="110"/>
        <v>-1141.516691152327</v>
      </c>
      <c r="CT53" s="180"/>
      <c r="CU53" s="180"/>
      <c r="CV53" s="180"/>
      <c r="CW53" s="75"/>
      <c r="CX53" s="75"/>
      <c r="CY53" s="75"/>
      <c r="CZ53" s="75"/>
    </row>
    <row r="54" spans="1:104" ht="12.75" customHeight="1" outlineLevel="1" x14ac:dyDescent="0.2">
      <c r="A54" s="1" t="s">
        <v>95</v>
      </c>
      <c r="B54" s="180"/>
      <c r="C54" s="180"/>
      <c r="D54" s="180"/>
      <c r="E54" s="180"/>
      <c r="F54" s="180"/>
      <c r="G54" s="376"/>
      <c r="H54" s="180"/>
      <c r="I54" s="186">
        <f>(I53-C53)/I24</f>
        <v>-0.233481533063717</v>
      </c>
      <c r="J54" s="186">
        <f>(J53-D53)/J24</f>
        <v>-0.26002320753047908</v>
      </c>
      <c r="K54" s="186">
        <f>(K53-E53)/K24</f>
        <v>-1.5707609788288935E-2</v>
      </c>
      <c r="L54" s="186">
        <f>(L53-F53)/L24</f>
        <v>-0.22378249776706186</v>
      </c>
      <c r="M54" s="186">
        <f>(M53-G53)/M24</f>
        <v>-0.22378249776706186</v>
      </c>
      <c r="N54" s="180"/>
      <c r="O54" s="186">
        <f>(O53-I53)/O24</f>
        <v>-0.26981823247268605</v>
      </c>
      <c r="P54" s="186">
        <f>(P53-J53)/P24</f>
        <v>-0.33730845742520071</v>
      </c>
      <c r="Q54" s="186">
        <f>(Q53-K53)/Q24</f>
        <v>-0.36161049594635947</v>
      </c>
      <c r="R54" s="186">
        <f>(R53-L53)/R24</f>
        <v>5.9673490741614675E-2</v>
      </c>
      <c r="S54" s="186">
        <f>(S53-M53)/S24</f>
        <v>5.9673490741614675E-2</v>
      </c>
      <c r="T54" s="180"/>
      <c r="U54" s="186">
        <f>(U53-O53)/U24</f>
        <v>5.186095129004769E-2</v>
      </c>
      <c r="V54" s="186">
        <f>(V53-P53)/V24</f>
        <v>7.2889450167303249E-2</v>
      </c>
      <c r="W54" s="186">
        <f>(W53-Q53)/W24</f>
        <v>4.012972320176128E-2</v>
      </c>
      <c r="X54" s="186">
        <f>(X53-R53)/X24</f>
        <v>-0.16192217860829489</v>
      </c>
      <c r="Y54" s="186">
        <f>(Y53-S53)/Y24</f>
        <v>-0.16192217860829489</v>
      </c>
      <c r="Z54" s="180"/>
      <c r="AA54" s="186">
        <f>(AA53-U53)/AA24</f>
        <v>-0.14963443902023749</v>
      </c>
      <c r="AB54" s="186">
        <f>(AB53-V53)/AB24</f>
        <v>-6.2071161319993289E-2</v>
      </c>
      <c r="AC54" s="186">
        <f>(AC53-W53)/AC24</f>
        <v>0.1071131208728104</v>
      </c>
      <c r="AD54" s="186">
        <f>(AD53-X53)/AD24</f>
        <v>0.11634718177159824</v>
      </c>
      <c r="AE54" s="186">
        <f>(AE53-Y53)/AE24</f>
        <v>0.11634718177159824</v>
      </c>
      <c r="AF54" s="180"/>
      <c r="AG54" s="186">
        <f>(AG53-AA53)/AG24</f>
        <v>0.17216874954617678</v>
      </c>
      <c r="AH54" s="186">
        <f>(AH53-AB53)/AH24</f>
        <v>0.1000305478345819</v>
      </c>
      <c r="AI54" s="186">
        <f>(AI53-AC53)/AI24</f>
        <v>-2.1764654567087854E-2</v>
      </c>
      <c r="AJ54" s="186">
        <f>(AJ53-AD53)/AJ24</f>
        <v>-5.3443570047854203E-2</v>
      </c>
      <c r="AK54" s="186">
        <f>(AK53-AE53)/AK24</f>
        <v>-5.3443570047854203E-2</v>
      </c>
      <c r="AL54" s="180"/>
      <c r="AM54" s="186">
        <f>(AM53-AG53)/AM24</f>
        <v>-9.1865428462110682E-2</v>
      </c>
      <c r="AN54" s="186">
        <f>(AN53-AH53)/AN24</f>
        <v>-5.574395398929409E-2</v>
      </c>
      <c r="AO54" s="186">
        <f>(AO53-AI53)/AO24</f>
        <v>6.0806992324025861E-3</v>
      </c>
      <c r="AP54" s="186">
        <f>(AP53-AJ53)/AP24</f>
        <v>-9.5593421918561877E-2</v>
      </c>
      <c r="AQ54" s="186">
        <f>(AQ53-AK53)/AQ24</f>
        <v>-9.5593421918561877E-2</v>
      </c>
      <c r="AR54" s="180"/>
      <c r="AS54" s="186">
        <f>(AS53-AM53)/AS24</f>
        <v>-6.3063385777411288E-2</v>
      </c>
      <c r="AT54" s="186">
        <f>(AT53-AN53)/AT24</f>
        <v>-2.7109178108079935E-2</v>
      </c>
      <c r="AU54" s="186">
        <f>(AU53-AO53)/AU24</f>
        <v>0.22606335418029302</v>
      </c>
      <c r="AV54" s="186">
        <f>(AV53-AP53)/AV24</f>
        <v>0.31618544962819284</v>
      </c>
      <c r="AW54" s="186">
        <f>(AW53-AQ53)/AW24</f>
        <v>0.31618544962819284</v>
      </c>
      <c r="AX54" s="180"/>
      <c r="AY54" s="186">
        <f>(AY53-AS53)/AY24</f>
        <v>0.34514824364714197</v>
      </c>
      <c r="AZ54" s="186">
        <f>(AZ53-AT53)/AZ24</f>
        <v>0.33155678681697592</v>
      </c>
      <c r="BA54" s="186">
        <f>(BA53-AU53)/BA24</f>
        <v>0.13103155257243118</v>
      </c>
      <c r="BB54" s="186">
        <f>(BB53-AV53)/BB24</f>
        <v>0.1111493942348224</v>
      </c>
      <c r="BC54" s="186">
        <f>(BC53-AW53)/BC24</f>
        <v>0.1111493942348224</v>
      </c>
      <c r="BD54" s="180"/>
      <c r="BE54" s="186">
        <f>(BE53-AY53)/BE24</f>
        <v>4.8102922490470247E-2</v>
      </c>
      <c r="BF54" s="186">
        <f>(BF53-AZ53)/BF24</f>
        <v>-6.4181484455661353E-2</v>
      </c>
      <c r="BG54" s="186">
        <f>(BG53-BA53)/BG24</f>
        <v>-0.12758235429624531</v>
      </c>
      <c r="BH54" s="186">
        <f>(BH53-BB53)/BH24</f>
        <v>-6.0737081203861232E-2</v>
      </c>
      <c r="BI54" s="186">
        <f>(BI53-BC53)/BI24</f>
        <v>-6.0737081203861232E-2</v>
      </c>
      <c r="BJ54" s="180"/>
      <c r="BK54" s="186">
        <f>(BK53-BE53)/BK24</f>
        <v>-1.6523723345661628E-3</v>
      </c>
      <c r="BL54" s="186">
        <f>(BL53-BF53)/BL24</f>
        <v>5.2895541101794535E-2</v>
      </c>
      <c r="BM54" s="186">
        <f>(BM53-BG53)/BM24</f>
        <v>4.8035967818267938E-2</v>
      </c>
      <c r="BN54" s="186">
        <f>(BN53-BH53)/BN24</f>
        <v>3.2424044429924803E-2</v>
      </c>
      <c r="BO54" s="186">
        <f>(BO53-BI53)/BO24</f>
        <v>3.2424044429924803E-2</v>
      </c>
      <c r="BP54" s="180"/>
      <c r="BQ54" s="186">
        <f>(BQ53-BK53)/BQ24</f>
        <v>1.7910933810960455E-3</v>
      </c>
      <c r="BR54" s="186">
        <f>(BR53-BL53)/BR24</f>
        <v>1.3024013024013023E-2</v>
      </c>
      <c r="BS54" s="186">
        <f>(BS53-BM53)/BS24</f>
        <v>-1.5702799708994023E-2</v>
      </c>
      <c r="BT54" s="186">
        <f>(BT53-BN53)/BT24</f>
        <v>-8.0186417378814587E-2</v>
      </c>
      <c r="BU54" s="186">
        <f>(BU53-BO53)/BU24</f>
        <v>-8.0186417378814587E-2</v>
      </c>
      <c r="BV54" s="180"/>
      <c r="BW54" s="186">
        <f>(BW53-BQ53)/BW24</f>
        <v>-0.108679856109084</v>
      </c>
      <c r="BX54" s="186">
        <f>(BX53-BR53)/BX24</f>
        <v>-0.13498908409101468</v>
      </c>
      <c r="BY54" s="186">
        <f>(BY53-BS53)/BY24</f>
        <v>-0.1390151682684079</v>
      </c>
      <c r="BZ54" s="186">
        <f>(BZ53-BT53)/BZ24</f>
        <v>-0.13485695107719722</v>
      </c>
      <c r="CA54" s="186">
        <f>(CA53-BU53)/CA24</f>
        <v>-0.13485695107719722</v>
      </c>
      <c r="CB54" s="180"/>
      <c r="CC54" s="186">
        <f>(CC53-BW53)/CC24</f>
        <v>-0.13443569149453261</v>
      </c>
      <c r="CD54" s="186">
        <f>(CD53-BX53)/CD24</f>
        <v>-0.13112717723985604</v>
      </c>
      <c r="CE54" s="186">
        <f>(CE53-BY53)/CE24</f>
        <v>-0.12966244878186481</v>
      </c>
      <c r="CF54" s="186">
        <f>(CF53-BZ53)/CF24</f>
        <v>-0.12785906550058007</v>
      </c>
      <c r="CG54" s="186">
        <f>(CG53-CA53)/CG24</f>
        <v>-0.12785906550058007</v>
      </c>
      <c r="CH54" s="180"/>
      <c r="CI54" s="186">
        <f t="shared" ref="CI54:CM54" si="111">(CI53-CC53)/CI24</f>
        <v>-0.12532328103685686</v>
      </c>
      <c r="CJ54" s="186">
        <f t="shared" si="111"/>
        <v>-0.12177092129588568</v>
      </c>
      <c r="CK54" s="186">
        <f t="shared" si="111"/>
        <v>-0.11990625468660894</v>
      </c>
      <c r="CL54" s="186">
        <f t="shared" si="111"/>
        <v>-0.11748118314140392</v>
      </c>
      <c r="CM54" s="186">
        <f t="shared" si="111"/>
        <v>-0.11748118314140392</v>
      </c>
      <c r="CN54" s="180"/>
      <c r="CO54" s="186">
        <f t="shared" ref="CO54:CS54" si="112">(CO53-CI53)/CO24</f>
        <v>-0.11595775358464405</v>
      </c>
      <c r="CP54" s="186">
        <f t="shared" si="112"/>
        <v>-0.11335399916228604</v>
      </c>
      <c r="CQ54" s="186">
        <f t="shared" si="112"/>
        <v>-0.11298268337456123</v>
      </c>
      <c r="CR54" s="186">
        <f t="shared" si="112"/>
        <v>-0.11167155534762918</v>
      </c>
      <c r="CS54" s="186">
        <f t="shared" si="112"/>
        <v>-0.11167155534762918</v>
      </c>
      <c r="CT54" s="180"/>
      <c r="CU54" s="180"/>
      <c r="CV54" s="180"/>
      <c r="CW54" s="75"/>
      <c r="CX54" s="75"/>
      <c r="CY54" s="75"/>
      <c r="CZ54" s="75"/>
    </row>
    <row r="55" spans="1:104" ht="12.75" customHeight="1" outlineLevel="1" x14ac:dyDescent="0.2">
      <c r="A55" s="1"/>
      <c r="B55" s="67"/>
      <c r="C55" s="10"/>
      <c r="D55" s="10"/>
      <c r="E55" s="10"/>
      <c r="F55" s="10"/>
      <c r="G55" s="10"/>
      <c r="H55" s="67"/>
      <c r="I55" s="10"/>
      <c r="J55" s="10"/>
      <c r="K55" s="10"/>
      <c r="L55" s="10"/>
      <c r="M55" s="10"/>
      <c r="N55" s="67"/>
      <c r="O55" s="10"/>
      <c r="P55" s="10"/>
      <c r="Q55" s="10"/>
      <c r="R55" s="10"/>
      <c r="S55" s="10"/>
      <c r="T55" s="67"/>
      <c r="U55" s="10"/>
      <c r="V55" s="10"/>
      <c r="W55" s="10"/>
      <c r="X55" s="10"/>
      <c r="Y55" s="10"/>
      <c r="Z55" s="67"/>
      <c r="AB55" s="10"/>
      <c r="AC55" s="10"/>
      <c r="AD55" s="10"/>
      <c r="AE55" s="43"/>
      <c r="AF55" s="103"/>
      <c r="AH55" s="10"/>
      <c r="AI55" s="10"/>
      <c r="AK55" s="43"/>
      <c r="AL55" s="103"/>
      <c r="AO55" s="10"/>
      <c r="AQ55" s="43"/>
      <c r="AR55" s="103"/>
      <c r="AU55" s="10"/>
      <c r="AW55" s="43"/>
      <c r="AX55" s="103"/>
      <c r="BC55" s="43"/>
      <c r="BD55" s="103"/>
      <c r="BI55" s="43"/>
      <c r="BJ55" s="103"/>
      <c r="BO55" s="43"/>
      <c r="BP55" s="103"/>
      <c r="BU55" s="43"/>
      <c r="BV55" s="103"/>
      <c r="CA55" s="43"/>
      <c r="CB55" s="103"/>
      <c r="CG55" s="43"/>
      <c r="CH55" s="103"/>
      <c r="CM55" s="43"/>
      <c r="CN55" s="103"/>
      <c r="CS55" s="43"/>
      <c r="CT55" s="43"/>
      <c r="CU55" s="43"/>
      <c r="CV55" s="43"/>
      <c r="CY55" s="43"/>
      <c r="CZ55" s="43"/>
    </row>
    <row r="56" spans="1:104" ht="12.75" customHeight="1" outlineLevel="1" collapsed="1" x14ac:dyDescent="0.2">
      <c r="A56" s="15" t="s">
        <v>124</v>
      </c>
      <c r="B56" s="103"/>
      <c r="C56" s="179"/>
      <c r="D56" s="179"/>
      <c r="E56" s="179"/>
      <c r="F56" s="179"/>
      <c r="G56" s="179"/>
      <c r="H56" s="103"/>
      <c r="I56" s="179"/>
      <c r="J56" s="179"/>
      <c r="K56" s="179"/>
      <c r="L56" s="179"/>
      <c r="M56" s="179"/>
      <c r="N56" s="103"/>
      <c r="O56" s="179"/>
      <c r="P56" s="179"/>
      <c r="Q56" s="179"/>
      <c r="R56" s="179"/>
      <c r="S56" s="179"/>
      <c r="T56" s="103"/>
      <c r="U56" s="179"/>
      <c r="V56" s="179"/>
      <c r="W56" s="179"/>
      <c r="X56" s="179"/>
      <c r="Y56" s="179"/>
      <c r="Z56" s="103"/>
      <c r="AA56" s="179"/>
      <c r="AB56" s="179"/>
      <c r="AC56" s="179"/>
      <c r="AD56" s="179"/>
      <c r="AE56" s="179"/>
      <c r="AF56" s="103"/>
      <c r="AG56" s="179"/>
      <c r="AH56" s="179"/>
      <c r="AI56" s="179"/>
      <c r="AJ56" s="179"/>
      <c r="AK56" s="179"/>
      <c r="AL56" s="103"/>
      <c r="AM56" s="179"/>
      <c r="AN56" s="179"/>
      <c r="AO56" s="179"/>
      <c r="AP56" s="179"/>
      <c r="AQ56" s="179"/>
      <c r="AR56" s="103"/>
      <c r="AS56" s="179"/>
      <c r="AT56" s="179"/>
      <c r="AU56" s="179"/>
      <c r="AV56" s="179"/>
      <c r="AW56" s="179"/>
      <c r="AX56" s="103"/>
      <c r="AY56" s="179"/>
      <c r="AZ56" s="179"/>
      <c r="BA56" s="179"/>
      <c r="BB56" s="179"/>
      <c r="BC56" s="179"/>
      <c r="BD56" s="103"/>
      <c r="BE56" s="179"/>
      <c r="BF56" s="179"/>
      <c r="BG56" s="179"/>
      <c r="BH56" s="179"/>
      <c r="BI56" s="179"/>
      <c r="BJ56" s="103"/>
      <c r="BK56" s="179"/>
      <c r="BL56" s="179"/>
      <c r="BM56" s="179"/>
      <c r="BN56" s="179"/>
      <c r="BO56" s="179"/>
      <c r="BP56" s="103"/>
      <c r="BQ56" s="179"/>
      <c r="BR56" s="179"/>
      <c r="BS56" s="179"/>
      <c r="BT56" s="179"/>
      <c r="BU56" s="179"/>
      <c r="BV56" s="103"/>
      <c r="BW56" s="179"/>
      <c r="BX56" s="179"/>
      <c r="BY56" s="179"/>
      <c r="BZ56" s="179"/>
      <c r="CA56" s="179"/>
      <c r="CB56" s="103"/>
      <c r="CC56" s="179"/>
      <c r="CD56" s="179"/>
      <c r="CE56" s="179"/>
      <c r="CF56" s="179"/>
      <c r="CG56" s="179"/>
      <c r="CH56" s="103"/>
      <c r="CI56" s="179"/>
      <c r="CJ56" s="179"/>
      <c r="CK56" s="179"/>
      <c r="CL56" s="179"/>
      <c r="CM56" s="179"/>
      <c r="CN56" s="103"/>
      <c r="CO56" s="179"/>
      <c r="CP56" s="179"/>
      <c r="CQ56" s="179"/>
      <c r="CR56" s="179"/>
      <c r="CS56" s="179"/>
      <c r="CT56" s="179"/>
      <c r="CU56" s="179"/>
      <c r="CV56" s="179"/>
      <c r="CW56" s="75"/>
      <c r="CX56" s="75"/>
      <c r="CY56" s="75"/>
      <c r="CZ56" s="75"/>
    </row>
    <row r="57" spans="1:104" ht="12.75" customHeight="1" outlineLevel="1" x14ac:dyDescent="0.2">
      <c r="A57" s="233" t="s">
        <v>125</v>
      </c>
      <c r="B57" s="104"/>
      <c r="C57" s="130"/>
      <c r="D57" s="130">
        <f>+'P&amp;L'!D38/(AVERAGE(C44:D44)*('P&amp;L'!D7/'P&amp;L'!$G$7))</f>
        <v>-0.14631143686668524</v>
      </c>
      <c r="E57" s="130">
        <f>+'P&amp;L'!E38/(AVERAGE(D44:E44)*('P&amp;L'!E7/'P&amp;L'!$G$7))</f>
        <v>-8.3513871812752383E-2</v>
      </c>
      <c r="F57" s="130">
        <f>+'P&amp;L'!F38/(AVERAGE(E44:F44)*('P&amp;L'!F7/'P&amp;L'!$G$7))</f>
        <v>-9.1872292333772754E-2</v>
      </c>
      <c r="G57" s="130"/>
      <c r="H57" s="104"/>
      <c r="I57" s="130">
        <f>+'P&amp;L'!I38/(AVERAGE('Bal Sht'!G44,I44)*('P&amp;L'!I7/'P&amp;L'!$M$7))</f>
        <v>-9.3304780880684182E-2</v>
      </c>
      <c r="J57" s="130">
        <f>+'P&amp;L'!J38/(AVERAGE('Bal Sht'!I44,J44)*('P&amp;L'!J7/'P&amp;L'!$M$7))</f>
        <v>-5.8325755845023697E-2</v>
      </c>
      <c r="K57" s="130">
        <f>+'P&amp;L'!K38/(AVERAGE('Bal Sht'!J44,K44)*('P&amp;L'!K7/'P&amp;L'!$M$7))</f>
        <v>-5.3007212150253009E-2</v>
      </c>
      <c r="L57" s="130">
        <f>+'P&amp;L'!L38/(AVERAGE('Bal Sht'!K44,L44)*('P&amp;L'!L7/'P&amp;L'!$M$7))</f>
        <v>0.22196106200363197</v>
      </c>
      <c r="M57" s="130">
        <f>+'P&amp;L'!M38/(AVERAGE(G44,I44:L44))</f>
        <v>1.0485879825244512E-2</v>
      </c>
      <c r="N57" s="104"/>
      <c r="O57" s="130">
        <f>+'P&amp;L'!O38/(AVERAGE('Bal Sht'!M44,O44)*('P&amp;L'!O7/'P&amp;L'!$S$7))</f>
        <v>0.2156290769945608</v>
      </c>
      <c r="P57" s="130">
        <f>+'P&amp;L'!P38/(AVERAGE('Bal Sht'!O44,P44)*('P&amp;L'!P7/'P&amp;L'!$S$7))</f>
        <v>0.29257416306343353</v>
      </c>
      <c r="Q57" s="130">
        <f>+'P&amp;L'!Q38/(AVERAGE('Bal Sht'!P44,Q44)*('P&amp;L'!Q7/'P&amp;L'!$S$7))</f>
        <v>0.28123174970203041</v>
      </c>
      <c r="R57" s="130">
        <f>+'P&amp;L'!R38/(AVERAGE('Bal Sht'!Q44,R44)*('P&amp;L'!R7/'P&amp;L'!$S$7))</f>
        <v>0.28917526303952212</v>
      </c>
      <c r="S57" s="130">
        <f>+'P&amp;L'!S38/(AVERAGE(M44,O44:R44))</f>
        <v>0.27914140468435716</v>
      </c>
      <c r="T57" s="104"/>
      <c r="U57" s="130">
        <f>+'P&amp;L'!U38/(AVERAGE('Bal Sht'!S44,U44)*('P&amp;L'!U7/'P&amp;L'!$Y$7))</f>
        <v>0.26621405312574797</v>
      </c>
      <c r="V57" s="130">
        <f>+'P&amp;L'!V38/(AVERAGE('Bal Sht'!U44,V44)*('P&amp;L'!V7/'P&amp;L'!$Y$7))</f>
        <v>0.28326778640762551</v>
      </c>
      <c r="W57" s="130">
        <f>+'P&amp;L'!W38/(AVERAGE('Bal Sht'!V44,W44)*('P&amp;L'!W7/'P&amp;L'!$Y$7))</f>
        <v>0.24864895153148198</v>
      </c>
      <c r="X57" s="130">
        <f>+'P&amp;L'!X38/(AVERAGE('Bal Sht'!W44,X44)*('P&amp;L'!X7/'P&amp;L'!$Y$7))</f>
        <v>0.37973873117842483</v>
      </c>
      <c r="Y57" s="130">
        <f>+'P&amp;L'!Y38/(AVERAGE(S44,U44:X44))</f>
        <v>0.29867924794713552</v>
      </c>
      <c r="Z57" s="104"/>
      <c r="AA57" s="130">
        <f>+'P&amp;L'!AA38/(AVERAGE('Bal Sht'!Y44,AA44)*('P&amp;L'!AA7/'P&amp;L'!$AE$7))</f>
        <v>0.15844369450193913</v>
      </c>
      <c r="AB57" s="130">
        <f>+'P&amp;L'!AB38/(AVERAGE('Bal Sht'!AA44,AB44)*('P&amp;L'!AB7/'P&amp;L'!$Y$7))</f>
        <v>0.16953567537436154</v>
      </c>
      <c r="AC57" s="130">
        <f>+'P&amp;L'!AC38/(AVERAGE('Bal Sht'!AB44,AC44)*('P&amp;L'!AC7/'P&amp;L'!$Y$7))</f>
        <v>0.20876251490652709</v>
      </c>
      <c r="AD57" s="130">
        <f>+'P&amp;L'!AD38/(AVERAGE('Bal Sht'!AC44,AD44)*('P&amp;L'!AD7/'P&amp;L'!$Y$7))</f>
        <v>0.19143179547009276</v>
      </c>
      <c r="AE57" s="130">
        <f>+'P&amp;L'!AE38/(AVERAGE(Y44,AA44:AD44))</f>
        <v>0.18106503131017307</v>
      </c>
      <c r="AF57" s="104"/>
      <c r="AG57" s="130">
        <f>+'P&amp;L'!AG38/(AVERAGE('Bal Sht'!AE44,AG44)*('P&amp;L'!AG7/'P&amp;L'!$AE$7))</f>
        <v>0.17381527501265692</v>
      </c>
      <c r="AH57" s="130">
        <f>+'P&amp;L'!AH38/(AVERAGE('Bal Sht'!AG44,AH44)*('P&amp;L'!AH7/'P&amp;L'!$Y$7))</f>
        <v>0.18776592646309054</v>
      </c>
      <c r="AI57" s="130">
        <f>+'P&amp;L'!AI38/(AVERAGE('Bal Sht'!AH44,AI44)*('P&amp;L'!AI7/'P&amp;L'!$Y$7))</f>
        <v>0.18721743851121742</v>
      </c>
      <c r="AJ57" s="130">
        <f>+'P&amp;L'!AJ38/(AVERAGE('Bal Sht'!AI44,AJ44)*('P&amp;L'!AJ7/'P&amp;L'!$AK$7))</f>
        <v>0.18201527897743228</v>
      </c>
      <c r="AK57" s="130">
        <f>+'P&amp;L'!AK38/(AVERAGE(AE44,AG44:AJ44))</f>
        <v>0.18382980871707774</v>
      </c>
      <c r="AL57" s="104"/>
      <c r="AM57" s="130">
        <f>+'P&amp;L'!AM38/(AVERAGE('Bal Sht'!AK44,AM44)*('P&amp;L'!AM7/'P&amp;L'!$AQ$7))</f>
        <v>0.18810378374251982</v>
      </c>
      <c r="AN57" s="130">
        <f>+'P&amp;L'!AN38/(AVERAGE('Bal Sht'!AM44,AN44)*('P&amp;L'!AN7/'P&amp;L'!$AQ$7))</f>
        <v>0.214229658984224</v>
      </c>
      <c r="AO57" s="130">
        <f>+'P&amp;L'!AO38/(AVERAGE('Bal Sht'!AN44,AO44)*('P&amp;L'!AO7/'P&amp;L'!$Y$7))</f>
        <v>0.23278701673998306</v>
      </c>
      <c r="AP57" s="130">
        <f>+'P&amp;L'!AP38/(AVERAGE('Bal Sht'!AO44,AP44)*('P&amp;L'!AP7/'P&amp;L'!$AK$7))</f>
        <v>0.25441802010972375</v>
      </c>
      <c r="AQ57" s="130">
        <f>+'P&amp;L'!AQ38/(AVERAGE(AK44,AM44:AP44))</f>
        <v>0.22142885054119943</v>
      </c>
      <c r="AR57" s="104"/>
      <c r="AS57" s="130">
        <f>+'P&amp;L'!AS38/(AVERAGE('Bal Sht'!AQ44,AS44)*('P&amp;L'!AS7/'P&amp;L'!$AQ$7))</f>
        <v>0.3093386035751588</v>
      </c>
      <c r="AT57" s="130">
        <f>+'P&amp;L'!AT38/(AVERAGE('Bal Sht'!AS44,AT44)*('P&amp;L'!AT7/'P&amp;L'!$AQ$7))</f>
        <v>0.29532352272046325</v>
      </c>
      <c r="AU57" s="130">
        <f>+'P&amp;L'!AU38/(AVERAGE('Bal Sht'!AT44,AU44)*('P&amp;L'!AU7/'P&amp;L'!$AQ$7))</f>
        <v>0.26802036281707825</v>
      </c>
      <c r="AV57" s="130">
        <f>+'P&amp;L'!AV38/(AVERAGE('Bal Sht'!AU44,AV44)*('P&amp;L'!AV7/'P&amp;L'!$AK$7))</f>
        <v>0.2072215592129002</v>
      </c>
      <c r="AW57" s="130">
        <f>+'P&amp;L'!AW38/(AVERAGE(AQ44,AS44:AV44))</f>
        <v>0.26815733933395675</v>
      </c>
      <c r="AX57" s="104"/>
      <c r="AY57" s="130">
        <f>+'P&amp;L'!AY38/(AVERAGE('Bal Sht'!AW44,AY44)*('P&amp;L'!AY7/'P&amp;L'!$AQ$7))</f>
        <v>0.10689286656245323</v>
      </c>
      <c r="AZ57" s="130">
        <f>+'P&amp;L'!AZ38/(AVERAGE('Bal Sht'!AY44,AZ44)*('P&amp;L'!AZ7/'P&amp;L'!$AQ$7))</f>
        <v>0.16867727086718692</v>
      </c>
      <c r="BA57" s="130">
        <f>+'P&amp;L'!BA38/(AVERAGE('Bal Sht'!AZ44,BA44)*('P&amp;L'!BA7/'P&amp;L'!$AQ$7))</f>
        <v>0.17411226751066639</v>
      </c>
      <c r="BB57" s="130">
        <f>+'P&amp;L'!BB38/(AVERAGE('Bal Sht'!BA44,BB44)*('P&amp;L'!BB7/'P&amp;L'!$AQ$7))</f>
        <v>0.1770350314667693</v>
      </c>
      <c r="BC57" s="130">
        <f>+'P&amp;L'!BC38/(AVERAGE(AW44,AY44:BB44))</f>
        <v>0.15603471323261142</v>
      </c>
      <c r="BD57" s="104"/>
      <c r="BE57" s="130">
        <f>+'P&amp;L'!BE38/(AVERAGE('Bal Sht'!BC44,BE44)*('P&amp;L'!BE7/'P&amp;L'!$AQ$7))</f>
        <v>0.17437672501677851</v>
      </c>
      <c r="BF57" s="130">
        <f>+'P&amp;L'!BF38/(AVERAGE('Bal Sht'!BE44,BF44)*('P&amp;L'!BF7/'P&amp;L'!$AQ$7))</f>
        <v>0.18226880892141592</v>
      </c>
      <c r="BG57" s="130">
        <f>+'P&amp;L'!BG38/(AVERAGE('Bal Sht'!BF44,BG44)*('P&amp;L'!BG7/'P&amp;L'!$AQ$7))</f>
        <v>0.15694826630960945</v>
      </c>
      <c r="BH57" s="130">
        <f>+'P&amp;L'!BH38/(AVERAGE('Bal Sht'!BG44,BH44)*('P&amp;L'!BH7/'P&amp;L'!$AQ$7))</f>
        <v>0.13948509502747808</v>
      </c>
      <c r="BI57" s="130">
        <f>+'P&amp;L'!BI38/(AVERAGE(BC44,BE44:BH44))</f>
        <v>0.1641397590911621</v>
      </c>
      <c r="BJ57" s="104"/>
      <c r="BK57" s="130">
        <f>+'P&amp;L'!BK38/(AVERAGE('Bal Sht'!BI44,BK44)*('P&amp;L'!BK7/'P&amp;L'!$AQ$7))</f>
        <v>8.5385948975327766E-2</v>
      </c>
      <c r="BL57" s="130">
        <f>+'P&amp;L'!BL38/(AVERAGE('Bal Sht'!BK44,BL44)*('P&amp;L'!BL7/'P&amp;L'!$AQ$7))</f>
        <v>9.4857152444816434E-2</v>
      </c>
      <c r="BM57" s="130">
        <f>+'P&amp;L'!BM38/(AVERAGE('Bal Sht'!BL44,BM44)*('P&amp;L'!BM7/'P&amp;L'!$AQ$7))</f>
        <v>9.9217444271269814E-2</v>
      </c>
      <c r="BN57" s="130">
        <f>+'P&amp;L'!BN38/(AVERAGE('Bal Sht'!BM44,BN44)*('P&amp;L'!BN7/'P&amp;L'!$AQ$7))</f>
        <v>0.10810213129225356</v>
      </c>
      <c r="BO57" s="130">
        <f>+'P&amp;L'!BO38/(AVERAGE(BI44,BK44:BN44))</f>
        <v>9.6513203285530313E-2</v>
      </c>
      <c r="BP57" s="104"/>
      <c r="BQ57" s="130">
        <f>+'P&amp;L'!BQ38/(AVERAGE('Bal Sht'!BO44,BQ44)*('P&amp;L'!BQ7/'P&amp;L'!$AQ$7))</f>
        <v>8.7244027350581968E-2</v>
      </c>
      <c r="BR57" s="130">
        <f>+'P&amp;L'!BR38/(AVERAGE('Bal Sht'!BQ44,BR44)*('P&amp;L'!BR7/'P&amp;L'!$AQ$7))</f>
        <v>9.903089126251656E-2</v>
      </c>
      <c r="BS57" s="130">
        <f>+'P&amp;L'!BS38/(AVERAGE('Bal Sht'!BR44,BS44)*('P&amp;L'!BS7/'P&amp;L'!$AQ$7))</f>
        <v>8.7799502434154353E-2</v>
      </c>
      <c r="BT57" s="130">
        <f>+'P&amp;L'!BT38/(AVERAGE('Bal Sht'!BS44,BT44)*('P&amp;L'!BT7/'P&amp;L'!$AQ$7))</f>
        <v>9.022201374509746E-2</v>
      </c>
      <c r="BU57" s="130">
        <f>+'P&amp;L'!BU38/(AVERAGE(BO44,BQ44:BT44))</f>
        <v>9.1512712396394136E-2</v>
      </c>
      <c r="BV57" s="104"/>
      <c r="BW57" s="130">
        <f>+'P&amp;L'!BW38/(AVERAGE('Bal Sht'!BU44,BW44)*('P&amp;L'!BW7/'P&amp;L'!$AQ$7))</f>
        <v>8.4760155310429894E-2</v>
      </c>
      <c r="BX57" s="130">
        <f>+'P&amp;L'!BX38/(AVERAGE('Bal Sht'!BW44,BX44)*('P&amp;L'!BX7/'P&amp;L'!$AQ$7))</f>
        <v>9.5755791704412938E-2</v>
      </c>
      <c r="BY57" s="130">
        <f>+'P&amp;L'!BY38/(AVERAGE('Bal Sht'!BX44,BY44)*('P&amp;L'!BY7/'P&amp;L'!$AQ$7))</f>
        <v>9.1674132089288499E-2</v>
      </c>
      <c r="BZ57" s="130">
        <f>+'P&amp;L'!BZ38/(AVERAGE('Bal Sht'!BY44,BZ44)*('P&amp;L'!BZ7/'P&amp;L'!$AQ$7))</f>
        <v>9.6927768108294607E-2</v>
      </c>
      <c r="CA57" s="130">
        <f>+'P&amp;L'!CA38/(AVERAGE(BU44,BW44:BZ44))</f>
        <v>9.2426699634239468E-2</v>
      </c>
      <c r="CB57" s="104"/>
      <c r="CC57" s="130">
        <f>+'P&amp;L'!CC38/(AVERAGE('Bal Sht'!CA44,CC44)*('P&amp;L'!CC7/'P&amp;L'!$AQ$7))</f>
        <v>8.0930451798193692E-2</v>
      </c>
      <c r="CD57" s="130">
        <f>+'P&amp;L'!CD38/(AVERAGE('Bal Sht'!CC44,CD44)*('P&amp;L'!CD7/'P&amp;L'!$AQ$7))</f>
        <v>9.1616536094889497E-2</v>
      </c>
      <c r="CE57" s="130">
        <f>+'P&amp;L'!CE38/(AVERAGE('Bal Sht'!CD44,CE44)*('P&amp;L'!CE7/'P&amp;L'!$AQ$7))</f>
        <v>8.7090060272919156E-2</v>
      </c>
      <c r="CF57" s="130">
        <f>+'P&amp;L'!CF38/(AVERAGE('Bal Sht'!CE44,CF44)*('P&amp;L'!CF7/'P&amp;L'!$AQ$7))</f>
        <v>9.1481327562918616E-2</v>
      </c>
      <c r="CG57" s="130">
        <f>+'P&amp;L'!CG38/(AVERAGE(CA44,CC44:CF44))</f>
        <v>8.7899353683798351E-2</v>
      </c>
      <c r="CH57" s="104"/>
      <c r="CI57" s="130">
        <f>+'P&amp;L'!CI38/(AVERAGE('Bal Sht'!CG44,CI44)*('P&amp;L'!CI7/'P&amp;L'!$AQ$7))</f>
        <v>7.3858734197173745E-2</v>
      </c>
      <c r="CJ57" s="130">
        <f>+'P&amp;L'!CJ38/(AVERAGE('Bal Sht'!CI44,CJ44)*('P&amp;L'!CJ7/'P&amp;L'!$AQ$7))</f>
        <v>8.2992904740022008E-2</v>
      </c>
      <c r="CK57" s="130">
        <f>+'P&amp;L'!CK38/(AVERAGE('Bal Sht'!CJ44,CK44)*('P&amp;L'!CK7/'P&amp;L'!$AQ$7))</f>
        <v>7.7869748402625838E-2</v>
      </c>
      <c r="CL57" s="130">
        <f>+'P&amp;L'!CL38/(AVERAGE('Bal Sht'!CK44,CL44)*('P&amp;L'!CL7/'P&amp;L'!$AQ$7))</f>
        <v>8.1247605113926549E-2</v>
      </c>
      <c r="CM57" s="130">
        <f>+'P&amp;L'!CM38/(AVERAGE(CG44,CI44:CL44))</f>
        <v>7.9075761763111693E-2</v>
      </c>
      <c r="CN57" s="104"/>
      <c r="CO57" s="130">
        <f>+'P&amp;L'!CO38/(AVERAGE('Bal Sht'!CM44,CO44)*('P&amp;L'!CO7/'P&amp;L'!$AQ$7))</f>
        <v>7.0233162264056598E-2</v>
      </c>
      <c r="CP57" s="130">
        <f>+'P&amp;L'!CP38/(AVERAGE('Bal Sht'!CO44,CP44)*('P&amp;L'!CP7/'P&amp;L'!$AQ$7))</f>
        <v>7.9618248829964822E-2</v>
      </c>
      <c r="CQ57" s="130">
        <f>+'P&amp;L'!CQ38/(AVERAGE('Bal Sht'!CP44,CQ44)*('P&amp;L'!CQ7/'P&amp;L'!$AQ$7))</f>
        <v>7.4438249741026738E-2</v>
      </c>
      <c r="CR57" s="130">
        <f>+'P&amp;L'!CR38/(AVERAGE('Bal Sht'!CQ44,CR44)*('P&amp;L'!CR7/'P&amp;L'!$AQ$7))</f>
        <v>7.7787308255344648E-2</v>
      </c>
      <c r="CS57" s="130">
        <f>+'P&amp;L'!CS38/(AVERAGE(CM44,CO44:CR44))</f>
        <v>7.5599977568040197E-2</v>
      </c>
      <c r="CT57" s="130"/>
      <c r="CU57" s="130"/>
      <c r="CV57" s="130"/>
      <c r="CW57" s="75"/>
      <c r="CX57" s="75"/>
      <c r="CY57" s="75"/>
      <c r="CZ57" s="75"/>
    </row>
    <row r="58" spans="1:104" ht="12.75" customHeight="1" outlineLevel="1" x14ac:dyDescent="0.2">
      <c r="A58" s="234" t="s">
        <v>126</v>
      </c>
      <c r="B58" s="104"/>
      <c r="C58" s="130"/>
      <c r="D58" s="130">
        <f>+'P&amp;L'!D38/(AVERAGE(C24:D24)*('P&amp;L'!D7/'P&amp;L'!$G$7))</f>
        <v>-0.13254255154794101</v>
      </c>
      <c r="E58" s="130">
        <f>+'P&amp;L'!E38/(AVERAGE(D24:E24)*('P&amp;L'!E7/'P&amp;L'!$G$7))</f>
        <v>-7.6903064086776357E-2</v>
      </c>
      <c r="F58" s="130">
        <f>+'P&amp;L'!F38/(AVERAGE(E24:F24)*('P&amp;L'!F7/'P&amp;L'!$G$7))</f>
        <v>-8.4631870612141322E-2</v>
      </c>
      <c r="G58" s="130"/>
      <c r="H58" s="104"/>
      <c r="I58" s="130">
        <f>+'P&amp;L'!I38/(AVERAGE('Bal Sht'!G24,I24)*('P&amp;L'!I7/'P&amp;L'!$M$7))</f>
        <v>-8.4982464369956795E-2</v>
      </c>
      <c r="J58" s="130">
        <f>+'P&amp;L'!J38/(AVERAGE('Bal Sht'!I24,J24)*('P&amp;L'!J7/'P&amp;L'!$M$7))</f>
        <v>-5.3206025977889024E-2</v>
      </c>
      <c r="K58" s="130">
        <f>+'P&amp;L'!K38/(AVERAGE('Bal Sht'!J24,K24)*('P&amp;L'!K7/'P&amp;L'!$M$7))</f>
        <v>-4.8047000818454949E-2</v>
      </c>
      <c r="L58" s="130">
        <f>+'P&amp;L'!L38/(AVERAGE('Bal Sht'!K24,L24)*('P&amp;L'!L7/'P&amp;L'!$M$7))</f>
        <v>0.19420081479232387</v>
      </c>
      <c r="M58" s="130">
        <f>+'P&amp;L'!M38/(AVERAGE(G24,I24:L24))</f>
        <v>9.3819478178878892E-3</v>
      </c>
      <c r="N58" s="104"/>
      <c r="O58" s="130">
        <f>+'P&amp;L'!O38/(AVERAGE('Bal Sht'!M24,O24)*('P&amp;L'!O7/'P&amp;L'!$S$7))</f>
        <v>0.1888742658663779</v>
      </c>
      <c r="P58" s="130">
        <f>+'P&amp;L'!P38/(AVERAGE('Bal Sht'!O24,P24)*('P&amp;L'!P7/'P&amp;L'!$S$7))</f>
        <v>0.26397204911318384</v>
      </c>
      <c r="Q58" s="130">
        <f>+'P&amp;L'!Q38/(AVERAGE('Bal Sht'!P24,Q24)*('P&amp;L'!Q7/'P&amp;L'!$S$7))</f>
        <v>0.25995700901165492</v>
      </c>
      <c r="R58" s="130">
        <f>+'P&amp;L'!R38/(AVERAGE('Bal Sht'!Q24,R24)*('P&amp;L'!R7/'P&amp;L'!$S$7))</f>
        <v>0.27090335029658802</v>
      </c>
      <c r="S58" s="130">
        <f>+'P&amp;L'!S38/(AVERAGE(M24,O24:R24))</f>
        <v>0.2531703428708395</v>
      </c>
      <c r="T58" s="104"/>
      <c r="U58" s="130">
        <f>+'P&amp;L'!U38/(AVERAGE('Bal Sht'!S24,U24)*('P&amp;L'!U7/'P&amp;L'!$Y$7))</f>
        <v>0.25147983031420895</v>
      </c>
      <c r="V58" s="130">
        <f>+'P&amp;L'!V38/(AVERAGE('Bal Sht'!U24,V24)*('P&amp;L'!V7/'P&amp;L'!$Y$7))</f>
        <v>0.27129685008100213</v>
      </c>
      <c r="W58" s="130">
        <f>+'P&amp;L'!W38/(AVERAGE('Bal Sht'!V24,W24)*('P&amp;L'!W7/'P&amp;L'!$Y$7))</f>
        <v>0.238759344507397</v>
      </c>
      <c r="X58" s="130">
        <f>+'P&amp;L'!X38/(AVERAGE('Bal Sht'!W24,X24)*('P&amp;L'!X7/'P&amp;L'!$Y$7))</f>
        <v>0.36097240318093643</v>
      </c>
      <c r="Y58" s="130">
        <f>+'P&amp;L'!Y38/(AVERAGE(S24,U24:X24))</f>
        <v>0.2837277251110672</v>
      </c>
      <c r="Z58" s="104"/>
      <c r="AA58" s="130">
        <f>+'P&amp;L'!AA38/(AVERAGE('Bal Sht'!Y24,AA24)*('P&amp;L'!AA7/'P&amp;L'!$AE$7))</f>
        <v>0.14844837998419735</v>
      </c>
      <c r="AB58" s="130">
        <f>+'P&amp;L'!AB38/(AVERAGE('Bal Sht'!AA24,AB24)*('P&amp;L'!AB7/'P&amp;L'!$Y$7))</f>
        <v>0.1593674845111645</v>
      </c>
      <c r="AC58" s="130">
        <f>+'P&amp;L'!AC38/(AVERAGE('Bal Sht'!AB24,AC24)*('P&amp;L'!AC7/'P&amp;L'!$Y$7))</f>
        <v>0.1969125123660444</v>
      </c>
      <c r="AD58" s="130">
        <f>+'P&amp;L'!AD38/(AVERAGE('Bal Sht'!AC24,AD24)*('P&amp;L'!AD7/'P&amp;L'!$Y$7))</f>
        <v>0.17883663882703354</v>
      </c>
      <c r="AE58" s="130">
        <f>+'P&amp;L'!AE38/(AVERAGE(Y24,AA24:AD24))</f>
        <v>0.16975092746944542</v>
      </c>
      <c r="AF58" s="104"/>
      <c r="AG58" s="130">
        <f>+'P&amp;L'!AG38/(AVERAGE('Bal Sht'!AE24,AG24)*('P&amp;L'!AG7/'P&amp;L'!$AE$7))</f>
        <v>0.16184077575583525</v>
      </c>
      <c r="AH58" s="130">
        <f>+'P&amp;L'!AH38/(AVERAGE('Bal Sht'!AG24,AH24)*('P&amp;L'!AH7/'P&amp;L'!$Y$7))</f>
        <v>0.17527231506780458</v>
      </c>
      <c r="AI58" s="130">
        <f>+'P&amp;L'!AI38/(AVERAGE('Bal Sht'!AH24,AI24)*('P&amp;L'!AI7/'P&amp;L'!$Y$7))</f>
        <v>0.17461885947330005</v>
      </c>
      <c r="AJ58" s="130">
        <f>+'P&amp;L'!AJ38/(AVERAGE('Bal Sht'!AI24,AJ24)*('P&amp;L'!AJ7/'P&amp;L'!$AK$7))</f>
        <v>0.16865310231969988</v>
      </c>
      <c r="AK58" s="130">
        <f>+'P&amp;L'!AK38/(AVERAGE(AE24,AG24:AJ24))</f>
        <v>0.17087291130106641</v>
      </c>
      <c r="AL58" s="104"/>
      <c r="AM58" s="130">
        <f>+'P&amp;L'!AM38/(AVERAGE('Bal Sht'!AK24,AM24)*('P&amp;L'!AM7/'P&amp;L'!$AQ$7))</f>
        <v>0.1715744385401495</v>
      </c>
      <c r="AN58" s="130">
        <f>+'P&amp;L'!AN38/(AVERAGE('Bal Sht'!AM24,AN24)*('P&amp;L'!AN7/'P&amp;L'!$AQ$7))</f>
        <v>0.19566559249656051</v>
      </c>
      <c r="AO58" s="130">
        <f>+'P&amp;L'!AO38/(AVERAGE('Bal Sht'!AN24,AO24)*('P&amp;L'!AO7/'P&amp;L'!$Y$7))</f>
        <v>0.21352317485507605</v>
      </c>
      <c r="AP58" s="130">
        <f>+'P&amp;L'!AP38/(AVERAGE('Bal Sht'!AO24,AP24)*('P&amp;L'!AP7/'P&amp;L'!$AK$7))</f>
        <v>0.23129307755516859</v>
      </c>
      <c r="AQ58" s="130">
        <f>+'P&amp;L'!AQ38/(AVERAGE(AK24,AM24:AP24))</f>
        <v>0.20214219995055283</v>
      </c>
      <c r="AR58" s="104"/>
      <c r="AS58" s="130">
        <f>+'P&amp;L'!AS38/(AVERAGE('Bal Sht'!AQ24,AS24)*('P&amp;L'!AS7/'P&amp;L'!$AQ$7))</f>
        <v>0.27683118294236081</v>
      </c>
      <c r="AT58" s="130">
        <f>+'P&amp;L'!AT38/(AVERAGE('Bal Sht'!AS24,AT24)*('P&amp;L'!AT7/'P&amp;L'!$AQ$7))</f>
        <v>0.2622852931975162</v>
      </c>
      <c r="AU58" s="130">
        <f>+'P&amp;L'!AU38/(AVERAGE('Bal Sht'!AT24,AU24)*('P&amp;L'!AU7/'P&amp;L'!$AQ$7))</f>
        <v>0.23822254656266575</v>
      </c>
      <c r="AV58" s="130">
        <f>+'P&amp;L'!AV38/(AVERAGE('Bal Sht'!AU24,AV24)*('P&amp;L'!AV7/'P&amp;L'!$AK$7))</f>
        <v>0.18208067112129955</v>
      </c>
      <c r="AW58" s="130">
        <f>+'P&amp;L'!AW38/(AVERAGE(AQ24,AS24:AV24))</f>
        <v>0.2381039071916432</v>
      </c>
      <c r="AX58" s="104"/>
      <c r="AY58" s="130">
        <f>+'P&amp;L'!AY38/(AVERAGE('Bal Sht'!AW24,AY24)*('P&amp;L'!AY7/'P&amp;L'!$AQ$7))</f>
        <v>9.3690371379038601E-2</v>
      </c>
      <c r="AZ58" s="130">
        <f>+'P&amp;L'!AZ38/(AVERAGE('Bal Sht'!AY24,AZ24)*('P&amp;L'!AZ7/'P&amp;L'!$AQ$7))</f>
        <v>0.14911821005756248</v>
      </c>
      <c r="BA58" s="130">
        <f>+'P&amp;L'!BA38/(AVERAGE('Bal Sht'!AZ24,BA24)*('P&amp;L'!BA7/'P&amp;L'!$AQ$7))</f>
        <v>0.15205251205374215</v>
      </c>
      <c r="BB58" s="130">
        <f>+'P&amp;L'!BB38/(AVERAGE('Bal Sht'!BA24,BB24)*('P&amp;L'!BB7/'P&amp;L'!$AQ$7))</f>
        <v>0.15248920288873002</v>
      </c>
      <c r="BC58" s="130">
        <f>+'P&amp;L'!BC38/(AVERAGE(AW24,AY24:BB24))</f>
        <v>0.13619375200631725</v>
      </c>
      <c r="BD58" s="104"/>
      <c r="BE58" s="130">
        <f>+'P&amp;L'!BE38/(AVERAGE('Bal Sht'!BC24,BE24)*('P&amp;L'!BE7/'P&amp;L'!$AQ$7))</f>
        <v>0.15147409113311169</v>
      </c>
      <c r="BF58" s="130">
        <f>+'P&amp;L'!BF38/(AVERAGE('Bal Sht'!BE24,BF24)*('P&amp;L'!BF7/'P&amp;L'!$AQ$7))</f>
        <v>0.16020359108128793</v>
      </c>
      <c r="BG58" s="130">
        <f>+'P&amp;L'!BG38/(AVERAGE('Bal Sht'!BF24,BG24)*('P&amp;L'!BG7/'P&amp;L'!$AQ$7))</f>
        <v>0.13900642472734537</v>
      </c>
      <c r="BH58" s="130">
        <f>+'P&amp;L'!BH38/(AVERAGE('Bal Sht'!BG24,BH24)*('P&amp;L'!BH7/'P&amp;L'!$AQ$7))</f>
        <v>0.12110723381953452</v>
      </c>
      <c r="BI58" s="130">
        <f>+'P&amp;L'!BI38/(AVERAGE(BC24,BE24:BH24))</f>
        <v>0.14308753296868976</v>
      </c>
      <c r="BJ58" s="104"/>
      <c r="BK58" s="130">
        <f>+'P&amp;L'!BK38/(AVERAGE('Bal Sht'!BI24,BK24)*('P&amp;L'!BK7/'P&amp;L'!$AQ$7))</f>
        <v>5.887399679743479E-2</v>
      </c>
      <c r="BL58" s="130">
        <f>+'P&amp;L'!BL38/(AVERAGE('Bal Sht'!BK24,BL24)*('P&amp;L'!BL7/'P&amp;L'!$AQ$7))</f>
        <v>5.4672281032191024E-2</v>
      </c>
      <c r="BM58" s="130">
        <f>+'P&amp;L'!BM38/(AVERAGE('Bal Sht'!BL24,BM24)*('P&amp;L'!BM7/'P&amp;L'!$AQ$7))</f>
        <v>5.77465104713401E-2</v>
      </c>
      <c r="BN58" s="130">
        <f>+'P&amp;L'!BN38/(AVERAGE('Bal Sht'!BM24,BN24)*('P&amp;L'!BN7/'P&amp;L'!$AQ$7))</f>
        <v>6.6179047312651992E-2</v>
      </c>
      <c r="BO58" s="130">
        <f>+'P&amp;L'!BO38/(AVERAGE(BI24,BK24:BN24))</f>
        <v>6.1005305007651965E-2</v>
      </c>
      <c r="BP58" s="104"/>
      <c r="BQ58" s="130">
        <f>+'P&amp;L'!BQ38/(AVERAGE('Bal Sht'!BO24,BQ24)*('P&amp;L'!BQ7/'P&amp;L'!$AQ$7))</f>
        <v>5.863458828421711E-2</v>
      </c>
      <c r="BR58" s="130">
        <f>+'P&amp;L'!BR38/(AVERAGE('Bal Sht'!BQ24,BR24)*('P&amp;L'!BR7/'P&amp;L'!$AQ$7))</f>
        <v>7.1943314362316657E-2</v>
      </c>
      <c r="BS58" s="130">
        <f>+'P&amp;L'!BS38/(AVERAGE('Bal Sht'!BR24,BS24)*('P&amp;L'!BS7/'P&amp;L'!$AQ$7))</f>
        <v>6.6352581608993155E-2</v>
      </c>
      <c r="BT58" s="130">
        <f>+'P&amp;L'!BT38/(AVERAGE('Bal Sht'!BS24,BT24)*('P&amp;L'!BT7/'P&amp;L'!$AQ$7))</f>
        <v>6.9576741197056466E-2</v>
      </c>
      <c r="BU58" s="130">
        <f>+'P&amp;L'!BU38/(AVERAGE(BO24,BQ24:BT24))</f>
        <v>6.6503850065845693E-2</v>
      </c>
      <c r="BV58" s="104"/>
      <c r="BW58" s="130">
        <f>+'P&amp;L'!BW38/(AVERAGE('Bal Sht'!BU24,BW24)*('P&amp;L'!BW7/'P&amp;L'!$AQ$7))</f>
        <v>6.6075242449296509E-2</v>
      </c>
      <c r="BX58" s="130">
        <f>+'P&amp;L'!BX38/(AVERAGE('Bal Sht'!BW24,BX24)*('P&amp;L'!BX7/'P&amp;L'!$AQ$7))</f>
        <v>7.5193011846114433E-2</v>
      </c>
      <c r="BY58" s="130">
        <f>+'P&amp;L'!BY38/(AVERAGE('Bal Sht'!BX24,BY24)*('P&amp;L'!BY7/'P&amp;L'!$AQ$7))</f>
        <v>7.2352962754147515E-2</v>
      </c>
      <c r="BZ58" s="130">
        <f>+'P&amp;L'!BZ38/(AVERAGE('Bal Sht'!BY24,BZ24)*('P&amp;L'!BZ7/'P&amp;L'!$AQ$7))</f>
        <v>7.7040486421507404E-2</v>
      </c>
      <c r="CA58" s="130">
        <f>+'P&amp;L'!CA38/(AVERAGE(BU24,BW24:BZ24))</f>
        <v>7.2771121672753944E-2</v>
      </c>
      <c r="CB58" s="104"/>
      <c r="CC58" s="130">
        <f>+'P&amp;L'!CC38/(AVERAGE('Bal Sht'!CA24,CC24)*('P&amp;L'!CC7/'P&amp;L'!$AQ$7))</f>
        <v>6.4875609585950664E-2</v>
      </c>
      <c r="CD58" s="130">
        <f>+'P&amp;L'!CD38/(AVERAGE('Bal Sht'!CC24,CD24)*('P&amp;L'!CD7/'P&amp;L'!$AQ$7))</f>
        <v>7.385063875990644E-2</v>
      </c>
      <c r="CE58" s="130">
        <f>+'P&amp;L'!CE38/(AVERAGE('Bal Sht'!CD24,CE24)*('P&amp;L'!CE7/'P&amp;L'!$AQ$7))</f>
        <v>7.0448848409634057E-2</v>
      </c>
      <c r="CF58" s="130">
        <f>+'P&amp;L'!CF38/(AVERAGE('Bal Sht'!CE24,CF24)*('P&amp;L'!CF7/'P&amp;L'!$AQ$7))</f>
        <v>7.44164780733228E-2</v>
      </c>
      <c r="CG58" s="130">
        <f>+'P&amp;L'!CG38/(AVERAGE(CA24,CC24:CF24))</f>
        <v>7.0985679302437085E-2</v>
      </c>
      <c r="CH58" s="104"/>
      <c r="CI58" s="130">
        <f>+'P&amp;L'!CI38/(AVERAGE('Bal Sht'!CG24,CI24)*('P&amp;L'!CI7/'P&amp;L'!$AQ$7))</f>
        <v>6.0497512387403474E-2</v>
      </c>
      <c r="CJ58" s="130">
        <f>+'P&amp;L'!CJ38/(AVERAGE('Bal Sht'!CI24,CJ24)*('P&amp;L'!CJ7/'P&amp;L'!$AQ$7))</f>
        <v>6.8260148434310039E-2</v>
      </c>
      <c r="CK58" s="130">
        <f>+'P&amp;L'!CK38/(AVERAGE('Bal Sht'!CJ24,CK24)*('P&amp;L'!CK7/'P&amp;L'!$AQ$7))</f>
        <v>6.4206895104623643E-2</v>
      </c>
      <c r="CL58" s="130">
        <f>+'P&amp;L'!CL38/(AVERAGE('Bal Sht'!CK24,CL24)*('P&amp;L'!CL7/'P&amp;L'!$AQ$7))</f>
        <v>6.730080876733216E-2</v>
      </c>
      <c r="CM58" s="130">
        <f>+'P&amp;L'!CM38/(AVERAGE(CG24,CI24:CL24))</f>
        <v>6.5130460084450836E-2</v>
      </c>
      <c r="CN58" s="104"/>
      <c r="CO58" s="130">
        <f>+'P&amp;L'!CO38/(AVERAGE('Bal Sht'!CM24,CO24)*('P&amp;L'!CO7/'P&amp;L'!$AQ$7))</f>
        <v>5.8520618272031609E-2</v>
      </c>
      <c r="CP58" s="130">
        <f>+'P&amp;L'!CP38/(AVERAGE('Bal Sht'!CO24,CP24)*('P&amp;L'!CP7/'P&amp;L'!$AQ$7))</f>
        <v>6.655282123892213E-2</v>
      </c>
      <c r="CQ58" s="130">
        <f>+'P&amp;L'!CQ38/(AVERAGE('Bal Sht'!CP24,CQ24)*('P&amp;L'!CQ7/'P&amp;L'!$AQ$7))</f>
        <v>6.2348501813989717E-2</v>
      </c>
      <c r="CR58" s="130">
        <f>+'P&amp;L'!CR38/(AVERAGE('Bal Sht'!CQ24,CR24)*('P&amp;L'!CR7/'P&amp;L'!$AQ$7))</f>
        <v>6.5421736805596348E-2</v>
      </c>
      <c r="CS58" s="130">
        <f>+'P&amp;L'!CS38/(AVERAGE(CM24,CO24:CR24))</f>
        <v>6.3273288656535975E-2</v>
      </c>
      <c r="CT58" s="130"/>
      <c r="CU58" s="130"/>
      <c r="CV58" s="130"/>
      <c r="CW58" s="75"/>
      <c r="CX58" s="75"/>
      <c r="CY58" s="75"/>
      <c r="CZ58" s="75"/>
    </row>
    <row r="59" spans="1:104" ht="12.75" customHeight="1" outlineLevel="1" x14ac:dyDescent="0.2">
      <c r="A59" s="75" t="s">
        <v>404</v>
      </c>
      <c r="B59" s="103"/>
      <c r="C59" s="130"/>
      <c r="D59" s="130"/>
      <c r="E59" s="130"/>
      <c r="F59" s="130"/>
      <c r="G59" s="130"/>
      <c r="H59" s="103"/>
      <c r="I59" s="892">
        <f>I187</f>
        <v>-1.0911489000895025</v>
      </c>
      <c r="J59" s="130">
        <f t="shared" ref="J59:M59" si="113">J187</f>
        <v>-0.75940454199717577</v>
      </c>
      <c r="K59" s="130">
        <f t="shared" si="113"/>
        <v>-0.73033077929358869</v>
      </c>
      <c r="L59" s="130">
        <f t="shared" si="113"/>
        <v>13.316476795653042</v>
      </c>
      <c r="M59" s="130">
        <f t="shared" si="113"/>
        <v>-0.2258717147707533</v>
      </c>
      <c r="N59" s="103"/>
      <c r="O59" s="130">
        <f>O187</f>
        <v>2.6867166650545369</v>
      </c>
      <c r="P59" s="130">
        <f t="shared" ref="P59:S59" si="114">P187</f>
        <v>5.8389414651244405</v>
      </c>
      <c r="Q59" s="130">
        <f t="shared" si="114"/>
        <v>2.8804585363972266</v>
      </c>
      <c r="R59" s="130">
        <f t="shared" si="114"/>
        <v>3.2858027337238664</v>
      </c>
      <c r="S59" s="130">
        <f t="shared" si="114"/>
        <v>3.4056478059677193</v>
      </c>
      <c r="T59" s="103"/>
      <c r="U59" s="130">
        <f>U187</f>
        <v>2.0518609346329151</v>
      </c>
      <c r="V59" s="130">
        <f t="shared" ref="V59:Y59" si="115">V187</f>
        <v>2.2481303293398405</v>
      </c>
      <c r="W59" s="130">
        <f t="shared" si="115"/>
        <v>2.2819815916986408</v>
      </c>
      <c r="X59" s="130">
        <f t="shared" si="115"/>
        <v>4.1480397546351684</v>
      </c>
      <c r="Y59" s="130">
        <f t="shared" si="115"/>
        <v>2.6307733985854385</v>
      </c>
      <c r="Z59" s="103"/>
      <c r="AA59" s="130">
        <f>AA187</f>
        <v>2.0248688132826813</v>
      </c>
      <c r="AB59" s="130">
        <f t="shared" ref="AB59:AE59" si="116">AB187</f>
        <v>2.0921381611049021</v>
      </c>
      <c r="AC59" s="130">
        <f t="shared" si="116"/>
        <v>2.2166468776318169</v>
      </c>
      <c r="AD59" s="130">
        <f t="shared" si="116"/>
        <v>1.5328475619902522</v>
      </c>
      <c r="AE59" s="130">
        <f t="shared" si="116"/>
        <v>1.9255254771020809</v>
      </c>
      <c r="AF59" s="103"/>
      <c r="AG59" s="130">
        <f>AG187</f>
        <v>1.0838053235161993</v>
      </c>
      <c r="AH59" s="130">
        <f>AH187</f>
        <v>1.0452251074467227</v>
      </c>
      <c r="AI59" s="130">
        <f>AI187</f>
        <v>1.0953755428457792</v>
      </c>
      <c r="AJ59" s="130">
        <f>AJ187</f>
        <v>1.1559140038976778</v>
      </c>
      <c r="AK59" s="130">
        <f>AK187</f>
        <v>1.0944943506856528</v>
      </c>
      <c r="AL59" s="103"/>
      <c r="AM59" s="130">
        <f>AM187</f>
        <v>1.3341183141710047</v>
      </c>
      <c r="AN59" s="130">
        <f>AN187</f>
        <v>1.2076807272187127</v>
      </c>
      <c r="AO59" s="130">
        <f>AO187</f>
        <v>1.2431906002587376</v>
      </c>
      <c r="AP59" s="130">
        <f>AP187</f>
        <v>1.5062817379911939</v>
      </c>
      <c r="AQ59" s="130">
        <f>AQ187</f>
        <v>1.3215238554293944</v>
      </c>
      <c r="AR59" s="103"/>
      <c r="AS59" s="130">
        <f>AS187</f>
        <v>2.3605171439642474</v>
      </c>
      <c r="AT59" s="130">
        <f>AT187</f>
        <v>1.9182431507689583</v>
      </c>
      <c r="AU59" s="130">
        <f>AU187</f>
        <v>0.61191892270896708</v>
      </c>
      <c r="AV59" s="130">
        <f>AV187</f>
        <v>0.50448701624073167</v>
      </c>
      <c r="AW59" s="130">
        <f>AW187</f>
        <v>0.95292968451999105</v>
      </c>
      <c r="AX59" s="103"/>
      <c r="AY59" s="130">
        <f>AY187</f>
        <v>0.24011909011084245</v>
      </c>
      <c r="AZ59" s="130">
        <f>AZ187</f>
        <v>0.3716220809743791</v>
      </c>
      <c r="BA59" s="130">
        <f>BA187</f>
        <v>0.34847042526086924</v>
      </c>
      <c r="BB59" s="130">
        <f>BB187</f>
        <v>0.36863556052324736</v>
      </c>
      <c r="BC59" s="130">
        <f>BC187</f>
        <v>0.33211959574881345</v>
      </c>
      <c r="BD59" s="103"/>
      <c r="BE59" s="130">
        <f>BE187</f>
        <v>0.34961756374303044</v>
      </c>
      <c r="BF59" s="130">
        <f>BF187</f>
        <v>0.39182304148073643</v>
      </c>
      <c r="BG59" s="130">
        <f>BG187</f>
        <v>0.34927338119900403</v>
      </c>
      <c r="BH59" s="130">
        <f>BH187</f>
        <v>0.27122573167197939</v>
      </c>
      <c r="BI59" s="130">
        <f>BI187</f>
        <v>0.33881046484104244</v>
      </c>
      <c r="BJ59" s="103"/>
      <c r="BK59" s="130">
        <f>BK187</f>
        <v>0.10455121536544247</v>
      </c>
      <c r="BL59" s="130">
        <f>BL187</f>
        <v>0.11357982320435886</v>
      </c>
      <c r="BM59" s="130">
        <f>BM187</f>
        <v>0.11335762166304168</v>
      </c>
      <c r="BN59" s="130">
        <f>BN187</f>
        <v>0.13780937234726631</v>
      </c>
      <c r="BO59" s="130">
        <f>BO187</f>
        <v>0.11676188849097731</v>
      </c>
      <c r="BP59" s="103"/>
      <c r="BQ59" s="130">
        <f>BQ187</f>
        <v>0.12007435092552658</v>
      </c>
      <c r="BR59" s="130">
        <f>BR187</f>
        <v>0.14789836470466997</v>
      </c>
      <c r="BS59" s="130">
        <f>BS187</f>
        <v>0.13817007007327217</v>
      </c>
      <c r="BT59" s="130">
        <f>BT187</f>
        <v>0.15244682057433415</v>
      </c>
      <c r="BU59" s="130">
        <f>BU187</f>
        <v>0.13941260746667561</v>
      </c>
      <c r="BV59" s="103"/>
      <c r="BW59" s="130">
        <f>BW187</f>
        <v>0.1511518992616305</v>
      </c>
      <c r="BX59" s="130">
        <f>BX187</f>
        <v>0.17653142544063577</v>
      </c>
      <c r="BY59" s="130">
        <f>BY187</f>
        <v>0.1753304237640875</v>
      </c>
      <c r="BZ59" s="130">
        <f>BZ187</f>
        <v>0.19905879752729794</v>
      </c>
      <c r="CA59" s="130">
        <f>CA187</f>
        <v>0.17515740030459626</v>
      </c>
      <c r="CB59" s="103"/>
      <c r="CC59" s="130">
        <f>CC187</f>
        <v>0.17571552740834032</v>
      </c>
      <c r="CD59" s="130">
        <f>CD187</f>
        <v>0.20443770279394655</v>
      </c>
      <c r="CE59" s="130">
        <f>CE187</f>
        <v>0.20154512199494642</v>
      </c>
      <c r="CF59" s="130">
        <f>CF187</f>
        <v>0.22781056097378702</v>
      </c>
      <c r="CG59" s="130">
        <f>CG187</f>
        <v>0.20196200797536323</v>
      </c>
      <c r="CH59" s="103"/>
      <c r="CI59" s="130">
        <f t="shared" ref="CI59:CM59" si="117">CI187</f>
        <v>0.20440869823948277</v>
      </c>
      <c r="CJ59" s="130">
        <f t="shared" si="117"/>
        <v>0.23705236163342125</v>
      </c>
      <c r="CK59" s="130">
        <f t="shared" si="117"/>
        <v>0.23259405175283029</v>
      </c>
      <c r="CL59" s="130">
        <f t="shared" si="117"/>
        <v>0.26148058352201337</v>
      </c>
      <c r="CM59" s="130">
        <f t="shared" si="117"/>
        <v>0.23338630605293523</v>
      </c>
      <c r="CN59" s="103"/>
      <c r="CO59" s="130">
        <f t="shared" ref="CO59:CS59" si="118">CO187</f>
        <v>0.23754729801911137</v>
      </c>
      <c r="CP59" s="130">
        <f t="shared" si="118"/>
        <v>0.27692623868615757</v>
      </c>
      <c r="CQ59" s="130">
        <f t="shared" si="118"/>
        <v>0.27214304127176797</v>
      </c>
      <c r="CR59" s="130">
        <f t="shared" si="118"/>
        <v>0.30704797956017571</v>
      </c>
      <c r="CS59" s="130">
        <f t="shared" si="118"/>
        <v>0.27273750832472826</v>
      </c>
      <c r="CT59" s="130"/>
      <c r="CU59" s="130"/>
      <c r="CV59" s="130"/>
      <c r="CW59" s="75"/>
      <c r="CX59" s="75"/>
      <c r="CY59" s="75"/>
      <c r="CZ59" s="75"/>
    </row>
    <row r="60" spans="1:104" ht="12.75" customHeight="1" outlineLevel="1" x14ac:dyDescent="0.2">
      <c r="A60" s="1"/>
      <c r="B60" s="22"/>
      <c r="C60" s="10"/>
      <c r="D60" s="10"/>
      <c r="E60" s="10"/>
      <c r="F60" s="10"/>
      <c r="G60" s="130"/>
      <c r="H60" s="22"/>
      <c r="I60" s="10"/>
      <c r="J60" s="10"/>
      <c r="K60" s="10"/>
      <c r="L60" s="10"/>
      <c r="N60" s="22"/>
      <c r="O60" s="10"/>
      <c r="P60" s="10"/>
      <c r="Q60" s="10"/>
      <c r="R60" s="10"/>
      <c r="S60" s="10"/>
      <c r="T60" s="22"/>
      <c r="U60" s="10"/>
      <c r="V60" s="10"/>
      <c r="W60" s="10"/>
      <c r="X60" s="10"/>
      <c r="Y60" s="10"/>
      <c r="Z60" s="22"/>
      <c r="AB60" s="10"/>
      <c r="AC60" s="10"/>
      <c r="AD60" s="10"/>
      <c r="AE60" s="43"/>
      <c r="AF60" s="106"/>
      <c r="AH60" s="10"/>
      <c r="AI60" s="10"/>
      <c r="AK60" s="43"/>
      <c r="AL60" s="106"/>
      <c r="AO60" s="10"/>
      <c r="AQ60" s="43"/>
      <c r="AR60" s="106"/>
      <c r="AU60" s="10"/>
      <c r="AW60" s="43"/>
      <c r="AX60" s="106"/>
      <c r="BC60" s="43"/>
      <c r="BD60" s="106"/>
      <c r="BI60" s="43"/>
      <c r="BJ60" s="106"/>
      <c r="BO60" s="43"/>
      <c r="BP60" s="106"/>
      <c r="BU60" s="43"/>
      <c r="BV60" s="106"/>
      <c r="CA60" s="43"/>
      <c r="CB60" s="106"/>
      <c r="CG60" s="43"/>
      <c r="CH60" s="106"/>
      <c r="CM60" s="43"/>
      <c r="CN60" s="106"/>
      <c r="CS60" s="43"/>
      <c r="CT60" s="43"/>
      <c r="CU60" s="43"/>
      <c r="CV60" s="43"/>
      <c r="CY60" s="43"/>
      <c r="CZ60" s="43"/>
    </row>
    <row r="61" spans="1:104" x14ac:dyDescent="0.2">
      <c r="A61" s="15" t="s">
        <v>128</v>
      </c>
      <c r="B61" s="103"/>
      <c r="C61" s="179"/>
      <c r="D61" s="179"/>
      <c r="E61" s="179"/>
      <c r="F61" s="179"/>
      <c r="G61" s="179"/>
      <c r="H61" s="103"/>
      <c r="I61" s="179"/>
      <c r="J61" s="179"/>
      <c r="K61" s="179"/>
      <c r="L61" s="179"/>
      <c r="M61" s="179"/>
      <c r="N61" s="103"/>
      <c r="O61" s="179"/>
      <c r="P61" s="179"/>
      <c r="Q61" s="179"/>
      <c r="R61" s="179"/>
      <c r="S61" s="179"/>
      <c r="T61" s="103"/>
      <c r="U61" s="179"/>
      <c r="V61" s="179"/>
      <c r="W61" s="179"/>
      <c r="X61" s="179"/>
      <c r="Y61" s="179"/>
      <c r="Z61" s="103"/>
      <c r="AA61" s="179"/>
      <c r="AB61" s="179"/>
      <c r="AC61" s="179"/>
      <c r="AD61" s="179"/>
      <c r="AE61" s="179"/>
      <c r="AF61" s="103"/>
      <c r="AG61" s="179"/>
      <c r="AH61" s="179"/>
      <c r="AI61" s="179"/>
      <c r="AJ61" s="179"/>
      <c r="AK61" s="179"/>
      <c r="AL61" s="103"/>
      <c r="AM61" s="179"/>
      <c r="AN61" s="179"/>
      <c r="AO61" s="179"/>
      <c r="AP61" s="179"/>
      <c r="AQ61" s="179"/>
      <c r="AR61" s="103"/>
      <c r="AS61" s="179"/>
      <c r="AT61" s="179"/>
      <c r="AU61" s="179"/>
      <c r="AV61" s="179"/>
      <c r="AW61" s="179"/>
      <c r="AX61" s="103"/>
      <c r="AY61" s="179"/>
      <c r="AZ61" s="179"/>
      <c r="BA61" s="179"/>
      <c r="BB61" s="179"/>
      <c r="BC61" s="179"/>
      <c r="BD61" s="103"/>
      <c r="BE61" s="179"/>
      <c r="BF61" s="179"/>
      <c r="BG61" s="179"/>
      <c r="BH61" s="179"/>
      <c r="BI61" s="179"/>
      <c r="BJ61" s="103"/>
      <c r="BK61" s="179"/>
      <c r="BL61" s="179"/>
      <c r="BM61" s="179"/>
      <c r="BN61" s="179"/>
      <c r="BO61" s="179"/>
      <c r="BP61" s="103"/>
      <c r="BQ61" s="179"/>
      <c r="BR61" s="179"/>
      <c r="BS61" s="179"/>
      <c r="BT61" s="179"/>
      <c r="BU61" s="179"/>
      <c r="BV61" s="103"/>
      <c r="BW61" s="179"/>
      <c r="BX61" s="179"/>
      <c r="BY61" s="179"/>
      <c r="BZ61" s="179"/>
      <c r="CA61" s="179"/>
      <c r="CB61" s="103"/>
      <c r="CC61" s="179"/>
      <c r="CD61" s="179"/>
      <c r="CE61" s="179"/>
      <c r="CF61" s="179"/>
      <c r="CG61" s="179"/>
      <c r="CH61" s="103"/>
      <c r="CI61" s="179"/>
      <c r="CJ61" s="179"/>
      <c r="CK61" s="179"/>
      <c r="CL61" s="179"/>
      <c r="CM61" s="179"/>
      <c r="CN61" s="103"/>
      <c r="CO61" s="179"/>
      <c r="CP61" s="179"/>
      <c r="CQ61" s="179"/>
      <c r="CR61" s="179"/>
      <c r="CS61" s="179"/>
      <c r="CT61" s="179"/>
      <c r="CU61" s="179"/>
      <c r="CV61" s="179"/>
      <c r="CW61" s="75"/>
      <c r="CX61" s="75"/>
      <c r="CY61" s="75"/>
      <c r="CZ61" s="75"/>
    </row>
    <row r="62" spans="1:104" ht="12.75" customHeight="1" outlineLevel="1" x14ac:dyDescent="0.2">
      <c r="A62" s="16" t="s">
        <v>129</v>
      </c>
      <c r="B62" s="181"/>
      <c r="C62" s="312" t="s">
        <v>88</v>
      </c>
      <c r="D62" s="312" t="s">
        <v>88</v>
      </c>
      <c r="E62" s="312" t="s">
        <v>88</v>
      </c>
      <c r="F62" s="312" t="s">
        <v>88</v>
      </c>
      <c r="G62" s="312" t="s">
        <v>88</v>
      </c>
      <c r="H62" s="181"/>
      <c r="I62" s="312" t="s">
        <v>88</v>
      </c>
      <c r="J62" s="312" t="s">
        <v>88</v>
      </c>
      <c r="K62" s="312" t="s">
        <v>88</v>
      </c>
      <c r="L62" s="312" t="s">
        <v>88</v>
      </c>
      <c r="M62" s="312" t="s">
        <v>88</v>
      </c>
      <c r="N62" s="181"/>
      <c r="O62" s="312" t="s">
        <v>88</v>
      </c>
      <c r="P62" s="312" t="s">
        <v>88</v>
      </c>
      <c r="Q62" s="312" t="s">
        <v>88</v>
      </c>
      <c r="R62" s="312" t="s">
        <v>88</v>
      </c>
      <c r="S62" s="312" t="s">
        <v>88</v>
      </c>
      <c r="T62" s="181"/>
      <c r="U62" s="312" t="s">
        <v>88</v>
      </c>
      <c r="V62" s="312" t="s">
        <v>88</v>
      </c>
      <c r="W62" s="312" t="s">
        <v>88</v>
      </c>
      <c r="X62" s="312" t="s">
        <v>88</v>
      </c>
      <c r="Y62" s="312" t="s">
        <v>88</v>
      </c>
      <c r="Z62" s="181"/>
      <c r="AA62" s="312" t="s">
        <v>88</v>
      </c>
      <c r="AB62" s="312" t="s">
        <v>88</v>
      </c>
      <c r="AC62" s="312" t="s">
        <v>88</v>
      </c>
      <c r="AD62" s="312" t="s">
        <v>88</v>
      </c>
      <c r="AE62" s="312" t="s">
        <v>88</v>
      </c>
      <c r="AF62" s="181"/>
      <c r="AG62" s="312" t="s">
        <v>88</v>
      </c>
      <c r="AH62" s="312" t="s">
        <v>88</v>
      </c>
      <c r="AI62" s="312" t="s">
        <v>88</v>
      </c>
      <c r="AJ62" s="312" t="s">
        <v>88</v>
      </c>
      <c r="AK62" s="312" t="s">
        <v>88</v>
      </c>
      <c r="AL62" s="181"/>
      <c r="AM62" s="312" t="s">
        <v>88</v>
      </c>
      <c r="AN62" s="312" t="s">
        <v>88</v>
      </c>
      <c r="AO62" s="312" t="s">
        <v>88</v>
      </c>
      <c r="AP62" s="312" t="s">
        <v>88</v>
      </c>
      <c r="AQ62" s="312" t="s">
        <v>88</v>
      </c>
      <c r="AR62" s="181"/>
      <c r="AS62" s="312" t="s">
        <v>88</v>
      </c>
      <c r="AT62" s="312" t="s">
        <v>88</v>
      </c>
      <c r="AU62" s="312" t="s">
        <v>88</v>
      </c>
      <c r="AV62" s="312" t="s">
        <v>88</v>
      </c>
      <c r="AW62" s="312" t="s">
        <v>88</v>
      </c>
      <c r="AX62" s="181"/>
      <c r="AY62" s="312" t="s">
        <v>88</v>
      </c>
      <c r="AZ62" s="312" t="s">
        <v>88</v>
      </c>
      <c r="BA62" s="312" t="s">
        <v>88</v>
      </c>
      <c r="BB62" s="312" t="s">
        <v>88</v>
      </c>
      <c r="BC62" s="312" t="s">
        <v>88</v>
      </c>
      <c r="BD62" s="181"/>
      <c r="BE62" s="312" t="s">
        <v>88</v>
      </c>
      <c r="BF62" s="312" t="s">
        <v>88</v>
      </c>
      <c r="BG62" s="312" t="s">
        <v>88</v>
      </c>
      <c r="BH62" s="312" t="s">
        <v>88</v>
      </c>
      <c r="BI62" s="312" t="s">
        <v>88</v>
      </c>
      <c r="BJ62" s="181"/>
      <c r="BK62" s="312" t="s">
        <v>88</v>
      </c>
      <c r="BL62" s="312" t="s">
        <v>88</v>
      </c>
      <c r="BM62" s="312" t="s">
        <v>88</v>
      </c>
      <c r="BN62" s="312" t="s">
        <v>88</v>
      </c>
      <c r="BO62" s="312" t="s">
        <v>88</v>
      </c>
      <c r="BP62" s="181"/>
      <c r="BQ62" s="312" t="s">
        <v>88</v>
      </c>
      <c r="BR62" s="312" t="s">
        <v>88</v>
      </c>
      <c r="BS62" s="312" t="s">
        <v>88</v>
      </c>
      <c r="BT62" s="312" t="s">
        <v>88</v>
      </c>
      <c r="BU62" s="312" t="s">
        <v>88</v>
      </c>
      <c r="BV62" s="181"/>
      <c r="BW62" s="312" t="s">
        <v>88</v>
      </c>
      <c r="BX62" s="312" t="s">
        <v>88</v>
      </c>
      <c r="BY62" s="312" t="s">
        <v>88</v>
      </c>
      <c r="BZ62" s="312" t="s">
        <v>88</v>
      </c>
      <c r="CA62" s="312" t="s">
        <v>88</v>
      </c>
      <c r="CB62" s="181"/>
      <c r="CC62" s="312" t="s">
        <v>88</v>
      </c>
      <c r="CD62" s="312" t="s">
        <v>88</v>
      </c>
      <c r="CE62" s="312" t="s">
        <v>88</v>
      </c>
      <c r="CF62" s="312" t="s">
        <v>88</v>
      </c>
      <c r="CG62" s="312" t="s">
        <v>88</v>
      </c>
      <c r="CH62" s="181"/>
      <c r="CI62" s="312" t="s">
        <v>88</v>
      </c>
      <c r="CJ62" s="312" t="s">
        <v>88</v>
      </c>
      <c r="CK62" s="312" t="s">
        <v>88</v>
      </c>
      <c r="CL62" s="312" t="s">
        <v>88</v>
      </c>
      <c r="CM62" s="312" t="s">
        <v>88</v>
      </c>
      <c r="CN62" s="181"/>
      <c r="CO62" s="312" t="s">
        <v>88</v>
      </c>
      <c r="CP62" s="312" t="s">
        <v>88</v>
      </c>
      <c r="CQ62" s="312" t="s">
        <v>88</v>
      </c>
      <c r="CR62" s="312" t="s">
        <v>88</v>
      </c>
      <c r="CS62" s="312" t="s">
        <v>88</v>
      </c>
      <c r="CT62" s="312"/>
      <c r="CU62" s="312"/>
      <c r="CV62" s="312"/>
      <c r="CW62" s="75"/>
      <c r="CX62" s="75"/>
      <c r="CY62" s="75"/>
      <c r="CZ62" s="75"/>
    </row>
    <row r="63" spans="1:104" ht="12.75" customHeight="1" outlineLevel="1" x14ac:dyDescent="0.2">
      <c r="A63" s="17" t="s">
        <v>130</v>
      </c>
      <c r="B63" s="182"/>
      <c r="C63" s="312" t="s">
        <v>88</v>
      </c>
      <c r="D63" s="312" t="s">
        <v>88</v>
      </c>
      <c r="E63" s="312" t="s">
        <v>88</v>
      </c>
      <c r="F63" s="312" t="s">
        <v>88</v>
      </c>
      <c r="G63" s="312" t="s">
        <v>88</v>
      </c>
      <c r="H63" s="182"/>
      <c r="I63" s="312" t="s">
        <v>88</v>
      </c>
      <c r="J63" s="312" t="s">
        <v>88</v>
      </c>
      <c r="K63" s="312" t="s">
        <v>88</v>
      </c>
      <c r="L63" s="312" t="s">
        <v>88</v>
      </c>
      <c r="M63" s="312" t="s">
        <v>88</v>
      </c>
      <c r="N63" s="182"/>
      <c r="O63" s="312" t="s">
        <v>88</v>
      </c>
      <c r="P63" s="312" t="s">
        <v>88</v>
      </c>
      <c r="Q63" s="312" t="s">
        <v>88</v>
      </c>
      <c r="R63" s="312" t="s">
        <v>88</v>
      </c>
      <c r="S63" s="312" t="s">
        <v>88</v>
      </c>
      <c r="T63" s="182"/>
      <c r="U63" s="312" t="s">
        <v>88</v>
      </c>
      <c r="V63" s="312" t="s">
        <v>88</v>
      </c>
      <c r="W63" s="312" t="s">
        <v>88</v>
      </c>
      <c r="X63" s="312" t="s">
        <v>88</v>
      </c>
      <c r="Y63" s="312" t="s">
        <v>88</v>
      </c>
      <c r="Z63" s="182"/>
      <c r="AA63" s="312" t="s">
        <v>88</v>
      </c>
      <c r="AB63" s="312" t="s">
        <v>88</v>
      </c>
      <c r="AC63" s="312" t="s">
        <v>88</v>
      </c>
      <c r="AD63" s="312" t="s">
        <v>88</v>
      </c>
      <c r="AE63" s="312" t="s">
        <v>88</v>
      </c>
      <c r="AF63" s="182"/>
      <c r="AG63" s="312" t="s">
        <v>88</v>
      </c>
      <c r="AH63" s="312" t="s">
        <v>88</v>
      </c>
      <c r="AI63" s="312" t="s">
        <v>88</v>
      </c>
      <c r="AJ63" s="312" t="s">
        <v>88</v>
      </c>
      <c r="AK63" s="312" t="s">
        <v>88</v>
      </c>
      <c r="AL63" s="182"/>
      <c r="AM63" s="312" t="s">
        <v>88</v>
      </c>
      <c r="AN63" s="312" t="s">
        <v>88</v>
      </c>
      <c r="AO63" s="312" t="s">
        <v>88</v>
      </c>
      <c r="AP63" s="312" t="s">
        <v>88</v>
      </c>
      <c r="AQ63" s="312" t="s">
        <v>88</v>
      </c>
      <c r="AR63" s="182"/>
      <c r="AS63" s="312" t="s">
        <v>88</v>
      </c>
      <c r="AT63" s="312" t="s">
        <v>88</v>
      </c>
      <c r="AU63" s="312" t="s">
        <v>88</v>
      </c>
      <c r="AV63" s="312" t="s">
        <v>88</v>
      </c>
      <c r="AW63" s="312" t="s">
        <v>88</v>
      </c>
      <c r="AX63" s="182"/>
      <c r="AY63" s="312" t="s">
        <v>88</v>
      </c>
      <c r="AZ63" s="312" t="s">
        <v>88</v>
      </c>
      <c r="BA63" s="312" t="s">
        <v>88</v>
      </c>
      <c r="BB63" s="312" t="s">
        <v>88</v>
      </c>
      <c r="BC63" s="312" t="s">
        <v>88</v>
      </c>
      <c r="BD63" s="182"/>
      <c r="BE63" s="312" t="s">
        <v>88</v>
      </c>
      <c r="BF63" s="312" t="s">
        <v>88</v>
      </c>
      <c r="BG63" s="312" t="s">
        <v>88</v>
      </c>
      <c r="BH63" s="312" t="s">
        <v>88</v>
      </c>
      <c r="BI63" s="312" t="s">
        <v>88</v>
      </c>
      <c r="BJ63" s="182"/>
      <c r="BK63" s="312" t="s">
        <v>88</v>
      </c>
      <c r="BL63" s="312" t="s">
        <v>88</v>
      </c>
      <c r="BM63" s="312" t="s">
        <v>88</v>
      </c>
      <c r="BN63" s="312" t="s">
        <v>88</v>
      </c>
      <c r="BO63" s="312" t="s">
        <v>88</v>
      </c>
      <c r="BP63" s="182"/>
      <c r="BQ63" s="312" t="s">
        <v>88</v>
      </c>
      <c r="BR63" s="312" t="s">
        <v>88</v>
      </c>
      <c r="BS63" s="312" t="s">
        <v>88</v>
      </c>
      <c r="BT63" s="312" t="s">
        <v>88</v>
      </c>
      <c r="BU63" s="312" t="s">
        <v>88</v>
      </c>
      <c r="BV63" s="182"/>
      <c r="BW63" s="312" t="s">
        <v>88</v>
      </c>
      <c r="BX63" s="312" t="s">
        <v>88</v>
      </c>
      <c r="BY63" s="312" t="s">
        <v>88</v>
      </c>
      <c r="BZ63" s="312" t="s">
        <v>88</v>
      </c>
      <c r="CA63" s="312" t="s">
        <v>88</v>
      </c>
      <c r="CB63" s="182"/>
      <c r="CC63" s="312" t="s">
        <v>88</v>
      </c>
      <c r="CD63" s="312" t="s">
        <v>88</v>
      </c>
      <c r="CE63" s="312" t="s">
        <v>88</v>
      </c>
      <c r="CF63" s="312" t="s">
        <v>88</v>
      </c>
      <c r="CG63" s="312" t="s">
        <v>88</v>
      </c>
      <c r="CH63" s="182"/>
      <c r="CI63" s="312" t="s">
        <v>88</v>
      </c>
      <c r="CJ63" s="312" t="s">
        <v>88</v>
      </c>
      <c r="CK63" s="312" t="s">
        <v>88</v>
      </c>
      <c r="CL63" s="312" t="s">
        <v>88</v>
      </c>
      <c r="CM63" s="312" t="s">
        <v>88</v>
      </c>
      <c r="CN63" s="182"/>
      <c r="CO63" s="312" t="s">
        <v>88</v>
      </c>
      <c r="CP63" s="312" t="s">
        <v>88</v>
      </c>
      <c r="CQ63" s="312" t="s">
        <v>88</v>
      </c>
      <c r="CR63" s="312" t="s">
        <v>88</v>
      </c>
      <c r="CS63" s="312" t="s">
        <v>88</v>
      </c>
      <c r="CT63" s="312"/>
      <c r="CU63" s="312"/>
      <c r="CV63" s="312"/>
      <c r="CW63" s="75"/>
      <c r="CX63" s="75"/>
      <c r="CY63" s="75"/>
      <c r="CZ63" s="75"/>
    </row>
    <row r="64" spans="1:104" x14ac:dyDescent="0.2">
      <c r="A64" s="17" t="s">
        <v>131</v>
      </c>
      <c r="B64" s="182"/>
      <c r="C64" s="182" t="str">
        <f>IF(OR(C51&lt;0,'P&amp;L'!C22&lt;0)=TRUE,"NM",C51/'P&amp;L'!C22)</f>
        <v>NM</v>
      </c>
      <c r="D64" s="182" t="str">
        <f>IF(OR(D51&lt;0,'P&amp;L'!D22&lt;0)=TRUE,"NM",D51/'P&amp;L'!D22)</f>
        <v>NM</v>
      </c>
      <c r="E64" s="182" t="str">
        <f>IF(OR(E51&lt;0,'P&amp;L'!E22&lt;0)=TRUE,"NM",E51/'P&amp;L'!E22)</f>
        <v>NM</v>
      </c>
      <c r="F64" s="182" t="str">
        <f>IF(OR(F51&lt;0,'P&amp;L'!F22&lt;0)=TRUE,"NM",F51/'P&amp;L'!F22)</f>
        <v>NM</v>
      </c>
      <c r="G64" s="182" t="str">
        <f>IF(OR(G51&lt;0,'P&amp;L'!G22&lt;0)=TRUE,"NM",G51/'P&amp;L'!G22)</f>
        <v>NM</v>
      </c>
      <c r="H64" s="182"/>
      <c r="I64" s="182" t="str">
        <f>IF(OR(I51&lt;0,'P&amp;L'!I22&lt;0)=TRUE,"NM",I51/'P&amp;L'!I22)</f>
        <v>NM</v>
      </c>
      <c r="J64" s="182" t="str">
        <f>IF(OR(J51&lt;0,'P&amp;L'!J22&lt;0)=TRUE,"NM",J51/'P&amp;L'!J22)</f>
        <v>NM</v>
      </c>
      <c r="K64" s="182" t="str">
        <f>IF(OR(K51&lt;0,'P&amp;L'!K22&lt;0)=TRUE,"NM",K51/'P&amp;L'!K22)</f>
        <v>NM</v>
      </c>
      <c r="L64" s="182" t="str">
        <f>IF(OR(L51&lt;0,'P&amp;L'!L22&lt;0)=TRUE,"NM",L51/'P&amp;L'!L22)</f>
        <v>NM</v>
      </c>
      <c r="M64" s="182" t="str">
        <f>IF(OR(M51&lt;0,'P&amp;L'!M22&lt;0)=TRUE,"NM",M51/'P&amp;L'!M22)</f>
        <v>NM</v>
      </c>
      <c r="N64" s="182"/>
      <c r="O64" s="182" t="str">
        <f>IF(OR(O51&lt;0,'P&amp;L'!O22&lt;0)=TRUE,"NM",O51/'P&amp;L'!O22)</f>
        <v>NM</v>
      </c>
      <c r="P64" s="182" t="str">
        <f>IF(OR(P51&lt;0,'P&amp;L'!P22&lt;0)=TRUE,"NM",P51/'P&amp;L'!P22)</f>
        <v>NM</v>
      </c>
      <c r="Q64" s="182" t="str">
        <f>IF(OR(Q51&lt;0,'P&amp;L'!Q22&lt;0)=TRUE,"NM",Q51/'P&amp;L'!Q22)</f>
        <v>NM</v>
      </c>
      <c r="R64" s="182" t="str">
        <f>IF(OR(R51&lt;0,'P&amp;L'!R22&lt;0)=TRUE,"NM",R51/'P&amp;L'!R22)</f>
        <v>NM</v>
      </c>
      <c r="S64" s="182" t="str">
        <f>IF(OR(S51&lt;0,'P&amp;L'!S22&lt;0)=TRUE,"NM",S51/'P&amp;L'!S22)</f>
        <v>NM</v>
      </c>
      <c r="T64" s="182"/>
      <c r="U64" s="182" t="str">
        <f>IF(OR(U51&lt;0,'P&amp;L'!U22&lt;0)=TRUE,"NM",U51/'P&amp;L'!U22)</f>
        <v>NM</v>
      </c>
      <c r="V64" s="182" t="str">
        <f>IF(OR(V51&lt;0,'P&amp;L'!V22&lt;0)=TRUE,"NM",V51/'P&amp;L'!V22)</f>
        <v>NM</v>
      </c>
      <c r="W64" s="182" t="str">
        <f>IF(OR(W51&lt;0,'P&amp;L'!W22&lt;0)=TRUE,"NM",W51/'P&amp;L'!W22)</f>
        <v>NM</v>
      </c>
      <c r="X64" s="182" t="str">
        <f>IF(OR(X51&lt;0,'P&amp;L'!X22&lt;0)=TRUE,"NM",X51/'P&amp;L'!X22)</f>
        <v>NM</v>
      </c>
      <c r="Y64" s="182" t="str">
        <f>IF(OR(Y51&lt;0,'P&amp;L'!Y22&lt;0)=TRUE,"NM",Y51/'P&amp;L'!Y22)</f>
        <v>NM</v>
      </c>
      <c r="Z64" s="182"/>
      <c r="AA64" s="182" t="str">
        <f>IF(OR(AA51&lt;0,'P&amp;L'!AA22&lt;0)=TRUE,"NM",AA51/'P&amp;L'!AA22)</f>
        <v>NM</v>
      </c>
      <c r="AB64" s="182" t="str">
        <f>IF(OR(AB51&lt;0,'P&amp;L'!AB22&lt;0)=TRUE,"NM",AB51/'P&amp;L'!AB22)</f>
        <v>NM</v>
      </c>
      <c r="AC64" s="182" t="str">
        <f>IF(OR(AC51&lt;0,'P&amp;L'!AC22&lt;0)=TRUE,"NM",AC51/'P&amp;L'!AC22)</f>
        <v>NM</v>
      </c>
      <c r="AD64" s="182" t="str">
        <f>IF(OR(AD51&lt;0,'P&amp;L'!AD22&lt;0)=TRUE,"NM",AD51/'P&amp;L'!AD22)</f>
        <v>NM</v>
      </c>
      <c r="AE64" s="182" t="str">
        <f>IF(OR(AE51&lt;0,'P&amp;L'!AE22&lt;0)=TRUE,"NM",AE51/'P&amp;L'!AE22)</f>
        <v>NM</v>
      </c>
      <c r="AF64" s="182"/>
      <c r="AG64" s="182" t="str">
        <f>IF(OR(AG51&lt;0,'P&amp;L'!AG22&lt;0)=TRUE,"NM",AG51/'P&amp;L'!AG22)</f>
        <v>NM</v>
      </c>
      <c r="AH64" s="182" t="str">
        <f>IF(OR(AH51&lt;0,'P&amp;L'!AH22&lt;0)=TRUE,"NM",AH51/'P&amp;L'!AH22)</f>
        <v>NM</v>
      </c>
      <c r="AI64" s="182" t="str">
        <f>IF(OR(AI51&lt;0,'P&amp;L'!AI22&lt;0)=TRUE,"NM",AI51/'P&amp;L'!AI22)</f>
        <v>NM</v>
      </c>
      <c r="AJ64" s="182" t="str">
        <f>IF(OR(AJ51&lt;0,'P&amp;L'!AJ22&lt;0)=TRUE,"NM",AJ51/'P&amp;L'!AJ22)</f>
        <v>NM</v>
      </c>
      <c r="AK64" s="182" t="str">
        <f>IF(OR(AK51&lt;0,'P&amp;L'!AK22&lt;0)=TRUE,"NM",AK51/'P&amp;L'!AK22)</f>
        <v>NM</v>
      </c>
      <c r="AL64" s="182"/>
      <c r="AM64" s="182" t="str">
        <f>IF(OR(AM51&lt;0,'P&amp;L'!AM22&lt;0)=TRUE,"NM",AM51/'P&amp;L'!AM22)</f>
        <v>NM</v>
      </c>
      <c r="AN64" s="182" t="str">
        <f>IF(OR(AN51&lt;0,'P&amp;L'!AN22&lt;0)=TRUE,"NM",AN51/'P&amp;L'!AN22)</f>
        <v>NM</v>
      </c>
      <c r="AO64" s="182" t="str">
        <f>IF(OR(AO51&lt;0,'P&amp;L'!AO22&lt;0)=TRUE,"NM",AO51/'P&amp;L'!AO22)</f>
        <v>NM</v>
      </c>
      <c r="AP64" s="182" t="str">
        <f>IF(OR(AP51&lt;0,'P&amp;L'!AP22&lt;0)=TRUE,"NM",AP51/'P&amp;L'!AP22)</f>
        <v>NM</v>
      </c>
      <c r="AQ64" s="182" t="str">
        <f>IF(OR(AQ51&lt;0,'P&amp;L'!AQ22&lt;0)=TRUE,"NM",AQ51/'P&amp;L'!AQ22)</f>
        <v>NM</v>
      </c>
      <c r="AR64" s="182"/>
      <c r="AS64" s="182" t="str">
        <f>IF(OR(AS51&lt;0,'P&amp;L'!AS22&lt;0)=TRUE,"NM",AS51/'P&amp;L'!AS22)</f>
        <v>NM</v>
      </c>
      <c r="AT64" s="182" t="str">
        <f>IF(OR(AT51&lt;0,'P&amp;L'!AT22&lt;0)=TRUE,"NM",AT51/'P&amp;L'!AT22)</f>
        <v>NM</v>
      </c>
      <c r="AU64" s="182" t="str">
        <f>IF(OR(AU51&lt;0,'P&amp;L'!AU22&lt;0)=TRUE,"NM",AU51/'P&amp;L'!AU22)</f>
        <v>NM</v>
      </c>
      <c r="AV64" s="182" t="str">
        <f>IF(OR(AV51&lt;0,'P&amp;L'!AV22&lt;0)=TRUE,"NM",AV51/'P&amp;L'!AV22)</f>
        <v>NM</v>
      </c>
      <c r="AW64" s="182" t="str">
        <f>IF(OR(AW51&lt;0,'P&amp;L'!AW22&lt;0)=TRUE,"NM",AW51/'P&amp;L'!AW22)</f>
        <v>NM</v>
      </c>
      <c r="AX64" s="182"/>
      <c r="AY64" s="182" t="str">
        <f>IF(OR(AY51&lt;0,'P&amp;L'!AY22&lt;0)=TRUE,"NM",AY51/'P&amp;L'!AY22)</f>
        <v>NM</v>
      </c>
      <c r="AZ64" s="182" t="str">
        <f>IF(OR(AZ51&lt;0,'P&amp;L'!AZ22&lt;0)=TRUE,"NM",AZ51/'P&amp;L'!AZ22)</f>
        <v>NM</v>
      </c>
      <c r="BA64" s="182" t="str">
        <f>IF(OR(BA51&lt;0,'P&amp;L'!BA22&lt;0)=TRUE,"NM",BA51/'P&amp;L'!BA22)</f>
        <v>NM</v>
      </c>
      <c r="BB64" s="182" t="str">
        <f>IF(OR(BB51&lt;0,'P&amp;L'!BB22&lt;0)=TRUE,"NM",BB51/'P&amp;L'!BB22)</f>
        <v>NM</v>
      </c>
      <c r="BC64" s="182" t="str">
        <f>IF(OR(BC51&lt;0,'P&amp;L'!BC22&lt;0)=TRUE,"NM",BC51/'P&amp;L'!BC22)</f>
        <v>NM</v>
      </c>
      <c r="BD64" s="182"/>
      <c r="BE64" s="182" t="str">
        <f>IF(OR(BE51&lt;0,'P&amp;L'!BE22&lt;0)=TRUE,"NM",BE51/'P&amp;L'!BE22)</f>
        <v>NM</v>
      </c>
      <c r="BF64" s="182" t="str">
        <f>IF(OR(BF51&lt;0,'P&amp;L'!BF22&lt;0)=TRUE,"NM",BF51/'P&amp;L'!BF22)</f>
        <v>NM</v>
      </c>
      <c r="BG64" s="182" t="str">
        <f>IF(OR(BG51&lt;0,'P&amp;L'!BG22&lt;0)=TRUE,"NM",BG51/'P&amp;L'!BG22)</f>
        <v>NM</v>
      </c>
      <c r="BH64" s="182" t="str">
        <f>IF(OR(BH51&lt;0,'P&amp;L'!BH22&lt;0)=TRUE,"NM",BH51/'P&amp;L'!BH22)</f>
        <v>NM</v>
      </c>
      <c r="BI64" s="182" t="str">
        <f>IF(OR(BI51&lt;0,'P&amp;L'!BI22&lt;0)=TRUE,"NM",BI51/'P&amp;L'!BI22)</f>
        <v>NM</v>
      </c>
      <c r="BJ64" s="182"/>
      <c r="BK64" s="182">
        <f>IF(OR(BK51&lt;0,'P&amp;L'!BK22&lt;0)=TRUE,"NM",BK51/'P&amp;L'!BK22)</f>
        <v>1.6490187834772176</v>
      </c>
      <c r="BL64" s="182">
        <f>IF(OR(BL51&lt;0,'P&amp;L'!BL22&lt;0)=TRUE,"NM",BL51/'P&amp;L'!BL22)</f>
        <v>1.1354510207111499</v>
      </c>
      <c r="BM64" s="182">
        <f>IF(OR(BM51&lt;0,'P&amp;L'!BM22&lt;0)=TRUE,"NM",BM51/'P&amp;L'!BM22)</f>
        <v>3.3377470799078255</v>
      </c>
      <c r="BN64" s="182">
        <f>IF(OR(BN51&lt;0,'P&amp;L'!BN22&lt;0)=TRUE,"NM",BN51/'P&amp;L'!BN22)</f>
        <v>1.8347092123290969</v>
      </c>
      <c r="BO64" s="182">
        <f>IF(OR(BO51&lt;0,'P&amp;L'!BO22&lt;0)=TRUE,"NM",BO51/'P&amp;L'!BO22)</f>
        <v>0.52017974153635482</v>
      </c>
      <c r="BP64" s="182"/>
      <c r="BQ64" s="182" t="str">
        <f>IF(OR(BQ51&lt;0,'P&amp;L'!BQ22&lt;0)=TRUE,"NM",BQ51/'P&amp;L'!BQ22)</f>
        <v>NM</v>
      </c>
      <c r="BR64" s="182" t="str">
        <f>IF(OR(BR51&lt;0,'P&amp;L'!BR22&lt;0)=TRUE,"NM",BR51/'P&amp;L'!BR22)</f>
        <v>NM</v>
      </c>
      <c r="BS64" s="182" t="str">
        <f>IF(OR(BS51&lt;0,'P&amp;L'!BS22&lt;0)=TRUE,"NM",BS51/'P&amp;L'!BS22)</f>
        <v>NM</v>
      </c>
      <c r="BT64" s="182" t="str">
        <f>IF(OR(BT51&lt;0,'P&amp;L'!BT22&lt;0)=TRUE,"NM",BT51/'P&amp;L'!BT22)</f>
        <v>NM</v>
      </c>
      <c r="BU64" s="182" t="str">
        <f>IF(OR(BU51&lt;0,'P&amp;L'!BU22&lt;0)=TRUE,"NM",BU51/'P&amp;L'!BU22)</f>
        <v>NM</v>
      </c>
      <c r="BV64" s="182"/>
      <c r="BW64" s="182" t="str">
        <f>IF(OR(BW51&lt;0,'P&amp;L'!BW22&lt;0)=TRUE,"NM",BW51/'P&amp;L'!BW22)</f>
        <v>NM</v>
      </c>
      <c r="BX64" s="182" t="str">
        <f>IF(OR(BX51&lt;0,'P&amp;L'!BX22&lt;0)=TRUE,"NM",BX51/'P&amp;L'!BX22)</f>
        <v>NM</v>
      </c>
      <c r="BY64" s="182" t="str">
        <f>IF(OR(BY51&lt;0,'P&amp;L'!BY22&lt;0)=TRUE,"NM",BY51/'P&amp;L'!BY22)</f>
        <v>NM</v>
      </c>
      <c r="BZ64" s="182" t="str">
        <f>IF(OR(BZ51&lt;0,'P&amp;L'!BZ22&lt;0)=TRUE,"NM",BZ51/'P&amp;L'!BZ22)</f>
        <v>NM</v>
      </c>
      <c r="CA64" s="182" t="str">
        <f>IF(OR(CA51&lt;0,'P&amp;L'!CA22&lt;0)=TRUE,"NM",CA51/'P&amp;L'!CA22)</f>
        <v>NM</v>
      </c>
      <c r="CB64" s="182"/>
      <c r="CC64" s="182" t="str">
        <f>IF(OR(CC51&lt;0,'P&amp;L'!CC22&lt;0)=TRUE,"NM",CC51/'P&amp;L'!CC22)</f>
        <v>NM</v>
      </c>
      <c r="CD64" s="182" t="str">
        <f>IF(OR(CD51&lt;0,'P&amp;L'!CD22&lt;0)=TRUE,"NM",CD51/'P&amp;L'!CD22)</f>
        <v>NM</v>
      </c>
      <c r="CE64" s="182" t="str">
        <f>IF(OR(CE51&lt;0,'P&amp;L'!CE22&lt;0)=TRUE,"NM",CE51/'P&amp;L'!CE22)</f>
        <v>NM</v>
      </c>
      <c r="CF64" s="182" t="str">
        <f>IF(OR(CF51&lt;0,'P&amp;L'!CF22&lt;0)=TRUE,"NM",CF51/'P&amp;L'!CF22)</f>
        <v>NM</v>
      </c>
      <c r="CG64" s="182" t="str">
        <f>IF(OR(CG51&lt;0,'P&amp;L'!CG22&lt;0)=TRUE,"NM",CG51/'P&amp;L'!CG22)</f>
        <v>NM</v>
      </c>
      <c r="CH64" s="182"/>
      <c r="CI64" s="182" t="str">
        <f>IF(OR(CI51&lt;0,'P&amp;L'!CI22&lt;0)=TRUE,"NM",CI51/'P&amp;L'!CI22)</f>
        <v>NM</v>
      </c>
      <c r="CJ64" s="182" t="str">
        <f>IF(OR(CJ51&lt;0,'P&amp;L'!CJ22&lt;0)=TRUE,"NM",CJ51/'P&amp;L'!CJ22)</f>
        <v>NM</v>
      </c>
      <c r="CK64" s="182" t="str">
        <f>IF(OR(CK51&lt;0,'P&amp;L'!CK22&lt;0)=TRUE,"NM",CK51/'P&amp;L'!CK22)</f>
        <v>NM</v>
      </c>
      <c r="CL64" s="182" t="str">
        <f>IF(OR(CL51&lt;0,'P&amp;L'!CL22&lt;0)=TRUE,"NM",CL51/'P&amp;L'!CL22)</f>
        <v>NM</v>
      </c>
      <c r="CM64" s="182" t="str">
        <f>IF(OR(CM51&lt;0,'P&amp;L'!CM22&lt;0)=TRUE,"NM",CM51/'P&amp;L'!CM22)</f>
        <v>NM</v>
      </c>
      <c r="CN64" s="182"/>
      <c r="CO64" s="182" t="str">
        <f>IF(OR(CO51&lt;0,'P&amp;L'!CO22&lt;0)=TRUE,"NM",CO51/'P&amp;L'!CO22)</f>
        <v>NM</v>
      </c>
      <c r="CP64" s="182" t="str">
        <f>IF(OR(CP51&lt;0,'P&amp;L'!CP22&lt;0)=TRUE,"NM",CP51/'P&amp;L'!CP22)</f>
        <v>NM</v>
      </c>
      <c r="CQ64" s="182" t="str">
        <f>IF(OR(CQ51&lt;0,'P&amp;L'!CQ22&lt;0)=TRUE,"NM",CQ51/'P&amp;L'!CQ22)</f>
        <v>NM</v>
      </c>
      <c r="CR64" s="182" t="str">
        <f>IF(OR(CR51&lt;0,'P&amp;L'!CR22&lt;0)=TRUE,"NM",CR51/'P&amp;L'!CR22)</f>
        <v>NM</v>
      </c>
      <c r="CS64" s="182" t="str">
        <f>IF(OR(CS51&lt;0,'P&amp;L'!CS22&lt;0)=TRUE,"NM",CS51/'P&amp;L'!CS22)</f>
        <v>NM</v>
      </c>
      <c r="CT64" s="182"/>
      <c r="CU64" s="182"/>
      <c r="CV64" s="182"/>
      <c r="CW64" s="75"/>
      <c r="CX64" s="75"/>
      <c r="CY64" s="75"/>
      <c r="CZ64" s="75"/>
    </row>
    <row r="65" spans="1:104" x14ac:dyDescent="0.2">
      <c r="A65" s="17" t="s">
        <v>132</v>
      </c>
      <c r="B65" s="182"/>
      <c r="C65" s="181">
        <f>C50/(C45+C50)</f>
        <v>0</v>
      </c>
      <c r="D65" s="181">
        <f>D50/(D45+D50)</f>
        <v>0</v>
      </c>
      <c r="E65" s="181">
        <f>E50/(E45+E50)</f>
        <v>0</v>
      </c>
      <c r="F65" s="181">
        <f>F50/(F45+F50)</f>
        <v>0</v>
      </c>
      <c r="G65" s="181">
        <f>G50/(G45+G50)</f>
        <v>0</v>
      </c>
      <c r="H65" s="182"/>
      <c r="I65" s="181">
        <f>I50/(I45+I50)</f>
        <v>0</v>
      </c>
      <c r="J65" s="181">
        <f>J50/(J45+J50)</f>
        <v>0</v>
      </c>
      <c r="K65" s="181">
        <f>K50/(K45+K50)</f>
        <v>0</v>
      </c>
      <c r="L65" s="181">
        <f>L50/(L45+L50)</f>
        <v>0</v>
      </c>
      <c r="M65" s="181">
        <f>M50/(M45+M50)</f>
        <v>0</v>
      </c>
      <c r="N65" s="182"/>
      <c r="O65" s="181">
        <f>O50/(O45+O50)</f>
        <v>0</v>
      </c>
      <c r="P65" s="181">
        <f>P50/(P45+P50)</f>
        <v>0</v>
      </c>
      <c r="Q65" s="181">
        <f>Q50/(Q45+Q50)</f>
        <v>0</v>
      </c>
      <c r="R65" s="181">
        <f>R50/(R45+R50)</f>
        <v>0</v>
      </c>
      <c r="S65" s="181">
        <f>S50/(S45+S50)</f>
        <v>0</v>
      </c>
      <c r="T65" s="182"/>
      <c r="U65" s="181">
        <f>U50/(U45+U50)</f>
        <v>0</v>
      </c>
      <c r="V65" s="181">
        <f>V50/(V45+V50)</f>
        <v>0</v>
      </c>
      <c r="W65" s="181">
        <f>W50/(W45+W50)</f>
        <v>0</v>
      </c>
      <c r="X65" s="181">
        <f>X50/(X45+X50)</f>
        <v>0</v>
      </c>
      <c r="Y65" s="181">
        <f>Y50/(Y45+Y50)</f>
        <v>0</v>
      </c>
      <c r="Z65" s="182"/>
      <c r="AA65" s="181">
        <f>AA50/(AA45+AA50)</f>
        <v>0</v>
      </c>
      <c r="AB65" s="181">
        <f>AB50/(AB45+AB50)</f>
        <v>0</v>
      </c>
      <c r="AC65" s="181">
        <f>AC50/(AC45+AC50)</f>
        <v>0</v>
      </c>
      <c r="AD65" s="181">
        <f>AD50/(AD45+AD50)</f>
        <v>0</v>
      </c>
      <c r="AE65" s="181">
        <f>AE50/(AE45+AE50)</f>
        <v>0</v>
      </c>
      <c r="AF65" s="182"/>
      <c r="AG65" s="181">
        <f>AG50/(AG45+AG50)</f>
        <v>0</v>
      </c>
      <c r="AH65" s="181">
        <f>AH50/(AH45+AH50)</f>
        <v>0</v>
      </c>
      <c r="AI65" s="181">
        <f>AI50/(AI45+AI50)</f>
        <v>0</v>
      </c>
      <c r="AJ65" s="181">
        <f>AJ50/(AJ45+AJ50)</f>
        <v>0</v>
      </c>
      <c r="AK65" s="181">
        <f>AK50/(AK45+AK50)</f>
        <v>0</v>
      </c>
      <c r="AL65" s="182"/>
      <c r="AM65" s="181">
        <f>AM50/(AM45+AM50)</f>
        <v>0</v>
      </c>
      <c r="AN65" s="181">
        <f>AN50/(AN45+AN50)</f>
        <v>0</v>
      </c>
      <c r="AO65" s="181">
        <f>AO50/(AO45+AO50)</f>
        <v>0</v>
      </c>
      <c r="AP65" s="181">
        <f>AP50/(AP45+AP50)</f>
        <v>0</v>
      </c>
      <c r="AQ65" s="181">
        <f>AQ50/(AQ45+AQ50)</f>
        <v>0</v>
      </c>
      <c r="AR65" s="182"/>
      <c r="AS65" s="181">
        <f>AS50/(AS45+AS50)</f>
        <v>0</v>
      </c>
      <c r="AT65" s="181">
        <f>AT50/(AT45+AT50)</f>
        <v>0</v>
      </c>
      <c r="AU65" s="181">
        <f>AU50/(AU45+AU50)</f>
        <v>0</v>
      </c>
      <c r="AV65" s="181">
        <f>AV50/(AV45+AV50)</f>
        <v>0</v>
      </c>
      <c r="AW65" s="181">
        <f>AW50/(AW45+AW50)</f>
        <v>0</v>
      </c>
      <c r="AX65" s="182"/>
      <c r="AY65" s="181">
        <f>AY50/(AY45+AY50)</f>
        <v>0</v>
      </c>
      <c r="AZ65" s="181">
        <f>AZ50/(AZ45+AZ50)</f>
        <v>0</v>
      </c>
      <c r="BA65" s="181">
        <f>BA50/(BA45+BA50)</f>
        <v>0</v>
      </c>
      <c r="BB65" s="181">
        <f>BB50/(BB45+BB50)</f>
        <v>0</v>
      </c>
      <c r="BC65" s="181">
        <f>BC50/(BC45+BC50)</f>
        <v>0</v>
      </c>
      <c r="BD65" s="182"/>
      <c r="BE65" s="181">
        <f>BE50/(BE45+BE50)</f>
        <v>0</v>
      </c>
      <c r="BF65" s="181">
        <f>BF50/(BF45+BF50)</f>
        <v>0</v>
      </c>
      <c r="BG65" s="181">
        <f>BG50/(BG45+BG50)</f>
        <v>0</v>
      </c>
      <c r="BH65" s="181">
        <f>BH50/(BH45+BH50)</f>
        <v>0</v>
      </c>
      <c r="BI65" s="181">
        <f>BI50/(BI45+BI50)</f>
        <v>0</v>
      </c>
      <c r="BJ65" s="182"/>
      <c r="BK65" s="181">
        <f>BK50/(BK45+BK50)</f>
        <v>0.13550098632746069</v>
      </c>
      <c r="BL65" s="181">
        <f>BL50/(BL45+BL50)</f>
        <v>0.13782852509965543</v>
      </c>
      <c r="BM65" s="181">
        <f>BM50/(BM45+BM50)</f>
        <v>0.18891945492930709</v>
      </c>
      <c r="BN65" s="181">
        <f>BN50/(BN45+BN50)</f>
        <v>0.15605183347118828</v>
      </c>
      <c r="BO65" s="181">
        <f>BO50/(BO45+BO50)</f>
        <v>0.15605183347118828</v>
      </c>
      <c r="BP65" s="182"/>
      <c r="BQ65" s="181">
        <f>BQ50/(BQ45+BQ50)</f>
        <v>9.4507924806487273E-2</v>
      </c>
      <c r="BR65" s="181">
        <f>BR50/(BR45+BR50)</f>
        <v>8.4370574644108215E-2</v>
      </c>
      <c r="BS65" s="181">
        <f>BS50/(BS45+BS50)</f>
        <v>6.6318212487913822E-2</v>
      </c>
      <c r="BT65" s="181">
        <f>BT50/(BT45+BT50)</f>
        <v>6.4254368609319601E-2</v>
      </c>
      <c r="BU65" s="181">
        <f>BU50/(BU45+BU50)</f>
        <v>6.4254368609319601E-2</v>
      </c>
      <c r="BV65" s="182"/>
      <c r="BW65" s="181">
        <f>BW50/(BW45+BW50)</f>
        <v>6.2752924517794823E-2</v>
      </c>
      <c r="BX65" s="181">
        <f>BX50/(BX45+BX50)</f>
        <v>6.068566160829484E-2</v>
      </c>
      <c r="BY65" s="181">
        <f>BY50/(BY45+BY50)</f>
        <v>5.9077405846584739E-2</v>
      </c>
      <c r="BZ65" s="181">
        <f>BZ50/(BZ45+BZ50)</f>
        <v>5.7454174366180645E-2</v>
      </c>
      <c r="CA65" s="181">
        <f>CA50/(CA45+CA50)</f>
        <v>5.7454174366180645E-2</v>
      </c>
      <c r="CB65" s="182"/>
      <c r="CC65" s="181">
        <f>CC50/(CC45+CC50)</f>
        <v>5.6172798537548863E-2</v>
      </c>
      <c r="CD65" s="181">
        <f>CD50/(CD45+CD50)</f>
        <v>5.4367812016680402E-2</v>
      </c>
      <c r="CE65" s="181">
        <f>CE50/(CE45+CE50)</f>
        <v>5.2980548171017855E-2</v>
      </c>
      <c r="CF65" s="181">
        <f>CF50/(CF45+CF50)</f>
        <v>5.1572123120822967E-2</v>
      </c>
      <c r="CG65" s="181">
        <f>CG50/(CG45+CG50)</f>
        <v>5.1572123120822967E-2</v>
      </c>
      <c r="CH65" s="182"/>
      <c r="CI65" s="181">
        <f t="shared" ref="CI65:CM65" si="119">CI50/(CI45+CI50)</f>
        <v>5.0491146723809839E-2</v>
      </c>
      <c r="CJ65" s="181">
        <f t="shared" si="119"/>
        <v>4.8966153018133528E-2</v>
      </c>
      <c r="CK65" s="181">
        <f t="shared" si="119"/>
        <v>4.7825180771964029E-2</v>
      </c>
      <c r="CL65" s="181">
        <f t="shared" si="119"/>
        <v>4.6652656385411238E-2</v>
      </c>
      <c r="CM65" s="181">
        <f t="shared" si="119"/>
        <v>4.6652656385411238E-2</v>
      </c>
      <c r="CN65" s="182"/>
      <c r="CO65" s="181">
        <f t="shared" ref="CO65:CS65" si="120">CO50/(CO45+CO50)</f>
        <v>4.5721368083639254E-2</v>
      </c>
      <c r="CP65" s="181">
        <f t="shared" si="120"/>
        <v>4.4370150817611538E-2</v>
      </c>
      <c r="CQ65" s="181">
        <f t="shared" si="120"/>
        <v>4.3403393025295736E-2</v>
      </c>
      <c r="CR65" s="181">
        <f t="shared" si="120"/>
        <v>4.236188898311255E-2</v>
      </c>
      <c r="CS65" s="181">
        <f t="shared" si="120"/>
        <v>4.236188898311255E-2</v>
      </c>
      <c r="CT65" s="181"/>
      <c r="CU65" s="181"/>
      <c r="CV65" s="181"/>
      <c r="CW65" s="75"/>
      <c r="CX65" s="75"/>
      <c r="CY65" s="75"/>
      <c r="CZ65" s="75"/>
    </row>
    <row r="66" spans="1:104" x14ac:dyDescent="0.2">
      <c r="A66" s="17"/>
      <c r="B66" s="67"/>
      <c r="C66" s="10"/>
      <c r="D66" s="10"/>
      <c r="E66" s="10"/>
      <c r="F66" s="10"/>
      <c r="G66" s="10"/>
      <c r="H66" s="67"/>
      <c r="I66" s="10"/>
      <c r="J66" s="10"/>
      <c r="K66" s="10"/>
      <c r="L66" s="10"/>
      <c r="M66" s="10"/>
      <c r="N66" s="67"/>
      <c r="O66" s="10"/>
      <c r="P66" s="10"/>
      <c r="Q66" s="10"/>
      <c r="R66" s="10"/>
      <c r="S66" s="10"/>
      <c r="T66" s="67"/>
      <c r="U66" s="10"/>
      <c r="V66" s="10"/>
      <c r="W66" s="10"/>
      <c r="X66" s="10"/>
      <c r="Y66" s="10"/>
      <c r="Z66" s="67"/>
      <c r="AA66" s="10"/>
      <c r="AB66" s="10"/>
      <c r="AC66" s="10"/>
      <c r="AD66" s="10"/>
      <c r="AE66" s="10"/>
      <c r="AF66" s="103"/>
      <c r="AG66" s="10"/>
      <c r="AH66" s="10"/>
      <c r="AI66" s="10"/>
      <c r="AJ66" s="10"/>
      <c r="AK66" s="10"/>
      <c r="AL66" s="103"/>
      <c r="AM66" s="10"/>
      <c r="AN66" s="10"/>
      <c r="AO66" s="10"/>
      <c r="AP66" s="10"/>
      <c r="AQ66" s="10"/>
      <c r="AR66" s="103"/>
      <c r="AS66" s="10"/>
      <c r="AT66" s="10"/>
      <c r="AU66" s="10"/>
      <c r="AV66" s="10"/>
      <c r="AW66" s="10"/>
      <c r="AX66" s="103"/>
      <c r="AY66" s="10"/>
      <c r="AZ66" s="10"/>
      <c r="BA66" s="10"/>
      <c r="BB66" s="10"/>
      <c r="BC66" s="10"/>
      <c r="BD66" s="103"/>
      <c r="BE66" s="10"/>
      <c r="BF66" s="10"/>
      <c r="BG66" s="10"/>
      <c r="BH66" s="10"/>
      <c r="BI66" s="10"/>
      <c r="BJ66" s="103"/>
      <c r="BK66" s="10"/>
      <c r="BL66" s="10"/>
      <c r="BM66" s="10"/>
      <c r="BN66" s="10"/>
      <c r="BO66" s="10"/>
      <c r="BP66" s="103"/>
      <c r="BQ66" s="10"/>
      <c r="BR66" s="10"/>
      <c r="BS66" s="10"/>
      <c r="BT66" s="10"/>
      <c r="BU66" s="10"/>
      <c r="BV66" s="103"/>
      <c r="BW66" s="10"/>
      <c r="BX66" s="10"/>
      <c r="BY66" s="10"/>
      <c r="BZ66" s="10"/>
      <c r="CA66" s="10"/>
      <c r="CB66" s="103"/>
      <c r="CC66" s="10"/>
      <c r="CD66" s="10"/>
      <c r="CE66" s="10"/>
      <c r="CF66" s="10"/>
      <c r="CG66" s="10"/>
      <c r="CH66" s="103"/>
      <c r="CI66" s="10"/>
      <c r="CJ66" s="10"/>
      <c r="CK66" s="10"/>
      <c r="CL66" s="10"/>
      <c r="CM66" s="10"/>
      <c r="CN66" s="103"/>
      <c r="CO66" s="10"/>
      <c r="CP66" s="10"/>
      <c r="CQ66" s="10"/>
      <c r="CR66" s="10"/>
      <c r="CS66" s="10"/>
      <c r="CT66" s="10"/>
      <c r="CU66" s="10"/>
      <c r="CV66" s="10"/>
      <c r="CY66" s="43"/>
      <c r="CZ66" s="43"/>
    </row>
    <row r="67" spans="1:104" ht="12.75" customHeight="1" outlineLevel="1" x14ac:dyDescent="0.2">
      <c r="A67" s="18" t="s">
        <v>133</v>
      </c>
      <c r="B67" s="103"/>
      <c r="C67" s="179"/>
      <c r="D67" s="179"/>
      <c r="E67" s="179"/>
      <c r="F67" s="179"/>
      <c r="G67" s="179"/>
      <c r="H67" s="103"/>
      <c r="I67" s="179"/>
      <c r="J67" s="179"/>
      <c r="K67" s="179"/>
      <c r="L67" s="179"/>
      <c r="M67" s="179"/>
      <c r="N67" s="103"/>
      <c r="O67" s="179"/>
      <c r="P67" s="179"/>
      <c r="Q67" s="179"/>
      <c r="R67" s="179"/>
      <c r="S67" s="179"/>
      <c r="T67" s="103"/>
      <c r="U67" s="179"/>
      <c r="V67" s="179"/>
      <c r="W67" s="179"/>
      <c r="X67" s="179"/>
      <c r="Y67" s="179"/>
      <c r="Z67" s="103"/>
      <c r="AA67" s="179"/>
      <c r="AB67" s="179"/>
      <c r="AC67" s="179"/>
      <c r="AD67" s="179"/>
      <c r="AE67" s="179"/>
      <c r="AF67" s="103"/>
      <c r="AG67" s="179"/>
      <c r="AH67" s="179"/>
      <c r="AI67" s="179"/>
      <c r="AJ67" s="179"/>
      <c r="AK67" s="179"/>
      <c r="AL67" s="103"/>
      <c r="AM67" s="179"/>
      <c r="AN67" s="179"/>
      <c r="AO67" s="179"/>
      <c r="AP67" s="179"/>
      <c r="AQ67" s="179"/>
      <c r="AR67" s="103"/>
      <c r="AS67" s="179"/>
      <c r="AT67" s="179"/>
      <c r="AU67" s="179"/>
      <c r="AV67" s="179"/>
      <c r="AW67" s="179"/>
      <c r="AX67" s="103"/>
      <c r="AY67" s="179"/>
      <c r="AZ67" s="179"/>
      <c r="BA67" s="179"/>
      <c r="BB67" s="179"/>
      <c r="BC67" s="179"/>
      <c r="BD67" s="103"/>
      <c r="BE67" s="179"/>
      <c r="BF67" s="179"/>
      <c r="BG67" s="179"/>
      <c r="BH67" s="179"/>
      <c r="BI67" s="179"/>
      <c r="BJ67" s="103"/>
      <c r="BK67" s="179"/>
      <c r="BL67" s="179"/>
      <c r="BM67" s="179"/>
      <c r="BN67" s="179"/>
      <c r="BO67" s="179"/>
      <c r="BP67" s="103"/>
      <c r="BQ67" s="179"/>
      <c r="BR67" s="179"/>
      <c r="BS67" s="179"/>
      <c r="BT67" s="179"/>
      <c r="BU67" s="179"/>
      <c r="BV67" s="103"/>
      <c r="BW67" s="179"/>
      <c r="BX67" s="179"/>
      <c r="BY67" s="179"/>
      <c r="BZ67" s="179"/>
      <c r="CA67" s="179"/>
      <c r="CB67" s="103"/>
      <c r="CC67" s="179"/>
      <c r="CD67" s="179"/>
      <c r="CE67" s="179"/>
      <c r="CF67" s="179"/>
      <c r="CG67" s="179"/>
      <c r="CH67" s="103"/>
      <c r="CI67" s="179"/>
      <c r="CJ67" s="179"/>
      <c r="CK67" s="179"/>
      <c r="CL67" s="179"/>
      <c r="CM67" s="179"/>
      <c r="CN67" s="103"/>
      <c r="CO67" s="179"/>
      <c r="CP67" s="179"/>
      <c r="CQ67" s="179"/>
      <c r="CR67" s="179"/>
      <c r="CS67" s="179"/>
      <c r="CT67" s="179"/>
      <c r="CU67" s="179"/>
      <c r="CV67" s="179"/>
      <c r="CW67" s="75"/>
      <c r="CX67" s="75"/>
      <c r="CY67" s="75"/>
      <c r="CZ67" s="75"/>
    </row>
    <row r="68" spans="1:104" ht="12.75" customHeight="1" outlineLevel="1" x14ac:dyDescent="0.2">
      <c r="A68" s="16" t="s">
        <v>134</v>
      </c>
      <c r="B68" s="181"/>
      <c r="C68" s="181">
        <f>C15/C31</f>
        <v>10.363184730030069</v>
      </c>
      <c r="D68" s="181">
        <f>D15/D31</f>
        <v>8.8534678150498642</v>
      </c>
      <c r="E68" s="181">
        <f>E15/E31</f>
        <v>14.578658536585367</v>
      </c>
      <c r="F68" s="181">
        <f>F15/F31</f>
        <v>7.1789521562384522</v>
      </c>
      <c r="G68" s="181">
        <f>G15/G31</f>
        <v>7.1789521562384522</v>
      </c>
      <c r="H68" s="181"/>
      <c r="I68" s="181">
        <f>I15/I31</f>
        <v>7.3650939219530711</v>
      </c>
      <c r="J68" s="181">
        <f>J15/J31</f>
        <v>6.5778733161364284</v>
      </c>
      <c r="K68" s="181">
        <f>K15/K31</f>
        <v>6.7164440668065106</v>
      </c>
      <c r="L68" s="181">
        <f>L15/L31</f>
        <v>5.1203468725826813</v>
      </c>
      <c r="M68" s="181">
        <f>M15/M31</f>
        <v>5.1203468725826813</v>
      </c>
      <c r="N68" s="181"/>
      <c r="O68" s="181">
        <f>O15/O31</f>
        <v>6.7465303410600903</v>
      </c>
      <c r="P68" s="181">
        <f>P15/P31</f>
        <v>7.0032329388157049</v>
      </c>
      <c r="Q68" s="181">
        <f>Q15/Q31</f>
        <v>12.507848669972331</v>
      </c>
      <c r="R68" s="181">
        <f>R15/R31</f>
        <v>11.381143336752775</v>
      </c>
      <c r="S68" s="181">
        <f>S15/S31</f>
        <v>11.381143336752775</v>
      </c>
      <c r="T68" s="181"/>
      <c r="U68" s="181">
        <f>U15/U31</f>
        <v>19.54703948935359</v>
      </c>
      <c r="V68" s="181">
        <f>V15/V31</f>
        <v>17.64994936374444</v>
      </c>
      <c r="W68" s="181">
        <f>W15/W31</f>
        <v>20.282711437187743</v>
      </c>
      <c r="X68" s="181">
        <f>X15/X31</f>
        <v>17.256826622005384</v>
      </c>
      <c r="Y68" s="181">
        <f>Y15/Y31</f>
        <v>17.256826622005384</v>
      </c>
      <c r="Z68" s="181"/>
      <c r="AA68" s="181">
        <f>AA15/AA31</f>
        <v>15.901425754097831</v>
      </c>
      <c r="AB68" s="181">
        <f>AB15/AB31</f>
        <v>19.182853199930996</v>
      </c>
      <c r="AC68" s="181">
        <f>AC15/AC31</f>
        <v>17.78221803867876</v>
      </c>
      <c r="AD68" s="181">
        <f>AD15/AD31</f>
        <v>12.163346613545817</v>
      </c>
      <c r="AE68" s="181">
        <f>AE15/AE31</f>
        <v>12.163346613545817</v>
      </c>
      <c r="AF68" s="181"/>
      <c r="AG68" s="181">
        <f>AG15/AG31</f>
        <v>13.372926852650751</v>
      </c>
      <c r="AH68" s="181">
        <f>AH15/AH31</f>
        <v>12.339125720481654</v>
      </c>
      <c r="AI68" s="181">
        <f>AI15/AI31</f>
        <v>11.299498002806864</v>
      </c>
      <c r="AJ68" s="181">
        <f>AJ15/AJ31</f>
        <v>9.395601218671473</v>
      </c>
      <c r="AK68" s="181">
        <f>AK15/AK31</f>
        <v>9.395601218671473</v>
      </c>
      <c r="AL68" s="181"/>
      <c r="AM68" s="181">
        <f>AM15/AM31</f>
        <v>7.5865471790222472</v>
      </c>
      <c r="AN68" s="181">
        <f>AN15/AN31</f>
        <v>10.053926310235665</v>
      </c>
      <c r="AO68" s="181">
        <f>AO15/AO31</f>
        <v>8.3494339904142034</v>
      </c>
      <c r="AP68" s="181">
        <f>AP15/AP31</f>
        <v>7.5027050489079024</v>
      </c>
      <c r="AQ68" s="181">
        <f>AQ15/AQ31</f>
        <v>7.5027050489079024</v>
      </c>
      <c r="AR68" s="181"/>
      <c r="AS68" s="181">
        <f>AS15/AS31</f>
        <v>5.8038086802480082</v>
      </c>
      <c r="AT68" s="181">
        <f>AT15/AT31</f>
        <v>6.7442129629629637</v>
      </c>
      <c r="AU68" s="181">
        <f>AU15/AU31</f>
        <v>4.6865679915738125</v>
      </c>
      <c r="AV68" s="181">
        <f>AV15/AV31</f>
        <v>4.0013775472213249</v>
      </c>
      <c r="AW68" s="181">
        <f>AW15/AW31</f>
        <v>4.0013775472213249</v>
      </c>
      <c r="AX68" s="181"/>
      <c r="AY68" s="181">
        <f>AY15/AY31</f>
        <v>4.9518789221114794</v>
      </c>
      <c r="AZ68" s="181">
        <f>AZ15/AZ31</f>
        <v>5.3493323528920245</v>
      </c>
      <c r="BA68" s="181">
        <f>BA15/BA31</f>
        <v>4.2044273740937577</v>
      </c>
      <c r="BB68" s="181">
        <f>BB15/BB31</f>
        <v>4.1283988355167391</v>
      </c>
      <c r="BC68" s="181">
        <f>BC15/BC31</f>
        <v>4.1283988355167391</v>
      </c>
      <c r="BD68" s="181"/>
      <c r="BE68" s="181">
        <f>BE15/BE31</f>
        <v>5.2084745762711879</v>
      </c>
      <c r="BF68" s="181">
        <f>BF15/BF31</f>
        <v>5.6980273141122906</v>
      </c>
      <c r="BG68" s="181">
        <f>BG15/BG31</f>
        <v>5.6338880484114968</v>
      </c>
      <c r="BH68" s="181">
        <f>BH15/BH31</f>
        <v>4.3499308437067778</v>
      </c>
      <c r="BI68" s="181">
        <f>BI15/BI31</f>
        <v>4.3499308437067778</v>
      </c>
      <c r="BJ68" s="181"/>
      <c r="BK68" s="181">
        <f>BK15/BK31</f>
        <v>1.1746089487086213</v>
      </c>
      <c r="BL68" s="181">
        <f>BL15/BL31</f>
        <v>4.1256038647343001</v>
      </c>
      <c r="BM68" s="181">
        <f>BM15/BM31</f>
        <v>1.5710419485791611</v>
      </c>
      <c r="BN68" s="181">
        <f>BN15/BN31</f>
        <v>1.4579310344827583</v>
      </c>
      <c r="BO68" s="181">
        <f>BO15/BO31</f>
        <v>1.4579310344827583</v>
      </c>
      <c r="BP68" s="181"/>
      <c r="BQ68" s="181">
        <f>BQ15/BQ31</f>
        <v>2.3390804597701149</v>
      </c>
      <c r="BR68" s="181">
        <f>BR15/BR31</f>
        <v>2.0527306967984931</v>
      </c>
      <c r="BS68" s="181">
        <f>BS15/BS31</f>
        <v>2.2039687836277446</v>
      </c>
      <c r="BT68" s="181">
        <f>BT15/BT31</f>
        <v>2.5284670640409765</v>
      </c>
      <c r="BU68" s="181">
        <f>BU15/BU31</f>
        <v>2.5284670640409765</v>
      </c>
      <c r="BV68" s="181"/>
      <c r="BW68" s="181">
        <f>BW15/BW31</f>
        <v>2.8741959495930289</v>
      </c>
      <c r="BX68" s="181">
        <f>BX15/BX31</f>
        <v>3.1088315045252108</v>
      </c>
      <c r="BY68" s="181">
        <f>BY15/BY31</f>
        <v>3.3934590936814559</v>
      </c>
      <c r="BZ68" s="181">
        <f>BZ15/BZ31</f>
        <v>3.7038882701139739</v>
      </c>
      <c r="CA68" s="181">
        <f>CA15/CA31</f>
        <v>3.7038882701139739</v>
      </c>
      <c r="CB68" s="181"/>
      <c r="CC68" s="181">
        <f>CC15/CC31</f>
        <v>4.0916878991021717</v>
      </c>
      <c r="CD68" s="181">
        <f>CD15/CD31</f>
        <v>4.2612489670490303</v>
      </c>
      <c r="CE68" s="181">
        <f>CE15/CE31</f>
        <v>4.5415500077104936</v>
      </c>
      <c r="CF68" s="181">
        <f>CF15/CF31</f>
        <v>4.842323329287316</v>
      </c>
      <c r="CG68" s="181">
        <f>CG15/CG31</f>
        <v>4.842323329287316</v>
      </c>
      <c r="CH68" s="181"/>
      <c r="CI68" s="181">
        <f t="shared" ref="CI68:CM68" si="121">CI15/CI31</f>
        <v>5.2494067519046705</v>
      </c>
      <c r="CJ68" s="181">
        <f t="shared" si="121"/>
        <v>5.3409053703355083</v>
      </c>
      <c r="CK68" s="181">
        <f t="shared" si="121"/>
        <v>5.6174557652652535</v>
      </c>
      <c r="CL68" s="181">
        <f t="shared" si="121"/>
        <v>5.8977472431618994</v>
      </c>
      <c r="CM68" s="181">
        <f t="shared" si="121"/>
        <v>5.8977472431618994</v>
      </c>
      <c r="CN68" s="181"/>
      <c r="CO68" s="181">
        <f t="shared" ref="CO68:CS68" si="122">CO15/CO31</f>
        <v>6.3373073124905943</v>
      </c>
      <c r="CP68" s="181">
        <f t="shared" si="122"/>
        <v>6.3412982864060181</v>
      </c>
      <c r="CQ68" s="181">
        <f t="shared" si="122"/>
        <v>6.6531568334997857</v>
      </c>
      <c r="CR68" s="181">
        <f t="shared" si="122"/>
        <v>6.9051648870830551</v>
      </c>
      <c r="CS68" s="181">
        <f t="shared" si="122"/>
        <v>6.9051648870830551</v>
      </c>
      <c r="CT68" s="181"/>
      <c r="CU68" s="181"/>
      <c r="CV68" s="181"/>
      <c r="CW68" s="75"/>
      <c r="CX68" s="75"/>
      <c r="CY68" s="75"/>
      <c r="CZ68" s="75"/>
    </row>
    <row r="69" spans="1:104" ht="12.75" customHeight="1" outlineLevel="1" x14ac:dyDescent="0.2">
      <c r="A69" s="19" t="s">
        <v>135</v>
      </c>
      <c r="B69" s="179"/>
      <c r="C69" s="181">
        <f>(C8+C9+C12)/C31</f>
        <v>10.253061402361965</v>
      </c>
      <c r="D69" s="181">
        <f>(D8+D9+D12)/D31</f>
        <v>8.5946282864913872</v>
      </c>
      <c r="E69" s="181">
        <f>(E8+E9+E12)/E31</f>
        <v>14.36445993031359</v>
      </c>
      <c r="F69" s="181">
        <f>(F8+F9+F12)/F31</f>
        <v>6.9708616425505303</v>
      </c>
      <c r="G69" s="181">
        <f>(G8+G9+G12)/G31</f>
        <v>6.9708616425505303</v>
      </c>
      <c r="H69" s="179"/>
      <c r="I69" s="181">
        <f>(I8+I9+I12)/I31</f>
        <v>7.0220732401492629</v>
      </c>
      <c r="J69" s="181">
        <f>(J8+J9+J12)/J31</f>
        <v>6.2946116365720846</v>
      </c>
      <c r="K69" s="181">
        <f>(K8+K9+K12)/K31</f>
        <v>6.4761424285069431</v>
      </c>
      <c r="L69" s="181">
        <f>(L8+L9+L12)/L31</f>
        <v>5.012973794563492</v>
      </c>
      <c r="M69" s="181">
        <f>(M8+M9+M12)/M31</f>
        <v>5.012973794563492</v>
      </c>
      <c r="N69" s="179"/>
      <c r="O69" s="181">
        <f>(O8+O9+O12)/O31</f>
        <v>6.5568064373246706</v>
      </c>
      <c r="P69" s="181">
        <f>(P8+P9+P12)/P31</f>
        <v>6.9382954608795835</v>
      </c>
      <c r="Q69" s="181">
        <f>(Q8+Q9+Q12)/Q31</f>
        <v>12.315645289428268</v>
      </c>
      <c r="R69" s="181">
        <f>(R8+R9+R12)/R31</f>
        <v>11.236656408343439</v>
      </c>
      <c r="S69" s="181">
        <f>(S8+S9+S12)/S31</f>
        <v>11.236656408343439</v>
      </c>
      <c r="T69" s="179"/>
      <c r="U69" s="181">
        <f>(U8+U9+U12)/U31</f>
        <v>19.118992044967367</v>
      </c>
      <c r="V69" s="181">
        <f>(V8+V9+V12)/V31</f>
        <v>17.356259081502358</v>
      </c>
      <c r="W69" s="181">
        <f>(W8+W9+W12)/W31</f>
        <v>20.109195660980333</v>
      </c>
      <c r="X69" s="181">
        <f>(X8+X9+X12)/X31</f>
        <v>16.421357314497921</v>
      </c>
      <c r="Y69" s="181">
        <f>(Y8+Y9+Y12)/Y31</f>
        <v>16.421357314497921</v>
      </c>
      <c r="Z69" s="179"/>
      <c r="AA69" s="181">
        <f>(AA8+AA9+AA12)/AA31</f>
        <v>15.265170864181567</v>
      </c>
      <c r="AB69" s="181">
        <f>(AB8+AB9+AB12)/AB31</f>
        <v>18.602811799206481</v>
      </c>
      <c r="AC69" s="181">
        <f>(AC8+AC9+AC12)/AC31</f>
        <v>17.442238576073933</v>
      </c>
      <c r="AD69" s="181">
        <f>(AD8+AD9+AD12)/AD31</f>
        <v>11.537179748160641</v>
      </c>
      <c r="AE69" s="181">
        <f>(AE8+AE9+AE12)/AE31</f>
        <v>11.537179748160641</v>
      </c>
      <c r="AF69" s="179"/>
      <c r="AG69" s="181">
        <f>(AG8+AG9+AG12)/AG31</f>
        <v>12.601508324545426</v>
      </c>
      <c r="AH69" s="181">
        <f>(AH8+AH9+AH12)/AH31</f>
        <v>11.231467214518062</v>
      </c>
      <c r="AI69" s="181">
        <f>(AI8+AI9+AI12)/AI31</f>
        <v>10.480190003238691</v>
      </c>
      <c r="AJ69" s="181">
        <f>(AJ8+AJ9+AJ12)/AJ31</f>
        <v>8.9170502813174117</v>
      </c>
      <c r="AK69" s="181">
        <f>(AK8+AK9+AK12)/AK31</f>
        <v>8.9170502813174117</v>
      </c>
      <c r="AL69" s="179"/>
      <c r="AM69" s="181">
        <f>(AM8+AM9+AM12)/AM31</f>
        <v>7.1774182300020923</v>
      </c>
      <c r="AN69" s="181">
        <f>(AN8+AN9+AN12)/AN31</f>
        <v>9.5453086528315154</v>
      </c>
      <c r="AO69" s="181">
        <f>(AO8+AO9+AO12)/AO31</f>
        <v>8.0067324369183712</v>
      </c>
      <c r="AP69" s="181">
        <f>(AP8+AP9+AP12)/AP31</f>
        <v>7.2338588414019735</v>
      </c>
      <c r="AQ69" s="181">
        <f>(AQ8+AQ9+AQ12)/AQ31</f>
        <v>7.2338588414019735</v>
      </c>
      <c r="AR69" s="179"/>
      <c r="AS69" s="181">
        <f>(AS8+AS9+AS12)/AS31</f>
        <v>5.6084524863975709</v>
      </c>
      <c r="AT69" s="181">
        <f>(AT8+AT9+AT12)/AT31</f>
        <v>6.495311016144349</v>
      </c>
      <c r="AU69" s="181">
        <f>(AU8+AU9+AU12)/AU31</f>
        <v>4.0860912467431678</v>
      </c>
      <c r="AV69" s="181">
        <f>(AV8+AV9+AV12)/AV31</f>
        <v>3.3229789768919558</v>
      </c>
      <c r="AW69" s="181">
        <f>(AW8+AW9+AW12)/AW31</f>
        <v>3.3229789768919558</v>
      </c>
      <c r="AX69" s="179"/>
      <c r="AY69" s="181">
        <f>(AY8+AY9+AY12)/AY31</f>
        <v>3.8095385751199697</v>
      </c>
      <c r="AZ69" s="181">
        <f>(AZ8+AZ9+AZ12)/AZ31</f>
        <v>4.4867723983488483</v>
      </c>
      <c r="BA69" s="181">
        <f>(BA8+BA9+BA12)/BA31</f>
        <v>3.373796019233918</v>
      </c>
      <c r="BB69" s="181">
        <f>(BB8+BB9+BB12)/BB31</f>
        <v>3.3569286754002907</v>
      </c>
      <c r="BC69" s="181">
        <f>(BC8+BC9+BC12)/BC31</f>
        <v>3.3569286754002907</v>
      </c>
      <c r="BD69" s="179"/>
      <c r="BE69" s="181">
        <f>(BE8+BE9+BE12)/BE31</f>
        <v>4.0474576271186447</v>
      </c>
      <c r="BF69" s="181">
        <f>(BF8+BF9+BF12)/BF31</f>
        <v>4.6069802731411222</v>
      </c>
      <c r="BG69" s="181">
        <f>(BG8+BG9+BG12)/BG31</f>
        <v>4.6565809379727678</v>
      </c>
      <c r="BH69" s="181">
        <f>(BH8+BH9+BH12)/BH31</f>
        <v>3.467496542185339</v>
      </c>
      <c r="BI69" s="181">
        <f>(BI8+BI9+BI12)/BI31</f>
        <v>3.467496542185339</v>
      </c>
      <c r="BJ69" s="179"/>
      <c r="BK69" s="181">
        <f>(BK8+BK9+BK12)/BK31</f>
        <v>0.89705347399054214</v>
      </c>
      <c r="BL69" s="181">
        <f>(BL8+BL9+BL12)/BL31</f>
        <v>3.2620772946859908</v>
      </c>
      <c r="BM69" s="181">
        <f>(BM8+BM9+BM12)/BM31</f>
        <v>1.2940911141181777</v>
      </c>
      <c r="BN69" s="181">
        <f>(BN8+BN9+BN12)/BN31</f>
        <v>1.1783908045977012</v>
      </c>
      <c r="BO69" s="181">
        <f>(BO8+BO9+BO12)/BO31</f>
        <v>1.1783908045977012</v>
      </c>
      <c r="BP69" s="179"/>
      <c r="BQ69" s="181">
        <f>(BQ8+BQ9+BQ12)/BQ31</f>
        <v>1.8785919540229883</v>
      </c>
      <c r="BR69" s="181">
        <f>(BR8+BR9+BR12)/BR31</f>
        <v>1.6610169491525424</v>
      </c>
      <c r="BS69" s="181">
        <f>(BS8+BS9+BS12)/BS31</f>
        <v>1.8484652600473503</v>
      </c>
      <c r="BT69" s="181">
        <f>(BT8+BT9+BT12)/BT31</f>
        <v>2.1681475494901483</v>
      </c>
      <c r="BU69" s="181">
        <f>(BU8+BU9+BU12)/BU31</f>
        <v>2.1681475494901483</v>
      </c>
      <c r="BV69" s="179"/>
      <c r="BW69" s="181">
        <f>(BW8+BW9+BW12)/BW31</f>
        <v>2.5443929564175631</v>
      </c>
      <c r="BX69" s="181">
        <f>(BX8+BX9+BX12)/BX31</f>
        <v>2.7839829497281885</v>
      </c>
      <c r="BY69" s="181">
        <f>(BY8+BY9+BY12)/BY31</f>
        <v>3.0314310801781486</v>
      </c>
      <c r="BZ69" s="181">
        <f>(BZ8+BZ9+BZ12)/BZ31</f>
        <v>3.3379145084353312</v>
      </c>
      <c r="CA69" s="181">
        <f>(CA8+CA9+CA12)/CA31</f>
        <v>3.3379145084353312</v>
      </c>
      <c r="CB69" s="179"/>
      <c r="CC69" s="181">
        <f>(CC8+CC9+CC12)/CC31</f>
        <v>3.7629115286473689</v>
      </c>
      <c r="CD69" s="181">
        <f>(CD8+CD9+CD12)/CD31</f>
        <v>3.9348896814668501</v>
      </c>
      <c r="CE69" s="181">
        <f>(CE8+CE9+CE12)/CE31</f>
        <v>4.1760285171965625</v>
      </c>
      <c r="CF69" s="181">
        <f>(CF8+CF9+CF12)/CF31</f>
        <v>4.4705007885391614</v>
      </c>
      <c r="CG69" s="181">
        <f>(CG8+CG9+CG12)/CG31</f>
        <v>4.4705007885391614</v>
      </c>
      <c r="CH69" s="179"/>
      <c r="CI69" s="181">
        <f t="shared" ref="CI69:CM69" si="123">(CI8+CI9+CI12)/CI31</f>
        <v>4.9155939759356588</v>
      </c>
      <c r="CJ69" s="181">
        <f t="shared" si="123"/>
        <v>5.0090871050097068</v>
      </c>
      <c r="CK69" s="181">
        <f t="shared" si="123"/>
        <v>5.2458149217537562</v>
      </c>
      <c r="CL69" s="181">
        <f t="shared" si="123"/>
        <v>5.5183437615482989</v>
      </c>
      <c r="CM69" s="181">
        <f t="shared" si="123"/>
        <v>5.5183437615482989</v>
      </c>
      <c r="CN69" s="179"/>
      <c r="CO69" s="181">
        <f t="shared" ref="CO69:CS69" si="124">(CO8+CO9+CO12)/CO31</f>
        <v>5.9979466349662935</v>
      </c>
      <c r="CP69" s="181">
        <f t="shared" si="124"/>
        <v>6.0035896953083885</v>
      </c>
      <c r="CQ69" s="181">
        <f t="shared" si="124"/>
        <v>6.2770752499463063</v>
      </c>
      <c r="CR69" s="181">
        <f t="shared" si="124"/>
        <v>6.5196594102207222</v>
      </c>
      <c r="CS69" s="181">
        <f t="shared" si="124"/>
        <v>6.5196594102207222</v>
      </c>
      <c r="CT69" s="181"/>
      <c r="CU69" s="181"/>
      <c r="CV69" s="181"/>
      <c r="CW69" s="75"/>
      <c r="CX69" s="75"/>
      <c r="CY69" s="75"/>
      <c r="CZ69" s="75"/>
    </row>
    <row r="70" spans="1:104" ht="12.75" customHeight="1" outlineLevel="1" x14ac:dyDescent="0.2">
      <c r="A70" s="20" t="s">
        <v>136</v>
      </c>
      <c r="B70" s="179"/>
      <c r="C70" s="181">
        <f>C8/C31</f>
        <v>3.8621606310193051</v>
      </c>
      <c r="D70" s="181">
        <f>D8/D31</f>
        <v>3.2437292233303112</v>
      </c>
      <c r="E70" s="181">
        <f>E8/E31</f>
        <v>8.4874128919860645</v>
      </c>
      <c r="F70" s="181">
        <f>F8/F31</f>
        <v>4.0774369616510784</v>
      </c>
      <c r="G70" s="181">
        <f>G8/G31</f>
        <v>4.0774369616510784</v>
      </c>
      <c r="H70" s="179"/>
      <c r="I70" s="181">
        <f>I8/I31</f>
        <v>3.3905508822971346</v>
      </c>
      <c r="J70" s="181">
        <f>J8/J31</f>
        <v>3.2838922327314415</v>
      </c>
      <c r="K70" s="181">
        <f>K8/K31</f>
        <v>3.7808873901383393</v>
      </c>
      <c r="L70" s="181">
        <f>L8/L31</f>
        <v>3.2262678627166261</v>
      </c>
      <c r="M70" s="181">
        <f>M8/M31</f>
        <v>3.2262678627166261</v>
      </c>
      <c r="N70" s="179"/>
      <c r="O70" s="181">
        <f>O8/O31</f>
        <v>4.2490956739997046</v>
      </c>
      <c r="P70" s="181">
        <f>P8/P31</f>
        <v>3.3255606547630112</v>
      </c>
      <c r="Q70" s="181">
        <f>Q8/Q31</f>
        <v>5.4977673067967014</v>
      </c>
      <c r="R70" s="181">
        <f>R8/R31</f>
        <v>1.9742609344399888</v>
      </c>
      <c r="S70" s="181">
        <f>S8/S31</f>
        <v>1.9742609344399888</v>
      </c>
      <c r="T70" s="179"/>
      <c r="U70" s="181">
        <f>U8/U31</f>
        <v>4.3441147049016333</v>
      </c>
      <c r="V70" s="181">
        <f>V8/V31</f>
        <v>2.6608691823345514</v>
      </c>
      <c r="W70" s="181">
        <f>W8/W31</f>
        <v>4.5977854795877038</v>
      </c>
      <c r="X70" s="181">
        <f>X8/X31</f>
        <v>3.3801791305614213</v>
      </c>
      <c r="Y70" s="181">
        <f>Y8/Y31</f>
        <v>3.3801791305614213</v>
      </c>
      <c r="Z70" s="179"/>
      <c r="AA70" s="181">
        <f>AA8/AA31</f>
        <v>3.9864537195693641</v>
      </c>
      <c r="AB70" s="181">
        <f>AB8/AB31</f>
        <v>2.9182766948421595</v>
      </c>
      <c r="AC70" s="181">
        <f>AC8/AC31</f>
        <v>2.8828512750299504</v>
      </c>
      <c r="AD70" s="181">
        <f>AD8/AD31</f>
        <v>1.5320033733678424</v>
      </c>
      <c r="AE70" s="181">
        <f>AE8/AE31</f>
        <v>1.5320033733678424</v>
      </c>
      <c r="AF70" s="179"/>
      <c r="AG70" s="181">
        <f>AG8/AG31</f>
        <v>2.0028760425654299</v>
      </c>
      <c r="AH70" s="181">
        <f>AH8/AH31</f>
        <v>3.1058608685727331</v>
      </c>
      <c r="AI70" s="181">
        <f>AI8/AI31</f>
        <v>2.8298607362625501</v>
      </c>
      <c r="AJ70" s="181">
        <f>AJ8/AJ31</f>
        <v>1.9203415838281408</v>
      </c>
      <c r="AK70" s="181">
        <f>AK8/AK31</f>
        <v>1.9203415838281408</v>
      </c>
      <c r="AL70" s="179"/>
      <c r="AM70" s="181">
        <f>AM8/AM31</f>
        <v>1.6664865053351001</v>
      </c>
      <c r="AN70" s="181">
        <f>AN8/AN31</f>
        <v>1.5041989096025326</v>
      </c>
      <c r="AO70" s="181">
        <f>AO8/AO31</f>
        <v>2.0947576509203483</v>
      </c>
      <c r="AP70" s="181">
        <f>AP8/AP31</f>
        <v>1.6133097707296651</v>
      </c>
      <c r="AQ70" s="181">
        <f>AQ8/AQ31</f>
        <v>1.6133097707296651</v>
      </c>
      <c r="AR70" s="179"/>
      <c r="AS70" s="181">
        <f>AS8/AS31</f>
        <v>1.0753764393268379</v>
      </c>
      <c r="AT70" s="181">
        <f>AT8/AT31</f>
        <v>1.0624258072174739</v>
      </c>
      <c r="AU70" s="181">
        <f>AU8/AU31</f>
        <v>1.1890625866178837</v>
      </c>
      <c r="AV70" s="181">
        <f>AV8/AV31</f>
        <v>0.80445034624835554</v>
      </c>
      <c r="AW70" s="181">
        <f>AW8/AW31</f>
        <v>0.80445034624835554</v>
      </c>
      <c r="AX70" s="179"/>
      <c r="AY70" s="181">
        <f>AY8/AY31</f>
        <v>1.0306829088224436</v>
      </c>
      <c r="AZ70" s="181">
        <f>AZ8/AZ31</f>
        <v>0.99786085532362934</v>
      </c>
      <c r="BA70" s="181">
        <f>BA8/BA31</f>
        <v>0.82189272475548214</v>
      </c>
      <c r="BB70" s="181">
        <f>BB8/BB31</f>
        <v>0.93334788937409019</v>
      </c>
      <c r="BC70" s="181">
        <f>BC8/BC31</f>
        <v>0.93334788937409019</v>
      </c>
      <c r="BD70" s="179"/>
      <c r="BE70" s="181">
        <f>BE8/BE31</f>
        <v>1.48135593220339</v>
      </c>
      <c r="BF70" s="181">
        <f>BF8/BF31</f>
        <v>2.0440060698027311</v>
      </c>
      <c r="BG70" s="181">
        <f>BG8/BG31</f>
        <v>1.8229954614220878</v>
      </c>
      <c r="BH70" s="181">
        <f>BH8/BH31</f>
        <v>0.94744121715076079</v>
      </c>
      <c r="BI70" s="181">
        <f>BI8/BI31</f>
        <v>0.94744121715076079</v>
      </c>
      <c r="BJ70" s="179"/>
      <c r="BK70" s="181">
        <f>BK8/BK31</f>
        <v>0.3161149508912332</v>
      </c>
      <c r="BL70" s="181">
        <f>BL8/BL31</f>
        <v>1.3055555555555556</v>
      </c>
      <c r="BM70" s="181">
        <f>BM8/BM31</f>
        <v>0.55841226883175465</v>
      </c>
      <c r="BN70" s="181">
        <f>BN8/BN31</f>
        <v>0.47080459770114952</v>
      </c>
      <c r="BO70" s="181">
        <f>BO8/BO31</f>
        <v>0.47080459770114952</v>
      </c>
      <c r="BP70" s="179"/>
      <c r="BQ70" s="181">
        <f>BQ8/BQ31</f>
        <v>0.63146551724137923</v>
      </c>
      <c r="BR70" s="181">
        <f>BR8/BR31</f>
        <v>0.55681104833647199</v>
      </c>
      <c r="BS70" s="181">
        <f>BS8/BS31</f>
        <v>0.82517815626302116</v>
      </c>
      <c r="BT70" s="181">
        <f>BT8/BT31</f>
        <v>1.1864576798333191</v>
      </c>
      <c r="BU70" s="181">
        <f>BU8/BU31</f>
        <v>1.1864576798333191</v>
      </c>
      <c r="BV70" s="179"/>
      <c r="BW70" s="181">
        <f>BW8/BW31</f>
        <v>1.4738062628000377</v>
      </c>
      <c r="BX70" s="181">
        <f>BX8/BX31</f>
        <v>1.6886667353581071</v>
      </c>
      <c r="BY70" s="181">
        <f>BY8/BY31</f>
        <v>2.0106746985743902</v>
      </c>
      <c r="BZ70" s="181">
        <f>BZ8/BZ31</f>
        <v>2.3570814488266838</v>
      </c>
      <c r="CA70" s="181">
        <f>CA8/CA31</f>
        <v>2.3570814488266838</v>
      </c>
      <c r="CB70" s="179"/>
      <c r="CC70" s="181">
        <f>CC8/CC31</f>
        <v>2.6972936730269352</v>
      </c>
      <c r="CD70" s="181">
        <f>CD8/CD31</f>
        <v>2.8436173923735604</v>
      </c>
      <c r="CE70" s="181">
        <f>CE8/CE31</f>
        <v>3.1626268939261384</v>
      </c>
      <c r="CF70" s="181">
        <f>CF8/CF31</f>
        <v>3.4994731815720228</v>
      </c>
      <c r="CG70" s="181">
        <f>CG8/CG31</f>
        <v>3.4994731815720228</v>
      </c>
      <c r="CH70" s="179"/>
      <c r="CI70" s="181">
        <f t="shared" ref="CI70:CM70" si="125">CI8/CI31</f>
        <v>3.855098718471182</v>
      </c>
      <c r="CJ70" s="181">
        <f t="shared" si="125"/>
        <v>3.9226489418321373</v>
      </c>
      <c r="CK70" s="181">
        <f t="shared" si="125"/>
        <v>4.2407554847474191</v>
      </c>
      <c r="CL70" s="181">
        <f t="shared" si="125"/>
        <v>4.55840352539904</v>
      </c>
      <c r="CM70" s="181">
        <f t="shared" si="125"/>
        <v>4.55840352539904</v>
      </c>
      <c r="CN70" s="179"/>
      <c r="CO70" s="181">
        <f t="shared" ref="CO70:CS70" si="126">CO8/CO31</f>
        <v>4.9441544501846275</v>
      </c>
      <c r="CP70" s="181">
        <f t="shared" si="126"/>
        <v>4.9225888292069051</v>
      </c>
      <c r="CQ70" s="181">
        <f t="shared" si="126"/>
        <v>5.2802081822698108</v>
      </c>
      <c r="CR70" s="181">
        <f t="shared" si="126"/>
        <v>5.5700745174371731</v>
      </c>
      <c r="CS70" s="181">
        <f t="shared" si="126"/>
        <v>5.5700745174371731</v>
      </c>
      <c r="CT70" s="181"/>
      <c r="CU70" s="181"/>
      <c r="CV70" s="181"/>
      <c r="CW70" s="75"/>
      <c r="CX70" s="75"/>
      <c r="CY70" s="75"/>
      <c r="CZ70" s="75"/>
    </row>
    <row r="71" spans="1:104" ht="12.75" customHeight="1" outlineLevel="1" x14ac:dyDescent="0.2">
      <c r="A71" s="21" t="s">
        <v>137</v>
      </c>
      <c r="B71" s="179"/>
      <c r="C71" s="181">
        <f>(C15-C11)/C31</f>
        <v>10.363184730030069</v>
      </c>
      <c r="D71" s="181">
        <f>(D15-D11)/D31</f>
        <v>8.8534678150498642</v>
      </c>
      <c r="E71" s="181">
        <f>(E15-E11)/E31</f>
        <v>14.578658536585367</v>
      </c>
      <c r="F71" s="181">
        <f>(F15-F11)/F31</f>
        <v>7.1789521562384522</v>
      </c>
      <c r="G71" s="181">
        <f>(G15-G11)/G31</f>
        <v>7.1789521562384522</v>
      </c>
      <c r="H71" s="179"/>
      <c r="I71" s="181">
        <f>(I15-I11)/I31</f>
        <v>7.3650939219530711</v>
      </c>
      <c r="J71" s="181">
        <f>(J15-J11)/J31</f>
        <v>6.5778733161364284</v>
      </c>
      <c r="K71" s="181">
        <f>(K15-K11)/K31</f>
        <v>6.7164440668065106</v>
      </c>
      <c r="L71" s="181">
        <f>(L15-L11)/L31</f>
        <v>5.1203468725826813</v>
      </c>
      <c r="M71" s="181">
        <f>(M15-M11)/M31</f>
        <v>5.1203468725826813</v>
      </c>
      <c r="N71" s="179"/>
      <c r="O71" s="181">
        <f>(O15-O11)/O31</f>
        <v>6.7465303410600903</v>
      </c>
      <c r="P71" s="181">
        <f>(P15-P11)/P31</f>
        <v>7.0032329388157049</v>
      </c>
      <c r="Q71" s="181">
        <f>(Q15-Q11)/Q31</f>
        <v>12.507848669972331</v>
      </c>
      <c r="R71" s="181">
        <f>(R15-R11)/R31</f>
        <v>11.381143336752775</v>
      </c>
      <c r="S71" s="181">
        <f>(S15-S11)/S31</f>
        <v>11.381143336752775</v>
      </c>
      <c r="T71" s="179"/>
      <c r="U71" s="181">
        <f>(U15-U11)/U31</f>
        <v>19.54703948935359</v>
      </c>
      <c r="V71" s="181">
        <f>(V15-V11)/V31</f>
        <v>17.64994936374444</v>
      </c>
      <c r="W71" s="181">
        <f>(W15-W11)/W31</f>
        <v>20.282711437187743</v>
      </c>
      <c r="X71" s="181">
        <f>(X15-X11)/X31</f>
        <v>17.256826622005384</v>
      </c>
      <c r="Y71" s="181">
        <f>(Y15-Y11)/Y31</f>
        <v>17.256826622005384</v>
      </c>
      <c r="Z71" s="179"/>
      <c r="AA71" s="181">
        <f>(AA15-AA11)/AA31</f>
        <v>15.901425754097831</v>
      </c>
      <c r="AB71" s="181">
        <f>(AB15-AB11)/AB31</f>
        <v>19.182853199930996</v>
      </c>
      <c r="AC71" s="181">
        <f>(AC15-AC11)/AC31</f>
        <v>17.78221803867876</v>
      </c>
      <c r="AD71" s="181">
        <f>(AD15-AD11)/AD31</f>
        <v>11.924360950359148</v>
      </c>
      <c r="AE71" s="181">
        <f>(AE15-AE11)/AE31</f>
        <v>11.924360950359148</v>
      </c>
      <c r="AF71" s="179"/>
      <c r="AG71" s="181">
        <f>(AG15-AG11)/AG31</f>
        <v>13.062857508068896</v>
      </c>
      <c r="AH71" s="181">
        <f>(AH15-AH11)/AH31</f>
        <v>12.045397477600869</v>
      </c>
      <c r="AI71" s="181">
        <f>(AI15-AI11)/AI31</f>
        <v>11.019270214833206</v>
      </c>
      <c r="AJ71" s="181">
        <f>(AJ15-AJ11)/AJ31</f>
        <v>9.138212466920189</v>
      </c>
      <c r="AK71" s="181">
        <f>(AK15-AK11)/AK31</f>
        <v>9.138212466920189</v>
      </c>
      <c r="AL71" s="179"/>
      <c r="AM71" s="181">
        <f>(AM15-AM11)/AM31</f>
        <v>7.4017016528349258</v>
      </c>
      <c r="AN71" s="181">
        <f>(AN15-AN11)/AN31</f>
        <v>9.8238216672529024</v>
      </c>
      <c r="AO71" s="181">
        <f>(AO15-AO11)/AO31</f>
        <v>8.2163518024654518</v>
      </c>
      <c r="AP71" s="181">
        <f>(AP15-AP11)/AP31</f>
        <v>7.4250879722209282</v>
      </c>
      <c r="AQ71" s="181">
        <f>(AQ15-AQ11)/AQ31</f>
        <v>7.4250879722209282</v>
      </c>
      <c r="AR71" s="179"/>
      <c r="AS71" s="181">
        <f>(AS15-AS11)/AS31</f>
        <v>5.8038086802480082</v>
      </c>
      <c r="AT71" s="181">
        <f>(AT15-AT11)/AT31</f>
        <v>6.7442129629629637</v>
      </c>
      <c r="AU71" s="181">
        <f>(AU15-AU11)/AU31</f>
        <v>4.424552358778203</v>
      </c>
      <c r="AV71" s="181">
        <f>(AV15-AV11)/AV31</f>
        <v>3.7045347365285806</v>
      </c>
      <c r="AW71" s="181">
        <f>(AW15-AW11)/AW31</f>
        <v>3.7045347365285806</v>
      </c>
      <c r="AX71" s="179"/>
      <c r="AY71" s="181">
        <f>(AY15-AY11)/AY31</f>
        <v>4.5860612772240676</v>
      </c>
      <c r="AZ71" s="181">
        <f>(AZ15-AZ11)/AZ31</f>
        <v>5.0121998094824276</v>
      </c>
      <c r="BA71" s="181">
        <f>(BA15-BA11)/BA31</f>
        <v>3.7673618864722429</v>
      </c>
      <c r="BB71" s="181">
        <f>(BB15-BB11)/BB31</f>
        <v>3.7630422125181942</v>
      </c>
      <c r="BC71" s="181">
        <f>(BC15-BC11)/BC31</f>
        <v>3.7630422125181942</v>
      </c>
      <c r="BD71" s="179"/>
      <c r="BE71" s="181">
        <f>(BE15-BE11)/BE31</f>
        <v>4.6271186440677985</v>
      </c>
      <c r="BF71" s="181">
        <f>(BF15-BF11)/BF31</f>
        <v>5.2564491654021239</v>
      </c>
      <c r="BG71" s="181">
        <f>(BG15-BG11)/BG31</f>
        <v>5.2511346444780624</v>
      </c>
      <c r="BH71" s="181">
        <f>(BH15-BH11)/BH31</f>
        <v>3.8201936376210237</v>
      </c>
      <c r="BI71" s="181">
        <f>(BI15-BI11)/BI31</f>
        <v>3.8201936376210237</v>
      </c>
      <c r="BJ71" s="179"/>
      <c r="BK71" s="181">
        <f>(BK15-BK11)/BK31</f>
        <v>0.97853765005456539</v>
      </c>
      <c r="BL71" s="181">
        <f>(BL15-BL11)/BL31</f>
        <v>3.5060386473429954</v>
      </c>
      <c r="BM71" s="181">
        <f>(BM15-BM11)/BM31</f>
        <v>1.3572395128552099</v>
      </c>
      <c r="BN71" s="181">
        <f>(BN15-BN11)/BN31</f>
        <v>1.2639080459770113</v>
      </c>
      <c r="BO71" s="181">
        <f>(BO15-BO11)/BO31</f>
        <v>1.2639080459770113</v>
      </c>
      <c r="BP71" s="179"/>
      <c r="BQ71" s="181">
        <f>(BQ15-BQ11)/BQ31</f>
        <v>2.0596264367816093</v>
      </c>
      <c r="BR71" s="181">
        <f>(BR15-BR11)/BR31</f>
        <v>1.8129315756434401</v>
      </c>
      <c r="BS71" s="181">
        <f>(BS15-BS11)/BS31</f>
        <v>1.9162706822102349</v>
      </c>
      <c r="BT71" s="181">
        <f>(BT15-BT11)/BT31</f>
        <v>2.2567748255255586</v>
      </c>
      <c r="BU71" s="181">
        <f>(BU15-BU11)/BU31</f>
        <v>2.2567748255255586</v>
      </c>
      <c r="BV71" s="179"/>
      <c r="BW71" s="181">
        <f>(BW15-BW11)/BW31</f>
        <v>2.617504784410154</v>
      </c>
      <c r="BX71" s="181">
        <f>(BX15-BX11)/BX31</f>
        <v>2.8595540922203044</v>
      </c>
      <c r="BY71" s="181">
        <f>(BY15-BY11)/BY31</f>
        <v>3.1007813216319713</v>
      </c>
      <c r="BZ71" s="181">
        <f>(BZ15-BZ11)/BZ31</f>
        <v>3.4292575270070387</v>
      </c>
      <c r="CA71" s="181">
        <f>(CA15-CA11)/CA31</f>
        <v>3.4292575270070387</v>
      </c>
      <c r="CB71" s="179"/>
      <c r="CC71" s="181">
        <f>(CC15-CC11)/CC31</f>
        <v>3.837701819909185</v>
      </c>
      <c r="CD71" s="181">
        <f>(CD15-CD11)/CD31</f>
        <v>4.0124288020267933</v>
      </c>
      <c r="CE71" s="181">
        <f>(CE15-CE11)/CE31</f>
        <v>4.2471155906158629</v>
      </c>
      <c r="CF71" s="181">
        <f>(CF15-CF11)/CF31</f>
        <v>4.5641797332794924</v>
      </c>
      <c r="CG71" s="181">
        <f>(CG15-CG11)/CG31</f>
        <v>4.5641797332794924</v>
      </c>
      <c r="CH71" s="179"/>
      <c r="CI71" s="181">
        <f t="shared" ref="CI71:CM71" si="127">(CI15-CI11)/CI31</f>
        <v>4.9926493717625613</v>
      </c>
      <c r="CJ71" s="181">
        <f t="shared" si="127"/>
        <v>5.0889348085895252</v>
      </c>
      <c r="CK71" s="181">
        <f t="shared" si="127"/>
        <v>5.3188189853467049</v>
      </c>
      <c r="CL71" s="181">
        <f t="shared" si="127"/>
        <v>5.6144379603632935</v>
      </c>
      <c r="CM71" s="181">
        <f t="shared" si="127"/>
        <v>5.6144379603632935</v>
      </c>
      <c r="CN71" s="179"/>
      <c r="CO71" s="181">
        <f t="shared" ref="CO71:CS71" si="128">(CO15-CO11)/CO31</f>
        <v>6.0771869668922154</v>
      </c>
      <c r="CP71" s="181">
        <f t="shared" si="128"/>
        <v>6.085835529647821</v>
      </c>
      <c r="CQ71" s="181">
        <f t="shared" si="128"/>
        <v>6.3520232212965801</v>
      </c>
      <c r="CR71" s="181">
        <f t="shared" si="128"/>
        <v>6.6184242951539183</v>
      </c>
      <c r="CS71" s="181">
        <f t="shared" si="128"/>
        <v>6.6184242951539183</v>
      </c>
      <c r="CT71" s="181"/>
      <c r="CU71" s="181"/>
      <c r="CV71" s="181"/>
      <c r="CW71" s="75"/>
      <c r="CX71" s="75"/>
      <c r="CY71" s="75"/>
      <c r="CZ71" s="75"/>
    </row>
    <row r="72" spans="1:104" ht="12.75" customHeight="1" outlineLevel="1" x14ac:dyDescent="0.2">
      <c r="A72" s="20"/>
      <c r="B72" s="67"/>
      <c r="C72" s="10"/>
      <c r="D72" s="10"/>
      <c r="E72" s="10"/>
      <c r="F72" s="10"/>
      <c r="G72" s="10"/>
      <c r="H72" s="67"/>
      <c r="I72" s="10"/>
      <c r="J72" s="10"/>
      <c r="K72" s="10"/>
      <c r="L72" s="10"/>
      <c r="M72" s="10"/>
      <c r="N72" s="67"/>
      <c r="O72" s="10"/>
      <c r="P72" s="10"/>
      <c r="Q72" s="10"/>
      <c r="R72" s="10"/>
      <c r="S72" s="10"/>
      <c r="T72" s="67"/>
      <c r="U72" s="10"/>
      <c r="V72" s="10"/>
      <c r="W72" s="10"/>
      <c r="X72" s="10"/>
      <c r="Y72" s="10"/>
      <c r="Z72" s="67"/>
      <c r="AB72" s="10"/>
      <c r="AC72" s="10"/>
      <c r="AD72" s="10"/>
      <c r="AE72" s="43"/>
      <c r="AF72" s="108"/>
      <c r="AH72" s="10"/>
      <c r="AI72" s="10"/>
      <c r="AK72" s="43"/>
      <c r="AL72" s="108"/>
      <c r="AO72" s="10"/>
      <c r="AQ72" s="43"/>
      <c r="AR72" s="108"/>
      <c r="AU72" s="10"/>
      <c r="AW72" s="43"/>
      <c r="AX72" s="108"/>
      <c r="BC72" s="43"/>
      <c r="BD72" s="108"/>
      <c r="BI72" s="43"/>
      <c r="BJ72" s="108"/>
      <c r="BO72" s="43"/>
      <c r="BP72" s="108"/>
      <c r="BU72" s="43"/>
      <c r="BV72" s="108"/>
      <c r="CA72" s="43"/>
      <c r="CB72" s="108"/>
      <c r="CG72" s="43"/>
      <c r="CH72" s="108"/>
      <c r="CM72" s="43"/>
      <c r="CN72" s="108"/>
      <c r="CS72" s="43"/>
      <c r="CT72" s="43"/>
      <c r="CU72" s="43"/>
      <c r="CV72" s="43"/>
      <c r="CY72" s="43"/>
      <c r="CZ72" s="43"/>
    </row>
    <row r="73" spans="1:104" x14ac:dyDescent="0.2">
      <c r="A73" s="18" t="s">
        <v>138</v>
      </c>
      <c r="B73" s="103"/>
      <c r="C73" s="179"/>
      <c r="D73" s="179"/>
      <c r="E73" s="179"/>
      <c r="F73" s="179"/>
      <c r="G73" s="179"/>
      <c r="H73" s="103"/>
      <c r="I73" s="179"/>
      <c r="J73" s="179"/>
      <c r="K73" s="179"/>
      <c r="L73" s="179"/>
      <c r="M73" s="179"/>
      <c r="N73" s="103"/>
      <c r="O73" s="179"/>
      <c r="P73" s="179"/>
      <c r="Q73" s="179"/>
      <c r="R73" s="179"/>
      <c r="S73" s="179"/>
      <c r="T73" s="103"/>
      <c r="U73" s="179"/>
      <c r="V73" s="179"/>
      <c r="W73" s="179"/>
      <c r="X73" s="179"/>
      <c r="Y73" s="179"/>
      <c r="Z73" s="103"/>
      <c r="AA73" s="179"/>
      <c r="AB73" s="179"/>
      <c r="AC73" s="179"/>
      <c r="AD73" s="179"/>
      <c r="AE73" s="179"/>
      <c r="AF73" s="103"/>
      <c r="AG73" s="179"/>
      <c r="AH73" s="179"/>
      <c r="AI73" s="179"/>
      <c r="AJ73" s="179"/>
      <c r="AK73" s="179"/>
      <c r="AL73" s="103"/>
      <c r="AM73" s="179"/>
      <c r="AN73" s="179"/>
      <c r="AO73" s="179"/>
      <c r="AP73" s="179"/>
      <c r="AQ73" s="179"/>
      <c r="AR73" s="103"/>
      <c r="AS73" s="179"/>
      <c r="AT73" s="179"/>
      <c r="AU73" s="179"/>
      <c r="AV73" s="179"/>
      <c r="AW73" s="179"/>
      <c r="AX73" s="103"/>
      <c r="AY73" s="179"/>
      <c r="AZ73" s="179"/>
      <c r="BA73" s="179"/>
      <c r="BB73" s="179"/>
      <c r="BC73" s="179"/>
      <c r="BD73" s="103"/>
      <c r="BE73" s="179"/>
      <c r="BF73" s="179"/>
      <c r="BG73" s="179"/>
      <c r="BH73" s="179"/>
      <c r="BI73" s="179"/>
      <c r="BJ73" s="103"/>
      <c r="BK73" s="179"/>
      <c r="BL73" s="179"/>
      <c r="BM73" s="179"/>
      <c r="BN73" s="179"/>
      <c r="BO73" s="179"/>
      <c r="BP73" s="103"/>
      <c r="BQ73" s="179"/>
      <c r="BR73" s="179"/>
      <c r="BS73" s="179"/>
      <c r="BT73" s="179"/>
      <c r="BU73" s="179"/>
      <c r="BV73" s="103"/>
      <c r="BW73" s="179"/>
      <c r="BX73" s="179"/>
      <c r="BY73" s="179"/>
      <c r="BZ73" s="179"/>
      <c r="CA73" s="179"/>
      <c r="CB73" s="103"/>
      <c r="CC73" s="179"/>
      <c r="CD73" s="179"/>
      <c r="CE73" s="179"/>
      <c r="CF73" s="179"/>
      <c r="CG73" s="179"/>
      <c r="CH73" s="103"/>
      <c r="CI73" s="179"/>
      <c r="CJ73" s="179"/>
      <c r="CK73" s="179"/>
      <c r="CL73" s="179"/>
      <c r="CM73" s="179"/>
      <c r="CN73" s="103"/>
      <c r="CO73" s="179"/>
      <c r="CP73" s="179"/>
      <c r="CQ73" s="179"/>
      <c r="CR73" s="179"/>
      <c r="CS73" s="179"/>
      <c r="CT73" s="179"/>
      <c r="CU73" s="179"/>
      <c r="CV73" s="179"/>
      <c r="CW73" s="75"/>
      <c r="CX73" s="75"/>
      <c r="CY73" s="75"/>
      <c r="CZ73" s="75"/>
    </row>
    <row r="74" spans="1:104" x14ac:dyDescent="0.2">
      <c r="A74" s="21" t="s">
        <v>78</v>
      </c>
      <c r="B74" s="184"/>
      <c r="C74" s="183"/>
      <c r="D74" s="183">
        <f>+AVERAGE(D12,C12)/('P&amp;L'!D8/'P&amp;L'!D7)</f>
        <v>58.428113639423721</v>
      </c>
      <c r="E74" s="183">
        <f>+AVERAGE(E12,D12)/('P&amp;L'!E8/'P&amp;L'!E7)</f>
        <v>54.332804491091046</v>
      </c>
      <c r="F74" s="183">
        <f>F12/('P&amp;L'!F8/'P&amp;L'!F7)</f>
        <v>62.236092176436955</v>
      </c>
      <c r="G74" s="183"/>
      <c r="H74" s="184"/>
      <c r="I74" s="183">
        <f>I12/('P&amp;L'!I8/'P&amp;L'!I7)</f>
        <v>63.831599883976303</v>
      </c>
      <c r="J74" s="183">
        <f>J12/('P&amp;L'!J8/'P&amp;L'!J7)</f>
        <v>62.371012653766179</v>
      </c>
      <c r="K74" s="183">
        <f>K12/('P&amp;L'!K8/'P&amp;L'!K7)</f>
        <v>58.496948109770905</v>
      </c>
      <c r="L74" s="183">
        <f>L12/('P&amp;L'!L8/'P&amp;L'!L7)</f>
        <v>57.21161755156313</v>
      </c>
      <c r="M74" s="183">
        <f>M12/('P&amp;L'!M8/'P&amp;L'!M7)</f>
        <v>64.301549788076088</v>
      </c>
      <c r="N74" s="184"/>
      <c r="O74" s="183">
        <f>O12/('P&amp;L'!O8/'P&amp;L'!O7)</f>
        <v>61.715543486028729</v>
      </c>
      <c r="P74" s="183">
        <f>P12/('P&amp;L'!P8/'P&amp;L'!P7)</f>
        <v>45.40384981894416</v>
      </c>
      <c r="Q74" s="183">
        <f>Q12/('P&amp;L'!Q8/'P&amp;L'!Q7)</f>
        <v>49.376177323733685</v>
      </c>
      <c r="R74" s="183">
        <f>R12/('P&amp;L'!R8/'P&amp;L'!R7)</f>
        <v>47.167683174758068</v>
      </c>
      <c r="S74" s="183">
        <f>S12/('P&amp;L'!S8/'P&amp;L'!S7)</f>
        <v>49.87399204353698</v>
      </c>
      <c r="T74" s="184"/>
      <c r="U74" s="183">
        <f>U12/('P&amp;L'!U8/'P&amp;L'!U7)</f>
        <v>47.269941965649302</v>
      </c>
      <c r="V74" s="183">
        <f>V12/('P&amp;L'!V8/'P&amp;L'!V7)</f>
        <v>48.36525526043463</v>
      </c>
      <c r="W74" s="183">
        <f>W12/('P&amp;L'!W8/'P&amp;L'!W7)</f>
        <v>47.677309259055377</v>
      </c>
      <c r="X74" s="183">
        <f>X12/('P&amp;L'!X8/'P&amp;L'!X7)</f>
        <v>46.310908355335989</v>
      </c>
      <c r="Y74" s="183">
        <f>Y12/('P&amp;L'!Y8/'P&amp;L'!Y7)</f>
        <v>48.111019501003724</v>
      </c>
      <c r="Z74" s="184"/>
      <c r="AA74" s="183">
        <f>AA12/('P&amp;L'!AA8/'P&amp;L'!AA7)</f>
        <v>43.896753685035598</v>
      </c>
      <c r="AB74" s="183">
        <f>AB12/('P&amp;L'!AB8/'P&amp;L'!AB7)</f>
        <v>36.696495420151336</v>
      </c>
      <c r="AC74" s="183">
        <f>AC12/('P&amp;L'!AC8/'P&amp;L'!AC7)</f>
        <v>40.82325590481959</v>
      </c>
      <c r="AD74" s="183">
        <f>AD12/('P&amp;L'!AD8/'P&amp;L'!AD7)</f>
        <v>42.590697501210286</v>
      </c>
      <c r="AE74" s="183">
        <f>AE12/('P&amp;L'!AE8/'P&amp;L'!AE7)</f>
        <v>45.635439360929553</v>
      </c>
      <c r="AF74" s="184"/>
      <c r="AG74" s="183">
        <f>AG12/('P&amp;L'!AG8/'P&amp;L'!AG7)</f>
        <v>37.330750009053702</v>
      </c>
      <c r="AH74" s="183">
        <f>AH12/('P&amp;L'!AH8/'P&amp;L'!AH7)</f>
        <v>32.203108842041836</v>
      </c>
      <c r="AI74" s="183">
        <f>AI12/('P&amp;L'!AI8/'P&amp;L'!AI7)</f>
        <v>35.724881912819683</v>
      </c>
      <c r="AJ74" s="183">
        <f>AJ12/('P&amp;L'!AJ8/'P&amp;L'!AJ7)</f>
        <v>41.365254014214266</v>
      </c>
      <c r="AK74" s="183">
        <f>+AVERAGE(AG12:AJ12,AE12)/('P&amp;L'!AK8/'P&amp;L'!AK7)</f>
        <v>36.816129676112133</v>
      </c>
      <c r="AL74" s="184"/>
      <c r="AM74" s="183">
        <f>AM12/('P&amp;L'!AM8/'P&amp;L'!AM7)</f>
        <v>43.093564753404223</v>
      </c>
      <c r="AN74" s="183">
        <f>AN12/('P&amp;L'!AN8/'P&amp;L'!AN7)</f>
        <v>46.613168834652008</v>
      </c>
      <c r="AO74" s="183">
        <f>AO12/('P&amp;L'!AO8/'P&amp;L'!AO7)</f>
        <v>53.590930006646552</v>
      </c>
      <c r="AP74" s="183">
        <f>AP12/('P&amp;L'!AP8/'P&amp;L'!AP7)</f>
        <v>49.302206574927055</v>
      </c>
      <c r="AQ74" s="183">
        <f>+AVERAGE(AM12:AP12,AK12)/('P&amp;L'!AQ8/'P&amp;L'!AQ7)</f>
        <v>45.95655166227688</v>
      </c>
      <c r="AR74" s="184"/>
      <c r="AS74" s="183">
        <f>AS12/('P&amp;L'!AS8/'P&amp;L'!AS7)</f>
        <v>39.283490642919581</v>
      </c>
      <c r="AT74" s="183">
        <f>AT12/('P&amp;L'!AT8/'P&amp;L'!AT7)</f>
        <v>37.932980495932568</v>
      </c>
      <c r="AU74" s="183">
        <f>AU12/('P&amp;L'!AU8/'P&amp;L'!AU7)</f>
        <v>40.678205156239748</v>
      </c>
      <c r="AV74" s="183">
        <f>AV12/('P&amp;L'!AV8/'P&amp;L'!AV7)</f>
        <v>39.191730458506598</v>
      </c>
      <c r="AW74" s="183">
        <f>+AVERAGE(AS12:AV12,AQ12)/('P&amp;L'!AW8/'P&amp;L'!AW7)</f>
        <v>40.237970113695944</v>
      </c>
      <c r="AX74" s="184"/>
      <c r="AY74" s="183">
        <f>AY12/('P&amp;L'!AY8/'P&amp;L'!AY7)</f>
        <v>41.370631141278274</v>
      </c>
      <c r="AZ74" s="183">
        <f>AZ12/('P&amp;L'!AZ8/'P&amp;L'!AZ7)</f>
        <v>40.524445071125257</v>
      </c>
      <c r="BA74" s="183">
        <f>BA12/('P&amp;L'!BA8/'P&amp;L'!BA7)</f>
        <v>46.101341778481533</v>
      </c>
      <c r="BB74" s="183">
        <f>BB12/('P&amp;L'!BB8/'P&amp;L'!BB7)</f>
        <v>41.120969874480274</v>
      </c>
      <c r="BC74" s="183">
        <f>+AVERAGE(AY12:BB12,AW12)/('P&amp;L'!BC8/'P&amp;L'!BC7)</f>
        <v>42.049702944547548</v>
      </c>
      <c r="BD74" s="184"/>
      <c r="BE74" s="183">
        <f>BE12/('P&amp;L'!BE8/'P&amp;L'!BE7)</f>
        <v>41.920078403844563</v>
      </c>
      <c r="BF74" s="183">
        <f>BF12/('P&amp;L'!BF8/'P&amp;L'!BF7)</f>
        <v>40.124327257504632</v>
      </c>
      <c r="BG74" s="183">
        <f>BG12/('P&amp;L'!BG8/'P&amp;L'!BG7)</f>
        <v>43.035299092481118</v>
      </c>
      <c r="BH74" s="183">
        <f>BH12/('P&amp;L'!BH8/'P&amp;L'!BH7)</f>
        <v>44.743699731903483</v>
      </c>
      <c r="BI74" s="183">
        <f>+AVERAGE(BE12:BH12,BC12)/('P&amp;L'!BI8/'P&amp;L'!BI7)</f>
        <v>42.279227781834152</v>
      </c>
      <c r="BJ74" s="184"/>
      <c r="BK74" s="183">
        <f>BK12/('P&amp;L'!BK8/'P&amp;L'!BK7)</f>
        <v>51.034555839446917</v>
      </c>
      <c r="BL74" s="183">
        <f>BL12/('P&amp;L'!BL8/'P&amp;L'!BL7)</f>
        <v>50.364958502553456</v>
      </c>
      <c r="BM74" s="183">
        <f>BM12/('P&amp;L'!BM8/'P&amp;L'!BM7)</f>
        <v>52.47037207799179</v>
      </c>
      <c r="BN74" s="183">
        <f>BN12/('P&amp;L'!BN8/'P&amp;L'!BN7)</f>
        <v>47.937756498620374</v>
      </c>
      <c r="BO74" s="183">
        <f>+AVERAGE(BK12:BN12,BI12)/('P&amp;L'!BO8/'P&amp;L'!BO7)</f>
        <v>49.042376785284439</v>
      </c>
      <c r="BP74" s="184"/>
      <c r="BQ74" s="183">
        <f>BQ12/('P&amp;L'!BQ8/'P&amp;L'!BQ7)</f>
        <v>54.911396861008612</v>
      </c>
      <c r="BR74" s="183">
        <f>BR12/('P&amp;L'!BR8/'P&amp;L'!BR7)</f>
        <v>57.43615366498414</v>
      </c>
      <c r="BS74" s="555">
        <f>+BM74-1</f>
        <v>51.47037207799179</v>
      </c>
      <c r="BT74" s="555">
        <f>+BN74-1</f>
        <v>46.937756498620374</v>
      </c>
      <c r="BU74" s="183">
        <f>+AVERAGE(BQ12:BT12,BO12)/('P&amp;L'!BU8/'P&amp;L'!BU7)</f>
        <v>52.115375087009056</v>
      </c>
      <c r="BV74" s="184"/>
      <c r="BW74" s="555">
        <f>+BQ74-1</f>
        <v>53.911396861008612</v>
      </c>
      <c r="BX74" s="555">
        <f>+BR74-1</f>
        <v>56.43615366498414</v>
      </c>
      <c r="BY74" s="555">
        <f>+BS74-1</f>
        <v>50.47037207799179</v>
      </c>
      <c r="BZ74" s="555">
        <f>+BT74-1</f>
        <v>45.937756498620374</v>
      </c>
      <c r="CA74" s="183">
        <f>+AVERAGE(BW12:BZ12,BU12)/('P&amp;L'!CA8/'P&amp;L'!CA7)</f>
        <v>50.586315951608604</v>
      </c>
      <c r="CB74" s="184"/>
      <c r="CC74" s="555">
        <f>+BW74-1</f>
        <v>52.911396861008612</v>
      </c>
      <c r="CD74" s="555">
        <f>+BX74-1</f>
        <v>55.43615366498414</v>
      </c>
      <c r="CE74" s="555">
        <f>+BY74-1</f>
        <v>49.47037207799179</v>
      </c>
      <c r="CF74" s="555">
        <f>+BZ74-1</f>
        <v>44.937756498620374</v>
      </c>
      <c r="CG74" s="183">
        <f>+AVERAGE(CC12:CF12,CA12)/('P&amp;L'!CG8/'P&amp;L'!CG7)</f>
        <v>49.577722140012959</v>
      </c>
      <c r="CH74" s="184"/>
      <c r="CI74" s="555">
        <f t="shared" ref="CI74:CL74" si="129">+CC74-1</f>
        <v>51.911396861008612</v>
      </c>
      <c r="CJ74" s="555">
        <f t="shared" si="129"/>
        <v>54.43615366498414</v>
      </c>
      <c r="CK74" s="555">
        <f t="shared" si="129"/>
        <v>48.47037207799179</v>
      </c>
      <c r="CL74" s="555">
        <f t="shared" si="129"/>
        <v>43.937756498620374</v>
      </c>
      <c r="CM74" s="183">
        <f>+AVERAGE(CI12:CL12,CG12)/('P&amp;L'!CM8/'P&amp;L'!CM7)</f>
        <v>48.522276962415091</v>
      </c>
      <c r="CN74" s="184"/>
      <c r="CO74" s="555">
        <f t="shared" ref="CO74:CR74" si="130">+CI74-1</f>
        <v>50.911396861008612</v>
      </c>
      <c r="CP74" s="555">
        <f t="shared" si="130"/>
        <v>53.43615366498414</v>
      </c>
      <c r="CQ74" s="555">
        <f t="shared" si="130"/>
        <v>47.47037207799179</v>
      </c>
      <c r="CR74" s="555">
        <f t="shared" si="130"/>
        <v>42.937756498620374</v>
      </c>
      <c r="CS74" s="183">
        <f>+AVERAGE(CO12:CR12,CM12)/('P&amp;L'!CS8/'P&amp;L'!CS7)</f>
        <v>47.495546226231774</v>
      </c>
      <c r="CT74" s="183"/>
      <c r="CU74" s="183"/>
      <c r="CV74" s="183"/>
      <c r="CW74" s="75"/>
      <c r="CX74" s="75"/>
      <c r="CY74" s="75"/>
      <c r="CZ74" s="75"/>
    </row>
    <row r="75" spans="1:104" x14ac:dyDescent="0.2">
      <c r="A75" s="21" t="s">
        <v>139</v>
      </c>
      <c r="B75" s="183"/>
      <c r="C75" s="183"/>
      <c r="D75" s="183">
        <f>+AVERAGE(D11,C11)/('P&amp;L'!D11/'P&amp;L'!D7)</f>
        <v>0</v>
      </c>
      <c r="E75" s="183">
        <f>+AVERAGE(E11,D11)/('P&amp;L'!E11/'P&amp;L'!E7)</f>
        <v>0</v>
      </c>
      <c r="F75" s="183">
        <f>+AVERAGE(F11,E11)/('P&amp;L'!F11/'P&amp;L'!F7)</f>
        <v>0</v>
      </c>
      <c r="G75" s="183"/>
      <c r="H75" s="183"/>
      <c r="I75" s="183">
        <f>I11/('P&amp;L'!I11/'P&amp;L'!I7)</f>
        <v>0</v>
      </c>
      <c r="J75" s="183">
        <f>J11/('P&amp;L'!J11/'P&amp;L'!J7)</f>
        <v>0</v>
      </c>
      <c r="K75" s="183">
        <f>K11/('P&amp;L'!K11/'P&amp;L'!K7)</f>
        <v>0</v>
      </c>
      <c r="L75" s="183">
        <f>L11/('P&amp;L'!L11/'P&amp;L'!L7)</f>
        <v>0</v>
      </c>
      <c r="M75" s="183">
        <f>+AVERAGE(I11:L11,G11)/('P&amp;L'!M11/'P&amp;L'!M7)</f>
        <v>0</v>
      </c>
      <c r="N75" s="183"/>
      <c r="O75" s="183">
        <f>O11/('P&amp;L'!O11/'P&amp;L'!O7)</f>
        <v>0</v>
      </c>
      <c r="P75" s="183">
        <f>P11/('P&amp;L'!P11/'P&amp;L'!P7)</f>
        <v>0</v>
      </c>
      <c r="Q75" s="183">
        <f>Q11/('P&amp;L'!Q11/'P&amp;L'!Q7)</f>
        <v>0</v>
      </c>
      <c r="R75" s="183">
        <f>R11/('P&amp;L'!R11/'P&amp;L'!R7)</f>
        <v>0</v>
      </c>
      <c r="S75" s="183">
        <f>+AVERAGE(O11:R11,M11)/('P&amp;L'!S11/'P&amp;L'!S7)</f>
        <v>0</v>
      </c>
      <c r="T75" s="183"/>
      <c r="U75" s="183">
        <f>U11/('P&amp;L'!U11/'P&amp;L'!U7)</f>
        <v>0</v>
      </c>
      <c r="V75" s="183">
        <f>V11/('P&amp;L'!V11/'P&amp;L'!V7)</f>
        <v>0</v>
      </c>
      <c r="W75" s="183">
        <f>W11/('P&amp;L'!W11/'P&amp;L'!W7)</f>
        <v>0</v>
      </c>
      <c r="X75" s="183">
        <f>X11/('P&amp;L'!X11/'P&amp;L'!X7)</f>
        <v>0</v>
      </c>
      <c r="Y75" s="183">
        <f>+AVERAGE(U11:X11,S11)/('P&amp;L'!Y11/'P&amp;L'!Y7)</f>
        <v>0</v>
      </c>
      <c r="Z75" s="184"/>
      <c r="AA75" s="183">
        <f>AA11/('P&amp;L'!AA11/'P&amp;L'!AA7)</f>
        <v>0</v>
      </c>
      <c r="AB75" s="183">
        <f>AB11/('P&amp;L'!AB11/'P&amp;L'!AB7)</f>
        <v>0</v>
      </c>
      <c r="AC75" s="183">
        <f>AC11/('P&amp;L'!AC11/'P&amp;L'!AC7)</f>
        <v>0</v>
      </c>
      <c r="AD75" s="183">
        <f>AD11/('P&amp;L'!AD11/'P&amp;L'!AD7)</f>
        <v>59.712392206962633</v>
      </c>
      <c r="AE75" s="183">
        <f>+AVERAGE(AA11:AD11,Y11)/('P&amp;L'!AE11/'P&amp;L'!AE7)</f>
        <v>12.842274264674401</v>
      </c>
      <c r="AF75" s="184"/>
      <c r="AG75" s="183">
        <f>AG11/('P&amp;L'!AG11/'P&amp;L'!AG7)</f>
        <v>62.159738179792491</v>
      </c>
      <c r="AH75" s="183">
        <f>AH11/('P&amp;L'!AH11/'P&amp;L'!AH7)</f>
        <v>58.760811565427808</v>
      </c>
      <c r="AI75" s="183">
        <f>AI11/('P&amp;L'!AI11/'P&amp;L'!AI7)</f>
        <v>54.844032969584383</v>
      </c>
      <c r="AJ75" s="183">
        <f>AJ11/('P&amp;L'!AJ11/'P&amp;L'!AJ7)</f>
        <v>62.126703238364897</v>
      </c>
      <c r="AK75" s="183">
        <f>+AVERAGE(AG11:AJ11,AE11)/('P&amp;L'!AK11/'P&amp;L'!AK7)</f>
        <v>56.799368997355351</v>
      </c>
      <c r="AL75" s="184"/>
      <c r="AM75" s="183">
        <f>AM11/('P&amp;L'!AM11/'P&amp;L'!AM7)</f>
        <v>56.292722340855306</v>
      </c>
      <c r="AN75" s="183">
        <f>AN11/('P&amp;L'!AN11/'P&amp;L'!AN7)</f>
        <v>48.429088714544356</v>
      </c>
      <c r="AO75" s="183">
        <f>AO11/('P&amp;L'!AO11/'P&amp;L'!AO7)</f>
        <v>31.584538211861908</v>
      </c>
      <c r="AP75" s="183">
        <f>AP11/('P&amp;L'!AP11/'P&amp;L'!AP7)</f>
        <v>20.642277896072123</v>
      </c>
      <c r="AQ75" s="183">
        <f>+AVERAGE(AM11:AP11,AK11)/('P&amp;L'!AQ11/'P&amp;L'!AQ7)</f>
        <v>41.063302268331284</v>
      </c>
      <c r="AR75" s="184"/>
      <c r="AS75" s="183">
        <f>AS11/('P&amp;L'!AS11/'P&amp;L'!AS7)</f>
        <v>0</v>
      </c>
      <c r="AT75" s="183">
        <f>AT11/('P&amp;L'!AT11/'P&amp;L'!AT7)</f>
        <v>0</v>
      </c>
      <c r="AU75" s="183">
        <f>AU11/('P&amp;L'!AU11/'P&amp;L'!AU7)</f>
        <v>64.978996410295565</v>
      </c>
      <c r="AV75" s="183">
        <f>AV11/('P&amp;L'!AV11/'P&amp;L'!AV7)</f>
        <v>70.259167204648165</v>
      </c>
      <c r="AW75" s="183">
        <f>+AVERAGE(AS11:AV11,AQ11)/('P&amp;L'!AW11/'P&amp;L'!AW7)</f>
        <v>32.121638566621932</v>
      </c>
      <c r="AX75" s="184"/>
      <c r="AY75" s="183">
        <f>AY11/('P&amp;L'!AY11/'P&amp;L'!AY7)</f>
        <v>65.552667431521584</v>
      </c>
      <c r="AZ75" s="183">
        <f>AZ11/('P&amp;L'!AZ11/'P&amp;L'!AZ7)</f>
        <v>49.030857022086025</v>
      </c>
      <c r="BA75" s="183">
        <f>BA11/('P&amp;L'!BA11/'P&amp;L'!BA7)</f>
        <v>72.804948612680121</v>
      </c>
      <c r="BB75" s="183">
        <f>BB11/('P&amp;L'!BB11/'P&amp;L'!BB7)</f>
        <v>60.909333333333343</v>
      </c>
      <c r="BC75" s="183">
        <f>+AVERAGE(AY11:BB11,AW11)/('P&amp;L'!BC11/'P&amp;L'!BC7)</f>
        <v>61.490439560439548</v>
      </c>
      <c r="BD75" s="184"/>
      <c r="BE75" s="183">
        <f>BE11/('P&amp;L'!BE11/'P&amp;L'!BE7)</f>
        <v>86.689726027397256</v>
      </c>
      <c r="BF75" s="183">
        <f>BF11/('P&amp;L'!BF11/'P&amp;L'!BF7)</f>
        <v>65.940886699507388</v>
      </c>
      <c r="BG75" s="183">
        <f>BG11/('P&amp;L'!BG11/'P&amp;L'!BG7)</f>
        <v>56.641791044776113</v>
      </c>
      <c r="BH75" s="183">
        <f>BH11/('P&amp;L'!BH11/'P&amp;L'!BH7)</f>
        <v>87.132499999999993</v>
      </c>
      <c r="BI75" s="183">
        <f>+AVERAGE(BE11:BH11,BC11)/('P&amp;L'!BI11/'P&amp;L'!BI7)</f>
        <v>70.635123966942146</v>
      </c>
      <c r="BJ75" s="184"/>
      <c r="BK75" s="183">
        <f>BK11/('P&amp;L'!BK11/'P&amp;L'!BK7)</f>
        <v>124.30687499999999</v>
      </c>
      <c r="BL75" s="183">
        <f>BL11/('P&amp;L'!BL11/'P&amp;L'!BL7)</f>
        <v>106.29729729729729</v>
      </c>
      <c r="BM75" s="183">
        <f>BM11/('P&amp;L'!BM11/'P&amp;L'!BM7)</f>
        <v>96.2979683972912</v>
      </c>
      <c r="BN75" s="183">
        <f>BN11/('P&amp;L'!BN11/'P&amp;L'!BN7)</f>
        <v>90.357647058823531</v>
      </c>
      <c r="BO75" s="183">
        <f>+AVERAGE(BK11:BN11,BI11)/('P&amp;L'!BO11/'P&amp;L'!BO7)</f>
        <v>99.462353971962628</v>
      </c>
      <c r="BP75" s="184"/>
      <c r="BQ75" s="183">
        <f>BQ11/('P&amp;L'!BQ11/'P&amp;L'!BQ7)</f>
        <v>83.454069767441865</v>
      </c>
      <c r="BR75" s="183">
        <f>BR11/('P&amp;L'!BR11/'P&amp;L'!BR7)</f>
        <v>79.153153153153156</v>
      </c>
      <c r="BS75" s="555">
        <f>+BM75-0.5</f>
        <v>95.7979683972912</v>
      </c>
      <c r="BT75" s="555">
        <f>+BN75-0.5</f>
        <v>89.857647058823531</v>
      </c>
      <c r="BU75" s="183">
        <f>+AVERAGE(BQ11:BT11,BO11)/('P&amp;L'!BU11/'P&amp;L'!BU7)</f>
        <v>87.343849537523653</v>
      </c>
      <c r="BV75" s="184"/>
      <c r="BW75" s="555">
        <f>+BQ75-0.5</f>
        <v>82.954069767441865</v>
      </c>
      <c r="BX75" s="555">
        <f>+BR75-0.5</f>
        <v>78.653153153153156</v>
      </c>
      <c r="BY75" s="555">
        <f>+BS75-0.5</f>
        <v>95.2979683972912</v>
      </c>
      <c r="BZ75" s="555">
        <f>+BT75-0.5</f>
        <v>89.357647058823531</v>
      </c>
      <c r="CA75" s="183">
        <f>+AVERAGE(BW11:BZ11,BU11)/('P&amp;L'!CA11/'P&amp;L'!CA7)</f>
        <v>86.615218611761904</v>
      </c>
      <c r="CB75" s="184"/>
      <c r="CC75" s="555">
        <f>+BW75-0.5</f>
        <v>82.454069767441865</v>
      </c>
      <c r="CD75" s="555">
        <f>+BX75-0.5</f>
        <v>78.153153153153156</v>
      </c>
      <c r="CE75" s="555">
        <f>+BY75-0.5</f>
        <v>94.7979683972912</v>
      </c>
      <c r="CF75" s="555">
        <f>+BZ75-0.5</f>
        <v>88.857647058823531</v>
      </c>
      <c r="CG75" s="183">
        <f>+AVERAGE(CC11:CF11,CA11)/('P&amp;L'!CG11/'P&amp;L'!CG7)</f>
        <v>86.183515303000235</v>
      </c>
      <c r="CH75" s="184"/>
      <c r="CI75" s="555">
        <f t="shared" ref="CI75:CL75" si="131">+CC75-0.5</f>
        <v>81.954069767441865</v>
      </c>
      <c r="CJ75" s="555">
        <f t="shared" si="131"/>
        <v>77.653153153153156</v>
      </c>
      <c r="CK75" s="555">
        <f t="shared" si="131"/>
        <v>94.2979683972912</v>
      </c>
      <c r="CL75" s="555">
        <f t="shared" si="131"/>
        <v>88.357647058823531</v>
      </c>
      <c r="CM75" s="183">
        <f>+AVERAGE(CI11:CL11,CG11)/('P&amp;L'!CM11/'P&amp;L'!CM7)</f>
        <v>85.587384498435398</v>
      </c>
      <c r="CN75" s="184"/>
      <c r="CO75" s="555">
        <f t="shared" ref="CO75:CR75" si="132">+CI75-0.5</f>
        <v>81.454069767441865</v>
      </c>
      <c r="CP75" s="555">
        <f t="shared" si="132"/>
        <v>77.153153153153156</v>
      </c>
      <c r="CQ75" s="555">
        <f t="shared" si="132"/>
        <v>93.7979683972912</v>
      </c>
      <c r="CR75" s="555">
        <f t="shared" si="132"/>
        <v>87.857647058823531</v>
      </c>
      <c r="CS75" s="183">
        <f>+AVERAGE(CO11:CR11,CM11)/('P&amp;L'!CS11/'P&amp;L'!CS7)</f>
        <v>85.15049597426632</v>
      </c>
      <c r="CT75" s="183"/>
      <c r="CU75" s="183"/>
      <c r="CV75" s="183"/>
      <c r="CW75" s="75"/>
      <c r="CX75" s="75"/>
      <c r="CY75" s="75"/>
      <c r="CZ75" s="75"/>
    </row>
    <row r="76" spans="1:104" x14ac:dyDescent="0.2">
      <c r="A76" s="21" t="s">
        <v>140</v>
      </c>
      <c r="B76" s="183"/>
      <c r="C76" s="183"/>
      <c r="D76" s="183">
        <f>+AVERAGE(D27,C27)/('P&amp;L'!D11/'P&amp;L'!D7)</f>
        <v>164.02736087129767</v>
      </c>
      <c r="E76" s="183">
        <f>+AVERAGE(E27,D27)/('P&amp;L'!E11/'P&amp;L'!E7)</f>
        <v>155.57278606308566</v>
      </c>
      <c r="F76" s="183">
        <f>+AVERAGE(F27,E27)/('P&amp;L'!F11/'P&amp;L'!F7)</f>
        <v>160.17173112338855</v>
      </c>
      <c r="G76" s="183"/>
      <c r="H76" s="183"/>
      <c r="I76" s="183">
        <f>I27/('P&amp;L'!I11/'P&amp;L'!I7)</f>
        <v>175.50865712338106</v>
      </c>
      <c r="J76" s="183">
        <f>J27/('P&amp;L'!J11/'P&amp;L'!J7)</f>
        <v>166.41352405721716</v>
      </c>
      <c r="K76" s="183">
        <f>K27/('P&amp;L'!K11/'P&amp;L'!K7)</f>
        <v>132.2545080479245</v>
      </c>
      <c r="L76" s="183">
        <f>L27/('P&amp;L'!L11/'P&amp;L'!L7)</f>
        <v>250.18716163959783</v>
      </c>
      <c r="M76" s="183">
        <f>M27/('P&amp;L'!M11/'P&amp;L'!M7)</f>
        <v>281.62726120164507</v>
      </c>
      <c r="N76" s="183"/>
      <c r="O76" s="183">
        <f>O27/('P&amp;L'!O11/'P&amp;L'!O7)</f>
        <v>140.95076608784476</v>
      </c>
      <c r="P76" s="183">
        <f>P27/('P&amp;L'!P11/'P&amp;L'!P7)</f>
        <v>106.23254972875226</v>
      </c>
      <c r="Q76" s="183">
        <f>Q27/('P&amp;L'!Q11/'P&amp;L'!Q7)</f>
        <v>91.554487179487182</v>
      </c>
      <c r="R76" s="183">
        <f>R27/('P&amp;L'!R11/'P&amp;L'!R7)</f>
        <v>115.3426016987036</v>
      </c>
      <c r="S76" s="183">
        <f>S27/('P&amp;L'!S11/'P&amp;L'!S7)</f>
        <v>119.59703700279658</v>
      </c>
      <c r="T76" s="183"/>
      <c r="U76" s="183">
        <f>U27/('P&amp;L'!U11/'P&amp;L'!U7)</f>
        <v>63.606581088410778</v>
      </c>
      <c r="V76" s="183">
        <f>V27/('P&amp;L'!V11/'P&amp;L'!V7)</f>
        <v>78.054317423080391</v>
      </c>
      <c r="W76" s="183">
        <f>W27/('P&amp;L'!W11/'P&amp;L'!W7)</f>
        <v>58.119485294117645</v>
      </c>
      <c r="X76" s="183">
        <f>X27/('P&amp;L'!X11/'P&amp;L'!X7)</f>
        <v>71.678358937927342</v>
      </c>
      <c r="Y76" s="183">
        <f>Y27/('P&amp;L'!Y11/'P&amp;L'!Y7)</f>
        <v>73.105496093573578</v>
      </c>
      <c r="Z76" s="184"/>
      <c r="AA76" s="183">
        <f>AA27/('P&amp;L'!AA11/'P&amp;L'!AA7)</f>
        <v>60.508945599854698</v>
      </c>
      <c r="AB76" s="183">
        <f>AB27/('P&amp;L'!AB11/'P&amp;L'!AB7)</f>
        <v>53.843599535115388</v>
      </c>
      <c r="AC76" s="183">
        <f>AC27/('P&amp;L'!AC11/'P&amp;L'!AC7)</f>
        <v>41.96443007275667</v>
      </c>
      <c r="AD76" s="183">
        <f>AD27/('P&amp;L'!AD11/'P&amp;L'!AD7)</f>
        <v>82.796630469498567</v>
      </c>
      <c r="AE76" s="183">
        <f>AE27/('P&amp;L'!AE11/'P&amp;L'!AE7)</f>
        <v>89.034871772916034</v>
      </c>
      <c r="AF76" s="184"/>
      <c r="AG76" s="183">
        <f>AG27/('P&amp;L'!AG11/'P&amp;L'!AG7)</f>
        <v>62.954111830652465</v>
      </c>
      <c r="AH76" s="183">
        <f>AH27/('P&amp;L'!AH11/'P&amp;L'!AH7)</f>
        <v>50.666501209902584</v>
      </c>
      <c r="AI76" s="183">
        <f>AI27/('P&amp;L'!AI11/'P&amp;L'!AI7)</f>
        <v>41.934583236591592</v>
      </c>
      <c r="AJ76" s="183">
        <f>AJ27/('P&amp;L'!AJ11/'P&amp;L'!AJ7)</f>
        <v>54.434672329381236</v>
      </c>
      <c r="AK76" s="183">
        <f>AK27/('P&amp;L'!AK11/'P&amp;L'!AK7)</f>
        <v>57.402774555746298</v>
      </c>
      <c r="AL76" s="184"/>
      <c r="AM76" s="183">
        <f>AM27/('P&amp;L'!AM11/'P&amp;L'!AM7)</f>
        <v>58.862584405840593</v>
      </c>
      <c r="AN76" s="183">
        <f>AN27/('P&amp;L'!AN11/'P&amp;L'!AN7)</f>
        <v>62.809293904646943</v>
      </c>
      <c r="AO76" s="183">
        <f>AO27/('P&amp;L'!AO11/'P&amp;L'!AO7)</f>
        <v>54.166420773089406</v>
      </c>
      <c r="AP76" s="183">
        <f>AP27/('P&amp;L'!AP11/'P&amp;L'!AP7)</f>
        <v>74.752503058034705</v>
      </c>
      <c r="AQ76" s="183">
        <f>AQ27/('P&amp;L'!AQ11/'P&amp;L'!AQ7)</f>
        <v>83.124167901730772</v>
      </c>
      <c r="AR76" s="184"/>
      <c r="AS76" s="183">
        <f>AS27/('P&amp;L'!AS11/'P&amp;L'!AS7)</f>
        <v>67.863358973352689</v>
      </c>
      <c r="AT76" s="183">
        <f>AT27/('P&amp;L'!AT11/'P&amp;L'!AT7)</f>
        <v>61.950633347365198</v>
      </c>
      <c r="AU76" s="183">
        <f>AU27/('P&amp;L'!AU11/'P&amp;L'!AU7)</f>
        <v>65.078667990529283</v>
      </c>
      <c r="AV76" s="183">
        <f>AV27/('P&amp;L'!AV11/'P&amp;L'!AV7)</f>
        <v>67.788831504196253</v>
      </c>
      <c r="AW76" s="183">
        <f>+AVERAGE(AS27:AV27,AQ27)/('P&amp;L'!AW11/'P&amp;L'!AW7)</f>
        <v>64.795292246593988</v>
      </c>
      <c r="AX76" s="184"/>
      <c r="AY76" s="183">
        <f>AY27/('P&amp;L'!AY11/'P&amp;L'!AY7)</f>
        <v>68.074229169654387</v>
      </c>
      <c r="AZ76" s="183">
        <f>AZ27/('P&amp;L'!AZ11/'P&amp;L'!AZ7)</f>
        <v>40.91292401986685</v>
      </c>
      <c r="BA76" s="183">
        <f>BA27/('P&amp;L'!BA11/'P&amp;L'!BA7)</f>
        <v>44.525115035957334</v>
      </c>
      <c r="BB76" s="183">
        <f>BB27/('P&amp;L'!BB11/'P&amp;L'!BB7)</f>
        <v>51.202666666666673</v>
      </c>
      <c r="BC76" s="183">
        <f>+AVERAGE(AY27:BB27,AW27)/('P&amp;L'!BC11/'P&amp;L'!BC7)</f>
        <v>52.200509862808005</v>
      </c>
      <c r="BD76" s="184"/>
      <c r="BE76" s="183">
        <f>BE27/('P&amp;L'!BE11/'P&amp;L'!BE7)</f>
        <v>39.93287671232877</v>
      </c>
      <c r="BF76" s="183">
        <f>BF27/('P&amp;L'!BF11/'P&amp;L'!BF7)</f>
        <v>37.389162561576356</v>
      </c>
      <c r="BG76" s="183">
        <f>BG27/('P&amp;L'!BG11/'P&amp;L'!BG7)</f>
        <v>30.8955223880597</v>
      </c>
      <c r="BH76" s="183">
        <f>BH27/('P&amp;L'!BH11/'P&amp;L'!BH7)</f>
        <v>48.002500000000005</v>
      </c>
      <c r="BI76" s="183">
        <f>+AVERAGE(BE27:BH27,BC27)/('P&amp;L'!BI11/'P&amp;L'!BI7)</f>
        <v>41.006452638270808</v>
      </c>
      <c r="BJ76" s="184"/>
      <c r="BK76" s="183">
        <f>BK27/('P&amp;L'!BK11/'P&amp;L'!BK7)</f>
        <v>45.894374999999997</v>
      </c>
      <c r="BL76" s="183">
        <f>BL27/('P&amp;L'!BL11/'P&amp;L'!BL7)</f>
        <v>47.450450450450447</v>
      </c>
      <c r="BM76" s="183">
        <f>BM27/('P&amp;L'!BM11/'P&amp;L'!BM7)</f>
        <v>54.4469525959368</v>
      </c>
      <c r="BN76" s="183">
        <f>BN27/('P&amp;L'!BN11/'P&amp;L'!BN7)</f>
        <v>47.105882352941173</v>
      </c>
      <c r="BO76" s="183">
        <f>+AVERAGE(BK27:BN27,BI27)/('P&amp;L'!BO11/'P&amp;L'!BO7)</f>
        <v>48.088405373831776</v>
      </c>
      <c r="BP76" s="184"/>
      <c r="BQ76" s="183">
        <f>BQ27/('P&amp;L'!BQ11/'P&amp;L'!BQ7)</f>
        <v>48.270348837209305</v>
      </c>
      <c r="BR76" s="183">
        <f>BR27/('P&amp;L'!BR11/'P&amp;L'!BR7)</f>
        <v>52.009009009009006</v>
      </c>
      <c r="BS76" s="555">
        <f>+BM76+1</f>
        <v>55.4469525959368</v>
      </c>
      <c r="BT76" s="555">
        <f>+BN76+1</f>
        <v>48.105882352941173</v>
      </c>
      <c r="BU76" s="183">
        <f>+AVERAGE(BQ27:BT27,BO27)/('P&amp;L'!BU11/'P&amp;L'!BU7)</f>
        <v>49.996301653925769</v>
      </c>
      <c r="BV76" s="184"/>
      <c r="BW76" s="555">
        <f>+BQ76+1</f>
        <v>49.270348837209305</v>
      </c>
      <c r="BX76" s="555">
        <f>+BR76+1</f>
        <v>53.009009009009006</v>
      </c>
      <c r="BY76" s="555">
        <f>+BS76+1</f>
        <v>56.4469525959368</v>
      </c>
      <c r="BZ76" s="555">
        <f>+BT76+1</f>
        <v>49.105882352941173</v>
      </c>
      <c r="CA76" s="183">
        <f>+AVERAGE(BW27:BZ27,BU27)/('P&amp;L'!CA11/'P&amp;L'!CA7)</f>
        <v>50.892967363769749</v>
      </c>
      <c r="CB76" s="184"/>
      <c r="CC76" s="555">
        <f>+BW76+1</f>
        <v>50.270348837209305</v>
      </c>
      <c r="CD76" s="555">
        <f>+BX76+1</f>
        <v>54.009009009009006</v>
      </c>
      <c r="CE76" s="555">
        <f>+BY76+1</f>
        <v>57.4469525959368</v>
      </c>
      <c r="CF76" s="555">
        <f>+BZ76+1</f>
        <v>50.105882352941173</v>
      </c>
      <c r="CG76" s="183">
        <f>+AVERAGE(CC27:CF27,CA27)/('P&amp;L'!CG11/'P&amp;L'!CG7)</f>
        <v>51.906916679105791</v>
      </c>
      <c r="CH76" s="184"/>
      <c r="CI76" s="555">
        <f t="shared" ref="CI76:CL76" si="133">+CC76+1</f>
        <v>51.270348837209305</v>
      </c>
      <c r="CJ76" s="555">
        <f t="shared" si="133"/>
        <v>55.009009009009006</v>
      </c>
      <c r="CK76" s="555">
        <f t="shared" si="133"/>
        <v>58.4469525959368</v>
      </c>
      <c r="CL76" s="555">
        <f t="shared" si="133"/>
        <v>51.105882352941173</v>
      </c>
      <c r="CM76" s="183">
        <f>+AVERAGE(CI27:CL27,CG27)/('P&amp;L'!CM11/'P&amp;L'!CM7)</f>
        <v>52.842117189910176</v>
      </c>
      <c r="CN76" s="184"/>
      <c r="CO76" s="555">
        <f t="shared" ref="CO76:CR76" si="134">+CI76+1</f>
        <v>52.270348837209305</v>
      </c>
      <c r="CP76" s="555">
        <f t="shared" si="134"/>
        <v>56.009009009009006</v>
      </c>
      <c r="CQ76" s="555">
        <f t="shared" si="134"/>
        <v>59.4469525959368</v>
      </c>
      <c r="CR76" s="555">
        <f t="shared" si="134"/>
        <v>52.105882352941173</v>
      </c>
      <c r="CS76" s="183">
        <f>+AVERAGE(CO27:CR27,CM27)/('P&amp;L'!CS11/'P&amp;L'!CS7)</f>
        <v>53.876153543649849</v>
      </c>
      <c r="CT76" s="183"/>
      <c r="CU76" s="183"/>
      <c r="CV76" s="183"/>
      <c r="CW76" s="75"/>
      <c r="CX76" s="75"/>
      <c r="CY76" s="75"/>
      <c r="CZ76" s="75"/>
    </row>
    <row r="77" spans="1:104" x14ac:dyDescent="0.2">
      <c r="A77" s="19" t="s">
        <v>141</v>
      </c>
      <c r="B77" s="103"/>
      <c r="C77" s="179"/>
      <c r="D77" s="179">
        <f>+SUM(D74:D75)-D76</f>
        <v>-105.59924723187396</v>
      </c>
      <c r="E77" s="179">
        <f>+SUM(E74:E75)-E76</f>
        <v>-101.2399815719946</v>
      </c>
      <c r="F77" s="179">
        <f>+SUM(F74:F75)-F76</f>
        <v>-97.935638946951599</v>
      </c>
      <c r="G77" s="179"/>
      <c r="H77" s="103"/>
      <c r="I77" s="179">
        <f>+SUM(I74:I75)-I76</f>
        <v>-111.67705723940475</v>
      </c>
      <c r="J77" s="179">
        <f>+SUM(J74:J75)-J76</f>
        <v>-104.04251140345099</v>
      </c>
      <c r="K77" s="179">
        <f>+SUM(K74:K75)-K76</f>
        <v>-73.757559938153605</v>
      </c>
      <c r="L77" s="179">
        <f>+SUM(L74:L75)-L76</f>
        <v>-192.9755440880347</v>
      </c>
      <c r="M77" s="179">
        <f>+SUM(M74:M75)-M76</f>
        <v>-217.32571141356897</v>
      </c>
      <c r="N77" s="103"/>
      <c r="O77" s="179">
        <f>+SUM(O74:O75)-O76</f>
        <v>-79.23522260181602</v>
      </c>
      <c r="P77" s="179">
        <f>+SUM(P74:P75)-P76</f>
        <v>-60.828699909808101</v>
      </c>
      <c r="Q77" s="179">
        <f>+SUM(Q74:Q75)-Q76</f>
        <v>-42.178309855753497</v>
      </c>
      <c r="R77" s="179">
        <f>+SUM(R74:R75)-R76</f>
        <v>-68.174918523945536</v>
      </c>
      <c r="S77" s="179">
        <f>+SUM(S74:S75)-S76</f>
        <v>-69.723044959259596</v>
      </c>
      <c r="T77" s="103"/>
      <c r="U77" s="179">
        <f>+SUM(U74:U75)-U76</f>
        <v>-16.336639122761476</v>
      </c>
      <c r="V77" s="179">
        <f>+SUM(V74:V75)-V76</f>
        <v>-29.689062162645762</v>
      </c>
      <c r="W77" s="179">
        <f>+SUM(W74:W75)-W76</f>
        <v>-10.442176035062268</v>
      </c>
      <c r="X77" s="179">
        <f>+SUM(X74:X75)-X76</f>
        <v>-25.367450582591353</v>
      </c>
      <c r="Y77" s="179">
        <f>+SUM(Y74:Y75)-Y76</f>
        <v>-24.994476592569853</v>
      </c>
      <c r="Z77" s="103"/>
      <c r="AA77" s="179">
        <f>+SUM(AA74:AA75)-AA76</f>
        <v>-16.6121919148191</v>
      </c>
      <c r="AB77" s="179">
        <f>+SUM(AB74:AB75)-AB76</f>
        <v>-17.147104114964051</v>
      </c>
      <c r="AC77" s="179">
        <f>+SUM(AC74:AC75)-AC76</f>
        <v>-1.1411741679370806</v>
      </c>
      <c r="AD77" s="179">
        <f>+SUM(AD74:AD75)-AD76</f>
        <v>19.506459238674353</v>
      </c>
      <c r="AE77" s="179">
        <f>+SUM(AE74:AE75)-AE76</f>
        <v>-30.55715814731208</v>
      </c>
      <c r="AF77" s="179"/>
      <c r="AG77" s="179">
        <f>+SUM(AG74:AG75)-AG76</f>
        <v>36.536376358193735</v>
      </c>
      <c r="AH77" s="179">
        <f>+SUM(AH74:AH75)-AH76</f>
        <v>40.297419197567059</v>
      </c>
      <c r="AI77" s="179">
        <f>+SUM(AI74:AI75)-AI76</f>
        <v>48.63433164581248</v>
      </c>
      <c r="AJ77" s="179">
        <f>+SUM(AJ74:AJ75)-AJ76</f>
        <v>49.057284923197933</v>
      </c>
      <c r="AK77" s="179">
        <f>+SUM(AK74:AK75)-AK76</f>
        <v>36.212724117721187</v>
      </c>
      <c r="AL77" s="103"/>
      <c r="AM77" s="179">
        <f>+SUM(AM74:AM75)-AM76</f>
        <v>40.523702688418936</v>
      </c>
      <c r="AN77" s="179">
        <f>+SUM(AN74:AN75)-AN76</f>
        <v>32.232963644549422</v>
      </c>
      <c r="AO77" s="179">
        <f>+SUM(AO74:AO75)-AO76</f>
        <v>31.00904744541905</v>
      </c>
      <c r="AP77" s="179">
        <f>+SUM(AP74:AP75)-AP76</f>
        <v>-4.8080185870355194</v>
      </c>
      <c r="AQ77" s="179">
        <f>+SUM(AQ74:AQ75)-AQ76</f>
        <v>3.8956860288773925</v>
      </c>
      <c r="AR77" s="103"/>
      <c r="AS77" s="179">
        <f>+SUM(AS74:AS75)-AS76</f>
        <v>-28.579868330433108</v>
      </c>
      <c r="AT77" s="179">
        <f>+SUM(AT74:AT75)-AT76</f>
        <v>-24.017652851432629</v>
      </c>
      <c r="AU77" s="179">
        <f>+SUM(AU74:AU75)-AU76</f>
        <v>40.578533576006038</v>
      </c>
      <c r="AV77" s="179">
        <f>+SUM(AV74:AV75)-AV76</f>
        <v>41.66206615895851</v>
      </c>
      <c r="AW77" s="179">
        <f>+SUM(AW74:AW75)-AW76</f>
        <v>7.5643164337238886</v>
      </c>
      <c r="AX77" s="103"/>
      <c r="AY77" s="179">
        <f>+SUM(AY74:AY75)-AY76</f>
        <v>38.849069403145478</v>
      </c>
      <c r="AZ77" s="179">
        <f>+SUM(AZ74:AZ75)-AZ76</f>
        <v>48.642378073344432</v>
      </c>
      <c r="BA77" s="179">
        <f>+SUM(BA74:BA75)-BA76</f>
        <v>74.381175355204334</v>
      </c>
      <c r="BB77" s="179">
        <f>+SUM(BB74:BB75)-BB76</f>
        <v>50.827636541146944</v>
      </c>
      <c r="BC77" s="179">
        <f>+SUM(BC74:BC75)-BC76</f>
        <v>51.339632642179097</v>
      </c>
      <c r="BD77" s="103"/>
      <c r="BE77" s="179">
        <f>+SUM(BE74:BE75)-BE76</f>
        <v>88.676927718913049</v>
      </c>
      <c r="BF77" s="179">
        <f>+SUM(BF74:BF75)-BF76</f>
        <v>68.676051395435664</v>
      </c>
      <c r="BG77" s="179">
        <f>+SUM(BG74:BG75)-BG76</f>
        <v>68.781567749197535</v>
      </c>
      <c r="BH77" s="179">
        <f>+SUM(BH74:BH75)-BH76</f>
        <v>83.873699731903486</v>
      </c>
      <c r="BI77" s="179">
        <f>+SUM(BI74:BI75)-BI76</f>
        <v>71.907899110505497</v>
      </c>
      <c r="BJ77" s="103"/>
      <c r="BK77" s="179">
        <f>+SUM(BK74:BK75)-BK76</f>
        <v>129.4470558394469</v>
      </c>
      <c r="BL77" s="179">
        <f>+SUM(BL74:BL75)-BL76</f>
        <v>109.21180534940031</v>
      </c>
      <c r="BM77" s="179">
        <f>+SUM(BM74:BM75)-BM76</f>
        <v>94.32138787934619</v>
      </c>
      <c r="BN77" s="179">
        <f>+SUM(BN74:BN75)-BN76</f>
        <v>91.189521204502739</v>
      </c>
      <c r="BO77" s="179">
        <f>+SUM(BO74:BO75)-BO76</f>
        <v>100.4163253834153</v>
      </c>
      <c r="BP77" s="103"/>
      <c r="BQ77" s="179">
        <f>+SUM(BQ74:BQ75)-BQ76</f>
        <v>90.095117791241165</v>
      </c>
      <c r="BR77" s="179">
        <f>+SUM(BR74:BR75)-BR76</f>
        <v>84.580297809128282</v>
      </c>
      <c r="BS77" s="179">
        <f>+SUM(BS74:BS75)-BS76</f>
        <v>91.82138787934619</v>
      </c>
      <c r="BT77" s="179">
        <f>+SUM(BT74:BT75)-BT76</f>
        <v>88.689521204502739</v>
      </c>
      <c r="BU77" s="179">
        <f>+SUM(BU74:BU75)-BU76</f>
        <v>89.46292297060694</v>
      </c>
      <c r="BV77" s="103"/>
      <c r="BW77" s="179">
        <f>+SUM(BW74:BW75)-BW76</f>
        <v>87.595117791241165</v>
      </c>
      <c r="BX77" s="179">
        <f>+SUM(BX74:BX75)-BX76</f>
        <v>82.080297809128282</v>
      </c>
      <c r="BY77" s="179">
        <f>+SUM(BY74:BY75)-BY76</f>
        <v>89.32138787934619</v>
      </c>
      <c r="BZ77" s="179">
        <f>+SUM(BZ74:BZ75)-BZ76</f>
        <v>86.189521204502739</v>
      </c>
      <c r="CA77" s="179">
        <f>+SUM(CA74:CA75)-CA76</f>
        <v>86.308567199600759</v>
      </c>
      <c r="CB77" s="103"/>
      <c r="CC77" s="179">
        <f>+SUM(CC74:CC75)-CC76</f>
        <v>85.095117791241165</v>
      </c>
      <c r="CD77" s="179">
        <f>+SUM(CD74:CD75)-CD76</f>
        <v>79.580297809128282</v>
      </c>
      <c r="CE77" s="179">
        <f>+SUM(CE74:CE75)-CE76</f>
        <v>86.82138787934619</v>
      </c>
      <c r="CF77" s="179">
        <f>+SUM(CF74:CF75)-CF76</f>
        <v>83.689521204502739</v>
      </c>
      <c r="CG77" s="179">
        <f>+SUM(CG74:CG75)-CG76</f>
        <v>83.854320763907396</v>
      </c>
      <c r="CH77" s="103"/>
      <c r="CI77" s="179">
        <f t="shared" ref="CI77:CM77" si="135">+SUM(CI74:CI75)-CI76</f>
        <v>82.595117791241165</v>
      </c>
      <c r="CJ77" s="179">
        <f t="shared" si="135"/>
        <v>77.080297809128282</v>
      </c>
      <c r="CK77" s="179">
        <f t="shared" si="135"/>
        <v>84.32138787934619</v>
      </c>
      <c r="CL77" s="179">
        <f t="shared" si="135"/>
        <v>81.189521204502739</v>
      </c>
      <c r="CM77" s="179">
        <f t="shared" si="135"/>
        <v>81.267544270940306</v>
      </c>
      <c r="CN77" s="103"/>
      <c r="CO77" s="179">
        <f t="shared" ref="CO77:CS77" si="136">+SUM(CO74:CO75)-CO76</f>
        <v>80.095117791241165</v>
      </c>
      <c r="CP77" s="179">
        <f t="shared" si="136"/>
        <v>74.580297809128282</v>
      </c>
      <c r="CQ77" s="179">
        <f t="shared" si="136"/>
        <v>81.82138787934619</v>
      </c>
      <c r="CR77" s="179">
        <f t="shared" si="136"/>
        <v>78.689521204502739</v>
      </c>
      <c r="CS77" s="179">
        <f t="shared" si="136"/>
        <v>78.769888656848252</v>
      </c>
      <c r="CT77" s="179"/>
      <c r="CU77" s="179"/>
      <c r="CV77" s="179"/>
      <c r="CW77" s="75"/>
      <c r="CX77" s="75"/>
      <c r="CY77" s="75"/>
      <c r="CZ77" s="75"/>
    </row>
    <row r="78" spans="1:104" x14ac:dyDescent="0.2">
      <c r="B78" s="235"/>
      <c r="C78" s="235"/>
      <c r="D78" s="235"/>
      <c r="E78" s="235"/>
      <c r="F78" s="235"/>
      <c r="G78" s="235"/>
      <c r="H78" s="235"/>
      <c r="I78" s="235"/>
      <c r="J78" s="235"/>
      <c r="K78" s="235"/>
      <c r="L78" s="235"/>
      <c r="M78" s="235"/>
      <c r="N78" s="235"/>
      <c r="O78" s="235"/>
      <c r="P78" s="235"/>
      <c r="Q78" s="235"/>
      <c r="R78" s="235"/>
      <c r="S78" s="235"/>
      <c r="T78" s="235"/>
      <c r="U78" s="235"/>
      <c r="V78" s="235"/>
      <c r="W78" s="235"/>
      <c r="X78" s="235"/>
      <c r="Y78" s="235"/>
      <c r="Z78" s="235"/>
      <c r="AA78" s="235"/>
      <c r="AB78" s="235"/>
      <c r="AC78" s="235"/>
      <c r="AD78" s="235"/>
      <c r="AE78" s="235"/>
      <c r="AF78" s="235"/>
      <c r="AG78" s="235"/>
      <c r="AH78" s="235"/>
      <c r="AI78" s="235"/>
      <c r="AJ78" s="235"/>
      <c r="AK78" s="235"/>
      <c r="AL78" s="235"/>
      <c r="AM78" s="235"/>
      <c r="AN78" s="235"/>
      <c r="AO78" s="235"/>
      <c r="AP78" s="235"/>
      <c r="AQ78" s="235"/>
      <c r="AR78" s="235"/>
      <c r="AS78" s="235"/>
      <c r="AT78" s="235"/>
      <c r="AU78" s="235"/>
      <c r="AV78" s="235"/>
      <c r="AW78" s="235"/>
      <c r="AX78" s="235"/>
      <c r="AY78" s="235"/>
      <c r="AZ78" s="235"/>
      <c r="BA78" s="235"/>
      <c r="BB78" s="235"/>
      <c r="BC78" s="235"/>
      <c r="BD78" s="235"/>
      <c r="BE78" s="235"/>
      <c r="BF78" s="235"/>
      <c r="BG78" s="235"/>
      <c r="BH78" s="235"/>
      <c r="BI78" s="235"/>
      <c r="BJ78" s="235"/>
      <c r="BK78" s="235"/>
      <c r="BL78" s="235"/>
      <c r="BM78" s="235"/>
      <c r="BN78" s="235"/>
      <c r="BO78" s="235"/>
      <c r="BP78" s="235"/>
      <c r="BQ78" s="235"/>
      <c r="BR78" s="235"/>
      <c r="BS78" s="235"/>
      <c r="BT78" s="235"/>
      <c r="BU78" s="235"/>
      <c r="BV78" s="235"/>
      <c r="BW78" s="235"/>
      <c r="BX78" s="235"/>
      <c r="BY78" s="235"/>
      <c r="BZ78" s="235"/>
      <c r="CA78" s="235"/>
      <c r="CB78" s="235"/>
      <c r="CC78" s="235"/>
      <c r="CD78" s="235"/>
      <c r="CE78" s="235"/>
      <c r="CF78" s="235"/>
      <c r="CG78" s="235"/>
      <c r="CH78" s="235"/>
      <c r="CI78" s="235"/>
      <c r="CJ78" s="235"/>
      <c r="CK78" s="235"/>
      <c r="CL78" s="235"/>
      <c r="CM78" s="235"/>
      <c r="CN78" s="235"/>
      <c r="CO78" s="235"/>
      <c r="CP78" s="235"/>
      <c r="CQ78" s="235"/>
      <c r="CR78" s="235"/>
      <c r="CS78" s="235"/>
      <c r="CT78" s="235"/>
      <c r="CU78" s="235"/>
      <c r="CV78" s="235"/>
      <c r="CY78" s="43"/>
      <c r="CZ78" s="43"/>
    </row>
    <row r="79" spans="1:104" collapsed="1" x14ac:dyDescent="0.2">
      <c r="A79" s="657" t="s">
        <v>330</v>
      </c>
      <c r="B79" s="658"/>
      <c r="C79" s="659"/>
      <c r="D79" s="659"/>
      <c r="E79" s="659"/>
      <c r="F79" s="659"/>
      <c r="G79" s="659"/>
      <c r="H79" s="658"/>
      <c r="I79" s="659"/>
      <c r="J79" s="659"/>
      <c r="K79" s="659"/>
      <c r="L79" s="659"/>
      <c r="M79" s="659"/>
      <c r="N79" s="658"/>
      <c r="O79" s="659"/>
      <c r="P79" s="659"/>
      <c r="Q79" s="659"/>
      <c r="R79" s="659"/>
      <c r="S79" s="659"/>
      <c r="T79" s="658"/>
      <c r="U79" s="659"/>
      <c r="V79" s="659"/>
      <c r="W79" s="659"/>
      <c r="X79" s="659"/>
      <c r="Y79" s="659"/>
      <c r="Z79" s="658"/>
      <c r="AA79" s="659"/>
      <c r="AB79" s="659"/>
      <c r="AC79" s="659"/>
      <c r="AD79" s="659"/>
      <c r="AE79" s="659"/>
      <c r="AF79" s="658"/>
      <c r="AG79" s="659"/>
      <c r="AH79" s="659"/>
      <c r="AI79" s="659"/>
      <c r="AJ79" s="659"/>
      <c r="AK79" s="659"/>
      <c r="AL79" s="658"/>
      <c r="AM79" s="659"/>
      <c r="AN79" s="659"/>
      <c r="AO79" s="659"/>
      <c r="AP79" s="659"/>
      <c r="AQ79" s="659"/>
      <c r="AR79" s="658"/>
      <c r="AS79" s="659"/>
      <c r="AT79" s="659"/>
      <c r="AU79" s="659"/>
      <c r="AV79" s="659"/>
      <c r="AW79" s="659"/>
      <c r="AX79" s="658"/>
      <c r="AY79" s="659"/>
      <c r="AZ79" s="659"/>
      <c r="BA79" s="659"/>
      <c r="BB79" s="659"/>
      <c r="BC79" s="659"/>
      <c r="BD79" s="658"/>
      <c r="BE79" s="659"/>
      <c r="BF79" s="659"/>
      <c r="BG79" s="659"/>
      <c r="BH79" s="659"/>
      <c r="BI79" s="659"/>
      <c r="BJ79" s="658"/>
      <c r="BK79" s="659"/>
      <c r="BL79" s="659"/>
      <c r="BM79" s="659"/>
      <c r="BN79" s="659"/>
      <c r="BO79" s="659"/>
      <c r="BP79" s="658"/>
      <c r="BQ79" s="659"/>
      <c r="BR79" s="659"/>
      <c r="BS79" s="659"/>
      <c r="BT79" s="659"/>
      <c r="BU79" s="659"/>
      <c r="BV79" s="658"/>
      <c r="BW79" s="659"/>
      <c r="BX79" s="659"/>
      <c r="BY79" s="659"/>
      <c r="BZ79" s="659"/>
      <c r="CA79" s="659"/>
      <c r="CB79" s="658"/>
      <c r="CC79" s="659"/>
      <c r="CD79" s="659"/>
      <c r="CE79" s="659"/>
      <c r="CF79" s="659"/>
      <c r="CG79" s="659"/>
      <c r="CH79" s="658"/>
      <c r="CI79" s="659"/>
      <c r="CJ79" s="659"/>
      <c r="CK79" s="659"/>
      <c r="CL79" s="659"/>
      <c r="CM79" s="659"/>
      <c r="CN79" s="658"/>
      <c r="CO79" s="659"/>
      <c r="CP79" s="659"/>
      <c r="CQ79" s="659"/>
      <c r="CR79" s="659"/>
      <c r="CS79" s="659"/>
      <c r="CT79" s="179"/>
      <c r="CU79" s="179"/>
      <c r="CV79" s="179"/>
      <c r="CW79" s="75"/>
      <c r="CX79" s="75"/>
      <c r="CY79" s="75"/>
      <c r="CZ79" s="75"/>
    </row>
    <row r="80" spans="1:104" x14ac:dyDescent="0.2">
      <c r="A80" s="660" t="s">
        <v>331</v>
      </c>
      <c r="B80" s="654"/>
      <c r="C80" s="661">
        <f>'Cash Flow'!C48</f>
        <v>-9.9479999999999986</v>
      </c>
      <c r="D80" s="661">
        <f>'Cash Flow'!D48</f>
        <v>-2.7569999999999961</v>
      </c>
      <c r="E80" s="661">
        <f>'Cash Flow'!E48</f>
        <v>109.00299999999997</v>
      </c>
      <c r="F80" s="661">
        <f>'Cash Flow'!F48</f>
        <v>-51.439</v>
      </c>
      <c r="G80" s="661">
        <f>'Cash Flow'!G48</f>
        <v>44.858999999999973</v>
      </c>
      <c r="H80" s="654"/>
      <c r="I80" s="661">
        <f>'Cash Flow'!I48</f>
        <v>-36.21599999999998</v>
      </c>
      <c r="J80" s="661">
        <f>'Cash Flow'!J48</f>
        <v>7.359</v>
      </c>
      <c r="K80" s="661">
        <f>'Cash Flow'!K48</f>
        <v>27.816999999999986</v>
      </c>
      <c r="L80" s="661">
        <f>'Cash Flow'!L48</f>
        <v>95.341999999999999</v>
      </c>
      <c r="M80" s="661">
        <f>'Cash Flow'!M48</f>
        <v>94.302000000000035</v>
      </c>
      <c r="N80" s="654"/>
      <c r="O80" s="661">
        <f>'Cash Flow'!O48</f>
        <v>-7.5010000000000021</v>
      </c>
      <c r="P80" s="661">
        <f>'Cash Flow'!P48</f>
        <v>-51.248000000000005</v>
      </c>
      <c r="Q80" s="661">
        <f>'Cash Flow'!Q48</f>
        <v>21.699999999999985</v>
      </c>
      <c r="R80" s="661">
        <f>'Cash Flow'!R48</f>
        <v>-137.17499999999995</v>
      </c>
      <c r="S80" s="661">
        <f>'Cash Flow'!S48</f>
        <v>-174.22399999999996</v>
      </c>
      <c r="T80" s="654"/>
      <c r="U80" s="661">
        <f>'Cash Flow'!U48</f>
        <v>27.686</v>
      </c>
      <c r="V80" s="661">
        <f>'Cash Flow'!V48</f>
        <v>-30.764999999999965</v>
      </c>
      <c r="W80" s="661">
        <f>'Cash Flow'!W48</f>
        <v>41.717999999999989</v>
      </c>
      <c r="X80" s="661">
        <f>'Cash Flow'!X48</f>
        <v>-9.3090000000000046</v>
      </c>
      <c r="Y80" s="661">
        <f>'Cash Flow'!Y48</f>
        <v>29.329999999999984</v>
      </c>
      <c r="Z80" s="654"/>
      <c r="AA80" s="661">
        <f>'Cash Flow'!AA48</f>
        <v>30.464999999999993</v>
      </c>
      <c r="AB80" s="661">
        <f>'Cash Flow'!AB48</f>
        <v>-55.636000000000003</v>
      </c>
      <c r="AC80" s="661">
        <f>'Cash Flow'!AC48</f>
        <v>-0.29100000000002524</v>
      </c>
      <c r="AD80" s="661">
        <f>'Cash Flow'!AD48</f>
        <v>-14.696999999999996</v>
      </c>
      <c r="AE80" s="661">
        <f>'Cash Flow'!AE48</f>
        <v>-40.159000000000049</v>
      </c>
      <c r="AF80" s="654"/>
      <c r="AG80" s="661">
        <f>'Cash Flow'!AG48</f>
        <v>9.9950000000000081</v>
      </c>
      <c r="AH80" s="661">
        <f>'Cash Flow'!AH48</f>
        <v>46.171999999999997</v>
      </c>
      <c r="AI80" s="661">
        <f>'Cash Flow'!AI48</f>
        <v>-3.995999999999988</v>
      </c>
      <c r="AJ80" s="661">
        <f>'Cash Flow'!AJ48</f>
        <v>-18.500000000000014</v>
      </c>
      <c r="AK80" s="661">
        <f>'Cash Flow'!AK48</f>
        <v>33.670999999999935</v>
      </c>
      <c r="AL80" s="654"/>
      <c r="AM80" s="661">
        <f>'Cash Flow'!AM48</f>
        <v>9.2309999999999874</v>
      </c>
      <c r="AN80" s="661">
        <f>'Cash Flow'!AN48</f>
        <v>-27.159999999999997</v>
      </c>
      <c r="AO80" s="661">
        <f>'Cash Flow'!AO48</f>
        <v>43.900000000000013</v>
      </c>
      <c r="AP80" s="661">
        <f>'Cash Flow'!AP48</f>
        <v>-8.2499999999999645</v>
      </c>
      <c r="AQ80" s="661">
        <f>'Cash Flow'!AQ48</f>
        <v>17.720999999999975</v>
      </c>
      <c r="AR80" s="654"/>
      <c r="AS80" s="661">
        <f>'Cash Flow'!AS48</f>
        <v>-19.085999999999956</v>
      </c>
      <c r="AT80" s="661">
        <f>'Cash Flow'!AT48</f>
        <v>-13.387999999999984</v>
      </c>
      <c r="AU80" s="661">
        <f>'Cash Flow'!AU48</f>
        <v>14.198999999999982</v>
      </c>
      <c r="AV80" s="661">
        <f>'Cash Flow'!AV48</f>
        <v>-20.977000000000004</v>
      </c>
      <c r="AW80" s="661">
        <f>'Cash Flow'!AW48</f>
        <v>-39.252000000000066</v>
      </c>
      <c r="AX80" s="654"/>
      <c r="AY80" s="661">
        <f>'Cash Flow'!AY48</f>
        <v>4.9819999999999904</v>
      </c>
      <c r="AZ80" s="661">
        <f>'Cash Flow'!AZ48</f>
        <v>-10.094000000000001</v>
      </c>
      <c r="BA80" s="661">
        <f>'Cash Flow'!BA48</f>
        <v>-4.4999999999999929</v>
      </c>
      <c r="BB80" s="661">
        <f>'Cash Flow'!BB48</f>
        <v>8.9120000000000203</v>
      </c>
      <c r="BC80" s="661">
        <f>'Cash Flow'!BC48</f>
        <v>-0.70000000000001705</v>
      </c>
      <c r="BD80" s="654"/>
      <c r="BE80" s="661">
        <f>'Cash Flow'!BE48</f>
        <v>23.279</v>
      </c>
      <c r="BF80" s="661">
        <f>'Cash Flow'!BF48</f>
        <v>47.3</v>
      </c>
      <c r="BG80" s="661">
        <f>'Cash Flow'!BG48</f>
        <v>-14.200000000000024</v>
      </c>
      <c r="BH80" s="661">
        <f>'Cash Flow'!BH48</f>
        <v>-51.999999999999979</v>
      </c>
      <c r="BI80" s="661">
        <f>'Cash Flow'!BI48</f>
        <v>4.3789999999999623</v>
      </c>
      <c r="BJ80" s="654"/>
      <c r="BK80" s="661">
        <f>'Cash Flow'!BK48</f>
        <v>18.399999999999988</v>
      </c>
      <c r="BL80" s="661">
        <f>'Cash Flow'!BL48</f>
        <v>21.200000000000017</v>
      </c>
      <c r="BM80" s="661">
        <f>'Cash Flow'!BM48</f>
        <v>15.700000000000003</v>
      </c>
      <c r="BN80" s="661">
        <f>'Cash Flow'!BN48</f>
        <v>-21.400000000000013</v>
      </c>
      <c r="BO80" s="661">
        <f>'Cash Flow'!BO48</f>
        <v>33.900000000000034</v>
      </c>
      <c r="BP80" s="654"/>
      <c r="BQ80" s="661">
        <f>'Cash Flow'!BQ48</f>
        <v>-14.5</v>
      </c>
      <c r="BR80" s="661">
        <f>'Cash Flow'!BR48</f>
        <v>0.80000000000001847</v>
      </c>
      <c r="BS80" s="661">
        <f>'Cash Flow'!BS48</f>
        <v>43.048715910252106</v>
      </c>
      <c r="BT80" s="661">
        <f>'Cash Flow'!BT48</f>
        <v>57.411023941672553</v>
      </c>
      <c r="BU80" s="661">
        <f>'Cash Flow'!BU48</f>
        <v>86.75973985192465</v>
      </c>
      <c r="BV80" s="654"/>
      <c r="BW80" s="661">
        <f>'Cash Flow'!BW48</f>
        <v>39.470776369372032</v>
      </c>
      <c r="BX80" s="661">
        <f>'Cash Flow'!BX48</f>
        <v>44.825495990601787</v>
      </c>
      <c r="BY80" s="661">
        <f>'Cash Flow'!BY48</f>
        <v>54.073341397461157</v>
      </c>
      <c r="BZ80" s="661">
        <f>'Cash Flow'!BZ48</f>
        <v>57.257609885117823</v>
      </c>
      <c r="CA80" s="661">
        <f>'Cash Flow'!CA48</f>
        <v>195.62722364255282</v>
      </c>
      <c r="CB80" s="654"/>
      <c r="CC80" s="661">
        <f>'Cash Flow'!CC48</f>
        <v>43.579430534119219</v>
      </c>
      <c r="CD80" s="661">
        <f>'Cash Flow'!CD48</f>
        <v>46.762809996910896</v>
      </c>
      <c r="CE80" s="661">
        <f>'Cash Flow'!CE48</f>
        <v>57.342512840451931</v>
      </c>
      <c r="CF80" s="661">
        <f>'Cash Flow'!CF48</f>
        <v>60.23506839152207</v>
      </c>
      <c r="CG80" s="661">
        <f>'Cash Flow'!CG48</f>
        <v>207.91982176300411</v>
      </c>
      <c r="CH80" s="654"/>
      <c r="CI80" s="661">
        <f>'Cash Flow'!CI48</f>
        <v>44.056199184150358</v>
      </c>
      <c r="CJ80" s="661">
        <f>'Cash Flow'!CJ48</f>
        <v>47.497332462639186</v>
      </c>
      <c r="CK80" s="661">
        <f>'Cash Flow'!CK48</f>
        <v>59.305929203213765</v>
      </c>
      <c r="CL80" s="661">
        <f>'Cash Flow'!CL48</f>
        <v>61.424979672825728</v>
      </c>
      <c r="CM80" s="661">
        <f>'Cash Flow'!CM48</f>
        <v>212.28444052282904</v>
      </c>
      <c r="CN80" s="654"/>
      <c r="CO80" s="661">
        <f>'Cash Flow'!CO48</f>
        <v>45.780170494422805</v>
      </c>
      <c r="CP80" s="661">
        <f>'Cash Flow'!CP48</f>
        <v>49.368079299403952</v>
      </c>
      <c r="CQ80" s="661">
        <f>'Cash Flow'!CQ48</f>
        <v>63.613990548352405</v>
      </c>
      <c r="CR80" s="661">
        <f>'Cash Flow'!CR48</f>
        <v>64.46322502983773</v>
      </c>
      <c r="CS80" s="661">
        <f>'Cash Flow'!CS48</f>
        <v>223.22546537201686</v>
      </c>
      <c r="CT80" s="183"/>
      <c r="CU80" s="183"/>
      <c r="CV80" s="183"/>
      <c r="CW80" s="75"/>
      <c r="CX80" s="75"/>
      <c r="CY80" s="75"/>
      <c r="CZ80" s="75"/>
    </row>
    <row r="81" spans="1:104" x14ac:dyDescent="0.2">
      <c r="A81" s="660" t="s">
        <v>332</v>
      </c>
      <c r="B81" s="661"/>
      <c r="C81" s="661">
        <f>'Cash Flow'!C27</f>
        <v>-14.300999999999998</v>
      </c>
      <c r="D81" s="661">
        <f>'Cash Flow'!D27</f>
        <v>-6.8829999999999982</v>
      </c>
      <c r="E81" s="661">
        <f>'Cash Flow'!E27</f>
        <v>-4.921000000000002</v>
      </c>
      <c r="F81" s="661">
        <f>'Cash Flow'!F27</f>
        <v>0.25399999999999978</v>
      </c>
      <c r="G81" s="661">
        <f>'Cash Flow'!G27</f>
        <v>-25.851000000000006</v>
      </c>
      <c r="H81" s="661"/>
      <c r="I81" s="661">
        <f>'Cash Flow'!I27</f>
        <v>-12.697999999999997</v>
      </c>
      <c r="J81" s="661">
        <f>'Cash Flow'!J27</f>
        <v>0.15000000000000036</v>
      </c>
      <c r="K81" s="661">
        <f>'Cash Flow'!K27</f>
        <v>4.4439999999999946</v>
      </c>
      <c r="L81" s="661">
        <f>'Cash Flow'!L27</f>
        <v>111.83999999999999</v>
      </c>
      <c r="M81" s="661">
        <f>'Cash Flow'!M27</f>
        <v>103.73600000000002</v>
      </c>
      <c r="N81" s="661"/>
      <c r="O81" s="661">
        <f>'Cash Flow'!O27</f>
        <v>-4.38</v>
      </c>
      <c r="P81" s="661">
        <f>'Cash Flow'!P27</f>
        <v>41.623999999999995</v>
      </c>
      <c r="Q81" s="661">
        <f>'Cash Flow'!Q27</f>
        <v>7.8689999999999998</v>
      </c>
      <c r="R81" s="661">
        <f>'Cash Flow'!R27</f>
        <v>38.929000000000002</v>
      </c>
      <c r="S81" s="661">
        <f>'Cash Flow'!S27</f>
        <v>84.042000000000002</v>
      </c>
      <c r="T81" s="661"/>
      <c r="U81" s="661">
        <f>'Cash Flow'!U27</f>
        <v>23.180999999999997</v>
      </c>
      <c r="V81" s="661">
        <f>'Cash Flow'!V27</f>
        <v>42.727000000000011</v>
      </c>
      <c r="W81" s="661">
        <f>'Cash Flow'!W27</f>
        <v>42.655999999999992</v>
      </c>
      <c r="X81" s="661">
        <f>'Cash Flow'!X27</f>
        <v>46.521999999999998</v>
      </c>
      <c r="Y81" s="661">
        <f>'Cash Flow'!Y27</f>
        <v>155.08599999999998</v>
      </c>
      <c r="Z81" s="654"/>
      <c r="AA81" s="661">
        <f>'Cash Flow'!AA27</f>
        <v>29.295999999999999</v>
      </c>
      <c r="AB81" s="661">
        <f>'Cash Flow'!AB27</f>
        <v>37.124999999999993</v>
      </c>
      <c r="AC81" s="661">
        <f>'Cash Flow'!AC27</f>
        <v>28.036000000000001</v>
      </c>
      <c r="AD81" s="661">
        <f>'Cash Flow'!AD27</f>
        <v>36.301999999999992</v>
      </c>
      <c r="AE81" s="661">
        <f>'Cash Flow'!AE27</f>
        <v>130.75899999999999</v>
      </c>
      <c r="AF81" s="654"/>
      <c r="AG81" s="661">
        <f>'Cash Flow'!AG27</f>
        <v>31.824000000000002</v>
      </c>
      <c r="AH81" s="661">
        <f>'Cash Flow'!AH27</f>
        <v>27.53</v>
      </c>
      <c r="AI81" s="661">
        <f>'Cash Flow'!AI27</f>
        <v>40.747000000000007</v>
      </c>
      <c r="AJ81" s="661">
        <f>'Cash Flow'!AJ27</f>
        <v>41.703000000000003</v>
      </c>
      <c r="AK81" s="661">
        <f>'Cash Flow'!AK27</f>
        <v>141.804</v>
      </c>
      <c r="AL81" s="654"/>
      <c r="AM81" s="661">
        <f>'Cash Flow'!AM27</f>
        <v>51.355999999999995</v>
      </c>
      <c r="AN81" s="661">
        <f>'Cash Flow'!AN27</f>
        <v>22.114000000000004</v>
      </c>
      <c r="AO81" s="661">
        <f>'Cash Flow'!AO27</f>
        <v>37.396000000000008</v>
      </c>
      <c r="AP81" s="661">
        <f>'Cash Flow'!AP27</f>
        <v>63.000000000000007</v>
      </c>
      <c r="AQ81" s="661">
        <f>'Cash Flow'!AQ27</f>
        <v>173.86599999999996</v>
      </c>
      <c r="AR81" s="654"/>
      <c r="AS81" s="661">
        <f>'Cash Flow'!AS27</f>
        <v>90.482000000000028</v>
      </c>
      <c r="AT81" s="661">
        <f>'Cash Flow'!AT27</f>
        <v>47.548999999999999</v>
      </c>
      <c r="AU81" s="661">
        <f>'Cash Flow'!AU27</f>
        <v>11.248999999999993</v>
      </c>
      <c r="AV81" s="661">
        <f>'Cash Flow'!AV27</f>
        <v>40.932999999999986</v>
      </c>
      <c r="AW81" s="661">
        <f>'Cash Flow'!AW27</f>
        <v>190.21299999999994</v>
      </c>
      <c r="AX81" s="654"/>
      <c r="AY81" s="661">
        <f>'Cash Flow'!AY27</f>
        <v>6.9809999999999963</v>
      </c>
      <c r="AZ81" s="661">
        <f>'Cash Flow'!AZ27</f>
        <v>52.597000000000001</v>
      </c>
      <c r="BA81" s="661">
        <f>'Cash Flow'!BA27</f>
        <v>29.878</v>
      </c>
      <c r="BB81" s="661">
        <f>'Cash Flow'!BB27</f>
        <v>51.044000000000011</v>
      </c>
      <c r="BC81" s="661">
        <f>'Cash Flow'!BC27</f>
        <v>140.49999999999997</v>
      </c>
      <c r="BD81" s="654"/>
      <c r="BE81" s="661">
        <f>'Cash Flow'!BE27</f>
        <v>24.9</v>
      </c>
      <c r="BF81" s="661">
        <f>'Cash Flow'!BF27</f>
        <v>40.899999999999991</v>
      </c>
      <c r="BG81" s="661">
        <f>'Cash Flow'!BG27</f>
        <v>44.099999999999987</v>
      </c>
      <c r="BH81" s="661">
        <f>'Cash Flow'!BH27</f>
        <v>56.400000000000013</v>
      </c>
      <c r="BI81" s="661">
        <f>'Cash Flow'!BI27</f>
        <v>166.29999999999995</v>
      </c>
      <c r="BJ81" s="654"/>
      <c r="BK81" s="661">
        <f>'Cash Flow'!BK27</f>
        <v>-2.8999999999999964</v>
      </c>
      <c r="BL81" s="661">
        <f>'Cash Flow'!BL27</f>
        <v>31.400000000000002</v>
      </c>
      <c r="BM81" s="661">
        <f>'Cash Flow'!BM27</f>
        <v>41.1</v>
      </c>
      <c r="BN81" s="661">
        <f>'Cash Flow'!BN27</f>
        <v>36.599999999999987</v>
      </c>
      <c r="BO81" s="661">
        <f>'Cash Flow'!BO27</f>
        <v>106.2</v>
      </c>
      <c r="BP81" s="654"/>
      <c r="BQ81" s="661">
        <f>'Cash Flow'!BQ27</f>
        <v>23.5</v>
      </c>
      <c r="BR81" s="661">
        <f>'Cash Flow'!BR27</f>
        <v>33.000000000000014</v>
      </c>
      <c r="BS81" s="661">
        <f>'Cash Flow'!BS27</f>
        <v>70.003866310837097</v>
      </c>
      <c r="BT81" s="661">
        <f>'Cash Flow'!BT27</f>
        <v>59.555518135299032</v>
      </c>
      <c r="BU81" s="661">
        <f>'Cash Flow'!BU27</f>
        <v>186.05938444613611</v>
      </c>
      <c r="BV81" s="654"/>
      <c r="BW81" s="661">
        <f>'Cash Flow'!BW27</f>
        <v>59.118039705408094</v>
      </c>
      <c r="BX81" s="661">
        <f>'Cash Flow'!BX27</f>
        <v>64.661270312311757</v>
      </c>
      <c r="BY81" s="661">
        <f>'Cash Flow'!BY27</f>
        <v>75.661811362088926</v>
      </c>
      <c r="BZ81" s="661">
        <f>'Cash Flow'!BZ27</f>
        <v>78.839140514330964</v>
      </c>
      <c r="CA81" s="661">
        <f>'Cash Flow'!CA27</f>
        <v>278.28026189413976</v>
      </c>
      <c r="CB81" s="654"/>
      <c r="CC81" s="661">
        <f>'Cash Flow'!CC27</f>
        <v>63.698986364585018</v>
      </c>
      <c r="CD81" s="661">
        <f>'Cash Flow'!CD27</f>
        <v>67.125739006118408</v>
      </c>
      <c r="CE81" s="661">
        <f>'Cash Flow'!CE27</f>
        <v>79.335950509545867</v>
      </c>
      <c r="CF81" s="661">
        <f>'Cash Flow'!CF27</f>
        <v>82.266194784056722</v>
      </c>
      <c r="CG81" s="661">
        <f>'Cash Flow'!CG27</f>
        <v>292.42687066430602</v>
      </c>
      <c r="CH81" s="654"/>
      <c r="CI81" s="661">
        <f>'Cash Flow'!CI27</f>
        <v>64.733505414260705</v>
      </c>
      <c r="CJ81" s="661">
        <f>'Cash Flow'!CJ27</f>
        <v>68.450723779957585</v>
      </c>
      <c r="CK81" s="661">
        <f>'Cash Flow'!CK27</f>
        <v>81.749397229047148</v>
      </c>
      <c r="CL81" s="661">
        <f>'Cash Flow'!CL27</f>
        <v>83.934837619347007</v>
      </c>
      <c r="CM81" s="661">
        <f>'Cash Flow'!CM27</f>
        <v>298.86846404261246</v>
      </c>
      <c r="CN81" s="654"/>
      <c r="CO81" s="661">
        <f>'Cash Flow'!CO27</f>
        <v>67.01616824750144</v>
      </c>
      <c r="CP81" s="661">
        <f>'Cash Flow'!CP27</f>
        <v>70.938638191465813</v>
      </c>
      <c r="CQ81" s="661">
        <f>'Cash Flow'!CQ27</f>
        <v>86.513647639112548</v>
      </c>
      <c r="CR81" s="661">
        <f>'Cash Flow'!CR27</f>
        <v>87.484731529471532</v>
      </c>
      <c r="CS81" s="661">
        <f>'Cash Flow'!CS27</f>
        <v>311.95318560755129</v>
      </c>
      <c r="CT81" s="183"/>
      <c r="CU81" s="183"/>
      <c r="CV81" s="183"/>
      <c r="CW81" s="75"/>
      <c r="CX81" s="75"/>
      <c r="CY81" s="75"/>
      <c r="CZ81" s="75"/>
    </row>
    <row r="82" spans="1:104" x14ac:dyDescent="0.2">
      <c r="A82" s="660" t="s">
        <v>333</v>
      </c>
      <c r="B82" s="661"/>
      <c r="C82" s="661">
        <f>'Cash Flow'!C54</f>
        <v>-16.780999999999999</v>
      </c>
      <c r="D82" s="661">
        <f>'Cash Flow'!D54</f>
        <v>-11.667999999999999</v>
      </c>
      <c r="E82" s="661">
        <f>'Cash Flow'!E54</f>
        <v>-6.3140000000000018</v>
      </c>
      <c r="F82" s="661">
        <f>'Cash Flow'!F54</f>
        <v>-2.4880000000000013</v>
      </c>
      <c r="G82" s="661">
        <f>'Cash Flow'!G54</f>
        <v>-37.251000000000005</v>
      </c>
      <c r="H82" s="661"/>
      <c r="I82" s="661">
        <f>'Cash Flow'!I54</f>
        <v>-15.979999999999997</v>
      </c>
      <c r="J82" s="661">
        <f>'Cash Flow'!J54</f>
        <v>-4.7240000000000002</v>
      </c>
      <c r="K82" s="661">
        <f>'Cash Flow'!K54</f>
        <v>2.9309999999999947</v>
      </c>
      <c r="L82" s="661">
        <f>'Cash Flow'!L54</f>
        <v>107.83399999999999</v>
      </c>
      <c r="M82" s="661">
        <f>'Cash Flow'!M54</f>
        <v>90.061000000000021</v>
      </c>
      <c r="N82" s="661"/>
      <c r="O82" s="661">
        <f>'Cash Flow'!O54</f>
        <v>-5.3330000000000002</v>
      </c>
      <c r="P82" s="661">
        <f>'Cash Flow'!P54</f>
        <v>39.067999999999998</v>
      </c>
      <c r="Q82" s="661">
        <f>'Cash Flow'!Q54</f>
        <v>6.0280000000000005</v>
      </c>
      <c r="R82" s="661">
        <f>'Cash Flow'!R54</f>
        <v>36.753999999999998</v>
      </c>
      <c r="S82" s="661">
        <f>'Cash Flow'!S54</f>
        <v>76.516999999999996</v>
      </c>
      <c r="T82" s="661"/>
      <c r="U82" s="661">
        <f>'Cash Flow'!U54</f>
        <v>21.603999999999999</v>
      </c>
      <c r="V82" s="661">
        <f>'Cash Flow'!V54</f>
        <v>38.384000000000015</v>
      </c>
      <c r="W82" s="661">
        <f>'Cash Flow'!W54</f>
        <v>41.507999999999996</v>
      </c>
      <c r="X82" s="661">
        <f>'Cash Flow'!X54</f>
        <v>45.695</v>
      </c>
      <c r="Y82" s="661">
        <f>'Cash Flow'!Y54</f>
        <v>147.19099999999997</v>
      </c>
      <c r="Z82" s="654"/>
      <c r="AA82" s="661">
        <f>'Cash Flow'!AA54</f>
        <v>27.337</v>
      </c>
      <c r="AB82" s="661">
        <f>'Cash Flow'!AB54</f>
        <v>36.059999999999995</v>
      </c>
      <c r="AC82" s="661">
        <f>'Cash Flow'!AC54</f>
        <v>27.878</v>
      </c>
      <c r="AD82" s="661">
        <f>'Cash Flow'!AD54</f>
        <v>35.691999999999993</v>
      </c>
      <c r="AE82" s="661">
        <f>'Cash Flow'!AE54</f>
        <v>126.96699999999998</v>
      </c>
      <c r="AF82" s="654"/>
      <c r="AG82" s="661">
        <f>'Cash Flow'!AG54</f>
        <v>29.715000000000003</v>
      </c>
      <c r="AH82" s="661">
        <f>'Cash Flow'!AH54</f>
        <v>24.423000000000002</v>
      </c>
      <c r="AI82" s="661">
        <f>'Cash Flow'!AI54</f>
        <v>38.747000000000007</v>
      </c>
      <c r="AJ82" s="661">
        <f>'Cash Flow'!AJ54</f>
        <v>39.511000000000003</v>
      </c>
      <c r="AK82" s="661">
        <f>'Cash Flow'!AK54</f>
        <v>132.39600000000002</v>
      </c>
      <c r="AL82" s="654"/>
      <c r="AM82" s="661">
        <f>'Cash Flow'!AM54</f>
        <v>48.894999999999996</v>
      </c>
      <c r="AN82" s="661">
        <f>'Cash Flow'!AN54</f>
        <v>17.567000000000004</v>
      </c>
      <c r="AO82" s="661">
        <f>'Cash Flow'!AO54</f>
        <v>35.82200000000001</v>
      </c>
      <c r="AP82" s="661">
        <f>'Cash Flow'!AP54</f>
        <v>60.20900000000001</v>
      </c>
      <c r="AQ82" s="661">
        <f>'Cash Flow'!AQ54</f>
        <v>162.49299999999997</v>
      </c>
      <c r="AR82" s="654"/>
      <c r="AS82" s="661">
        <f>'Cash Flow'!AS54</f>
        <v>85.217000000000027</v>
      </c>
      <c r="AT82" s="661">
        <f>'Cash Flow'!AT54</f>
        <v>44.716000000000001</v>
      </c>
      <c r="AU82" s="661">
        <f>'Cash Flow'!AU54</f>
        <v>9.6939999999999937</v>
      </c>
      <c r="AV82" s="661">
        <f>'Cash Flow'!AV54</f>
        <v>36.314999999999984</v>
      </c>
      <c r="AW82" s="661">
        <f>'Cash Flow'!AW54</f>
        <v>175.94199999999995</v>
      </c>
      <c r="AX82" s="654"/>
      <c r="AY82" s="661">
        <f>'Cash Flow'!AY54</f>
        <v>-4.5210000000000043</v>
      </c>
      <c r="AZ82" s="661">
        <f>'Cash Flow'!AZ54</f>
        <v>46.651000000000003</v>
      </c>
      <c r="BA82" s="661">
        <f>'Cash Flow'!BA54</f>
        <v>25.420999999999999</v>
      </c>
      <c r="BB82" s="661">
        <f>'Cash Flow'!BB54</f>
        <v>49.049000000000014</v>
      </c>
      <c r="BC82" s="661">
        <f>'Cash Flow'!BC54</f>
        <v>116.59999999999997</v>
      </c>
      <c r="BD82" s="654"/>
      <c r="BE82" s="661">
        <f>'Cash Flow'!BE54</f>
        <v>23.9</v>
      </c>
      <c r="BF82" s="661">
        <f>'Cash Flow'!BF54</f>
        <v>39.79999999999999</v>
      </c>
      <c r="BG82" s="661">
        <f>'Cash Flow'!BG54</f>
        <v>43.399999999999984</v>
      </c>
      <c r="BH82" s="661">
        <f>'Cash Flow'!BH54</f>
        <v>54.20000000000001</v>
      </c>
      <c r="BI82" s="661">
        <f>'Cash Flow'!BI54</f>
        <v>161.29999999999995</v>
      </c>
      <c r="BJ82" s="654"/>
      <c r="BK82" s="661">
        <f>'Cash Flow'!BK54</f>
        <v>-4.3999999999999968</v>
      </c>
      <c r="BL82" s="661">
        <f>'Cash Flow'!BL54</f>
        <v>29.000000000000004</v>
      </c>
      <c r="BM82" s="661">
        <f>'Cash Flow'!BM54</f>
        <v>39.6</v>
      </c>
      <c r="BN82" s="661">
        <f>'Cash Flow'!BN54</f>
        <v>35.899999999999991</v>
      </c>
      <c r="BO82" s="661">
        <f>'Cash Flow'!BO54</f>
        <v>100.10000000000001</v>
      </c>
      <c r="BP82" s="654"/>
      <c r="BQ82" s="661">
        <f>'Cash Flow'!BQ54</f>
        <v>21.9</v>
      </c>
      <c r="BR82" s="661">
        <f>'Cash Flow'!BR54</f>
        <v>30.900000000000013</v>
      </c>
      <c r="BS82" s="661">
        <f>'Cash Flow'!BS54</f>
        <v>65.257394011592098</v>
      </c>
      <c r="BT82" s="661">
        <f>'Cash Flow'!BT54</f>
        <v>54.625641231207005</v>
      </c>
      <c r="BU82" s="661">
        <f>'Cash Flow'!BU54</f>
        <v>172.68303524279909</v>
      </c>
      <c r="BV82" s="654"/>
      <c r="BW82" s="661">
        <f>'Cash Flow'!BW54</f>
        <v>55.309746551353378</v>
      </c>
      <c r="BX82" s="661">
        <f>'Cash Flow'!BX54</f>
        <v>60.665056032854039</v>
      </c>
      <c r="BY82" s="661">
        <f>'Cash Flow'!BY54</f>
        <v>71.686063873936547</v>
      </c>
      <c r="BZ82" s="661">
        <f>'Cash Flow'!BZ54</f>
        <v>74.666554747965904</v>
      </c>
      <c r="CA82" s="661">
        <f>'Cash Flow'!CA54</f>
        <v>262.32742120610988</v>
      </c>
      <c r="CB82" s="654"/>
      <c r="CC82" s="661">
        <f>'Cash Flow'!CC54</f>
        <v>59.708702951403104</v>
      </c>
      <c r="CD82" s="661">
        <f>'Cash Flow'!CD54</f>
        <v>62.892631121731227</v>
      </c>
      <c r="CE82" s="661">
        <f>'Cash Flow'!CE54</f>
        <v>75.121788317428695</v>
      </c>
      <c r="CF82" s="661">
        <f>'Cash Flow'!CF54</f>
        <v>77.824783191381911</v>
      </c>
      <c r="CG82" s="661">
        <f>'Cash Flow'!CG54</f>
        <v>275.54790558194497</v>
      </c>
      <c r="CH82" s="654"/>
      <c r="CI82" s="661">
        <f>'Cash Flow'!CI54</f>
        <v>60.455520343849827</v>
      </c>
      <c r="CJ82" s="661">
        <f>'Cash Flow'!CJ54</f>
        <v>63.897164048240192</v>
      </c>
      <c r="CK82" s="661">
        <f>'Cash Flow'!CK54</f>
        <v>77.240137790795288</v>
      </c>
      <c r="CL82" s="661">
        <f>'Cash Flow'!CL54</f>
        <v>79.182852647925586</v>
      </c>
      <c r="CM82" s="661">
        <f>'Cash Flow'!CM54</f>
        <v>280.77567483081089</v>
      </c>
      <c r="CN82" s="654"/>
      <c r="CO82" s="661">
        <f>'Cash Flow'!CO54</f>
        <v>62.4306999274731</v>
      </c>
      <c r="CP82" s="661">
        <f>'Cash Flow'!CP54</f>
        <v>66.019083547512636</v>
      </c>
      <c r="CQ82" s="661">
        <f>'Cash Flow'!CQ54</f>
        <v>81.692323040573342</v>
      </c>
      <c r="CR82" s="661">
        <f>'Cash Flow'!CR54</f>
        <v>82.377524302183076</v>
      </c>
      <c r="CS82" s="661">
        <f>'Cash Flow'!CS54</f>
        <v>292.5196308177421</v>
      </c>
      <c r="CT82" s="183"/>
      <c r="CU82" s="183"/>
      <c r="CV82" s="183"/>
      <c r="CW82" s="75"/>
      <c r="CX82" s="75"/>
      <c r="CY82" s="75"/>
      <c r="CZ82" s="75"/>
    </row>
    <row r="83" spans="1:104" x14ac:dyDescent="0.2">
      <c r="A83" s="662" t="s">
        <v>334</v>
      </c>
      <c r="B83" s="658"/>
      <c r="C83" s="663">
        <f>'Cash Flow'!C55</f>
        <v>-0.21134760705289671</v>
      </c>
      <c r="D83" s="663">
        <f>'Cash Flow'!D55</f>
        <v>-0.14655345659163987</v>
      </c>
      <c r="E83" s="663">
        <f>'Cash Flow'!E55</f>
        <v>-7.606679035250466E-2</v>
      </c>
      <c r="F83" s="663">
        <f>'Cash Flow'!F55</f>
        <v>-2.8768327089403838E-2</v>
      </c>
      <c r="G83" s="663">
        <f>'Cash Flow'!G55</f>
        <v>-0.45367190354402637</v>
      </c>
      <c r="H83" s="658"/>
      <c r="I83" s="663">
        <f>'Cash Flow'!I55</f>
        <v>-0.1833914799853103</v>
      </c>
      <c r="J83" s="663">
        <f>'Cash Flow'!J55</f>
        <v>-5.3567378781693653E-2</v>
      </c>
      <c r="K83" s="663">
        <f>'Cash Flow'!K55</f>
        <v>3.2971112311015058E-2</v>
      </c>
      <c r="L83" s="663">
        <f>'Cash Flow'!L55</f>
        <v>1.1479273563414165</v>
      </c>
      <c r="M83" s="663">
        <f>'Cash Flow'!M55</f>
        <v>0.96416795135320332</v>
      </c>
      <c r="N83" s="658"/>
      <c r="O83" s="663">
        <f>'Cash Flow'!O55</f>
        <v>-5.5196754227990648E-2</v>
      </c>
      <c r="P83" s="663">
        <f>'Cash Flow'!P55</f>
        <v>0.39981169920995541</v>
      </c>
      <c r="Q83" s="663">
        <f>'Cash Flow'!Q55</f>
        <v>6.0525734481996912E-2</v>
      </c>
      <c r="R83" s="663">
        <f>'Cash Flow'!R55</f>
        <v>0.3668356755030342</v>
      </c>
      <c r="S83" s="663">
        <f>'Cash Flow'!S55</f>
        <v>0.77624704533695843</v>
      </c>
      <c r="T83" s="658"/>
      <c r="U83" s="663">
        <f>'Cash Flow'!U55</f>
        <v>0.21714308688135728</v>
      </c>
      <c r="V83" s="663">
        <f>'Cash Flow'!V55</f>
        <v>0.38605596121738794</v>
      </c>
      <c r="W83" s="663">
        <f>'Cash Flow'!W55</f>
        <v>0.41643758653209456</v>
      </c>
      <c r="X83" s="663">
        <f>'Cash Flow'!X55</f>
        <v>0.46504645884855333</v>
      </c>
      <c r="Y83" s="663">
        <f>'Cash Flow'!Y55</f>
        <v>1.4844985476843631</v>
      </c>
      <c r="Z83" s="658"/>
      <c r="AA83" s="663">
        <f>'Cash Flow'!AA55</f>
        <v>0.28856587919859822</v>
      </c>
      <c r="AB83" s="663">
        <f>'Cash Flow'!AB55</f>
        <v>0.38506305594413054</v>
      </c>
      <c r="AC83" s="663">
        <f>'Cash Flow'!AC55</f>
        <v>0.30931907197621139</v>
      </c>
      <c r="AD83" s="663">
        <f>'Cash Flow'!AD55</f>
        <v>0.405305353046717</v>
      </c>
      <c r="AE83" s="663">
        <f>'Cash Flow'!AE55</f>
        <v>1.3845306638750763</v>
      </c>
      <c r="AF83" s="659"/>
      <c r="AG83" s="663">
        <f>'Cash Flow'!AG55</f>
        <v>0.34140652825809714</v>
      </c>
      <c r="AH83" s="663">
        <f>'Cash Flow'!AH55</f>
        <v>0.28322760956036697</v>
      </c>
      <c r="AI83" s="663">
        <f>'Cash Flow'!AI55</f>
        <v>0.44813906687330857</v>
      </c>
      <c r="AJ83" s="663">
        <f>'Cash Flow'!AJ55</f>
        <v>0.45771115461696193</v>
      </c>
      <c r="AK83" s="663">
        <f>'Cash Flow'!AK55</f>
        <v>1.5312091597756319</v>
      </c>
      <c r="AL83" s="658"/>
      <c r="AM83" s="663">
        <f>'Cash Flow'!AM55</f>
        <v>0.58267988655051595</v>
      </c>
      <c r="AN83" s="663">
        <f>'Cash Flow'!AN55</f>
        <v>0.20853513770180443</v>
      </c>
      <c r="AO83" s="663">
        <f>'Cash Flow'!AO55</f>
        <v>0.43455370356891587</v>
      </c>
      <c r="AP83" s="663">
        <f>'Cash Flow'!AP55</f>
        <v>0.72857851619695313</v>
      </c>
      <c r="AQ83" s="663">
        <f>'Cash Flow'!AQ55</f>
        <v>1.9500642048795704</v>
      </c>
      <c r="AR83" s="658"/>
      <c r="AS83" s="663">
        <f>'Cash Flow'!AS55</f>
        <v>1.0417980879728115</v>
      </c>
      <c r="AT83" s="663">
        <f>'Cash Flow'!AT55</f>
        <v>0.58205011389521644</v>
      </c>
      <c r="AU83" s="663">
        <f>'Cash Flow'!AU55</f>
        <v>0.12692801215073185</v>
      </c>
      <c r="AV83" s="663">
        <f>'Cash Flow'!AV55</f>
        <v>0.46750688740698765</v>
      </c>
      <c r="AW83" s="663">
        <f>'Cash Flow'!AW55</f>
        <v>2.2504156967076812</v>
      </c>
      <c r="AX83" s="658"/>
      <c r="AY83" s="663">
        <f>'Cash Flow'!AY55</f>
        <v>-5.9419604132166293E-2</v>
      </c>
      <c r="AZ83" s="663">
        <f>'Cash Flow'!AZ55</f>
        <v>0.61870532221058083</v>
      </c>
      <c r="BA83" s="663">
        <f>'Cash Flow'!BA55</f>
        <v>0.34413158250981452</v>
      </c>
      <c r="BB83" s="663">
        <f>'Cash Flow'!BB55</f>
        <v>0.67747237569060792</v>
      </c>
      <c r="BC83" s="663">
        <f>'Cash Flow'!BC55</f>
        <v>1.5651006711409392</v>
      </c>
      <c r="BD83" s="658"/>
      <c r="BE83" s="663">
        <f>'Cash Flow'!BE55</f>
        <v>0.33148404993065189</v>
      </c>
      <c r="BF83" s="663">
        <f>'Cash Flow'!BF55</f>
        <v>0.53929539295392948</v>
      </c>
      <c r="BG83" s="663">
        <f>'Cash Flow'!BG55</f>
        <v>0.59047619047619027</v>
      </c>
      <c r="BH83" s="663">
        <f>'Cash Flow'!BH55</f>
        <v>0.74861878453038677</v>
      </c>
      <c r="BI83" s="663">
        <f>'Cash Flow'!BI55</f>
        <v>2.1975476839237049</v>
      </c>
      <c r="BJ83" s="658"/>
      <c r="BK83" s="663">
        <f>'Cash Flow'!BK55</f>
        <v>-6.330935251798557E-2</v>
      </c>
      <c r="BL83" s="663">
        <f>'Cash Flow'!BL55</f>
        <v>0.42459736456808206</v>
      </c>
      <c r="BM83" s="663">
        <f>'Cash Flow'!BM55</f>
        <v>0.57979502196193267</v>
      </c>
      <c r="BN83" s="663">
        <f>'Cash Flow'!BN55</f>
        <v>0.52104499274310578</v>
      </c>
      <c r="BO83" s="663">
        <f>'Cash Flow'!BO55</f>
        <v>1.4560000000000002</v>
      </c>
      <c r="BP83" s="658"/>
      <c r="BQ83" s="663">
        <f>'Cash Flow'!BQ55</f>
        <v>0.31107954545454541</v>
      </c>
      <c r="BR83" s="663">
        <f>'Cash Flow'!BR55</f>
        <v>0.42976356050069553</v>
      </c>
      <c r="BS83" s="663">
        <f>'Cash Flow'!BS55</f>
        <v>0.90518378442537828</v>
      </c>
      <c r="BT83" s="663">
        <f>'Cash Flow'!BT55</f>
        <v>0.7557883366585747</v>
      </c>
      <c r="BU83" s="663">
        <f>'Cash Flow'!BU55</f>
        <v>2.4095081510825773</v>
      </c>
      <c r="BV83" s="658"/>
      <c r="BW83" s="663">
        <f>'Cash Flow'!BW55</f>
        <v>0.76747965934022144</v>
      </c>
      <c r="BX83" s="663">
        <f>'Cash Flow'!BX55</f>
        <v>0.84999888408355428</v>
      </c>
      <c r="BY83" s="663">
        <f>'Cash Flow'!BY55</f>
        <v>1.0157203201970209</v>
      </c>
      <c r="BZ83" s="663">
        <f>'Cash Flow'!BZ55</f>
        <v>1.0700622339997994</v>
      </c>
      <c r="CA83" s="663">
        <f>'Cash Flow'!CA55</f>
        <v>3.6974627551440249</v>
      </c>
      <c r="CB83" s="658"/>
      <c r="CC83" s="663">
        <f>'Cash Flow'!CC55</f>
        <v>0.86405191019640915</v>
      </c>
      <c r="CD83" s="663">
        <f>'Cash Flow'!CD55</f>
        <v>0.91857109516702717</v>
      </c>
      <c r="CE83" s="663">
        <f>'Cash Flow'!CE55</f>
        <v>1.1089158086852542</v>
      </c>
      <c r="CF83" s="663">
        <f>'Cash Flow'!CF55</f>
        <v>1.1613062889539318</v>
      </c>
      <c r="CG83" s="663">
        <f>'Cash Flow'!CG55</f>
        <v>4.0472743158861491</v>
      </c>
      <c r="CH83" s="658"/>
      <c r="CI83" s="663">
        <f>'Cash Flow'!CI55</f>
        <v>0.90706575072259343</v>
      </c>
      <c r="CJ83" s="663">
        <f>'Cash Flow'!CJ55</f>
        <v>0.95870366753625824</v>
      </c>
      <c r="CK83" s="663">
        <f>'Cash Flow'!CK55</f>
        <v>1.1588996864576937</v>
      </c>
      <c r="CL83" s="663">
        <f>'Cash Flow'!CL55</f>
        <v>1.1880478949306374</v>
      </c>
      <c r="CM83" s="663">
        <f>'Cash Flow'!CM55</f>
        <v>4.2127169996471832</v>
      </c>
      <c r="CN83" s="658"/>
      <c r="CO83" s="663">
        <f>'Cash Flow'!CO55</f>
        <v>0.93670105518513203</v>
      </c>
      <c r="CP83" s="663">
        <f>'Cash Flow'!CP55</f>
        <v>0.99054063614778176</v>
      </c>
      <c r="CQ83" s="663">
        <f>'Cash Flow'!CQ55</f>
        <v>1.2256996202433406</v>
      </c>
      <c r="CR83" s="663">
        <f>'Cash Flow'!CR55</f>
        <v>1.2359802793663304</v>
      </c>
      <c r="CS83" s="663">
        <f>'Cash Flow'!CS55</f>
        <v>4.3889215909425836</v>
      </c>
      <c r="CT83" s="179"/>
      <c r="CU83" s="179"/>
      <c r="CV83" s="179"/>
      <c r="CW83" s="75"/>
      <c r="CX83" s="75"/>
      <c r="CY83" s="75"/>
      <c r="CZ83" s="75"/>
    </row>
    <row r="84" spans="1:104" x14ac:dyDescent="0.2">
      <c r="B84" s="235"/>
      <c r="C84" s="235"/>
      <c r="D84" s="235"/>
      <c r="E84" s="235"/>
      <c r="F84" s="235"/>
      <c r="G84" s="235"/>
      <c r="H84" s="235"/>
      <c r="I84" s="235"/>
      <c r="J84" s="235"/>
      <c r="K84" s="235"/>
      <c r="L84" s="235"/>
      <c r="M84" s="235"/>
      <c r="N84" s="235"/>
      <c r="O84" s="235"/>
      <c r="P84" s="235"/>
      <c r="Q84" s="235"/>
      <c r="R84" s="235"/>
      <c r="S84" s="235"/>
      <c r="T84" s="235"/>
      <c r="U84" s="235"/>
      <c r="V84" s="235"/>
      <c r="W84" s="235"/>
      <c r="X84" s="235"/>
      <c r="Y84" s="235"/>
      <c r="Z84" s="235"/>
      <c r="AA84" s="235"/>
      <c r="AB84" s="235"/>
      <c r="AC84" s="235"/>
      <c r="AD84" s="235"/>
      <c r="AE84" s="235"/>
      <c r="AF84" s="235"/>
      <c r="AG84" s="235"/>
      <c r="AH84" s="235"/>
      <c r="AI84" s="235"/>
      <c r="AJ84" s="235"/>
      <c r="AK84" s="235"/>
      <c r="AL84" s="235"/>
      <c r="AM84" s="235"/>
      <c r="AN84" s="235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  <c r="BD84" s="235"/>
      <c r="BE84" s="235"/>
      <c r="BF84" s="235"/>
      <c r="BG84" s="235"/>
      <c r="BH84" s="235"/>
      <c r="BI84" s="235"/>
      <c r="BJ84" s="235"/>
      <c r="BK84" s="235"/>
      <c r="BL84" s="235"/>
      <c r="BM84" s="235"/>
      <c r="BN84" s="235"/>
      <c r="BO84" s="235"/>
      <c r="BP84" s="235"/>
      <c r="BQ84" s="235"/>
      <c r="BR84" s="235"/>
      <c r="BS84" s="235"/>
      <c r="BT84" s="235"/>
      <c r="BU84" s="235"/>
      <c r="BV84" s="235"/>
      <c r="BW84" s="235"/>
      <c r="BX84" s="235"/>
      <c r="BY84" s="235"/>
      <c r="BZ84" s="235"/>
      <c r="CA84" s="235"/>
      <c r="CB84" s="235"/>
      <c r="CC84" s="235"/>
      <c r="CD84" s="235"/>
      <c r="CE84" s="235"/>
      <c r="CF84" s="235"/>
      <c r="CG84" s="235"/>
      <c r="CH84" s="235"/>
      <c r="CI84" s="235"/>
      <c r="CJ84" s="235"/>
      <c r="CK84" s="235"/>
      <c r="CL84" s="235"/>
      <c r="CM84" s="235"/>
      <c r="CN84" s="235"/>
      <c r="CO84" s="235"/>
      <c r="CP84" s="235"/>
      <c r="CQ84" s="235"/>
      <c r="CR84" s="235"/>
      <c r="CS84" s="235"/>
      <c r="CT84" s="235"/>
      <c r="CU84" s="235"/>
      <c r="CV84" s="235"/>
      <c r="CY84" s="43"/>
      <c r="CZ84" s="43"/>
    </row>
    <row r="85" spans="1:104" x14ac:dyDescent="0.2">
      <c r="A85" s="23" t="s">
        <v>142</v>
      </c>
      <c r="B85" s="103"/>
      <c r="C85" s="179"/>
      <c r="D85" s="179"/>
      <c r="E85" s="179"/>
      <c r="F85" s="179"/>
      <c r="G85" s="179"/>
      <c r="H85" s="103"/>
      <c r="I85" s="179"/>
      <c r="J85" s="179"/>
      <c r="K85" s="179"/>
      <c r="L85" s="179"/>
      <c r="M85" s="179"/>
      <c r="N85" s="103"/>
      <c r="O85" s="179"/>
      <c r="P85" s="179"/>
      <c r="Q85" s="179"/>
      <c r="R85" s="179"/>
      <c r="S85" s="179"/>
      <c r="T85" s="103"/>
      <c r="U85" s="179"/>
      <c r="V85" s="179"/>
      <c r="W85" s="179"/>
      <c r="X85" s="179"/>
      <c r="Y85" s="179"/>
      <c r="Z85" s="103"/>
      <c r="AA85" s="179"/>
      <c r="AB85" s="179"/>
      <c r="AC85" s="179"/>
      <c r="AD85" s="179"/>
      <c r="AE85" s="179"/>
      <c r="AF85" s="103"/>
      <c r="AG85" s="179"/>
      <c r="AH85" s="179"/>
      <c r="AI85" s="179"/>
      <c r="AJ85" s="179"/>
      <c r="AK85" s="179"/>
      <c r="AL85" s="103"/>
      <c r="AM85" s="179"/>
      <c r="AN85" s="179"/>
      <c r="AO85" s="179"/>
      <c r="AP85" s="179"/>
      <c r="AQ85" s="179"/>
      <c r="AR85" s="103"/>
      <c r="AS85" s="179"/>
      <c r="AT85" s="179"/>
      <c r="AU85" s="179"/>
      <c r="AV85" s="179"/>
      <c r="AW85" s="179"/>
      <c r="AX85" s="103"/>
      <c r="AY85" s="179"/>
      <c r="AZ85" s="179"/>
      <c r="BA85" s="179"/>
      <c r="BB85" s="179"/>
      <c r="BC85" s="179"/>
      <c r="BD85" s="103"/>
      <c r="BE85" s="179"/>
      <c r="BF85" s="179"/>
      <c r="BG85" s="179"/>
      <c r="BH85" s="179"/>
      <c r="BI85" s="179"/>
      <c r="BJ85" s="103"/>
      <c r="BK85" s="179"/>
      <c r="BL85" s="179"/>
      <c r="BM85" s="179"/>
      <c r="BN85" s="179"/>
      <c r="BO85" s="179"/>
      <c r="BP85" s="103"/>
      <c r="BQ85" s="179"/>
      <c r="BR85" s="179"/>
      <c r="BS85" s="179"/>
      <c r="BT85" s="179"/>
      <c r="BU85" s="179"/>
      <c r="BV85" s="103"/>
      <c r="BW85" s="179"/>
      <c r="BX85" s="179"/>
      <c r="BY85" s="179"/>
      <c r="BZ85" s="179"/>
      <c r="CA85" s="179"/>
      <c r="CB85" s="103"/>
      <c r="CC85" s="179"/>
      <c r="CD85" s="179"/>
      <c r="CE85" s="179"/>
      <c r="CF85" s="179"/>
      <c r="CG85" s="179"/>
      <c r="CH85" s="103"/>
      <c r="CI85" s="179"/>
      <c r="CJ85" s="179"/>
      <c r="CK85" s="179"/>
      <c r="CL85" s="179"/>
      <c r="CM85" s="179"/>
      <c r="CN85" s="103"/>
      <c r="CO85" s="179"/>
      <c r="CP85" s="179"/>
      <c r="CQ85" s="179"/>
      <c r="CR85" s="179"/>
      <c r="CS85" s="179"/>
      <c r="CT85" s="179"/>
      <c r="CU85" s="179"/>
      <c r="CV85" s="179"/>
      <c r="CW85" s="75"/>
      <c r="CX85" s="75"/>
      <c r="CY85" s="75"/>
      <c r="CZ85" s="75"/>
    </row>
    <row r="86" spans="1:104" ht="12.75" customHeight="1" outlineLevel="1" x14ac:dyDescent="0.2">
      <c r="A86" s="1" t="s">
        <v>143</v>
      </c>
      <c r="B86" s="103"/>
      <c r="C86" s="180">
        <f>+C8/'P&amp;L'!C42</f>
        <v>1.1161838790931988</v>
      </c>
      <c r="D86" s="180">
        <f>+D8/'P&amp;L'!D42</f>
        <v>1.07852692926045</v>
      </c>
      <c r="E86" s="180">
        <f>+E8/'P&amp;L'!E42</f>
        <v>2.3476736621449055</v>
      </c>
      <c r="F86" s="180">
        <f>+F8/'P&amp;L'!F42</f>
        <v>1.6584801813052126</v>
      </c>
      <c r="G86" s="180">
        <f>+G8/'P&amp;L'!G42</f>
        <v>1.746827426622823</v>
      </c>
      <c r="H86" s="103"/>
      <c r="I86" s="180">
        <f>+I8/'P&amp;L'!I42</f>
        <v>1.2304443628351083</v>
      </c>
      <c r="J86" s="180">
        <f>+J8/'P&amp;L'!J42</f>
        <v>1.2992130448587109</v>
      </c>
      <c r="K86" s="180">
        <f>+K8/'P&amp;L'!K42</f>
        <v>1.6017818574514038</v>
      </c>
      <c r="L86" s="180">
        <f>+L8/'P&amp;L'!L42</f>
        <v>2.5307543273222763</v>
      </c>
      <c r="M86" s="180">
        <f>+M8/'P&amp;L'!M42</f>
        <v>2.5451139088729016</v>
      </c>
      <c r="N86" s="103"/>
      <c r="O86" s="180">
        <f>+O8/'P&amp;L'!O42</f>
        <v>2.3829203668053571</v>
      </c>
      <c r="P86" s="180">
        <f>+P8/'P&amp;L'!P42</f>
        <v>1.8316857014204431</v>
      </c>
      <c r="Q86" s="180">
        <f>+Q8/'P&amp;L'!Q42</f>
        <v>2.0150310259654196</v>
      </c>
      <c r="R86" s="180">
        <f>+R8/'P&amp;L'!R42</f>
        <v>0.63388294474608753</v>
      </c>
      <c r="S86" s="180">
        <f>+S8/'P&amp;L'!S42</f>
        <v>0.6442940764712447</v>
      </c>
      <c r="T86" s="103"/>
      <c r="U86" s="180">
        <f>+U8/'P&amp;L'!U42</f>
        <v>0.91661641136975835</v>
      </c>
      <c r="V86" s="180">
        <f>+V8/'P&amp;L'!V42</f>
        <v>0.60779876491058671</v>
      </c>
      <c r="W86" s="180">
        <f>+W8/'P&amp;L'!W42</f>
        <v>1.0248309488933924</v>
      </c>
      <c r="X86" s="180">
        <f>+X8/'P&amp;L'!X42</f>
        <v>0.9448498356384657</v>
      </c>
      <c r="Y86" s="180">
        <f>+Y8/'P&amp;L'!Y42</f>
        <v>0.93634016459577218</v>
      </c>
      <c r="Z86" s="103"/>
      <c r="AA86" s="180">
        <f>+AA8/'P&amp;L'!AA42</f>
        <v>1.3015918255325438</v>
      </c>
      <c r="AB86" s="180">
        <f>+AB8/'P&amp;L'!AB42</f>
        <v>0.72259655941994927</v>
      </c>
      <c r="AC86" s="180">
        <f>+AC8/'P&amp;L'!AC42</f>
        <v>0.74758951257669737</v>
      </c>
      <c r="AD86" s="180">
        <f>+AD8/'P&amp;L'!AD42</f>
        <v>0.59822624968771998</v>
      </c>
      <c r="AE86" s="180">
        <f>+AE8/'P&amp;L'!AE42</f>
        <v>0.57446785309255866</v>
      </c>
      <c r="AF86" s="103"/>
      <c r="AG86" s="180">
        <f>+AG8/'P&amp;L'!AG42</f>
        <v>0.72010754047129377</v>
      </c>
      <c r="AH86" s="180">
        <f>+AH8/'P&amp;L'!AH42</f>
        <v>1.2622838654312254</v>
      </c>
      <c r="AI86" s="180">
        <f>+AI8/'P&amp;L'!AI42</f>
        <v>1.2126945941569707</v>
      </c>
      <c r="AJ86" s="180">
        <f>+AJ8/'P&amp;L'!AJ42</f>
        <v>1.0003359475458453</v>
      </c>
      <c r="AK86" s="180">
        <f>+AK8/'P&amp;L'!AK42</f>
        <v>0.99869311282021633</v>
      </c>
      <c r="AL86" s="103"/>
      <c r="AM86" s="180">
        <f>+AM8/'P&amp;L'!AM42</f>
        <v>1.1390590366327431</v>
      </c>
      <c r="AN86" s="180">
        <f>+AN8/'P&amp;L'!AN42</f>
        <v>0.81223884140550817</v>
      </c>
      <c r="AO86" s="180">
        <f>+AO8/'P&amp;L'!AO42</f>
        <v>1.362580973870005</v>
      </c>
      <c r="AP86" s="180">
        <f>+AP8/'P&amp;L'!AP42</f>
        <v>1.2593690630331926</v>
      </c>
      <c r="AQ86" s="180">
        <f>+AQ8/'P&amp;L'!AQ42</f>
        <v>1.248970921790056</v>
      </c>
      <c r="AR86" s="103"/>
      <c r="AS86" s="180">
        <f>+AS8/'P&amp;L'!AS42</f>
        <v>1.0389862832832097</v>
      </c>
      <c r="AT86" s="180">
        <f>+AT8/'P&amp;L'!AT42</f>
        <v>0.93197526846729584</v>
      </c>
      <c r="AU86" s="180">
        <f>+AU8/'P&amp;L'!AU42</f>
        <v>1.1233927776468433</v>
      </c>
      <c r="AV86" s="180">
        <f>+AV8/'P&amp;L'!AV42</f>
        <v>0.8344833801076238</v>
      </c>
      <c r="AW86" s="180">
        <f>+AW8/'P&amp;L'!AW42</f>
        <v>0.82910388580491667</v>
      </c>
      <c r="AX86" s="103"/>
      <c r="AY86" s="180">
        <f>+AY8/'P&amp;L'!AY42</f>
        <v>0.91742239045290852</v>
      </c>
      <c r="AZ86" s="180">
        <f>+AZ8/'P&amp;L'!AZ42</f>
        <v>0.79188604925664119</v>
      </c>
      <c r="BA86" s="180">
        <f>+BA8/'P&amp;L'!BA42</f>
        <v>0.74738053336943278</v>
      </c>
      <c r="BB86" s="180">
        <f>+BB8/'P&amp;L'!BB42</f>
        <v>0.88564917127071807</v>
      </c>
      <c r="BC86" s="180">
        <f>+BC8/'P&amp;L'!BC42</f>
        <v>0.8606845637583892</v>
      </c>
      <c r="BD86" s="103"/>
      <c r="BE86" s="180">
        <f>+BE8/'P&amp;L'!BE42</f>
        <v>1.2122052704576978</v>
      </c>
      <c r="BF86" s="180">
        <f>+BF8/'P&amp;L'!BF42</f>
        <v>1.8252032520325203</v>
      </c>
      <c r="BG86" s="180">
        <f>+BG8/'P&amp;L'!BG42</f>
        <v>1.6394557823129252</v>
      </c>
      <c r="BH86" s="180">
        <f>+BH8/'P&amp;L'!BH42</f>
        <v>0.94613259668508276</v>
      </c>
      <c r="BI86" s="180">
        <f>+BI8/'P&amp;L'!BI42</f>
        <v>0.93324250681198906</v>
      </c>
      <c r="BJ86" s="103"/>
      <c r="BK86" s="180">
        <f>+BK8/'P&amp;L'!BK42</f>
        <v>1.2503597122302159</v>
      </c>
      <c r="BL86" s="180">
        <f>+BL8/'P&amp;L'!BL42</f>
        <v>1.582723279648609</v>
      </c>
      <c r="BM86" s="180">
        <f>+BM8/'P&amp;L'!BM42</f>
        <v>1.8125915080527086</v>
      </c>
      <c r="BN86" s="180">
        <f>+BN8/'P&amp;L'!BN42</f>
        <v>1.4862119013062409</v>
      </c>
      <c r="BO86" s="180">
        <f>+BO8/'P&amp;L'!BO42</f>
        <v>1.4894545454545456</v>
      </c>
      <c r="BP86" s="103"/>
      <c r="BQ86" s="180">
        <f>+BQ8/'P&amp;L'!BQ42</f>
        <v>1.2485795454545454</v>
      </c>
      <c r="BR86" s="180">
        <f>+BR8/'P&amp;L'!BR42</f>
        <v>1.2336578581363005</v>
      </c>
      <c r="BS86" s="180">
        <f>+BS8/'P&amp;L'!BS42</f>
        <v>1.8274833536815995</v>
      </c>
      <c r="BT86" s="180">
        <f>+BT8/'P&amp;L'!BT42</f>
        <v>2.6171724838953572</v>
      </c>
      <c r="BU86" s="180">
        <f>+BU8/'P&amp;L'!BU42</f>
        <v>2.6394135034111748</v>
      </c>
      <c r="BV86" s="103"/>
      <c r="BW86" s="180">
        <f>+BW8/'P&amp;L'!BW42</f>
        <v>3.172483723847511</v>
      </c>
      <c r="BX86" s="180">
        <f>+BX8/'P&amp;L'!BX42</f>
        <v>3.8314858738475825</v>
      </c>
      <c r="BY86" s="180">
        <f>+BY8/'P&amp;L'!BY42</f>
        <v>4.6407656097153387</v>
      </c>
      <c r="BZ86" s="180">
        <f>+BZ8/'P&amp;L'!BZ42</f>
        <v>5.5144635929799142</v>
      </c>
      <c r="CA86" s="180">
        <f>+CA8/'P&amp;L'!CA42</f>
        <v>5.4235102820911507</v>
      </c>
      <c r="CB86" s="103"/>
      <c r="CC86" s="180">
        <f>+CC8/'P&amp;L'!CC42</f>
        <v>6.1989422434047148</v>
      </c>
      <c r="CD86" s="180">
        <f>+CD8/'P&amp;L'!CD42</f>
        <v>6.9394449795366508</v>
      </c>
      <c r="CE86" s="180">
        <f>+CE8/'P&amp;L'!CE42</f>
        <v>7.8601204488824639</v>
      </c>
      <c r="CF86" s="180">
        <f>+CF8/'P&amp;L'!CF42</f>
        <v>8.8444077708834872</v>
      </c>
      <c r="CG86" s="180">
        <f>+CG8/'P&amp;L'!CG42</f>
        <v>8.7057346480561808</v>
      </c>
      <c r="CH86" s="103"/>
      <c r="CI86" s="180">
        <f>+CI8/'P&amp;L'!CI42</f>
        <v>9.5538983244177142</v>
      </c>
      <c r="CJ86" s="180">
        <f>+CJ8/'P&amp;L'!CJ42</f>
        <v>10.266541326785442</v>
      </c>
      <c r="CK86" s="180">
        <f>+CK8/'P&amp;L'!CK42</f>
        <v>11.156358780825213</v>
      </c>
      <c r="CL86" s="180">
        <f>+CL8/'P&amp;L'!CL42</f>
        <v>12.077970156976734</v>
      </c>
      <c r="CM86" s="180">
        <f>+CM8/'P&amp;L'!CM42</f>
        <v>12.077970156976734</v>
      </c>
      <c r="CN86" s="103"/>
      <c r="CO86" s="180">
        <f>+CO8/'P&amp;L'!CO42</f>
        <v>12.764849113299478</v>
      </c>
      <c r="CP86" s="180">
        <f>+CP8/'P&amp;L'!CP42</f>
        <v>13.50556052652945</v>
      </c>
      <c r="CQ86" s="180">
        <f>+CQ8/'P&amp;L'!CQ42</f>
        <v>14.460015500450972</v>
      </c>
      <c r="CR86" s="180">
        <f>+CR8/'P&amp;L'!CR42</f>
        <v>15.427212263841954</v>
      </c>
      <c r="CS86" s="180">
        <f>+CS8/'P&amp;L'!CS42</f>
        <v>15.427212263841954</v>
      </c>
      <c r="CT86" s="180"/>
      <c r="CU86" s="180"/>
      <c r="CV86" s="180"/>
      <c r="CW86" s="75"/>
      <c r="CX86" s="75"/>
      <c r="CY86" s="75"/>
      <c r="CZ86" s="75"/>
    </row>
    <row r="87" spans="1:104" ht="12.75" customHeight="1" outlineLevel="1" x14ac:dyDescent="0.2">
      <c r="A87" s="1" t="s">
        <v>144</v>
      </c>
      <c r="B87" s="185"/>
      <c r="C87" s="186">
        <f>+C28/('P&amp;L'!C20*4)</f>
        <v>6.9482912112369552E-2</v>
      </c>
      <c r="D87" s="186">
        <f>+D28/('P&amp;L'!D20*4)</f>
        <v>6.6143990237949965E-2</v>
      </c>
      <c r="E87" s="186">
        <f>+E28/('P&amp;L'!E20*4)</f>
        <v>6.7994586324585146E-2</v>
      </c>
      <c r="F87" s="186">
        <f>+F28/('P&amp;L'!F20*4)</f>
        <v>9.4885525108691318E-2</v>
      </c>
      <c r="G87" s="186">
        <f>+G28/'P&amp;L'!G20</f>
        <v>0.10934842564927601</v>
      </c>
      <c r="H87" s="185"/>
      <c r="I87" s="186">
        <f>+I28/('P&amp;L'!I20*4)</f>
        <v>8.38839906308914E-2</v>
      </c>
      <c r="J87" s="186">
        <f>+J28/('P&amp;L'!J20*4)</f>
        <v>8.93221776147297E-2</v>
      </c>
      <c r="K87" s="186">
        <f>+K28/('P&amp;L'!K20*4)</f>
        <v>9.6195244463289739E-2</v>
      </c>
      <c r="L87" s="186">
        <f>+L28/('P&amp;L'!L20*4)</f>
        <v>0.32069391113549095</v>
      </c>
      <c r="M87" s="186">
        <f>+M28/'P&amp;L'!M20</f>
        <v>0.2247703997039586</v>
      </c>
      <c r="N87" s="185"/>
      <c r="O87" s="186">
        <f>+O28/('P&amp;L'!O20*4)</f>
        <v>0.2662493883542652</v>
      </c>
      <c r="P87" s="186">
        <f>+P28/('P&amp;L'!P20*4)</f>
        <v>0.25786481364497787</v>
      </c>
      <c r="Q87" s="186">
        <f>+Q28/('P&amp;L'!Q20*4)</f>
        <v>0.15621643897200227</v>
      </c>
      <c r="R87" s="186">
        <f>+R28/('P&amp;L'!R20*4)</f>
        <v>0.11134214565077478</v>
      </c>
      <c r="S87" s="186">
        <f>+S28/'P&amp;L'!S20</f>
        <v>0.1147463615607342</v>
      </c>
      <c r="T87" s="185"/>
      <c r="U87" s="186">
        <f>+U28/('P&amp;L'!U20*4)</f>
        <v>7.5228871651483731E-2</v>
      </c>
      <c r="V87" s="186">
        <f>+V28/('P&amp;L'!V20*4)</f>
        <v>7.0542586349468861E-2</v>
      </c>
      <c r="W87" s="186">
        <f>+W28/('P&amp;L'!W20*4)</f>
        <v>8.1278758694489028E-2</v>
      </c>
      <c r="X87" s="186">
        <f>+X28/('P&amp;L'!X20*4)</f>
        <v>0.10319415773234777</v>
      </c>
      <c r="Y87" s="186">
        <f>+Y28/'P&amp;L'!Y20</f>
        <v>0.10145836856951122</v>
      </c>
      <c r="Z87" s="185"/>
      <c r="AA87" s="186">
        <f>+AA28/('P&amp;L'!AA20*4)</f>
        <v>0.13086110129043663</v>
      </c>
      <c r="AB87" s="186">
        <f>+AB28/('P&amp;L'!AB20*4)</f>
        <v>8.1001044008994549E-2</v>
      </c>
      <c r="AC87" s="186">
        <f>+AC28/('P&amp;L'!AC20*4)</f>
        <v>9.1977457150373351E-2</v>
      </c>
      <c r="AD87" s="186">
        <f>+AD28/('P&amp;L'!AD20*4)</f>
        <v>0.10188567340099036</v>
      </c>
      <c r="AE87" s="186">
        <f>+AE28/'P&amp;L'!AE20</f>
        <v>0.10954390866026964</v>
      </c>
      <c r="AF87" s="75"/>
      <c r="AG87" s="186">
        <f>+AG28/('P&amp;L'!AG20*4)</f>
        <v>9.3296288837217814E-2</v>
      </c>
      <c r="AH87" s="186">
        <f>+AH28/('P&amp;L'!AH20*4)</f>
        <v>9.6914860605268743E-2</v>
      </c>
      <c r="AI87" s="186">
        <f>+AI28/('P&amp;L'!AI20*4)</f>
        <v>0.1043068033045912</v>
      </c>
      <c r="AJ87" s="186">
        <f>+AJ28/('P&amp;L'!AJ20*4)</f>
        <v>0.11921079051900998</v>
      </c>
      <c r="AK87" s="186">
        <f>+AK28/'P&amp;L'!AK20</f>
        <v>0.1305511735742626</v>
      </c>
      <c r="AL87" s="75"/>
      <c r="AM87" s="186">
        <f>+AM28/('P&amp;L'!AM20*4)</f>
        <v>0.15917471271176398</v>
      </c>
      <c r="AN87" s="186">
        <f>+AN28/('P&amp;L'!AN20*4)</f>
        <v>9.9063390796796519E-2</v>
      </c>
      <c r="AO87" s="186">
        <f>+AO28/('P&amp;L'!AO20*4)</f>
        <v>0.12288211621767101</v>
      </c>
      <c r="AP87" s="186">
        <f>+AP28/('P&amp;L'!AP20*4)</f>
        <v>0.12868786791598452</v>
      </c>
      <c r="AQ87" s="186">
        <f>+AQ28/'P&amp;L'!AQ20</f>
        <v>0.14519028920815719</v>
      </c>
      <c r="AR87" s="75"/>
      <c r="AS87" s="186">
        <f>+AS28/('P&amp;L'!AS20*4)</f>
        <v>0.15781445972662148</v>
      </c>
      <c r="AT87" s="186">
        <f>+AT28/('P&amp;L'!AT20*4)</f>
        <v>0.12135747564591276</v>
      </c>
      <c r="AU87" s="186">
        <f>+AU28/('P&amp;L'!AU20*4)</f>
        <v>0.14570550398029239</v>
      </c>
      <c r="AV87" s="186">
        <f>+AV28/('P&amp;L'!AV20*4)</f>
        <v>0.13887247661250618</v>
      </c>
      <c r="AW87" s="186">
        <f>+AW28/'P&amp;L'!AW20</f>
        <v>0.14932998724037336</v>
      </c>
      <c r="AX87" s="75"/>
      <c r="AY87" s="186">
        <f>+AY28/('P&amp;L'!AY20*4)</f>
        <v>9.7070734083398613E-2</v>
      </c>
      <c r="AZ87" s="186">
        <f>+AZ28/('P&amp;L'!AZ20*4)</f>
        <v>0.10019269697913423</v>
      </c>
      <c r="BA87" s="186">
        <f>+BA28/('P&amp;L'!BA20*4)</f>
        <v>0.12282587503719741</v>
      </c>
      <c r="BB87" s="186">
        <f>+BB28/('P&amp;L'!BB20*4)</f>
        <v>0.11060460652591171</v>
      </c>
      <c r="BC87" s="186">
        <f>+BC28/'P&amp;L'!BC20</f>
        <v>0.11268445663359465</v>
      </c>
      <c r="BD87" s="75"/>
      <c r="BE87" s="186">
        <f>+BE28/('P&amp;L'!BE20*4)</f>
        <v>0.10387673956262423</v>
      </c>
      <c r="BF87" s="186">
        <f>+BF28/('P&amp;L'!BF20*4)</f>
        <v>0.11481303930968359</v>
      </c>
      <c r="BG87" s="186">
        <f>+BG28/('P&amp;L'!BG20*4)</f>
        <v>0.12153110047846889</v>
      </c>
      <c r="BH87" s="186">
        <f>+BH28/('P&amp;L'!BH20*4)</f>
        <v>0.11511627906976744</v>
      </c>
      <c r="BI87" s="186">
        <f>+BI28/'P&amp;L'!BI20</f>
        <v>0.1187335092348285</v>
      </c>
      <c r="BJ87" s="75"/>
      <c r="BK87" s="186">
        <f>+BK28/('P&amp;L'!BK20*4)</f>
        <v>0.11820534943917169</v>
      </c>
      <c r="BL87" s="186">
        <f>+BL28/('P&amp;L'!BL20*4)</f>
        <v>0.1122568093385214</v>
      </c>
      <c r="BM87" s="186">
        <f>+BM28/('P&amp;L'!BM20*4)</f>
        <v>0.12441679626749612</v>
      </c>
      <c r="BN87" s="186">
        <f>+BN28/('P&amp;L'!BN20*4)</f>
        <v>0.12615384615384614</v>
      </c>
      <c r="BO87" s="186">
        <f>+BO28/'P&amp;L'!BO20</f>
        <v>0.13041749502982108</v>
      </c>
      <c r="BP87" s="75"/>
      <c r="BQ87" s="186">
        <f>+BQ28/('P&amp;L'!BQ20*4)</f>
        <v>0.1220408163265306</v>
      </c>
      <c r="BR87" s="186">
        <f>+BR28/('P&amp;L'!BR20*4)</f>
        <v>0.12520593080724876</v>
      </c>
      <c r="BS87" s="554">
        <f t="shared" ref="BS87:BT90" si="137">+BM87</f>
        <v>0.12441679626749612</v>
      </c>
      <c r="BT87" s="554">
        <f t="shared" si="137"/>
        <v>0.12615384615384614</v>
      </c>
      <c r="BU87" s="186">
        <f>+BU28/'P&amp;L'!BU20</f>
        <v>0.12954236125883353</v>
      </c>
      <c r="BV87" s="75"/>
      <c r="BW87" s="554">
        <f t="shared" ref="BW87:BZ90" si="138">+BQ87</f>
        <v>0.1220408163265306</v>
      </c>
      <c r="BX87" s="554">
        <f t="shared" si="138"/>
        <v>0.12520593080724876</v>
      </c>
      <c r="BY87" s="554">
        <f t="shared" si="138"/>
        <v>0.12441679626749612</v>
      </c>
      <c r="BZ87" s="554">
        <f t="shared" si="138"/>
        <v>0.12615384615384614</v>
      </c>
      <c r="CA87" s="186">
        <f>+CA28/'P&amp;L'!CA20</f>
        <v>0.13252658391886227</v>
      </c>
      <c r="CB87" s="75"/>
      <c r="CC87" s="554">
        <f t="shared" ref="CC87:CC90" si="139">+BW87</f>
        <v>0.1220408163265306</v>
      </c>
      <c r="CD87" s="554">
        <f t="shared" ref="CD87:CD90" si="140">+BX87</f>
        <v>0.12520593080724876</v>
      </c>
      <c r="CE87" s="554">
        <f t="shared" ref="CE87:CE90" si="141">+BY87</f>
        <v>0.12441679626749612</v>
      </c>
      <c r="CF87" s="554">
        <f t="shared" ref="CF87:CF90" si="142">+BZ87</f>
        <v>0.12615384615384614</v>
      </c>
      <c r="CG87" s="186">
        <f>+CG28/'P&amp;L'!CG20</f>
        <v>0.13332950040059693</v>
      </c>
      <c r="CH87" s="75"/>
      <c r="CI87" s="554">
        <f t="shared" ref="CI87:CI90" si="143">+CC87</f>
        <v>0.1220408163265306</v>
      </c>
      <c r="CJ87" s="554">
        <f t="shared" ref="CJ87:CJ90" si="144">+CD87</f>
        <v>0.12520593080724876</v>
      </c>
      <c r="CK87" s="554">
        <f t="shared" ref="CK87:CK90" si="145">+CE87</f>
        <v>0.12441679626749612</v>
      </c>
      <c r="CL87" s="554">
        <f t="shared" ref="CL87:CL90" si="146">+CF87</f>
        <v>0.12615384615384614</v>
      </c>
      <c r="CM87" s="186">
        <f>+CM28/'P&amp;L'!CM20</f>
        <v>0.13308681129980648</v>
      </c>
      <c r="CN87" s="75"/>
      <c r="CO87" s="554">
        <f t="shared" ref="CO87:CO90" si="147">+CI87</f>
        <v>0.1220408163265306</v>
      </c>
      <c r="CP87" s="554">
        <f t="shared" ref="CP87:CP90" si="148">+CJ87</f>
        <v>0.12520593080724876</v>
      </c>
      <c r="CQ87" s="554">
        <f t="shared" ref="CQ87:CQ90" si="149">+CK87</f>
        <v>0.12441679626749612</v>
      </c>
      <c r="CR87" s="554">
        <f t="shared" ref="CR87:CR90" si="150">+CL87</f>
        <v>0.12615384615384614</v>
      </c>
      <c r="CS87" s="186">
        <f>+CS28/'P&amp;L'!CS20</f>
        <v>0.13317374223868367</v>
      </c>
      <c r="CT87" s="186"/>
      <c r="CU87" s="186"/>
      <c r="CV87" s="186"/>
      <c r="CW87" s="75"/>
      <c r="CX87" s="75"/>
      <c r="CY87" s="75"/>
      <c r="CZ87" s="75"/>
    </row>
    <row r="88" spans="1:104" ht="12" customHeight="1" outlineLevel="1" x14ac:dyDescent="0.2">
      <c r="A88" s="1" t="s">
        <v>6</v>
      </c>
      <c r="B88" s="75"/>
      <c r="C88" s="186">
        <f>+C10/('P&amp;L'!C8*4)</f>
        <v>1.3274006499120531E-2</v>
      </c>
      <c r="D88" s="186">
        <f>+D10/('P&amp;L'!D8*4)</f>
        <v>2.6470984246667564E-2</v>
      </c>
      <c r="E88" s="186">
        <f>+E10/('P&amp;L'!E8*4)</f>
        <v>1.7012448132780082E-2</v>
      </c>
      <c r="F88" s="186">
        <f>+F10/('P&amp;L'!F8*4)</f>
        <v>3.2829060204934257E-2</v>
      </c>
      <c r="G88" s="186">
        <f>+G10/('P&amp;L'!G8)</f>
        <v>3.8007713554726784E-2</v>
      </c>
      <c r="H88" s="75"/>
      <c r="I88" s="186">
        <f>+I10/('P&amp;L'!I8*4)</f>
        <v>4.2928769734388597E-2</v>
      </c>
      <c r="J88" s="186">
        <f>+J10/('P&amp;L'!J8*4)</f>
        <v>3.2088223890592509E-2</v>
      </c>
      <c r="K88" s="186">
        <f>+K10/('P&amp;L'!K8*4)</f>
        <v>2.846272160608759E-2</v>
      </c>
      <c r="L88" s="186">
        <f>+L10/('P&amp;L'!L8*4)</f>
        <v>1.2148644052073347E-2</v>
      </c>
      <c r="M88" s="186">
        <f>+M10/('P&amp;L'!M8)</f>
        <v>1.3579548154901037E-2</v>
      </c>
      <c r="N88" s="75"/>
      <c r="O88" s="186">
        <f>+O10/('P&amp;L'!O8*4)</f>
        <v>1.1084113485314085E-2</v>
      </c>
      <c r="P88" s="186">
        <f>+P10/('P&amp;L'!P8*4)</f>
        <v>8.1862254621688588E-3</v>
      </c>
      <c r="Q88" s="186">
        <f>+Q10/('P&amp;L'!Q8*4)</f>
        <v>8.1213669089690386E-3</v>
      </c>
      <c r="R88" s="186">
        <f>+R10/('P&amp;L'!R8*4)</f>
        <v>1.1596905168507999E-2</v>
      </c>
      <c r="S88" s="186">
        <f>+S10/('P&amp;L'!S8)</f>
        <v>1.2228697779969192E-2</v>
      </c>
      <c r="T88" s="75"/>
      <c r="U88" s="186">
        <f>+U10/('P&amp;L'!U8*4)</f>
        <v>2.3234299006132372E-2</v>
      </c>
      <c r="V88" s="186">
        <f>+V10/('P&amp;L'!V8*4)</f>
        <v>1.5983421007243877E-2</v>
      </c>
      <c r="W88" s="186">
        <f>+W10/('P&amp;L'!W8*4)</f>
        <v>8.006715842783221E-3</v>
      </c>
      <c r="X88" s="186">
        <f>+X10/('P&amp;L'!X8*4)</f>
        <v>1.0790179712119917E-2</v>
      </c>
      <c r="Y88" s="186">
        <f>+Y10/('P&amp;L'!Y8)</f>
        <v>1.1178884207275374E-2</v>
      </c>
      <c r="Z88" s="75"/>
      <c r="AA88" s="186">
        <f>+AA10/('P&amp;L'!AA8*4)</f>
        <v>1.3607960112347318E-2</v>
      </c>
      <c r="AB88" s="186">
        <f>+AB10/('P&amp;L'!AB8*4)</f>
        <v>8.9356829948227801E-3</v>
      </c>
      <c r="AC88" s="186">
        <f>+AC10/('P&amp;L'!AC8*4)</f>
        <v>5.4579287709770061E-3</v>
      </c>
      <c r="AD88" s="186">
        <f>+AD10/('P&amp;L'!AD8*4)</f>
        <v>6.8637582393028702E-3</v>
      </c>
      <c r="AE88" s="186">
        <f>+AE10/('P&amp;L'!AE8)</f>
        <v>7.3342883576566079E-3</v>
      </c>
      <c r="AF88" s="75"/>
      <c r="AG88" s="186">
        <f>+AG10/('P&amp;L'!AG8*4)</f>
        <v>7.4987324810777542E-3</v>
      </c>
      <c r="AH88" s="186">
        <f>+AH10/('P&amp;L'!AH8*4)</f>
        <v>4.0012702445220698E-2</v>
      </c>
      <c r="AI88" s="186">
        <f>+AI10/('P&amp;L'!AI8*4)</f>
        <v>2.4632639065473853E-2</v>
      </c>
      <c r="AJ88" s="186">
        <f>+AJ10/('P&amp;L'!AJ8*4)</f>
        <v>3.2207723837099989E-3</v>
      </c>
      <c r="AK88" s="186">
        <f>+AK10/('P&amp;L'!AK8)</f>
        <v>3.453594217800224E-3</v>
      </c>
      <c r="AL88" s="75"/>
      <c r="AM88" s="186">
        <f>+AM10/('P&amp;L'!AM8*4)</f>
        <v>4.7138349932927147E-3</v>
      </c>
      <c r="AN88" s="186">
        <f>+AN10/('P&amp;L'!AN8*4)</f>
        <v>3.9006973313665014E-3</v>
      </c>
      <c r="AO88" s="186">
        <f>+AO10/('P&amp;L'!AO8*4)</f>
        <v>2.4621018456976325E-3</v>
      </c>
      <c r="AP88" s="186">
        <f>+AP10/('P&amp;L'!AP8*4)</f>
        <v>1.3726481196443749E-3</v>
      </c>
      <c r="AQ88" s="186">
        <f>+AQ10/('P&amp;L'!AQ8)</f>
        <v>1.5591235638041962E-3</v>
      </c>
      <c r="AR88" s="75"/>
      <c r="AS88" s="186">
        <f>+AS10/('P&amp;L'!AS8*4)</f>
        <v>5.9972736297767039E-3</v>
      </c>
      <c r="AT88" s="186">
        <f>+AT10/('P&amp;L'!AT8*4)</f>
        <v>5.1908752327746738E-3</v>
      </c>
      <c r="AU88" s="186">
        <f>+AU10/('P&amp;L'!AU8*4)</f>
        <v>2.0045210032581837E-2</v>
      </c>
      <c r="AV88" s="186">
        <f>+AV10/('P&amp;L'!AV8*4)</f>
        <v>2.7189892193997828E-2</v>
      </c>
      <c r="AW88" s="186">
        <f>+AW10/('P&amp;L'!AW8)</f>
        <v>2.6380850560769761E-2</v>
      </c>
      <c r="AX88" s="75"/>
      <c r="AY88" s="186">
        <f>+AY10/('P&amp;L'!AY8*4)</f>
        <v>4.1633350509663172E-2</v>
      </c>
      <c r="AZ88" s="186">
        <f>+AZ10/('P&amp;L'!AZ8*4)</f>
        <v>1.8026714680058353E-2</v>
      </c>
      <c r="BA88" s="186">
        <f>+BA10/('P&amp;L'!BA8*4)</f>
        <v>1.3869211323165818E-2</v>
      </c>
      <c r="BB88" s="186">
        <f>+BB10/('P&amp;L'!BB8*4)</f>
        <v>1.6458289256608888E-2</v>
      </c>
      <c r="BC88" s="186">
        <f>+BC10/('P&amp;L'!BC8)</f>
        <v>1.7286947077674499E-2</v>
      </c>
      <c r="BD88" s="75"/>
      <c r="BE88" s="186">
        <f>+BE10/('P&amp;L'!BE8*4)</f>
        <v>7.6281231620079389E-3</v>
      </c>
      <c r="BF88" s="186">
        <f>+BF10/('P&amp;L'!BF8*4)</f>
        <v>1.2545965960009378E-2</v>
      </c>
      <c r="BG88" s="186">
        <f>+BG10/('P&amp;L'!BG8*4)</f>
        <v>2.7687669558828874E-2</v>
      </c>
      <c r="BH88" s="186">
        <f>+BH10/('P&amp;L'!BH8*4)</f>
        <v>2.4664879356568359E-2</v>
      </c>
      <c r="BI88" s="186">
        <f>+BI10/('P&amp;L'!BI8)</f>
        <v>2.4408406989888949E-2</v>
      </c>
      <c r="BJ88" s="75"/>
      <c r="BK88" s="186">
        <f>+BK10/('P&amp;L'!BK8*4)</f>
        <v>1.7182498557814434E-2</v>
      </c>
      <c r="BL88" s="186">
        <f>+BL10/('P&amp;L'!BL8*4)</f>
        <v>1.539053655550188E-2</v>
      </c>
      <c r="BM88" s="186">
        <f>+BM10/('P&amp;L'!BM8*4)</f>
        <v>1.2061278908752467E-2</v>
      </c>
      <c r="BN88" s="186">
        <f>+BN10/('P&amp;L'!BN8*4)</f>
        <v>1.5838575682975326E-2</v>
      </c>
      <c r="BO88" s="186">
        <f>+BO10/('P&amp;L'!BO8)</f>
        <v>1.6463004590964808E-2</v>
      </c>
      <c r="BP88" s="75"/>
      <c r="BQ88" s="186">
        <f>+BQ10/('P&amp;L'!BQ8*4)</f>
        <v>1.2488587007660418E-2</v>
      </c>
      <c r="BR88" s="186">
        <f>+BR10/('P&amp;L'!BR8*4)</f>
        <v>1.2630468574229989E-2</v>
      </c>
      <c r="BS88" s="554">
        <f t="shared" si="137"/>
        <v>1.2061278908752467E-2</v>
      </c>
      <c r="BT88" s="554">
        <f t="shared" si="137"/>
        <v>1.5838575682975326E-2</v>
      </c>
      <c r="BU88" s="186">
        <f>+BU10/('P&amp;L'!BU8)</f>
        <v>1.6199569677356595E-2</v>
      </c>
      <c r="BV88" s="75"/>
      <c r="BW88" s="554">
        <f t="shared" si="138"/>
        <v>1.2488587007660418E-2</v>
      </c>
      <c r="BX88" s="554">
        <f t="shared" si="138"/>
        <v>1.2630468574229989E-2</v>
      </c>
      <c r="BY88" s="554">
        <f t="shared" si="138"/>
        <v>1.2061278908752467E-2</v>
      </c>
      <c r="BZ88" s="554">
        <f t="shared" si="138"/>
        <v>1.5838575682975326E-2</v>
      </c>
      <c r="CA88" s="186">
        <f>+CA10/('P&amp;L'!CA8)</f>
        <v>1.6570795570939864E-2</v>
      </c>
      <c r="CB88" s="75"/>
      <c r="CC88" s="554">
        <f t="shared" si="139"/>
        <v>1.2488587007660418E-2</v>
      </c>
      <c r="CD88" s="554">
        <f t="shared" si="140"/>
        <v>1.2630468574229989E-2</v>
      </c>
      <c r="CE88" s="554">
        <f t="shared" si="141"/>
        <v>1.2061278908752467E-2</v>
      </c>
      <c r="CF88" s="554">
        <f t="shared" si="142"/>
        <v>1.5838575682975326E-2</v>
      </c>
      <c r="CG88" s="186">
        <f>+CG10/('P&amp;L'!CG8)</f>
        <v>1.6670603513087863E-2</v>
      </c>
      <c r="CH88" s="75"/>
      <c r="CI88" s="554">
        <f t="shared" si="143"/>
        <v>1.2488587007660418E-2</v>
      </c>
      <c r="CJ88" s="554">
        <f t="shared" si="144"/>
        <v>1.2630468574229989E-2</v>
      </c>
      <c r="CK88" s="554">
        <f t="shared" si="145"/>
        <v>1.2061278908752467E-2</v>
      </c>
      <c r="CL88" s="554">
        <f t="shared" si="146"/>
        <v>1.5838575682975326E-2</v>
      </c>
      <c r="CM88" s="186">
        <f>+CM10/('P&amp;L'!CM8)</f>
        <v>1.6639706069228061E-2</v>
      </c>
      <c r="CN88" s="75"/>
      <c r="CO88" s="554">
        <f t="shared" si="147"/>
        <v>1.2488587007660418E-2</v>
      </c>
      <c r="CP88" s="554">
        <f t="shared" si="148"/>
        <v>1.2630468574229989E-2</v>
      </c>
      <c r="CQ88" s="554">
        <f t="shared" si="149"/>
        <v>1.2061278908752467E-2</v>
      </c>
      <c r="CR88" s="554">
        <f t="shared" si="150"/>
        <v>1.5838575682975326E-2</v>
      </c>
      <c r="CS88" s="186">
        <f>+CS10/('P&amp;L'!CS8)</f>
        <v>1.6649735794187354E-2</v>
      </c>
      <c r="CT88" s="186"/>
      <c r="CU88" s="186"/>
      <c r="CV88" s="186"/>
      <c r="CW88" s="75"/>
      <c r="CX88" s="75"/>
      <c r="CY88" s="75"/>
      <c r="CZ88" s="75"/>
    </row>
    <row r="89" spans="1:104" ht="12" customHeight="1" outlineLevel="1" x14ac:dyDescent="0.2">
      <c r="A89" s="1" t="s">
        <v>92</v>
      </c>
      <c r="B89" s="75"/>
      <c r="C89" s="186">
        <f>(+C19+C13)/('P&amp;L'!C20*4)</f>
        <v>0</v>
      </c>
      <c r="D89" s="186">
        <f>+(D19+D13)/('P&amp;L'!D20*4)</f>
        <v>0</v>
      </c>
      <c r="E89" s="186">
        <f>(E13+E19)/('P&amp;L'!E20*4)</f>
        <v>0</v>
      </c>
      <c r="F89" s="186">
        <f>(F13+F19)/('P&amp;L'!F20*4)</f>
        <v>0</v>
      </c>
      <c r="G89" s="186">
        <f>(+G19+G13)/('P&amp;L'!G20)</f>
        <v>0</v>
      </c>
      <c r="H89" s="75"/>
      <c r="I89" s="186">
        <f>(+I19+I13)/('P&amp;L'!I20*4)</f>
        <v>0</v>
      </c>
      <c r="J89" s="186">
        <f>+(J19+J13)/('P&amp;L'!J20*4)</f>
        <v>0</v>
      </c>
      <c r="K89" s="186">
        <f>(K13+K19)/('P&amp;L'!K20*4)</f>
        <v>0</v>
      </c>
      <c r="L89" s="186">
        <f>(L13+L19)/('P&amp;L'!L20*4)</f>
        <v>0</v>
      </c>
      <c r="M89" s="186">
        <f>+(M19+M13)/('P&amp;L'!M20)</f>
        <v>0</v>
      </c>
      <c r="N89" s="75"/>
      <c r="O89" s="186">
        <f>(+O19+O13)/('P&amp;L'!O20*4)</f>
        <v>0</v>
      </c>
      <c r="P89" s="186">
        <f>+(P19+P13)/('P&amp;L'!P20*4)</f>
        <v>0</v>
      </c>
      <c r="Q89" s="186">
        <f>(Q13+Q19)/('P&amp;L'!Q20*4)</f>
        <v>0</v>
      </c>
      <c r="R89" s="186">
        <f>(R13+R19)/('P&amp;L'!R20*4)</f>
        <v>0</v>
      </c>
      <c r="S89" s="186">
        <f>+(S19+S13)/('P&amp;L'!S20)</f>
        <v>0</v>
      </c>
      <c r="T89" s="75"/>
      <c r="U89" s="186">
        <f>(+U19+U13)/('P&amp;L'!U20*4)</f>
        <v>0</v>
      </c>
      <c r="V89" s="186">
        <f>+(V19+V13)/('P&amp;L'!V20*4)</f>
        <v>0</v>
      </c>
      <c r="W89" s="186">
        <f>(W13+W19)/('P&amp;L'!W20*4)</f>
        <v>0</v>
      </c>
      <c r="X89" s="186">
        <f>(X13+X19)/('P&amp;L'!X20*4)</f>
        <v>0.15517968524561052</v>
      </c>
      <c r="Y89" s="186">
        <f>+(Y19+Y13)/('P&amp;L'!Y20)</f>
        <v>0.15256946755634607</v>
      </c>
      <c r="Z89" s="75"/>
      <c r="AA89" s="186">
        <f>(+AA19+AA13)/('P&amp;L'!AA20*4)</f>
        <v>0.15306810146720876</v>
      </c>
      <c r="AB89" s="186">
        <f>+(AB19+AB13)/('P&amp;L'!AB20*4)</f>
        <v>0.15217936877610025</v>
      </c>
      <c r="AC89" s="186">
        <f>(AC13+AC19)/('P&amp;L'!AC20*4)</f>
        <v>0.16482182244976423</v>
      </c>
      <c r="AD89" s="186">
        <f>(AD13+AD19)/('P&amp;L'!AD20*4)</f>
        <v>0.16782304983901639</v>
      </c>
      <c r="AE89" s="186">
        <f>+(AE19+AE13)/('P&amp;L'!AE20)</f>
        <v>0.18043746710393133</v>
      </c>
      <c r="AF89" s="75"/>
      <c r="AG89" s="186">
        <f>(+AG19+AG13)/('P&amp;L'!AG20*4)</f>
        <v>0.17390468518281185</v>
      </c>
      <c r="AH89" s="186">
        <f>+(AH19+AH13)/('P&amp;L'!AH20*4)</f>
        <v>0.14644612846853614</v>
      </c>
      <c r="AI89" s="186">
        <f>(AI13+AI19)/('P&amp;L'!AI20*4)</f>
        <v>0.12659323130633679</v>
      </c>
      <c r="AJ89" s="186">
        <f>(AJ13+AJ19)/('P&amp;L'!AJ20*4)</f>
        <v>0.13175316833267856</v>
      </c>
      <c r="AK89" s="186">
        <f>+(AK19+AK13)/('P&amp;L'!AK20)</f>
        <v>0.14428669311789918</v>
      </c>
      <c r="AL89" s="75"/>
      <c r="AM89" s="186">
        <f>(+AM19+AM13)/('P&amp;L'!AM20*4)</f>
        <v>0.1275730067527544</v>
      </c>
      <c r="AN89" s="186">
        <f>+(AN19+AN13)/('P&amp;L'!AN20*4)</f>
        <v>0.11518935794760418</v>
      </c>
      <c r="AO89" s="186">
        <f>(AO13+AO19)/('P&amp;L'!AO20*4)</f>
        <v>0.11683605464845048</v>
      </c>
      <c r="AP89" s="186">
        <f>(AP13+AP19)/('P&amp;L'!AP20*4)</f>
        <v>0.10635166672472046</v>
      </c>
      <c r="AQ89" s="186">
        <f>+(AQ19+AQ13)/('P&amp;L'!AQ20)</f>
        <v>0.11998978225059032</v>
      </c>
      <c r="AR89" s="75"/>
      <c r="AS89" s="186">
        <f>(+AS19+AS13)/('P&amp;L'!AS20*4)</f>
        <v>9.8958886928424153E-2</v>
      </c>
      <c r="AT89" s="186">
        <f>+(AT19+AT13)/('P&amp;L'!AT20*4)</f>
        <v>0.10339104193138501</v>
      </c>
      <c r="AU89" s="186">
        <f>+(AU19+AU13)/('P&amp;L'!AU20*4)</f>
        <v>1.8615565338381875E-2</v>
      </c>
      <c r="AV89" s="186">
        <f>(AV13+AV19)/('P&amp;L'!AV20*4)</f>
        <v>2.3695224027572629E-2</v>
      </c>
      <c r="AW89" s="186">
        <f>+(AW19+AW13)/('P&amp;L'!AW20)</f>
        <v>2.5479544889001837E-2</v>
      </c>
      <c r="AX89" s="75"/>
      <c r="AY89" s="186">
        <f>(+AY19+AY13)/('P&amp;L'!AY20*4)</f>
        <v>3.1587266718878342E-2</v>
      </c>
      <c r="AZ89" s="186">
        <f>+(AZ19+AZ13)/('P&amp;L'!AZ20*4)</f>
        <v>3.1174575677359082E-2</v>
      </c>
      <c r="BA89" s="186">
        <f>+(BA19+BA13)/('P&amp;L'!BA20*4)</f>
        <v>3.557355853590962E-2</v>
      </c>
      <c r="BB89" s="186">
        <f>+(BB19+BB13)/('P&amp;L'!BB20*4)</f>
        <v>3.2389635316698653E-2</v>
      </c>
      <c r="BC89" s="186">
        <f>+(BC19+BC13)/('P&amp;L'!BC20)</f>
        <v>3.299870205105266E-2</v>
      </c>
      <c r="BD89" s="75"/>
      <c r="BE89" s="186">
        <f>(+BE19+BE13)/('P&amp;L'!BE20*4)</f>
        <v>3.3548707753479123E-2</v>
      </c>
      <c r="BF89" s="186">
        <f>(+BF19+BF13)/('P&amp;L'!BF20*4)</f>
        <v>0</v>
      </c>
      <c r="BG89" s="186">
        <f>(+BG19+BG13)/('P&amp;L'!BG20*4)</f>
        <v>0</v>
      </c>
      <c r="BH89" s="186">
        <f>+(BH19+BH13)/('P&amp;L'!BH20*4)</f>
        <v>0</v>
      </c>
      <c r="BI89" s="186">
        <f>+(BI19+BI13)/('P&amp;L'!BI20)</f>
        <v>0</v>
      </c>
      <c r="BJ89" s="75"/>
      <c r="BK89" s="186">
        <f>(+BK19+BK13)/('P&amp;L'!BK20*4)</f>
        <v>0</v>
      </c>
      <c r="BL89" s="186">
        <f>(+BL19+BL13)/('P&amp;L'!BL20*4)</f>
        <v>0</v>
      </c>
      <c r="BM89" s="186">
        <f>(+BM19+BM13)/('P&amp;L'!BM20*4)</f>
        <v>0</v>
      </c>
      <c r="BN89" s="186">
        <f>+(BN19+BN13)/('P&amp;L'!BN20*4)</f>
        <v>0</v>
      </c>
      <c r="BO89" s="186">
        <f>+(BO19+BO13)/('P&amp;L'!BO20)</f>
        <v>0</v>
      </c>
      <c r="BP89" s="75"/>
      <c r="BQ89" s="186">
        <f>(+BQ19+BQ13)/('P&amp;L'!BQ20*4)</f>
        <v>0</v>
      </c>
      <c r="BR89" s="186">
        <f>(+BR19+BR13)/('P&amp;L'!BR20*4)</f>
        <v>0</v>
      </c>
      <c r="BS89" s="554">
        <f t="shared" si="137"/>
        <v>0</v>
      </c>
      <c r="BT89" s="554">
        <f t="shared" si="137"/>
        <v>0</v>
      </c>
      <c r="BU89" s="186">
        <f>+(BU19+BU13)/('P&amp;L'!BU20)</f>
        <v>0</v>
      </c>
      <c r="BV89" s="75"/>
      <c r="BW89" s="554">
        <f t="shared" si="138"/>
        <v>0</v>
      </c>
      <c r="BX89" s="554">
        <f t="shared" si="138"/>
        <v>0</v>
      </c>
      <c r="BY89" s="554">
        <f t="shared" si="138"/>
        <v>0</v>
      </c>
      <c r="BZ89" s="554">
        <f t="shared" si="138"/>
        <v>0</v>
      </c>
      <c r="CA89" s="186">
        <f>+(CA19+CA13)/('P&amp;L'!CA20)</f>
        <v>0</v>
      </c>
      <c r="CB89" s="75"/>
      <c r="CC89" s="554">
        <f t="shared" si="139"/>
        <v>0</v>
      </c>
      <c r="CD89" s="554">
        <f t="shared" si="140"/>
        <v>0</v>
      </c>
      <c r="CE89" s="554">
        <f t="shared" si="141"/>
        <v>0</v>
      </c>
      <c r="CF89" s="554">
        <f t="shared" si="142"/>
        <v>0</v>
      </c>
      <c r="CG89" s="186">
        <f>+(CG19+CG13)/('P&amp;L'!CG20)</f>
        <v>0</v>
      </c>
      <c r="CH89" s="75"/>
      <c r="CI89" s="554">
        <f t="shared" si="143"/>
        <v>0</v>
      </c>
      <c r="CJ89" s="554">
        <f t="shared" si="144"/>
        <v>0</v>
      </c>
      <c r="CK89" s="554">
        <f t="shared" si="145"/>
        <v>0</v>
      </c>
      <c r="CL89" s="554">
        <f t="shared" si="146"/>
        <v>0</v>
      </c>
      <c r="CM89" s="186">
        <f>+(CM19+CM13)/('P&amp;L'!CM20)</f>
        <v>0</v>
      </c>
      <c r="CN89" s="75"/>
      <c r="CO89" s="554">
        <f t="shared" si="147"/>
        <v>0</v>
      </c>
      <c r="CP89" s="554">
        <f t="shared" si="148"/>
        <v>0</v>
      </c>
      <c r="CQ89" s="554">
        <f t="shared" si="149"/>
        <v>0</v>
      </c>
      <c r="CR89" s="554">
        <f t="shared" si="150"/>
        <v>0</v>
      </c>
      <c r="CS89" s="186">
        <f>+(CS19+CS13)/('P&amp;L'!CS20)</f>
        <v>0</v>
      </c>
      <c r="CT89" s="186"/>
      <c r="CU89" s="186"/>
      <c r="CV89" s="186"/>
      <c r="CW89" s="75"/>
      <c r="CX89" s="75"/>
      <c r="CY89" s="75"/>
      <c r="CZ89" s="75"/>
    </row>
    <row r="90" spans="1:104" ht="12.75" customHeight="1" outlineLevel="1" x14ac:dyDescent="0.2">
      <c r="A90" s="1" t="s">
        <v>93</v>
      </c>
      <c r="B90" s="1"/>
      <c r="C90" s="186">
        <f>+C30/('P&amp;L'!C8*4)</f>
        <v>4.3228095280684498E-4</v>
      </c>
      <c r="D90" s="186">
        <f>+D30/('P&amp;L'!D8*4)</f>
        <v>2.9217719132893496E-3</v>
      </c>
      <c r="E90" s="186">
        <f>+E30/('P&amp;L'!E8*4)</f>
        <v>2.4835245301440077E-3</v>
      </c>
      <c r="F90" s="186">
        <f>+F30/('P&amp;L'!F8*4)</f>
        <v>2.1054136065790053E-3</v>
      </c>
      <c r="G90" s="186">
        <f>+G30/('P&amp;L'!G8)</f>
        <v>2.4375342082150631E-3</v>
      </c>
      <c r="H90" s="1"/>
      <c r="I90" s="186">
        <f>+I30/('P&amp;L'!I8*4)</f>
        <v>4.6616665976049389E-5</v>
      </c>
      <c r="J90" s="186">
        <f>+J30/('P&amp;L'!J8*4)</f>
        <v>1.4671671777519298E-3</v>
      </c>
      <c r="K90" s="186">
        <f>+K30/('P&amp;L'!K8*4)</f>
        <v>8.3299603335222211E-3</v>
      </c>
      <c r="L90" s="186">
        <f>+L30/('P&amp;L'!L8*4)</f>
        <v>7.8581588793716559E-3</v>
      </c>
      <c r="M90" s="186">
        <f>+M30/('P&amp;L'!M8)</f>
        <v>8.7837166398071296E-3</v>
      </c>
      <c r="N90" s="1"/>
      <c r="O90" s="186">
        <f>+O30/('P&amp;L'!O8*4)</f>
        <v>2.8585721432144643E-5</v>
      </c>
      <c r="P90" s="186">
        <f>+P30/('P&amp;L'!P8*4)</f>
        <v>6.8491518963217078E-4</v>
      </c>
      <c r="Q90" s="186">
        <f>+Q30/('P&amp;L'!Q8*4)</f>
        <v>1.6757000381366216E-4</v>
      </c>
      <c r="R90" s="186">
        <f>+R30/('P&amp;L'!R8*4)</f>
        <v>0</v>
      </c>
      <c r="S90" s="186">
        <f>+S30/('P&amp;L'!S8)</f>
        <v>0</v>
      </c>
      <c r="T90" s="1"/>
      <c r="U90" s="186">
        <f>+U30/('P&amp;L'!U8*4)</f>
        <v>0</v>
      </c>
      <c r="V90" s="186">
        <f>+V30/('P&amp;L'!V8*4)</f>
        <v>0</v>
      </c>
      <c r="W90" s="186">
        <f>+W30/('P&amp;L'!W8*4)</f>
        <v>0</v>
      </c>
      <c r="X90" s="186">
        <f>+X30/('P&amp;L'!X8*4)</f>
        <v>0</v>
      </c>
      <c r="Y90" s="186">
        <f>+Y30/('P&amp;L'!Y8)</f>
        <v>0</v>
      </c>
      <c r="Z90" s="1"/>
      <c r="AA90" s="186">
        <f>+AA30/('P&amp;L'!AA8*4)</f>
        <v>0</v>
      </c>
      <c r="AB90" s="186">
        <f>+AB30/('P&amp;L'!AB8*4)</f>
        <v>0</v>
      </c>
      <c r="AC90" s="186">
        <f>+AC30/('P&amp;L'!AC8*4)</f>
        <v>0</v>
      </c>
      <c r="AD90" s="186">
        <f>+AD30/('P&amp;L'!AD8*4)</f>
        <v>3.1351245670874759E-3</v>
      </c>
      <c r="AE90" s="186">
        <f>+AE30/('P&amp;L'!AE8)</f>
        <v>3.3500462589906581E-3</v>
      </c>
      <c r="AF90" s="89"/>
      <c r="AG90" s="186">
        <f>+AG30/('P&amp;L'!AG8*4)</f>
        <v>2.4512910585593743E-3</v>
      </c>
      <c r="AH90" s="186">
        <f>+AH30/('P&amp;L'!AH8*4)</f>
        <v>4.9547678953839637E-3</v>
      </c>
      <c r="AI90" s="186">
        <f>+AI30/('P&amp;L'!AI8*4)</f>
        <v>2.6718910130454554E-3</v>
      </c>
      <c r="AJ90" s="186">
        <f>+AJ30/('P&amp;L'!AJ8*4)</f>
        <v>3.8619185499943589E-3</v>
      </c>
      <c r="AK90" s="186">
        <f>+AK30/('P&amp;L'!AK8)</f>
        <v>4.1410872874265373E-3</v>
      </c>
      <c r="AL90" s="89"/>
      <c r="AM90" s="186">
        <f>+AM30/('P&amp;L'!AM8*4)</f>
        <v>6.135854373224817E-3</v>
      </c>
      <c r="AN90" s="186">
        <f>+AN30/('P&amp;L'!AN8*4)</f>
        <v>4.561150596754728E-3</v>
      </c>
      <c r="AO90" s="186">
        <f>+AO30/('P&amp;L'!AO8*4)</f>
        <v>4.8427194641852854E-3</v>
      </c>
      <c r="AP90" s="186">
        <f>+AP30/('P&amp;L'!AP8*4)</f>
        <v>2.9333892347630317E-3</v>
      </c>
      <c r="AQ90" s="186">
        <f>+AQ30/('P&amp;L'!AQ8)</f>
        <v>3.3318927205564573E-3</v>
      </c>
      <c r="AR90" s="89"/>
      <c r="AS90" s="186">
        <f>+AS30/('P&amp;L'!AS8*4)</f>
        <v>1.1051183649681182E-3</v>
      </c>
      <c r="AT90" s="186">
        <f>+AT30/('P&amp;L'!AT8*4)</f>
        <v>4.8417132216014899E-3</v>
      </c>
      <c r="AU90" s="186">
        <f>+AU30/('P&amp;L'!AU8*4)</f>
        <v>2.8946447705057833E-3</v>
      </c>
      <c r="AV90" s="186">
        <f>+AV30/('P&amp;L'!AV8*4)</f>
        <v>1.4435938865785501E-3</v>
      </c>
      <c r="AW90" s="186">
        <f>+AW30/('P&amp;L'!AW20)</f>
        <v>2.8854757328843641E-3</v>
      </c>
      <c r="AX90" s="89"/>
      <c r="AY90" s="186">
        <f>+AY30/('P&amp;L'!AY8*4)</f>
        <v>1.9886043935867137E-3</v>
      </c>
      <c r="AZ90" s="186">
        <f>+AZ30/('P&amp;L'!AZ8*4)</f>
        <v>2.4729789091776804E-3</v>
      </c>
      <c r="BA90" s="186">
        <f>+BA30/('P&amp;L'!BA8*4)</f>
        <v>1.8598772119898879E-3</v>
      </c>
      <c r="BB90" s="186">
        <f>+BB30/('P&amp;L'!BB8*4)</f>
        <v>1.9749947107930666E-3</v>
      </c>
      <c r="BC90" s="186">
        <f>+BC30/('P&amp;L'!BC20)</f>
        <v>3.6665224501169621E-3</v>
      </c>
      <c r="BD90" s="89"/>
      <c r="BE90" s="186">
        <f>+BE30/('P&amp;L'!BE8*4)</f>
        <v>1.9070307905019847E-3</v>
      </c>
      <c r="BF90" s="186">
        <f>+BF30/('P&amp;L'!BF8*4)</f>
        <v>1.9400978288674298E-3</v>
      </c>
      <c r="BG90" s="186">
        <f>+BG30/('P&amp;L'!BG8*4)</f>
        <v>1.9683177411489719E-3</v>
      </c>
      <c r="BH90" s="186">
        <f>+BH30/('P&amp;L'!BH8*4)</f>
        <v>2.2788203753351202E-3</v>
      </c>
      <c r="BI90" s="186">
        <f>+BI30/('P&amp;L'!BI20)</f>
        <v>4.0777164787718879E-3</v>
      </c>
      <c r="BJ90" s="89"/>
      <c r="BK90" s="186">
        <f>+BK30/('P&amp;L'!BK8*4)</f>
        <v>1.4084015211323307E-3</v>
      </c>
      <c r="BL90" s="186">
        <f>+BL30/('P&amp;L'!BL8*4)</f>
        <v>2.7982793737276151E-3</v>
      </c>
      <c r="BM90" s="186">
        <f>+BM30/('P&amp;L'!BM8*4)</f>
        <v>3.4279424266980699E-3</v>
      </c>
      <c r="BN90" s="186">
        <f>+BN30/('P&amp;L'!BN8*4)</f>
        <v>3.2425430532075474E-3</v>
      </c>
      <c r="BO90" s="186">
        <f>+BO30/('P&amp;L'!BO20)</f>
        <v>5.1689860834990067E-3</v>
      </c>
      <c r="BP90" s="89"/>
      <c r="BQ90" s="186">
        <f>+BQ30/('P&amp;L'!BQ8*4)</f>
        <v>3.8123055076016016E-3</v>
      </c>
      <c r="BR90" s="186">
        <f>+BR30/('P&amp;L'!BR8*4)</f>
        <v>4.3819993012634648E-3</v>
      </c>
      <c r="BS90" s="554">
        <f t="shared" si="137"/>
        <v>3.4279424266980699E-3</v>
      </c>
      <c r="BT90" s="554">
        <f t="shared" si="137"/>
        <v>3.2425430532075474E-3</v>
      </c>
      <c r="BU90" s="186">
        <f>+BU30/('P&amp;L'!BU20)</f>
        <v>5.2025599149648728E-3</v>
      </c>
      <c r="BV90" s="89"/>
      <c r="BW90" s="554">
        <f t="shared" si="138"/>
        <v>3.8123055076016016E-3</v>
      </c>
      <c r="BX90" s="554">
        <f t="shared" si="138"/>
        <v>4.3819993012634648E-3</v>
      </c>
      <c r="BY90" s="554">
        <f t="shared" si="138"/>
        <v>3.4279424266980699E-3</v>
      </c>
      <c r="BZ90" s="554">
        <f t="shared" si="138"/>
        <v>3.2425430532075474E-3</v>
      </c>
      <c r="CA90" s="186">
        <f>+CA30/('P&amp;L'!CA20)</f>
        <v>5.4414410140542361E-3</v>
      </c>
      <c r="CB90" s="89"/>
      <c r="CC90" s="554">
        <f t="shared" si="139"/>
        <v>3.8123055076016016E-3</v>
      </c>
      <c r="CD90" s="554">
        <f t="shared" si="140"/>
        <v>4.3819993012634648E-3</v>
      </c>
      <c r="CE90" s="554">
        <f t="shared" si="141"/>
        <v>3.4279424266980699E-3</v>
      </c>
      <c r="CF90" s="554">
        <f t="shared" si="142"/>
        <v>3.2425430532075474E-3</v>
      </c>
      <c r="CG90" s="186">
        <f>+CG30/('P&amp;L'!CG20)</f>
        <v>5.4919543357671288E-3</v>
      </c>
      <c r="CH90" s="89"/>
      <c r="CI90" s="554">
        <f t="shared" si="143"/>
        <v>3.8123055076016016E-3</v>
      </c>
      <c r="CJ90" s="554">
        <f t="shared" si="144"/>
        <v>4.3819993012634648E-3</v>
      </c>
      <c r="CK90" s="554">
        <f t="shared" si="145"/>
        <v>3.4279424266980699E-3</v>
      </c>
      <c r="CL90" s="554">
        <f t="shared" si="146"/>
        <v>3.2425430532075474E-3</v>
      </c>
      <c r="CM90" s="186">
        <f>+CM30/('P&amp;L'!CM20)</f>
        <v>5.499584641301178E-3</v>
      </c>
      <c r="CN90" s="89"/>
      <c r="CO90" s="554">
        <f t="shared" si="147"/>
        <v>3.8123055076016016E-3</v>
      </c>
      <c r="CP90" s="554">
        <f t="shared" si="148"/>
        <v>4.3819993012634648E-3</v>
      </c>
      <c r="CQ90" s="554">
        <f t="shared" si="149"/>
        <v>3.4279424266980699E-3</v>
      </c>
      <c r="CR90" s="554">
        <f t="shared" si="150"/>
        <v>3.2425430532075474E-3</v>
      </c>
      <c r="CS90" s="186">
        <f>+CS30/('P&amp;L'!CS20)</f>
        <v>5.520929097122396E-3</v>
      </c>
      <c r="CT90" s="186"/>
      <c r="CU90" s="186"/>
      <c r="CV90" s="186"/>
      <c r="CY90" s="43"/>
      <c r="CZ90" s="43"/>
    </row>
    <row r="91" spans="1:104" ht="12.75" customHeight="1" outlineLevel="1" x14ac:dyDescent="0.2">
      <c r="A91" s="1" t="s">
        <v>335</v>
      </c>
      <c r="B91" s="70"/>
      <c r="C91" s="186">
        <f>+C14/('P&amp;L'!C8*4)</f>
        <v>5.5600274274811437E-3</v>
      </c>
      <c r="D91" s="186">
        <f>+D14/('P&amp;L'!D8*4)</f>
        <v>1.9658004577891477E-2</v>
      </c>
      <c r="E91" s="186">
        <f>+E14/('P&amp;L'!E8*4)</f>
        <v>1.2997315108616059E-2</v>
      </c>
      <c r="F91" s="186">
        <f>+F14/('P&amp;L'!F8*4)</f>
        <v>7.4101763490039144E-3</v>
      </c>
      <c r="G91" s="186">
        <f>+G14/('P&amp;L'!G8*4)</f>
        <v>2.1447755304659956E-3</v>
      </c>
      <c r="H91" s="70"/>
      <c r="I91" s="186">
        <f>+I14/('P&amp;L'!I8*4)</f>
        <v>1.3254672025856711E-2</v>
      </c>
      <c r="J91" s="186">
        <f>+J14/('P&amp;L'!J8*4)</f>
        <v>1.1455359345810864E-2</v>
      </c>
      <c r="K91" s="186">
        <f>+K14/('P&amp;L'!K8*4)</f>
        <v>8.1680563425888444E-3</v>
      </c>
      <c r="L91" s="186">
        <f>+L14/('P&amp;L'!L8*4)</f>
        <v>1.843362503478772E-2</v>
      </c>
      <c r="M91" s="186">
        <f>+M14/('P&amp;L'!M8*4)</f>
        <v>5.151198309793434E-3</v>
      </c>
      <c r="N91" s="70"/>
      <c r="O91" s="186">
        <f>+O14/('P&amp;L'!O8*4)</f>
        <v>2.564853855499178E-2</v>
      </c>
      <c r="P91" s="186">
        <f>+P14/('P&amp;L'!P8*4)</f>
        <v>2.2215075281113018E-3</v>
      </c>
      <c r="Q91" s="186">
        <f>+Q14/('P&amp;L'!Q8*4)</f>
        <v>1.2148825276490506E-2</v>
      </c>
      <c r="R91" s="186">
        <f>+R14/('P&amp;L'!R8*4)</f>
        <v>1.9023222853425345E-3</v>
      </c>
      <c r="S91" s="186">
        <f>+S14/('P&amp;L'!S8*4)</f>
        <v>5.0148992273227029E-4</v>
      </c>
      <c r="T91" s="70"/>
      <c r="U91" s="186">
        <f>+U14/('P&amp;L'!U8*4)</f>
        <v>3.1572331477173936E-3</v>
      </c>
      <c r="V91" s="186">
        <f>+V14/('P&amp;L'!V8*4)</f>
        <v>1.9915272507761298E-3</v>
      </c>
      <c r="W91" s="186">
        <f>+W14/('P&amp;L'!W8*4)</f>
        <v>2.603765275789937E-3</v>
      </c>
      <c r="X91" s="186">
        <f>+X14/('P&amp;L'!X8*4)</f>
        <v>8.8631717911591824E-4</v>
      </c>
      <c r="Y91" s="186">
        <f>+Y14/('P&amp;L'!Y8*4)</f>
        <v>2.2956144801570668E-4</v>
      </c>
      <c r="Z91" s="70"/>
      <c r="AA91" s="186">
        <f>+AA14/('P&amp;L'!AA8*4)</f>
        <v>1.0532561126956825E-3</v>
      </c>
      <c r="AB91" s="186">
        <f>+AB14/('P&amp;L'!AB8*4)</f>
        <v>8.3632019115890087E-4</v>
      </c>
      <c r="AC91" s="186">
        <f>+AC14/('P&amp;L'!AC8*4)</f>
        <v>3.135561763729072E-3</v>
      </c>
      <c r="AD91" s="186">
        <f>+AD14/('P&amp;L'!AD8*4)</f>
        <v>1.3383048448962871E-3</v>
      </c>
      <c r="AE91" s="186">
        <f>+AE14/('P&amp;L'!AE8*4)</f>
        <v>3.5751236060126731E-4</v>
      </c>
      <c r="AF91" s="89"/>
      <c r="AG91" s="186">
        <f>+AG14/('P&amp;L'!AG8*4)</f>
        <v>1.4825444536993445E-3</v>
      </c>
      <c r="AH91" s="186">
        <f>+AH14/('P&amp;L'!AH8*4)</f>
        <v>2.2046070791704323E-3</v>
      </c>
      <c r="AI91" s="186">
        <f>+AI14/('P&amp;L'!AI8*4)</f>
        <v>2.8914984935697391E-3</v>
      </c>
      <c r="AJ91" s="186">
        <f>+AJ14/('P&amp;L'!AJ8*4)</f>
        <v>5.001316135825217E-3</v>
      </c>
      <c r="AK91" s="186">
        <f>+AK14/('P&amp;L'!AK8*4)</f>
        <v>1.3407122912067419E-3</v>
      </c>
      <c r="AL91" s="89"/>
      <c r="AM91" s="186">
        <f>+AM14/('P&amp;L'!AM8*4)</f>
        <v>3.6908803405352334E-3</v>
      </c>
      <c r="AN91" s="186">
        <f>+AN14/('P&amp;L'!AN8*4)</f>
        <v>1.6561619954405258E-3</v>
      </c>
      <c r="AO91" s="186">
        <f>+AO14/('P&amp;L'!AO8*4)</f>
        <v>3.4942353903573797E-3</v>
      </c>
      <c r="AP91" s="186">
        <f>+AP14/('P&amp;L'!AP8*4)</f>
        <v>4.8430356773645159E-3</v>
      </c>
      <c r="AQ91" s="186">
        <f>+AQ14/('P&amp;L'!AQ8*4)</f>
        <v>1.3752415744538585E-3</v>
      </c>
      <c r="AR91" s="89"/>
      <c r="AS91" s="186">
        <f>+AS14/('P&amp;L'!AS8*4)</f>
        <v>2.2398711888851021E-3</v>
      </c>
      <c r="AT91" s="186">
        <f>+AT14/('P&amp;L'!AT8*4)</f>
        <v>4.2426247182201313E-3</v>
      </c>
      <c r="AU91" s="186">
        <f>+AU14/('P&amp;L'!AU8*4)</f>
        <v>4.4089348581924735E-3</v>
      </c>
      <c r="AV91" s="186">
        <f>+AV14/('P&amp;L'!AV8*4)</f>
        <v>4.9929806902762695E-3</v>
      </c>
      <c r="AW91" s="186">
        <f>+AW14/('P&amp;L'!AW8*4)</f>
        <v>1.2111033440587188E-3</v>
      </c>
      <c r="AX91" s="89"/>
      <c r="AY91" s="186">
        <f>+AY14/('P&amp;L'!AY8*4)</f>
        <v>1.6649194193215942E-2</v>
      </c>
      <c r="AZ91" s="186">
        <f>+AZ14/('P&amp;L'!AZ8*4)</f>
        <v>7.2277689500143717E-3</v>
      </c>
      <c r="BA91" s="186">
        <f>+BA14/('P&amp;L'!BA8*4)</f>
        <v>4.1559018807122809E-3</v>
      </c>
      <c r="BB91" s="186">
        <f>+BB14/('P&amp;L'!BB8*4)</f>
        <v>2.5016599670045509E-3</v>
      </c>
      <c r="BC91" s="186">
        <f>+BC14/('P&amp;L'!BC8*4)</f>
        <v>6.569039889516309E-4</v>
      </c>
      <c r="BD91" s="89"/>
      <c r="BE91" s="186">
        <f>+BE14/('P&amp;L'!BE8*4)</f>
        <v>2.0568689240414266E-2</v>
      </c>
      <c r="BF91" s="186">
        <f>+BF14/('P&amp;L'!BF8*4)</f>
        <v>4.2811492090341283E-2</v>
      </c>
      <c r="BG91" s="186">
        <f>+BG14/('P&amp;L'!BG8*4)</f>
        <v>2.388225525927419E-2</v>
      </c>
      <c r="BH91" s="186">
        <f>+BH14/('P&amp;L'!BH8*4)</f>
        <v>9.5174262734584424E-3</v>
      </c>
      <c r="BI91" s="186">
        <f>+BI14/('P&amp;L'!BI8*4)</f>
        <v>2.3546153482093962E-3</v>
      </c>
      <c r="BJ91" s="89"/>
      <c r="BK91" s="186">
        <f>+BK14/('P&amp;L'!BK8*4)</f>
        <v>1.4365695515549773E-2</v>
      </c>
      <c r="BL91" s="186">
        <f>+BL14/('P&amp;L'!BL8*4)</f>
        <v>1.0302755875997128E-2</v>
      </c>
      <c r="BM91" s="186">
        <f>+BM14/('P&amp;L'!BM8*4)</f>
        <v>5.7132373778301165E-3</v>
      </c>
      <c r="BN91" s="186">
        <f>+BN14/('P&amp;L'!BN8*4)</f>
        <v>7.35807846689405E-3</v>
      </c>
      <c r="BO91" s="186">
        <f>+BO14/('P&amp;L'!BO8*4)</f>
        <v>1.912041871785283E-3</v>
      </c>
      <c r="BP91" s="89"/>
      <c r="BQ91" s="186">
        <f>+BQ14/('P&amp;L'!BQ8*4)</f>
        <v>2.0639033265291432E-2</v>
      </c>
      <c r="BR91" s="186">
        <f>+BR14/('P&amp;L'!BR8*4)</f>
        <v>1.8559055864174674E-2</v>
      </c>
      <c r="BS91" s="554">
        <f>+BS90</f>
        <v>3.4279424266980699E-3</v>
      </c>
      <c r="BT91" s="554">
        <f>+BT90</f>
        <v>3.2425430532075474E-3</v>
      </c>
      <c r="BU91" s="186">
        <f>+BU14/('P&amp;L'!BU8*4)</f>
        <v>5.3063157368349171E-4</v>
      </c>
      <c r="BV91" s="89"/>
      <c r="BW91" s="554">
        <f>+BW90</f>
        <v>3.8123055076016016E-3</v>
      </c>
      <c r="BX91" s="554">
        <f>+BX90</f>
        <v>4.3819993012634648E-3</v>
      </c>
      <c r="BY91" s="554">
        <f>+BY90</f>
        <v>3.4279424266980699E-3</v>
      </c>
      <c r="BZ91" s="554">
        <f>+BZ90</f>
        <v>3.2425430532075474E-3</v>
      </c>
      <c r="CA91" s="186">
        <f>+CA14/('P&amp;L'!CA8*4)</f>
        <v>5.3091785179649076E-4</v>
      </c>
      <c r="CB91" s="89"/>
      <c r="CC91" s="554">
        <f>+CC90</f>
        <v>3.8123055076016016E-3</v>
      </c>
      <c r="CD91" s="554">
        <f>+CD90</f>
        <v>4.3819993012634648E-3</v>
      </c>
      <c r="CE91" s="554">
        <f>+CE90</f>
        <v>3.4279424266980699E-3</v>
      </c>
      <c r="CF91" s="554">
        <f>+CF90</f>
        <v>3.2425430532075474E-3</v>
      </c>
      <c r="CG91" s="186">
        <f>+CG14/('P&amp;L'!CG8*4)</f>
        <v>5.3240919566208166E-4</v>
      </c>
      <c r="CH91" s="89"/>
      <c r="CI91" s="554">
        <f t="shared" ref="CI91:CL91" si="151">+CI90</f>
        <v>3.8123055076016016E-3</v>
      </c>
      <c r="CJ91" s="554">
        <f t="shared" si="151"/>
        <v>4.3819993012634648E-3</v>
      </c>
      <c r="CK91" s="554">
        <f t="shared" si="151"/>
        <v>3.4279424266980699E-3</v>
      </c>
      <c r="CL91" s="554">
        <f t="shared" si="151"/>
        <v>3.2425430532075474E-3</v>
      </c>
      <c r="CM91" s="186">
        <f>+CM14/('P&amp;L'!CM8*4)</f>
        <v>5.2971914675503196E-4</v>
      </c>
      <c r="CN91" s="89"/>
      <c r="CO91" s="554">
        <f t="shared" ref="CO91:CR91" si="152">+CO90</f>
        <v>3.8123055076016016E-3</v>
      </c>
      <c r="CP91" s="554">
        <f t="shared" si="152"/>
        <v>4.3819993012634648E-3</v>
      </c>
      <c r="CQ91" s="554">
        <f t="shared" si="152"/>
        <v>3.4279424266980699E-3</v>
      </c>
      <c r="CR91" s="554">
        <f t="shared" si="152"/>
        <v>3.2425430532075474E-3</v>
      </c>
      <c r="CS91" s="186">
        <f>+CS14/('P&amp;L'!CS8*4)</f>
        <v>5.2833413583129943E-4</v>
      </c>
      <c r="CT91" s="43"/>
      <c r="CU91" s="43"/>
      <c r="CV91" s="43"/>
      <c r="CY91" s="43"/>
      <c r="CZ91" s="43"/>
    </row>
    <row r="92" spans="1:104" ht="12.75" customHeight="1" outlineLevel="1" x14ac:dyDescent="0.2">
      <c r="A92" s="1"/>
      <c r="B92" s="70"/>
      <c r="C92" s="10"/>
      <c r="D92" s="10"/>
      <c r="E92" s="10"/>
      <c r="F92" s="10"/>
      <c r="G92" s="10"/>
      <c r="H92" s="70"/>
      <c r="I92" s="10"/>
      <c r="J92" s="10"/>
      <c r="K92" s="10"/>
      <c r="L92" s="10"/>
      <c r="M92" s="10"/>
      <c r="N92" s="70"/>
      <c r="O92" s="10"/>
      <c r="P92" s="10"/>
      <c r="Q92" s="10"/>
      <c r="R92" s="10"/>
      <c r="S92" s="10"/>
      <c r="T92" s="70"/>
      <c r="U92" s="10"/>
      <c r="V92" s="10"/>
      <c r="W92" s="10"/>
      <c r="X92" s="10"/>
      <c r="Y92" s="10"/>
      <c r="Z92" s="70"/>
      <c r="AB92" s="10"/>
      <c r="AC92" s="10"/>
      <c r="AD92" s="10"/>
      <c r="AE92" s="43"/>
      <c r="AF92" s="89"/>
      <c r="AH92" s="10"/>
      <c r="AI92" s="10"/>
      <c r="AK92" s="43"/>
      <c r="AL92" s="89"/>
      <c r="AO92" s="10"/>
      <c r="AQ92" s="43"/>
      <c r="AR92" s="89"/>
      <c r="AU92" s="10"/>
      <c r="AW92" s="43"/>
      <c r="AX92" s="89"/>
      <c r="BC92" s="43"/>
      <c r="BD92" s="89"/>
      <c r="BI92" s="43"/>
      <c r="BJ92" s="89"/>
      <c r="BO92" s="43"/>
      <c r="BP92" s="89"/>
      <c r="BU92" s="43"/>
      <c r="BV92" s="89"/>
      <c r="CA92" s="43"/>
      <c r="CB92" s="89"/>
      <c r="CG92" s="43"/>
      <c r="CH92" s="89"/>
      <c r="CM92" s="43"/>
      <c r="CN92" s="89"/>
      <c r="CS92" s="43"/>
      <c r="CT92" s="43"/>
      <c r="CU92" s="43"/>
      <c r="CV92" s="43"/>
      <c r="CY92" s="43"/>
      <c r="CZ92" s="43"/>
    </row>
    <row r="93" spans="1:104" ht="12.75" customHeight="1" outlineLevel="1" x14ac:dyDescent="0.2">
      <c r="A93" s="89" t="s">
        <v>145</v>
      </c>
      <c r="B93" s="187"/>
      <c r="C93" s="187"/>
      <c r="D93" s="187"/>
      <c r="E93" s="187"/>
      <c r="F93" s="187"/>
      <c r="G93" s="187"/>
      <c r="H93" s="187"/>
      <c r="I93" s="187"/>
      <c r="J93" s="187"/>
      <c r="K93" s="187"/>
      <c r="L93" s="187"/>
      <c r="M93" s="187"/>
      <c r="N93" s="187"/>
      <c r="O93" s="187"/>
      <c r="P93" s="187"/>
      <c r="Q93" s="187"/>
      <c r="R93" s="187"/>
      <c r="S93" s="187"/>
      <c r="T93" s="187"/>
      <c r="U93" s="187"/>
      <c r="V93" s="187"/>
      <c r="W93" s="187"/>
      <c r="X93" s="187"/>
      <c r="Y93" s="187"/>
      <c r="Z93" s="187"/>
      <c r="AA93" s="187"/>
      <c r="AB93" s="187"/>
      <c r="AC93" s="187"/>
      <c r="AD93" s="187"/>
      <c r="AE93" s="187"/>
      <c r="AF93" s="187"/>
      <c r="AG93" s="187"/>
      <c r="AH93" s="187"/>
      <c r="AI93" s="187"/>
      <c r="AJ93" s="187"/>
      <c r="AK93" s="187"/>
      <c r="AL93" s="187"/>
      <c r="AM93" s="187"/>
      <c r="AN93" s="187"/>
      <c r="AO93" s="187"/>
      <c r="AP93" s="187"/>
      <c r="AQ93" s="187"/>
      <c r="AR93" s="187"/>
      <c r="AS93" s="187"/>
      <c r="AT93" s="187"/>
      <c r="AU93" s="187"/>
      <c r="AV93" s="187"/>
      <c r="AW93" s="187"/>
      <c r="AX93" s="187"/>
      <c r="AY93" s="187"/>
      <c r="AZ93" s="187"/>
      <c r="BA93" s="187"/>
      <c r="BB93" s="187"/>
      <c r="BC93" s="187"/>
      <c r="BD93" s="187"/>
      <c r="BE93" s="187"/>
      <c r="BF93" s="187"/>
      <c r="BG93" s="187"/>
      <c r="BH93" s="187"/>
      <c r="BI93" s="187"/>
      <c r="BJ93" s="187"/>
      <c r="BK93" s="187"/>
      <c r="BL93" s="187"/>
      <c r="BM93" s="187"/>
      <c r="BN93" s="187"/>
      <c r="BO93" s="187"/>
      <c r="BP93" s="187"/>
      <c r="BQ93" s="187"/>
      <c r="BR93" s="187"/>
      <c r="BS93" s="187"/>
      <c r="BT93" s="187"/>
      <c r="BU93" s="187"/>
      <c r="BV93" s="187"/>
      <c r="BW93" s="187"/>
      <c r="BX93" s="187"/>
      <c r="BY93" s="187"/>
      <c r="BZ93" s="187"/>
      <c r="CA93" s="187"/>
      <c r="CB93" s="187"/>
      <c r="CC93" s="187"/>
      <c r="CD93" s="187"/>
      <c r="CE93" s="187"/>
      <c r="CF93" s="187"/>
      <c r="CG93" s="187"/>
      <c r="CH93" s="187"/>
      <c r="CI93" s="187"/>
      <c r="CJ93" s="187"/>
      <c r="CK93" s="187"/>
      <c r="CL93" s="187"/>
      <c r="CM93" s="187"/>
      <c r="CN93" s="187"/>
      <c r="CO93" s="187"/>
      <c r="CP93" s="187"/>
      <c r="CQ93" s="187"/>
      <c r="CR93" s="187"/>
      <c r="CS93" s="187"/>
      <c r="CT93" s="187"/>
      <c r="CU93" s="187"/>
      <c r="CV93" s="187"/>
      <c r="CW93" s="75"/>
      <c r="CX93" s="75"/>
      <c r="CY93" s="75"/>
      <c r="CZ93" s="75"/>
    </row>
    <row r="94" spans="1:104" ht="12.75" customHeight="1" outlineLevel="1" x14ac:dyDescent="0.2">
      <c r="A94" s="75" t="s">
        <v>146</v>
      </c>
      <c r="B94" s="193"/>
      <c r="C94" s="243">
        <v>249.78100000000001</v>
      </c>
      <c r="D94" s="244">
        <f>C100</f>
        <v>239.86899999999997</v>
      </c>
      <c r="E94" s="244">
        <f>D100</f>
        <v>235.85000000000002</v>
      </c>
      <c r="F94" s="244">
        <f>E100</f>
        <v>339.18899999999996</v>
      </c>
      <c r="G94" s="245">
        <f>+C94</f>
        <v>249.78100000000001</v>
      </c>
      <c r="H94" s="193"/>
      <c r="I94" s="245">
        <f>G100</f>
        <v>340.363</v>
      </c>
      <c r="J94" s="246">
        <f>I100</f>
        <v>341.74799999999993</v>
      </c>
      <c r="K94" s="246">
        <f>J100</f>
        <v>349.4679999999999</v>
      </c>
      <c r="L94" s="246">
        <f>K100</f>
        <v>353.29600000000005</v>
      </c>
      <c r="M94" s="245">
        <f>G100</f>
        <v>340.363</v>
      </c>
      <c r="N94" s="193"/>
      <c r="O94" s="245">
        <f>M100</f>
        <v>425.65500000000009</v>
      </c>
      <c r="P94" s="246">
        <f>O100</f>
        <v>477.04399999999998</v>
      </c>
      <c r="Q94" s="246">
        <f>P100</f>
        <v>519.74599999999998</v>
      </c>
      <c r="R94" s="246">
        <f>Q100</f>
        <v>583.92699999999991</v>
      </c>
      <c r="S94" s="245">
        <f>M100</f>
        <v>425.65500000000009</v>
      </c>
      <c r="T94" s="193"/>
      <c r="U94" s="245">
        <f>S100</f>
        <v>434.21900000000005</v>
      </c>
      <c r="V94" s="246">
        <f>U100</f>
        <v>473.13600000000002</v>
      </c>
      <c r="W94" s="246">
        <f>V100</f>
        <v>517.32600000000002</v>
      </c>
      <c r="X94" s="246">
        <f>W100</f>
        <v>567.346</v>
      </c>
      <c r="Y94" s="245">
        <f>S100</f>
        <v>434.21900000000005</v>
      </c>
      <c r="Z94" s="193"/>
      <c r="AA94" s="245">
        <f>Y100</f>
        <v>557.58100000000002</v>
      </c>
      <c r="AB94" s="246">
        <f>AA100</f>
        <v>571.11099999999988</v>
      </c>
      <c r="AC94" s="246">
        <f>AB100</f>
        <v>561.10099999999989</v>
      </c>
      <c r="AD94" s="246">
        <f>AC100</f>
        <v>524.46</v>
      </c>
      <c r="AE94" s="245">
        <f>Y100</f>
        <v>557.58100000000002</v>
      </c>
      <c r="AF94" s="193"/>
      <c r="AG94" s="245">
        <f>AE100</f>
        <v>566.7919999999998</v>
      </c>
      <c r="AH94" s="246">
        <f>AG100</f>
        <v>578.99399999999991</v>
      </c>
      <c r="AI94" s="246">
        <f>AH100</f>
        <v>616.76400000000001</v>
      </c>
      <c r="AJ94" s="246">
        <f>AI100</f>
        <v>652.19299999999998</v>
      </c>
      <c r="AK94" s="245">
        <f>AE100</f>
        <v>566.7919999999998</v>
      </c>
      <c r="AL94" s="193"/>
      <c r="AM94" s="245">
        <f>AK100</f>
        <v>635.65999999999985</v>
      </c>
      <c r="AN94" s="245">
        <f>AM100</f>
        <v>635.56700000000001</v>
      </c>
      <c r="AO94" s="246">
        <f>AN100</f>
        <v>662.11999999999989</v>
      </c>
      <c r="AP94" s="246">
        <f>AO100</f>
        <v>664.92900000000009</v>
      </c>
      <c r="AQ94" s="245">
        <f>AK100</f>
        <v>635.65999999999985</v>
      </c>
      <c r="AR94" s="193"/>
      <c r="AS94" s="245">
        <f>AQ100</f>
        <v>728.59400000000016</v>
      </c>
      <c r="AT94" s="245">
        <f>AS100</f>
        <v>690.27200000000005</v>
      </c>
      <c r="AU94" s="246">
        <f>AT100</f>
        <v>675.97099999999989</v>
      </c>
      <c r="AV94" s="246">
        <f>AU100</f>
        <v>722.24200000000008</v>
      </c>
      <c r="AW94" s="245">
        <f>AQ100</f>
        <v>728.59400000000016</v>
      </c>
      <c r="AX94" s="193"/>
      <c r="AY94" s="245">
        <f>AW100</f>
        <v>718.99800000000005</v>
      </c>
      <c r="AZ94" s="246">
        <f>AY100</f>
        <v>712.15000000000009</v>
      </c>
      <c r="BA94" s="246">
        <f>AZ100</f>
        <v>694.24099999999999</v>
      </c>
      <c r="BB94" s="246">
        <f>BA100</f>
        <v>668.89800000000002</v>
      </c>
      <c r="BC94" s="245">
        <f>AW100</f>
        <v>718.99800000000005</v>
      </c>
      <c r="BD94" s="193"/>
      <c r="BE94" s="245">
        <f>BC100</f>
        <v>662.12100000000021</v>
      </c>
      <c r="BF94" s="246">
        <f>BE100</f>
        <v>687.1</v>
      </c>
      <c r="BG94" s="246">
        <f>BF100</f>
        <v>770.8</v>
      </c>
      <c r="BH94" s="246">
        <f>BG100</f>
        <v>770.2</v>
      </c>
      <c r="BI94" s="245">
        <f>BC100</f>
        <v>662.12100000000021</v>
      </c>
      <c r="BJ94" s="193"/>
      <c r="BK94" s="245">
        <f>BI100</f>
        <v>748.10000000000025</v>
      </c>
      <c r="BL94" s="246">
        <f>BK100</f>
        <v>735.30000000000007</v>
      </c>
      <c r="BM94" s="246">
        <f>BL100</f>
        <v>732.69999999999993</v>
      </c>
      <c r="BN94" s="246">
        <f>BM100</f>
        <v>747.90000000000009</v>
      </c>
      <c r="BO94" s="245">
        <f>BI100</f>
        <v>748.10000000000025</v>
      </c>
      <c r="BP94" s="193"/>
      <c r="BQ94" s="245">
        <f>BO100</f>
        <v>777.80000000000007</v>
      </c>
      <c r="BR94" s="246">
        <f>BQ100</f>
        <v>870.6</v>
      </c>
      <c r="BS94" s="246">
        <f>BR100</f>
        <v>914.2</v>
      </c>
      <c r="BT94" s="246">
        <f>BS100</f>
        <v>955.03320513284075</v>
      </c>
      <c r="BU94" s="245">
        <f>BO100</f>
        <v>777.80000000000007</v>
      </c>
      <c r="BV94" s="193"/>
      <c r="BW94" s="245">
        <f>BU100</f>
        <v>998.08866699188331</v>
      </c>
      <c r="BX94" s="246">
        <f>BW100</f>
        <v>1035.318386387082</v>
      </c>
      <c r="BY94" s="246">
        <f>BX100</f>
        <v>1076.512677581296</v>
      </c>
      <c r="BZ94" s="246">
        <f>BY100</f>
        <v>1115.2198643926361</v>
      </c>
      <c r="CA94" s="245">
        <f>BU100</f>
        <v>998.08866699188331</v>
      </c>
      <c r="CB94" s="193"/>
      <c r="CC94" s="245">
        <f>CA100</f>
        <v>1157.1554548495508</v>
      </c>
      <c r="CD94" s="246">
        <f>CC100</f>
        <v>1196.6970831769252</v>
      </c>
      <c r="CE94" s="246">
        <f>CD100</f>
        <v>1240.6857049568441</v>
      </c>
      <c r="CF94" s="246">
        <f>CE100</f>
        <v>1281.9950309068975</v>
      </c>
      <c r="CG94" s="245">
        <f>CA100</f>
        <v>1157.1554548495508</v>
      </c>
      <c r="CH94" s="193"/>
      <c r="CI94" s="245">
        <f t="shared" ref="CI94" si="153">CG100</f>
        <v>1326.5688074375582</v>
      </c>
      <c r="CJ94" s="246">
        <f t="shared" ref="CJ94:CL94" si="154">CI100</f>
        <v>1367.4728873931408</v>
      </c>
      <c r="CK94" s="246">
        <f t="shared" si="154"/>
        <v>1412.7509022158758</v>
      </c>
      <c r="CL94" s="246">
        <f t="shared" si="154"/>
        <v>1454.9332402155621</v>
      </c>
      <c r="CM94" s="245">
        <f t="shared" ref="CM94" si="155">CG100</f>
        <v>1326.5688074375582</v>
      </c>
      <c r="CN94" s="193"/>
      <c r="CO94" s="245">
        <f t="shared" ref="CO94" si="156">CM100</f>
        <v>1500.1454731141152</v>
      </c>
      <c r="CP94" s="246">
        <f t="shared" ref="CP94:CR94" si="157">CO100</f>
        <v>1543.2710294883882</v>
      </c>
      <c r="CQ94" s="246">
        <f t="shared" si="157"/>
        <v>1591.3848741372171</v>
      </c>
      <c r="CR94" s="246">
        <f t="shared" si="157"/>
        <v>1636.1112518975881</v>
      </c>
      <c r="CS94" s="245">
        <f t="shared" ref="CS94" si="158">CM100</f>
        <v>1500.1454731141152</v>
      </c>
      <c r="CT94" s="245"/>
      <c r="CU94" s="245"/>
      <c r="CV94" s="245"/>
      <c r="CW94" s="190"/>
      <c r="CX94" s="75"/>
      <c r="CY94" s="75"/>
      <c r="CZ94" s="75"/>
    </row>
    <row r="95" spans="1:104" ht="12.75" customHeight="1" outlineLevel="1" x14ac:dyDescent="0.2">
      <c r="A95" s="127" t="s">
        <v>147</v>
      </c>
      <c r="B95" s="193"/>
      <c r="C95" s="247">
        <f>0.397+469.736-0.397-467.568</f>
        <v>2.1680000000000064</v>
      </c>
      <c r="D95" s="191">
        <f>D40+D41-C40-C41</f>
        <v>4.6570000000000391</v>
      </c>
      <c r="E95" s="191">
        <f>E40+E41-D40-D41</f>
        <v>109.12799999999999</v>
      </c>
      <c r="F95" s="191">
        <f>F40+F41-E40-E41</f>
        <v>9.2429999999999382</v>
      </c>
      <c r="G95" s="245">
        <f>SUM(C95:F95)</f>
        <v>125.19599999999997</v>
      </c>
      <c r="H95" s="193"/>
      <c r="I95" s="191">
        <f>I40+I41-G40-G41</f>
        <v>8.9230000000000018</v>
      </c>
      <c r="J95" s="191">
        <f>J40+J41-I40-I41</f>
        <v>12.33299999999997</v>
      </c>
      <c r="K95" s="191">
        <f>K40+K41-J40-J41</f>
        <v>7.7110000000001264</v>
      </c>
      <c r="L95" s="191">
        <f>L40+L41-K40-K41</f>
        <v>8.31899999999996</v>
      </c>
      <c r="M95" s="245">
        <f>SUM(I95:L95)</f>
        <v>37.286000000000058</v>
      </c>
      <c r="N95" s="193"/>
      <c r="O95" s="191">
        <f>O40+O41-M40-M41</f>
        <v>43.311000000000035</v>
      </c>
      <c r="P95" s="191">
        <f>P40+P41-O40-O41</f>
        <v>14.439999999999941</v>
      </c>
      <c r="Q95" s="191">
        <f>Q40+Q41-P40-P41</f>
        <v>38.65300000000002</v>
      </c>
      <c r="R95" s="191">
        <f>R40+R41-Q40-Q41</f>
        <v>-175.46000000000004</v>
      </c>
      <c r="S95" s="245">
        <f>SUM(O95:R95)</f>
        <v>-79.05600000000004</v>
      </c>
      <c r="T95" s="193"/>
      <c r="U95" s="191">
        <f>U40+U41-S40-S41</f>
        <v>8.5710000000000264</v>
      </c>
      <c r="V95" s="191">
        <f>V40+V41-U40-U41</f>
        <v>9.6480000000000246</v>
      </c>
      <c r="W95" s="191">
        <f>W40+W41-V40-V41</f>
        <v>17.467999999999961</v>
      </c>
      <c r="X95" s="191">
        <f>X40+X41-W40-W41</f>
        <v>-19.170999999999935</v>
      </c>
      <c r="Y95" s="245">
        <f>SUM(U95:X95)</f>
        <v>16.516000000000076</v>
      </c>
      <c r="Z95" s="193"/>
      <c r="AA95" s="191">
        <f>AA40+AA41-Y40-Y41</f>
        <v>6.6999999999999318</v>
      </c>
      <c r="AB95" s="191">
        <f>AB40+AB41-AA40-AA41</f>
        <v>7.0559999999999263</v>
      </c>
      <c r="AC95" s="191">
        <f>AC40+AC41-AB40-AB41</f>
        <v>-9.22099999999989</v>
      </c>
      <c r="AD95" s="191">
        <f>AD40+AD41-AC40-AC41</f>
        <v>32.828999999999951</v>
      </c>
      <c r="AE95" s="245">
        <f>SUM(AA95:AD95)</f>
        <v>37.363999999999919</v>
      </c>
      <c r="AF95" s="193"/>
      <c r="AG95" s="191">
        <f>AG40+AG41-AE40-AE41</f>
        <v>12.134999999999991</v>
      </c>
      <c r="AH95" s="191">
        <f>AH40+AH41-AG40-AG41</f>
        <v>21.041000000000054</v>
      </c>
      <c r="AI95" s="191">
        <f>AI40+AI41-AH40-AH41</f>
        <v>13.932999999999993</v>
      </c>
      <c r="AJ95" s="191">
        <f>AJ40+AJ41-AI40-AI41</f>
        <v>-3.8740000000000236</v>
      </c>
      <c r="AK95" s="245">
        <f>SUM(AG95:AJ95)</f>
        <v>43.235000000000014</v>
      </c>
      <c r="AL95" s="193"/>
      <c r="AM95" s="191">
        <f>AM40+AM41-AK40-AK41</f>
        <v>1.9289999999999736</v>
      </c>
      <c r="AN95" s="191">
        <f>AN40+AN41-AM40-AM41</f>
        <v>16.177999999999997</v>
      </c>
      <c r="AO95" s="191">
        <f>AO40+AO41-AN40-AN41</f>
        <v>-3.2749999999998636</v>
      </c>
      <c r="AP95" s="191">
        <f>AP40+AP41-AO40-AO41</f>
        <v>34.813999999999965</v>
      </c>
      <c r="AQ95" s="245">
        <f>SUM(AM95:AP95)</f>
        <v>49.646000000000072</v>
      </c>
      <c r="AR95" s="193"/>
      <c r="AS95" s="191">
        <f>AS40+AS41-AQ40-AQ41</f>
        <v>-22.200000000000045</v>
      </c>
      <c r="AT95" s="191">
        <f>AT40+AT41-AS40-AS41</f>
        <v>-12.090000000000032</v>
      </c>
      <c r="AU95" s="191">
        <f>AU40+AU41-AT40-AT41</f>
        <v>39.637000000000057</v>
      </c>
      <c r="AV95" s="191">
        <f>AV40+AV41-AU40-AU41</f>
        <v>15.009999999999991</v>
      </c>
      <c r="AW95" s="245">
        <f>SUM(AS95:AV95)</f>
        <v>20.356999999999971</v>
      </c>
      <c r="AX95" s="193"/>
      <c r="AY95" s="191">
        <f>AY40+AY41-AW40-AW41</f>
        <v>13.458000000000084</v>
      </c>
      <c r="AZ95" s="191">
        <f>AZ40+AZ41-AY40-AY41</f>
        <v>3.4309999999999263</v>
      </c>
      <c r="BA95" s="191">
        <f>BA40+BA41-AZ40-AZ41</f>
        <v>3.3419999999999845</v>
      </c>
      <c r="BB95" s="191">
        <f>BB40+BB41-BA40-BA41</f>
        <v>7.3810000000000855</v>
      </c>
      <c r="BC95" s="245">
        <f>SUM(AY95:BB95)</f>
        <v>27.61200000000008</v>
      </c>
      <c r="BD95" s="193"/>
      <c r="BE95" s="191">
        <f>BE40+BE41-BC40-BC41</f>
        <v>26.878999999999905</v>
      </c>
      <c r="BF95" s="191">
        <f>BF40+BF41-BE40-BE41</f>
        <v>75.5</v>
      </c>
      <c r="BG95" s="191">
        <f>BG40+BG41-BF40-BF41</f>
        <v>-0.79999999999995453</v>
      </c>
      <c r="BH95" s="191">
        <f>BH40+BH41-BG40-BG41</f>
        <v>-16.899999999999977</v>
      </c>
      <c r="BI95" s="245">
        <f>SUM(BE95:BH95)</f>
        <v>84.678999999999974</v>
      </c>
      <c r="BJ95" s="193"/>
      <c r="BK95" s="191">
        <f>BK40+BK41-BI40-BI41</f>
        <v>-3.2000000000000455</v>
      </c>
      <c r="BL95" s="191">
        <f>BL40+BL41-BK40-BK41</f>
        <v>4.8999999999999773</v>
      </c>
      <c r="BM95" s="191">
        <f>BM40+BM41-BL40-BL41</f>
        <v>7.7000000000000455</v>
      </c>
      <c r="BN95" s="191">
        <f>BN40+BN41-BM40-BM41</f>
        <v>11.899999999999977</v>
      </c>
      <c r="BO95" s="245">
        <f>SUM(BK95:BN95)</f>
        <v>21.299999999999955</v>
      </c>
      <c r="BP95" s="193"/>
      <c r="BQ95" s="191">
        <f>BQ40+BQ41-BO40-BO41</f>
        <v>8.2000000000000455</v>
      </c>
      <c r="BR95" s="191">
        <f>BR40+BR41-BQ40-BQ41</f>
        <v>11.5</v>
      </c>
      <c r="BS95" s="191">
        <f>BS40+BS41-BR40-BR41</f>
        <v>10.799510501380837</v>
      </c>
      <c r="BT95" s="191">
        <f>BT40+BT41-BS40-BS41</f>
        <v>11.288985771734929</v>
      </c>
      <c r="BU95" s="245">
        <f>SUM(BQ95:BT95)</f>
        <v>41.788496273115811</v>
      </c>
      <c r="BV95" s="193"/>
      <c r="BW95" s="191">
        <f>BW40+BW41-BU40-BU41</f>
        <v>-7.6253663014534823</v>
      </c>
      <c r="BX95" s="191">
        <f>BX40+BX41-BW40-BW41</f>
        <v>-7.3659760712879461</v>
      </c>
      <c r="BY95" s="191">
        <f>BY40+BY41-BX40-BX41</f>
        <v>-9.1394105450406187</v>
      </c>
      <c r="BZ95" s="191">
        <f>BZ40+BZ41-BY40-BY41</f>
        <v>-8.5960128141335872</v>
      </c>
      <c r="CA95" s="245">
        <f>SUM(BW95:BZ95)</f>
        <v>-32.726765731915634</v>
      </c>
      <c r="CB95" s="193"/>
      <c r="CC95" s="191">
        <f>CC40+CC41-CA40-CA41</f>
        <v>-7.6066219866972915</v>
      </c>
      <c r="CD95" s="191">
        <f>CD40+CD41-CC40-CC41</f>
        <v>-7.22887174490711</v>
      </c>
      <c r="CE95" s="191">
        <f>CE40+CE41-CD40-CD41</f>
        <v>-8.8520268721570119</v>
      </c>
      <c r="CF95" s="191">
        <f>CF40+CF41-CE40-CE41</f>
        <v>-8.2488595648984528</v>
      </c>
      <c r="CG95" s="245">
        <f>SUM(CC95:CF95)</f>
        <v>-31.936380168659866</v>
      </c>
      <c r="CH95" s="193"/>
      <c r="CI95" s="191">
        <f t="shared" ref="CI95" si="159">CI40+CI41-CG40-CG41</f>
        <v>-7.3158070268651727</v>
      </c>
      <c r="CJ95" s="191">
        <f t="shared" ref="CJ95:CL95" si="160">CJ40+CJ41-CI40-CI41</f>
        <v>-6.8764016535400287</v>
      </c>
      <c r="CK95" s="191">
        <f t="shared" si="160"/>
        <v>-8.4235193157112462</v>
      </c>
      <c r="CL95" s="191">
        <f t="shared" si="160"/>
        <v>-7.7921769955395348</v>
      </c>
      <c r="CM95" s="245">
        <f t="shared" ref="CM95" si="161">SUM(CI95:CL95)</f>
        <v>-30.407904991655982</v>
      </c>
      <c r="CN95" s="193"/>
      <c r="CO95" s="191">
        <f t="shared" ref="CO95" si="162">CO40+CO41-CM40-CM41</f>
        <v>-6.9608457862609612</v>
      </c>
      <c r="CP95" s="191">
        <f t="shared" ref="CP95:CR95" si="163">CP40+CP41-CO40-CO41</f>
        <v>-6.414545574826775</v>
      </c>
      <c r="CQ95" s="191">
        <f t="shared" si="163"/>
        <v>-7.9683820206121254</v>
      </c>
      <c r="CR95" s="191">
        <f t="shared" si="163"/>
        <v>-7.2569032827757383</v>
      </c>
      <c r="CS95" s="245">
        <f t="shared" ref="CS95" si="164">SUM(CO95:CR95)</f>
        <v>-28.6006766644756</v>
      </c>
      <c r="CT95" s="245"/>
      <c r="CU95" s="245"/>
      <c r="CV95" s="245"/>
      <c r="CW95" s="190"/>
      <c r="CX95" s="75"/>
      <c r="CY95" s="75"/>
      <c r="CZ95" s="75"/>
    </row>
    <row r="96" spans="1:104" ht="12.75" customHeight="1" outlineLevel="1" x14ac:dyDescent="0.2">
      <c r="A96" s="127" t="s">
        <v>148</v>
      </c>
      <c r="B96" s="193"/>
      <c r="C96" s="191">
        <f>+'P&amp;L'!C91</f>
        <v>-12.425000000000004</v>
      </c>
      <c r="D96" s="191">
        <f>+'P&amp;L'!D91</f>
        <v>-8.7960000000000029</v>
      </c>
      <c r="E96" s="191">
        <f>+'P&amp;L'!E91</f>
        <v>-5.9369999999999985</v>
      </c>
      <c r="F96" s="191">
        <f>+'P&amp;L'!F91</f>
        <v>-7.8039999999999914</v>
      </c>
      <c r="G96" s="191">
        <f>+'P&amp;L'!G91</f>
        <v>-34.962000000000018</v>
      </c>
      <c r="H96" s="193"/>
      <c r="I96" s="191">
        <f>+'P&amp;L'!I91</f>
        <v>-7.9990000000000006</v>
      </c>
      <c r="J96" s="191">
        <f>+'P&amp;L'!J91</f>
        <v>-5.0669999999999975</v>
      </c>
      <c r="K96" s="191">
        <f>+'P&amp;L'!K91</f>
        <v>-4.6309999999999949</v>
      </c>
      <c r="L96" s="191">
        <f>+'P&amp;L'!L91</f>
        <v>21.493999999999993</v>
      </c>
      <c r="M96" s="191">
        <f>+'P&amp;L'!M91</f>
        <v>3.7969999999999886</v>
      </c>
      <c r="N96" s="193"/>
      <c r="O96" s="191">
        <f>+'P&amp;L'!O91</f>
        <v>14.454000000000006</v>
      </c>
      <c r="P96" s="191">
        <f>+'P&amp;L'!P91</f>
        <v>21.202999999999989</v>
      </c>
      <c r="Q96" s="191">
        <f>+'P&amp;L'!Q91</f>
        <v>25.318000000000005</v>
      </c>
      <c r="R96" s="191">
        <f>+'P&amp;L'!R91</f>
        <v>23.639999999999993</v>
      </c>
      <c r="S96" s="191">
        <f>+'P&amp;L'!S91</f>
        <v>84.614999999999995</v>
      </c>
      <c r="T96" s="193"/>
      <c r="U96" s="191">
        <f>+'P&amp;L'!U91</f>
        <v>30.442000000000004</v>
      </c>
      <c r="V96" s="191">
        <f>+'P&amp;L'!V91</f>
        <v>35.359000000000009</v>
      </c>
      <c r="W96" s="191">
        <f>+'P&amp;L'!W91</f>
        <v>33.251000000000005</v>
      </c>
      <c r="X96" s="191">
        <f>+'P&amp;L'!X91</f>
        <v>53.25100000000004</v>
      </c>
      <c r="Y96" s="191">
        <f>+'P&amp;L'!Y91</f>
        <v>152.30300000000005</v>
      </c>
      <c r="Z96" s="193"/>
      <c r="AA96" s="191">
        <f>+'P&amp;L'!AA91</f>
        <v>22.538000000000011</v>
      </c>
      <c r="AB96" s="191">
        <f>+'P&amp;L'!AB91</f>
        <v>24.19100000000001</v>
      </c>
      <c r="AC96" s="191">
        <f>+'P&amp;L'!AC91</f>
        <v>27.939999999999998</v>
      </c>
      <c r="AD96" s="191">
        <f>+'P&amp;L'!AD91</f>
        <v>26.041</v>
      </c>
      <c r="AE96" s="191">
        <f>+'P&amp;L'!AE91</f>
        <v>100.71000000000004</v>
      </c>
      <c r="AF96" s="193"/>
      <c r="AG96" s="191">
        <f>+'P&amp;L'!AG91</f>
        <v>25.098999999999993</v>
      </c>
      <c r="AH96" s="191">
        <f>+'P&amp;L'!AH91</f>
        <v>28.296000000000003</v>
      </c>
      <c r="AI96" s="191">
        <f>+'P&amp;L'!AI91</f>
        <v>29.614999999999974</v>
      </c>
      <c r="AJ96" s="191">
        <f>+'P&amp;L'!AJ91</f>
        <v>29.140999999999998</v>
      </c>
      <c r="AK96" s="191">
        <f>+'P&amp;L'!AK91</f>
        <v>112.151</v>
      </c>
      <c r="AL96" s="193"/>
      <c r="AM96" s="191">
        <f>+'P&amp;L'!AM91</f>
        <v>30.13600000000001</v>
      </c>
      <c r="AN96" s="191">
        <f>+'P&amp;L'!AN91</f>
        <v>35.035999999999973</v>
      </c>
      <c r="AO96" s="191">
        <f>+'P&amp;L'!AO91</f>
        <v>37.891999999999996</v>
      </c>
      <c r="AP96" s="191">
        <f>+'P&amp;L'!AP91</f>
        <v>44.074999999999996</v>
      </c>
      <c r="AQ96" s="191">
        <f>+'P&amp;L'!AQ91</f>
        <v>147.13900000000004</v>
      </c>
      <c r="AR96" s="193"/>
      <c r="AS96" s="191">
        <f>+'P&amp;L'!AS91</f>
        <v>55.465000000000032</v>
      </c>
      <c r="AT96" s="191">
        <f>+'P&amp;L'!AT91</f>
        <v>50.36</v>
      </c>
      <c r="AU96" s="191">
        <f>+'P&amp;L'!AU91</f>
        <v>36.769999999999982</v>
      </c>
      <c r="AV96" s="191">
        <f>+'P&amp;L'!AV91</f>
        <v>33.62900000000004</v>
      </c>
      <c r="AW96" s="191">
        <f>+'P&amp;L'!AW91</f>
        <v>176.22399999999996</v>
      </c>
      <c r="AX96" s="193"/>
      <c r="AY96" s="191">
        <f>+'P&amp;L'!AY91</f>
        <v>15.981999999999983</v>
      </c>
      <c r="AZ96" s="191">
        <f>+'P&amp;L'!AZ91</f>
        <v>24.030999999999999</v>
      </c>
      <c r="BA96" s="191">
        <f>+'P&amp;L'!BA91</f>
        <v>21.475000000000005</v>
      </c>
      <c r="BB96" s="191">
        <f>+'P&amp;L'!BB91</f>
        <v>18.673926218980785</v>
      </c>
      <c r="BC96" s="191">
        <f>+'P&amp;L'!BC91</f>
        <v>80.161926218980796</v>
      </c>
      <c r="BD96" s="193"/>
      <c r="BE96" s="191">
        <f>+'P&amp;L'!BE91</f>
        <v>26.631383836686787</v>
      </c>
      <c r="BF96" s="191">
        <f>+'P&amp;L'!BF91</f>
        <v>30.289222028001337</v>
      </c>
      <c r="BG96" s="191">
        <f>+'P&amp;L'!BG91</f>
        <v>32.618020622574974</v>
      </c>
      <c r="BH96" s="191">
        <f>+'P&amp;L'!BH91</f>
        <v>22.300000000000026</v>
      </c>
      <c r="BI96" s="191">
        <f>+'P&amp;L'!BI91</f>
        <v>111.8386264872632</v>
      </c>
      <c r="BJ96" s="193"/>
      <c r="BK96" s="191">
        <f>+'P&amp;L'!BK91</f>
        <v>-1.1938014842498461</v>
      </c>
      <c r="BL96" s="191">
        <f>+'P&amp;L'!BL91</f>
        <v>5.9493528501193556</v>
      </c>
      <c r="BM96" s="191">
        <f>+'P&amp;L'!BM91</f>
        <v>4.2111250944161451</v>
      </c>
      <c r="BN96" s="191">
        <f>+'P&amp;L'!BN91</f>
        <v>12.559944350473707</v>
      </c>
      <c r="BO96" s="191">
        <f>+'P&amp;L'!BO91</f>
        <v>21.526620810759475</v>
      </c>
      <c r="BP96" s="193"/>
      <c r="BQ96" s="191">
        <f>+'P&amp;L'!BQ91</f>
        <v>81.073636020087008</v>
      </c>
      <c r="BR96" s="191">
        <f>+'P&amp;L'!BR91</f>
        <v>32.075384650316771</v>
      </c>
      <c r="BS96" s="191">
        <f>+'P&amp;L'!BS91</f>
        <v>30.03369463145982</v>
      </c>
      <c r="BT96" s="191">
        <f>+'P&amp;L'!BT91</f>
        <v>31.766476087307602</v>
      </c>
      <c r="BU96" s="191">
        <f>+'P&amp;L'!BU91</f>
        <v>174.94919138917129</v>
      </c>
      <c r="BV96" s="193"/>
      <c r="BW96" s="191">
        <f>+'P&amp;L'!BW91</f>
        <v>44.855085696652196</v>
      </c>
      <c r="BX96" s="191">
        <f>+'P&amp;L'!BX91</f>
        <v>48.560267265501857</v>
      </c>
      <c r="BY96" s="191">
        <f>+'P&amp;L'!BY91</f>
        <v>47.846597356380713</v>
      </c>
      <c r="BZ96" s="191">
        <f>+'P&amp;L'!BZ91</f>
        <v>50.531603271048212</v>
      </c>
      <c r="CA96" s="191">
        <f>+'P&amp;L'!CA91</f>
        <v>191.7935535895831</v>
      </c>
      <c r="CB96" s="193"/>
      <c r="CC96" s="191">
        <f>+'P&amp;L'!CC91</f>
        <v>47.148250314071916</v>
      </c>
      <c r="CD96" s="191">
        <f>+'P&amp;L'!CD91</f>
        <v>51.217493524826068</v>
      </c>
      <c r="CE96" s="191">
        <f>+'P&amp;L'!CE91</f>
        <v>50.16135282221024</v>
      </c>
      <c r="CF96" s="191">
        <f>+'P&amp;L'!CF91</f>
        <v>52.822636095558877</v>
      </c>
      <c r="CG96" s="191">
        <f>+'P&amp;L'!CG91</f>
        <v>201.34973275666715</v>
      </c>
      <c r="CH96" s="193"/>
      <c r="CI96" s="191">
        <f>+'P&amp;L'!CI91</f>
        <v>48.219886982448244</v>
      </c>
      <c r="CJ96" s="191">
        <f>+'P&amp;L'!CJ91</f>
        <v>52.154416476274932</v>
      </c>
      <c r="CK96" s="191">
        <f>+'P&amp;L'!CK91</f>
        <v>50.605857315397571</v>
      </c>
      <c r="CL96" s="191">
        <f>+'P&amp;L'!CL91</f>
        <v>53.004409894092277</v>
      </c>
      <c r="CM96" s="191">
        <f>+'P&amp;L'!CM91</f>
        <v>203.98457066821317</v>
      </c>
      <c r="CN96" s="193"/>
      <c r="CO96" s="191">
        <f>+'P&amp;L'!CO91</f>
        <v>50.086402160534121</v>
      </c>
      <c r="CP96" s="191">
        <f>+'P&amp;L'!CP91</f>
        <v>54.528390223655776</v>
      </c>
      <c r="CQ96" s="191">
        <f>+'P&amp;L'!CQ91</f>
        <v>52.694759780983233</v>
      </c>
      <c r="CR96" s="191">
        <f>+'P&amp;L'!CR91</f>
        <v>55.270580011232241</v>
      </c>
      <c r="CS96" s="191">
        <f>+'P&amp;L'!CS91</f>
        <v>212.58013217640536</v>
      </c>
      <c r="CT96" s="191"/>
      <c r="CU96" s="191"/>
      <c r="CV96" s="191"/>
      <c r="CW96" s="190"/>
      <c r="CX96" s="75"/>
      <c r="CY96" s="75"/>
      <c r="CZ96" s="75"/>
    </row>
    <row r="97" spans="1:104" ht="12.75" customHeight="1" outlineLevel="1" x14ac:dyDescent="0.2">
      <c r="A97" s="296" t="s">
        <v>149</v>
      </c>
      <c r="B97" s="192"/>
      <c r="C97" s="191">
        <f>'Cash Flow'!C43</f>
        <v>0</v>
      </c>
      <c r="D97" s="191">
        <f>'Cash Flow'!D43</f>
        <v>0</v>
      </c>
      <c r="E97" s="191">
        <f>'Cash Flow'!E43</f>
        <v>0</v>
      </c>
      <c r="F97" s="191">
        <f>'Cash Flow'!F43</f>
        <v>0</v>
      </c>
      <c r="G97" s="245">
        <f>SUM(C97:F97)</f>
        <v>0</v>
      </c>
      <c r="H97" s="192"/>
      <c r="I97" s="191">
        <f>'Cash Flow'!I43</f>
        <v>0</v>
      </c>
      <c r="J97" s="191">
        <f>'Cash Flow'!J43</f>
        <v>0</v>
      </c>
      <c r="K97" s="191">
        <f>'Cash Flow'!K43</f>
        <v>0</v>
      </c>
      <c r="L97" s="191">
        <f>'Cash Flow'!L43</f>
        <v>0</v>
      </c>
      <c r="M97" s="245">
        <f>SUM(I97:L97)</f>
        <v>0</v>
      </c>
      <c r="N97" s="193"/>
      <c r="O97" s="191">
        <f>'Cash Flow'!O43</f>
        <v>0</v>
      </c>
      <c r="P97" s="191">
        <f>'Cash Flow'!P43</f>
        <v>0</v>
      </c>
      <c r="Q97" s="191">
        <f>'Cash Flow'!Q43</f>
        <v>0</v>
      </c>
      <c r="R97" s="191">
        <f>'Cash Flow'!R43</f>
        <v>0</v>
      </c>
      <c r="S97" s="245">
        <f>SUM(O97:R97)</f>
        <v>0</v>
      </c>
      <c r="T97" s="193"/>
      <c r="U97" s="191">
        <f>'Cash Flow'!U43</f>
        <v>0</v>
      </c>
      <c r="V97" s="191">
        <f>'Cash Flow'!V43</f>
        <v>0</v>
      </c>
      <c r="W97" s="191">
        <f>'Cash Flow'!W43</f>
        <v>0</v>
      </c>
      <c r="X97" s="191">
        <f>'Cash Flow'!X43</f>
        <v>0</v>
      </c>
      <c r="Y97" s="245">
        <f>SUM(U97:X97)</f>
        <v>0</v>
      </c>
      <c r="Z97" s="193"/>
      <c r="AA97" s="191">
        <f>'Cash Flow'!AA43</f>
        <v>0</v>
      </c>
      <c r="AB97" s="191">
        <f>'Cash Flow'!AB43</f>
        <v>0</v>
      </c>
      <c r="AC97" s="191">
        <f>'Cash Flow'!AC43</f>
        <v>0</v>
      </c>
      <c r="AD97" s="191">
        <f>'Cash Flow'!AD43</f>
        <v>0</v>
      </c>
      <c r="AE97" s="245">
        <f>SUM(AA97:AD97)</f>
        <v>0</v>
      </c>
      <c r="AF97" s="193"/>
      <c r="AG97" s="191">
        <f>'Cash Flow'!AG43</f>
        <v>0</v>
      </c>
      <c r="AH97" s="191">
        <f>'Cash Flow'!AH43</f>
        <v>0</v>
      </c>
      <c r="AI97" s="191">
        <f>'Cash Flow'!AI43</f>
        <v>0</v>
      </c>
      <c r="AJ97" s="191">
        <f>'Cash Flow'!AJ43</f>
        <v>0</v>
      </c>
      <c r="AK97" s="245">
        <f>SUM(AG97:AJ97)</f>
        <v>0</v>
      </c>
      <c r="AL97" s="193"/>
      <c r="AM97" s="191">
        <f>'Cash Flow'!AM43</f>
        <v>0</v>
      </c>
      <c r="AN97" s="191">
        <f>'Cash Flow'!AN43</f>
        <v>0</v>
      </c>
      <c r="AO97" s="191">
        <f>'Cash Flow'!AO43</f>
        <v>0</v>
      </c>
      <c r="AP97" s="191">
        <f>'Cash Flow'!AP43</f>
        <v>0</v>
      </c>
      <c r="AQ97" s="245">
        <f>SUM(AM97:AP97)</f>
        <v>0</v>
      </c>
      <c r="AR97" s="193"/>
      <c r="AS97" s="191">
        <f>'Cash Flow'!AS43</f>
        <v>0</v>
      </c>
      <c r="AT97" s="191">
        <f>'Cash Flow'!AT43</f>
        <v>0</v>
      </c>
      <c r="AU97" s="191">
        <f>'Cash Flow'!AU43</f>
        <v>0</v>
      </c>
      <c r="AV97" s="191">
        <f>'Cash Flow'!AV43</f>
        <v>0</v>
      </c>
      <c r="AW97" s="191">
        <f>'Cash Flow'!AW43</f>
        <v>0</v>
      </c>
      <c r="AX97" s="193"/>
      <c r="AY97" s="191">
        <f>'Cash Flow'!AY43</f>
        <v>0</v>
      </c>
      <c r="AZ97" s="191">
        <f>'Cash Flow'!AZ43</f>
        <v>0</v>
      </c>
      <c r="BA97" s="191">
        <f>'Cash Flow'!BA43</f>
        <v>0</v>
      </c>
      <c r="BB97" s="191">
        <f>'Cash Flow'!BB43</f>
        <v>0</v>
      </c>
      <c r="BC97" s="191">
        <f>'Cash Flow'!BC43</f>
        <v>0</v>
      </c>
      <c r="BD97" s="193"/>
      <c r="BE97" s="191">
        <f>'Cash Flow'!BE43</f>
        <v>0</v>
      </c>
      <c r="BF97" s="191">
        <f>'Cash Flow'!BF43</f>
        <v>0</v>
      </c>
      <c r="BG97" s="191">
        <f>'Cash Flow'!BG43</f>
        <v>0</v>
      </c>
      <c r="BH97" s="191">
        <f>'Cash Flow'!BH43</f>
        <v>0</v>
      </c>
      <c r="BI97" s="191">
        <f>'Cash Flow'!BI43</f>
        <v>0</v>
      </c>
      <c r="BJ97" s="193"/>
      <c r="BK97" s="191">
        <f>'Cash Flow'!BK43</f>
        <v>0</v>
      </c>
      <c r="BL97" s="191">
        <f>'Cash Flow'!BL43</f>
        <v>0</v>
      </c>
      <c r="BM97" s="191">
        <f>'Cash Flow'!BM43</f>
        <v>0</v>
      </c>
      <c r="BN97" s="191">
        <f>'Cash Flow'!BN43</f>
        <v>0</v>
      </c>
      <c r="BO97" s="191">
        <f>'Cash Flow'!BO43</f>
        <v>0</v>
      </c>
      <c r="BP97" s="193"/>
      <c r="BQ97" s="191">
        <f>'Cash Flow'!BQ43</f>
        <v>0</v>
      </c>
      <c r="BR97" s="191">
        <f>'Cash Flow'!BR43</f>
        <v>0</v>
      </c>
      <c r="BS97" s="191">
        <f>'Cash Flow'!BS43</f>
        <v>0</v>
      </c>
      <c r="BT97" s="191">
        <f>'Cash Flow'!BT43</f>
        <v>0</v>
      </c>
      <c r="BU97" s="191">
        <f>'Cash Flow'!BU43</f>
        <v>0</v>
      </c>
      <c r="BV97" s="193"/>
      <c r="BW97" s="191">
        <f>'Cash Flow'!BW43</f>
        <v>0</v>
      </c>
      <c r="BX97" s="191">
        <f>'Cash Flow'!BX43</f>
        <v>0</v>
      </c>
      <c r="BY97" s="191">
        <f>'Cash Flow'!BY43</f>
        <v>0</v>
      </c>
      <c r="BZ97" s="191">
        <f>'Cash Flow'!BZ43</f>
        <v>0</v>
      </c>
      <c r="CA97" s="191">
        <f>'Cash Flow'!CA43</f>
        <v>0</v>
      </c>
      <c r="CB97" s="193"/>
      <c r="CC97" s="191">
        <f>'Cash Flow'!CC43</f>
        <v>0</v>
      </c>
      <c r="CD97" s="191">
        <f>'Cash Flow'!CD43</f>
        <v>0</v>
      </c>
      <c r="CE97" s="191">
        <f>'Cash Flow'!CE43</f>
        <v>0</v>
      </c>
      <c r="CF97" s="191">
        <f>'Cash Flow'!CF43</f>
        <v>0</v>
      </c>
      <c r="CG97" s="191">
        <f>'Cash Flow'!CG43</f>
        <v>0</v>
      </c>
      <c r="CH97" s="193"/>
      <c r="CI97" s="191">
        <f>'Cash Flow'!CI43</f>
        <v>0</v>
      </c>
      <c r="CJ97" s="191">
        <f>'Cash Flow'!CJ43</f>
        <v>0</v>
      </c>
      <c r="CK97" s="191">
        <f>'Cash Flow'!CK43</f>
        <v>0</v>
      </c>
      <c r="CL97" s="191">
        <f>'Cash Flow'!CL43</f>
        <v>0</v>
      </c>
      <c r="CM97" s="191">
        <f>'Cash Flow'!CM43</f>
        <v>0</v>
      </c>
      <c r="CN97" s="193"/>
      <c r="CO97" s="191">
        <f>'Cash Flow'!CO43</f>
        <v>0</v>
      </c>
      <c r="CP97" s="191">
        <f>'Cash Flow'!CP43</f>
        <v>0</v>
      </c>
      <c r="CQ97" s="191">
        <f>'Cash Flow'!CQ43</f>
        <v>0</v>
      </c>
      <c r="CR97" s="191">
        <f>'Cash Flow'!CR43</f>
        <v>0</v>
      </c>
      <c r="CS97" s="191">
        <f>'Cash Flow'!CS43</f>
        <v>0</v>
      </c>
      <c r="CT97" s="245"/>
      <c r="CU97" s="245"/>
      <c r="CV97" s="245"/>
      <c r="CW97" s="192"/>
      <c r="CX97" s="194"/>
      <c r="CY97" s="126"/>
      <c r="CZ97" s="75"/>
    </row>
    <row r="98" spans="1:104" ht="12.75" customHeight="1" outlineLevel="1" x14ac:dyDescent="0.2">
      <c r="A98" s="127" t="s">
        <v>118</v>
      </c>
      <c r="B98" s="193"/>
      <c r="C98" s="191">
        <f>-0.401--0.746</f>
        <v>0.34499999999999997</v>
      </c>
      <c r="D98" s="191">
        <f>+D42-C42</f>
        <v>0.12</v>
      </c>
      <c r="E98" s="191">
        <f>+E42-D42</f>
        <v>0.14800000000000002</v>
      </c>
      <c r="F98" s="191">
        <f>+F42-E42</f>
        <v>-0.26500000000000001</v>
      </c>
      <c r="G98" s="245">
        <f>SUM(C98:F98)</f>
        <v>0.34799999999999998</v>
      </c>
      <c r="H98" s="193"/>
      <c r="I98" s="191">
        <f>+I42-G42</f>
        <v>0.46100000000000002</v>
      </c>
      <c r="J98" s="191">
        <f>+J42-I42</f>
        <v>0.45300000000000001</v>
      </c>
      <c r="K98" s="191">
        <f>+K42-J42</f>
        <v>0.748</v>
      </c>
      <c r="L98" s="191">
        <f>+L42-K42</f>
        <v>-1.5009999999999999</v>
      </c>
      <c r="M98" s="245">
        <f>SUM(I98:L98)</f>
        <v>0.16100000000000003</v>
      </c>
      <c r="N98" s="193"/>
      <c r="O98" s="191">
        <f>+O42-M42</f>
        <v>-6.3760000000000003</v>
      </c>
      <c r="P98" s="191">
        <f>+P42-O42</f>
        <v>7.0590000000000002</v>
      </c>
      <c r="Q98" s="191">
        <f>+Q42-P42</f>
        <v>0.21000000000000002</v>
      </c>
      <c r="R98" s="191">
        <f>+R42-Q42</f>
        <v>2.1119999999999997</v>
      </c>
      <c r="S98" s="245">
        <f>SUM(O98:R98)</f>
        <v>3.0049999999999994</v>
      </c>
      <c r="T98" s="193"/>
      <c r="U98" s="191">
        <f>+U42-S42</f>
        <v>-9.5999999999999641E-2</v>
      </c>
      <c r="V98" s="191">
        <f>+V42-U42</f>
        <v>-0.81800000000000006</v>
      </c>
      <c r="W98" s="191">
        <f>+W42-V42</f>
        <v>-0.69900000000000007</v>
      </c>
      <c r="X98" s="191">
        <f>+X42-W42</f>
        <v>-1.016</v>
      </c>
      <c r="Y98" s="245">
        <f>SUM(U98:X98)</f>
        <v>-2.6289999999999996</v>
      </c>
      <c r="Z98" s="193"/>
      <c r="AA98" s="191">
        <f>+AA42-Y42</f>
        <v>0.123</v>
      </c>
      <c r="AB98" s="191">
        <f>+AB42-AA42</f>
        <v>-0.16300000000000001</v>
      </c>
      <c r="AC98" s="191">
        <f>+AC42-AB42</f>
        <v>1.0000000000000009E-3</v>
      </c>
      <c r="AD98" s="191">
        <f>+AD42-AC42</f>
        <v>5.099999999999999E-2</v>
      </c>
      <c r="AE98" s="245">
        <f>SUM(AA98:AD98)</f>
        <v>1.1999999999999983E-2</v>
      </c>
      <c r="AF98" s="193"/>
      <c r="AG98" s="191">
        <f>+AG42-AE42</f>
        <v>-0.26400000000000001</v>
      </c>
      <c r="AH98" s="191">
        <f>+AH42-AG42</f>
        <v>-0.14000000000000001</v>
      </c>
      <c r="AI98" s="191">
        <f>+AI42-AH42</f>
        <v>0.154</v>
      </c>
      <c r="AJ98" s="191">
        <f>+AJ42-AI42</f>
        <v>-6.3E-2</v>
      </c>
      <c r="AK98" s="245">
        <f>SUM(AG98:AJ98)</f>
        <v>-0.313</v>
      </c>
      <c r="AL98" s="193"/>
      <c r="AM98" s="191">
        <f>+AM42-AK42</f>
        <v>0.29100000000000004</v>
      </c>
      <c r="AN98" s="191">
        <f>+AN42-AM42</f>
        <v>-0.35</v>
      </c>
      <c r="AO98" s="191">
        <f>+AO42-AN42</f>
        <v>-0.23800000000000002</v>
      </c>
      <c r="AP98" s="191">
        <f>+AP42-AO42</f>
        <v>3.5000000000000031E-2</v>
      </c>
      <c r="AQ98" s="245">
        <f>SUM(AM98:AP98)</f>
        <v>-0.2619999999999999</v>
      </c>
      <c r="AR98" s="193"/>
      <c r="AS98" s="191">
        <f>+AS42-AQ42</f>
        <v>0.78899999999999992</v>
      </c>
      <c r="AT98" s="191">
        <f>+AT42-AS42</f>
        <v>0.14100000000000001</v>
      </c>
      <c r="AU98" s="191">
        <f>+AU42-AT42</f>
        <v>-0.628</v>
      </c>
      <c r="AV98" s="191">
        <f>+AV42-AU42</f>
        <v>-1.3929999999999998</v>
      </c>
      <c r="AW98" s="245">
        <f>SUM(AS98:AV98)</f>
        <v>-1.0909999999999997</v>
      </c>
      <c r="AX98" s="193"/>
      <c r="AY98" s="191">
        <f>+AY42-AW42</f>
        <v>-0.85299999999999998</v>
      </c>
      <c r="AZ98" s="191">
        <f>+AZ42-AY42</f>
        <v>-1.8140000000000005</v>
      </c>
      <c r="BA98" s="191">
        <f>+BA42-AZ42</f>
        <v>-3.3779999999999992</v>
      </c>
      <c r="BB98" s="191">
        <f>+BB42-BA42</f>
        <v>0.55999999999999961</v>
      </c>
      <c r="BC98" s="245">
        <f>SUM(AY98:BB98)</f>
        <v>-5.4850000000000003</v>
      </c>
      <c r="BD98" s="193"/>
      <c r="BE98" s="191">
        <f>+BE42-BC42</f>
        <v>-9.9999999999999645E-2</v>
      </c>
      <c r="BF98" s="191">
        <f>+BF42-BE42</f>
        <v>-2</v>
      </c>
      <c r="BG98" s="191">
        <f>+BG42-BF42</f>
        <v>0.79999999999999893</v>
      </c>
      <c r="BH98" s="191">
        <f>+BH42-BG42</f>
        <v>-1.1999999999999993</v>
      </c>
      <c r="BI98" s="245">
        <f>SUM(BE98:BH98)</f>
        <v>-2.5</v>
      </c>
      <c r="BJ98" s="193"/>
      <c r="BK98" s="191">
        <f>+BK42-BI42</f>
        <v>3.7</v>
      </c>
      <c r="BL98" s="191">
        <f>+BL42-BK42</f>
        <v>-8.3000000000000007</v>
      </c>
      <c r="BM98" s="191">
        <f>+BM42-BL42</f>
        <v>3.1999999999999993</v>
      </c>
      <c r="BN98" s="191">
        <f>+BN42-BM42</f>
        <v>5</v>
      </c>
      <c r="BO98" s="245">
        <f>SUM(BK98:BN98)</f>
        <v>3.5999999999999988</v>
      </c>
      <c r="BP98" s="193"/>
      <c r="BQ98" s="191">
        <f>+BQ42-BO42</f>
        <v>3.4000000000000004</v>
      </c>
      <c r="BR98" s="191">
        <f>+BR42-BQ42</f>
        <v>0.10000000000000009</v>
      </c>
      <c r="BS98" s="191">
        <f>+BS42-BR42</f>
        <v>0</v>
      </c>
      <c r="BT98" s="191">
        <f>+BT42-BS42</f>
        <v>0</v>
      </c>
      <c r="BU98" s="245">
        <f>SUM(BQ98:BT98)</f>
        <v>3.5000000000000004</v>
      </c>
      <c r="BV98" s="193"/>
      <c r="BW98" s="191">
        <f>+BW42-BU42</f>
        <v>0</v>
      </c>
      <c r="BX98" s="191">
        <f>+BX42-BW42</f>
        <v>0</v>
      </c>
      <c r="BY98" s="191">
        <f>+BY42-BX42</f>
        <v>0</v>
      </c>
      <c r="BZ98" s="191">
        <f>+BZ42-BY42</f>
        <v>0</v>
      </c>
      <c r="CA98" s="245">
        <f>SUM(BW98:BZ98)</f>
        <v>0</v>
      </c>
      <c r="CB98" s="193"/>
      <c r="CC98" s="191">
        <f>+CC42-CA42</f>
        <v>0</v>
      </c>
      <c r="CD98" s="191">
        <f>+CD42-CC42</f>
        <v>0</v>
      </c>
      <c r="CE98" s="191">
        <f>+CE42-CD42</f>
        <v>0</v>
      </c>
      <c r="CF98" s="191">
        <f>+CF42-CE42</f>
        <v>0</v>
      </c>
      <c r="CG98" s="245">
        <f>SUM(CC98:CF98)</f>
        <v>0</v>
      </c>
      <c r="CH98" s="193"/>
      <c r="CI98" s="191">
        <f t="shared" ref="CI98" si="165">+CI42-CG42</f>
        <v>0</v>
      </c>
      <c r="CJ98" s="191">
        <f t="shared" ref="CJ98:CL98" si="166">+CJ42-CI42</f>
        <v>0</v>
      </c>
      <c r="CK98" s="191">
        <f t="shared" si="166"/>
        <v>0</v>
      </c>
      <c r="CL98" s="191">
        <f t="shared" si="166"/>
        <v>0</v>
      </c>
      <c r="CM98" s="245">
        <f t="shared" ref="CM98:CM99" si="167">SUM(CI98:CL98)</f>
        <v>0</v>
      </c>
      <c r="CN98" s="193"/>
      <c r="CO98" s="191">
        <f t="shared" ref="CO98" si="168">+CO42-CM42</f>
        <v>0</v>
      </c>
      <c r="CP98" s="191">
        <f t="shared" ref="CP98:CR98" si="169">+CP42-CO42</f>
        <v>0</v>
      </c>
      <c r="CQ98" s="191">
        <f t="shared" si="169"/>
        <v>0</v>
      </c>
      <c r="CR98" s="191">
        <f t="shared" si="169"/>
        <v>0</v>
      </c>
      <c r="CS98" s="245">
        <f t="shared" ref="CS98:CS99" si="170">SUM(CO98:CR98)</f>
        <v>0</v>
      </c>
      <c r="CT98" s="245"/>
      <c r="CU98" s="245"/>
      <c r="CV98" s="245"/>
      <c r="CW98" s="190"/>
      <c r="CX98" s="75"/>
      <c r="CY98" s="75"/>
      <c r="CZ98" s="75"/>
    </row>
    <row r="99" spans="1:104" ht="12.75" customHeight="1" outlineLevel="1" x14ac:dyDescent="0.2">
      <c r="A99" s="297" t="s">
        <v>150</v>
      </c>
      <c r="B99" s="193"/>
      <c r="C99" s="248">
        <f>+C100-SUM(C94:C98)</f>
        <v>0</v>
      </c>
      <c r="D99" s="248">
        <f>+D100-SUM(D94:D98)</f>
        <v>0</v>
      </c>
      <c r="E99" s="248">
        <f>+E100-SUM(E94:E98)</f>
        <v>0</v>
      </c>
      <c r="F99" s="248">
        <f>+F100-SUM(F94:F98)</f>
        <v>0</v>
      </c>
      <c r="G99" s="249">
        <f>SUM(C99:F99)</f>
        <v>0</v>
      </c>
      <c r="H99" s="193"/>
      <c r="I99" s="248">
        <f>+I100-SUM(I94:I98)</f>
        <v>0</v>
      </c>
      <c r="J99" s="248">
        <f>+J100-SUM(J94:J98)</f>
        <v>1.0000000000331966E-3</v>
      </c>
      <c r="K99" s="248">
        <f>+K100-SUM(K94:K98)</f>
        <v>0</v>
      </c>
      <c r="L99" s="248">
        <f>+L100-SUM(L94:L98)</f>
        <v>44.047000000000025</v>
      </c>
      <c r="M99" s="249">
        <f>SUM(I99:L99)</f>
        <v>44.048000000000059</v>
      </c>
      <c r="N99" s="193"/>
      <c r="O99" s="248">
        <f>+O100-SUM(O94:O98)</f>
        <v>0</v>
      </c>
      <c r="P99" s="248">
        <f>+P100-SUM(P94:P98)</f>
        <v>0</v>
      </c>
      <c r="Q99" s="248">
        <f>+Q100-SUM(Q94:Q98)</f>
        <v>0</v>
      </c>
      <c r="R99" s="248">
        <f>+R100-SUM(R94:R98)</f>
        <v>0</v>
      </c>
      <c r="S99" s="249">
        <f>SUM(O99:R99)</f>
        <v>0</v>
      </c>
      <c r="T99" s="193"/>
      <c r="U99" s="248">
        <f>+U100-SUM(U94:U98)</f>
        <v>0</v>
      </c>
      <c r="V99" s="248">
        <f>+V100-SUM(V94:V98)</f>
        <v>9.9999999997635314E-4</v>
      </c>
      <c r="W99" s="248">
        <f>+W100-SUM(W94:W98)</f>
        <v>0</v>
      </c>
      <c r="X99" s="248">
        <f>+X100-SUM(X94:X98)</f>
        <v>-42.829000000000178</v>
      </c>
      <c r="Y99" s="249">
        <f>SUM(U99:X99)</f>
        <v>-42.828000000000202</v>
      </c>
      <c r="Z99" s="193"/>
      <c r="AA99" s="248">
        <f>+AA100-SUM(AA94:AA98)</f>
        <v>-15.831000000000131</v>
      </c>
      <c r="AB99" s="248">
        <f>+AB100-SUM(AB94:AB98)</f>
        <v>-41.093999999999937</v>
      </c>
      <c r="AC99" s="248">
        <f>+AC100-SUM(AC94:AC98)</f>
        <v>-55.360999999999876</v>
      </c>
      <c r="AD99" s="248">
        <f>+AD100-SUM(AD94:AD98)</f>
        <v>-16.589000000000169</v>
      </c>
      <c r="AE99" s="249">
        <f>SUM(AA99:AD99)</f>
        <v>-128.87500000000011</v>
      </c>
      <c r="AF99" s="193"/>
      <c r="AG99" s="248">
        <f>+AG100-SUM(AG94:AG98)</f>
        <v>-24.767999999999915</v>
      </c>
      <c r="AH99" s="248">
        <f>+AH100-SUM(AH94:AH98)</f>
        <v>-11.427000000000021</v>
      </c>
      <c r="AI99" s="248">
        <f>+AI100-SUM(AI94:AI98)</f>
        <v>-8.2730000000000246</v>
      </c>
      <c r="AJ99" s="248">
        <f>+AJ100-SUM(AJ94:AJ98)</f>
        <v>-41.736999999999966</v>
      </c>
      <c r="AK99" s="249">
        <f>SUM(AG99:AJ99)</f>
        <v>-86.204999999999927</v>
      </c>
      <c r="AL99" s="193"/>
      <c r="AM99" s="248">
        <f>+AM100-SUM(AM94:AM98)</f>
        <v>-32.448999999999842</v>
      </c>
      <c r="AN99" s="248">
        <f>+AN100-SUM(AN94:AN98)</f>
        <v>-24.311000000000035</v>
      </c>
      <c r="AO99" s="248">
        <f>+AO100-SUM(AO94:AO98)</f>
        <v>-31.569999999999936</v>
      </c>
      <c r="AP99" s="248">
        <f>+AP100-SUM(AP94:AP98)</f>
        <v>-15.259000000000015</v>
      </c>
      <c r="AQ99" s="249">
        <f>SUM(AM99:AP99)</f>
        <v>-103.58899999999983</v>
      </c>
      <c r="AR99" s="193"/>
      <c r="AS99" s="248">
        <f>+AS100-SUM(AS94:AS98)</f>
        <v>-72.37600000000009</v>
      </c>
      <c r="AT99" s="248">
        <f>+AT100-SUM(AT94:AT98)</f>
        <v>-52.712000000000103</v>
      </c>
      <c r="AU99" s="248">
        <f>+AU100-SUM(AU94:AU98)</f>
        <v>-29.507999999999811</v>
      </c>
      <c r="AV99" s="248">
        <f>+AV100-SUM(AV94:AV98)</f>
        <v>-50.490000000000009</v>
      </c>
      <c r="AW99" s="249">
        <f>SUM(AS99:AV99)</f>
        <v>-205.08600000000001</v>
      </c>
      <c r="AX99" s="193"/>
      <c r="AY99" s="248">
        <f>+AY100-SUM(AY94:AY98)</f>
        <v>-35.435000000000059</v>
      </c>
      <c r="AZ99" s="248">
        <f>+AZ100-SUM(AZ94:AZ98)</f>
        <v>-43.557000000000016</v>
      </c>
      <c r="BA99" s="248">
        <f>+BA100-SUM(BA94:BA98)</f>
        <v>-46.781999999999925</v>
      </c>
      <c r="BB99" s="248">
        <f>+BB100-SUM(BB94:BB98)</f>
        <v>-33.391926218980757</v>
      </c>
      <c r="BC99" s="249">
        <f>SUM(AY99:BB99)</f>
        <v>-159.16592621898076</v>
      </c>
      <c r="BD99" s="193"/>
      <c r="BE99" s="248">
        <f>+BE100-SUM(BE94:BE98)</f>
        <v>-28.431383836686905</v>
      </c>
      <c r="BF99" s="248">
        <f>+BF100-SUM(BF94:BF98)</f>
        <v>-20.089222028001359</v>
      </c>
      <c r="BG99" s="248">
        <f>+BG100-SUM(BG94:BG98)</f>
        <v>-33.218020622574841</v>
      </c>
      <c r="BH99" s="248">
        <f>+BH100-SUM(BH94:BH98)</f>
        <v>-26.300000000000068</v>
      </c>
      <c r="BI99" s="249">
        <f>SUM(BE99:BH99)</f>
        <v>-108.03862648726317</v>
      </c>
      <c r="BJ99" s="193"/>
      <c r="BK99" s="248">
        <f>+BK100-SUM(BK94:BK98)</f>
        <v>-12.106198515750293</v>
      </c>
      <c r="BL99" s="248">
        <f>+BL100-SUM(BL94:BL98)</f>
        <v>-5.1493528501194987</v>
      </c>
      <c r="BM99" s="248">
        <f>+BM100-SUM(BM94:BM98)</f>
        <v>8.8874905583907093E-2</v>
      </c>
      <c r="BN99" s="248">
        <f>+BN100-SUM(BN94:BN98)</f>
        <v>0.44005564952624354</v>
      </c>
      <c r="BO99" s="249">
        <f>SUM(BK99:BN99)</f>
        <v>-16.726620810759641</v>
      </c>
      <c r="BP99" s="193"/>
      <c r="BQ99" s="248">
        <f>+BQ100-SUM(BQ94:BQ98)</f>
        <v>0.12636397991286685</v>
      </c>
      <c r="BR99" s="248">
        <f>+BR100-SUM(BR94:BR98)</f>
        <v>-7.5384650316777879E-2</v>
      </c>
      <c r="BS99" s="556">
        <v>0</v>
      </c>
      <c r="BT99" s="556">
        <v>0</v>
      </c>
      <c r="BU99" s="249">
        <f>SUM(BQ99:BT99)</f>
        <v>5.0979329596088974E-2</v>
      </c>
      <c r="BV99" s="193"/>
      <c r="BW99" s="556">
        <v>0</v>
      </c>
      <c r="BX99" s="556">
        <v>0</v>
      </c>
      <c r="BY99" s="556">
        <v>0</v>
      </c>
      <c r="BZ99" s="556">
        <v>0</v>
      </c>
      <c r="CA99" s="249">
        <f>SUM(BW99:BZ99)</f>
        <v>0</v>
      </c>
      <c r="CB99" s="193"/>
      <c r="CC99" s="556">
        <v>0</v>
      </c>
      <c r="CD99" s="556">
        <v>0</v>
      </c>
      <c r="CE99" s="556">
        <v>0</v>
      </c>
      <c r="CF99" s="556">
        <v>0</v>
      </c>
      <c r="CG99" s="249">
        <f>SUM(CC99:CF99)</f>
        <v>0</v>
      </c>
      <c r="CH99" s="193"/>
      <c r="CI99" s="556">
        <v>0</v>
      </c>
      <c r="CJ99" s="556">
        <v>0</v>
      </c>
      <c r="CK99" s="556">
        <v>0</v>
      </c>
      <c r="CL99" s="556">
        <v>0</v>
      </c>
      <c r="CM99" s="249">
        <f t="shared" si="167"/>
        <v>0</v>
      </c>
      <c r="CN99" s="193"/>
      <c r="CO99" s="556">
        <v>0</v>
      </c>
      <c r="CP99" s="556">
        <v>0</v>
      </c>
      <c r="CQ99" s="556">
        <v>0</v>
      </c>
      <c r="CR99" s="556">
        <v>0</v>
      </c>
      <c r="CS99" s="249">
        <f t="shared" si="170"/>
        <v>0</v>
      </c>
      <c r="CT99" s="193"/>
      <c r="CU99" s="193"/>
      <c r="CV99" s="193"/>
      <c r="CW99" s="190"/>
      <c r="CX99" s="75"/>
      <c r="CY99" s="75"/>
      <c r="CZ99" s="75"/>
    </row>
    <row r="100" spans="1:104" ht="12.75" customHeight="1" outlineLevel="1" x14ac:dyDescent="0.2">
      <c r="A100" s="298" t="s">
        <v>152</v>
      </c>
      <c r="B100" s="191"/>
      <c r="C100" s="191">
        <f>C44</f>
        <v>239.86899999999997</v>
      </c>
      <c r="D100" s="191">
        <f>D44</f>
        <v>235.85000000000002</v>
      </c>
      <c r="E100" s="191">
        <f>E44</f>
        <v>339.18899999999996</v>
      </c>
      <c r="F100" s="191">
        <f>F44</f>
        <v>340.36299999999994</v>
      </c>
      <c r="G100" s="245">
        <f>+SUM(G94:G99)</f>
        <v>340.363</v>
      </c>
      <c r="H100" s="191"/>
      <c r="I100" s="191">
        <f>I44</f>
        <v>341.74799999999993</v>
      </c>
      <c r="J100" s="191">
        <f>J44</f>
        <v>349.4679999999999</v>
      </c>
      <c r="K100" s="191">
        <f>K44</f>
        <v>353.29600000000005</v>
      </c>
      <c r="L100" s="191">
        <f>L44</f>
        <v>425.65500000000003</v>
      </c>
      <c r="M100" s="245">
        <f>+SUM(M94:M99)</f>
        <v>425.65500000000009</v>
      </c>
      <c r="N100" s="193"/>
      <c r="O100" s="191">
        <f>O44</f>
        <v>477.04399999999998</v>
      </c>
      <c r="P100" s="191">
        <f>P44</f>
        <v>519.74599999999998</v>
      </c>
      <c r="Q100" s="191">
        <f>Q44</f>
        <v>583.92699999999991</v>
      </c>
      <c r="R100" s="191">
        <f>R44</f>
        <v>434.21899999999999</v>
      </c>
      <c r="S100" s="245">
        <f>+SUM(S94:S99)</f>
        <v>434.21900000000005</v>
      </c>
      <c r="T100" s="193"/>
      <c r="U100" s="191">
        <f>U44</f>
        <v>473.13600000000002</v>
      </c>
      <c r="V100" s="191">
        <f>V44</f>
        <v>517.32600000000002</v>
      </c>
      <c r="W100" s="191">
        <f>W44</f>
        <v>567.346</v>
      </c>
      <c r="X100" s="191">
        <f>X44</f>
        <v>557.58100000000002</v>
      </c>
      <c r="Y100" s="245">
        <f>+SUM(Y94:Y99)</f>
        <v>557.58100000000002</v>
      </c>
      <c r="Z100" s="193"/>
      <c r="AA100" s="191">
        <f>AA44</f>
        <v>571.11099999999988</v>
      </c>
      <c r="AB100" s="191">
        <f>AB44</f>
        <v>561.10099999999989</v>
      </c>
      <c r="AC100" s="191">
        <f>AC44</f>
        <v>524.46</v>
      </c>
      <c r="AD100" s="191">
        <f>AD44</f>
        <v>566.79199999999992</v>
      </c>
      <c r="AE100" s="245">
        <f>+SUM(AE94:AE99)</f>
        <v>566.7919999999998</v>
      </c>
      <c r="AF100" s="193"/>
      <c r="AG100" s="191">
        <f>AG44</f>
        <v>578.99399999999991</v>
      </c>
      <c r="AH100" s="191">
        <f>AH44</f>
        <v>616.76400000000001</v>
      </c>
      <c r="AI100" s="191">
        <f>AI44</f>
        <v>652.19299999999998</v>
      </c>
      <c r="AJ100" s="191">
        <f>AJ44</f>
        <v>635.66</v>
      </c>
      <c r="AK100" s="245">
        <f>+SUM(AK94:AK99)</f>
        <v>635.65999999999985</v>
      </c>
      <c r="AL100" s="193"/>
      <c r="AM100" s="191">
        <f>AM44</f>
        <v>635.56700000000001</v>
      </c>
      <c r="AN100" s="191">
        <f>AN44</f>
        <v>662.11999999999989</v>
      </c>
      <c r="AO100" s="191">
        <f>AO44</f>
        <v>664.92900000000009</v>
      </c>
      <c r="AP100" s="191">
        <f>AP44</f>
        <v>728.59400000000005</v>
      </c>
      <c r="AQ100" s="245">
        <f>+SUM(AQ94:AQ99)</f>
        <v>728.59400000000016</v>
      </c>
      <c r="AR100" s="193"/>
      <c r="AS100" s="191">
        <f>AS44</f>
        <v>690.27200000000005</v>
      </c>
      <c r="AT100" s="191">
        <f>AT44</f>
        <v>675.97099999999989</v>
      </c>
      <c r="AU100" s="191">
        <f>AU44</f>
        <v>722.24200000000008</v>
      </c>
      <c r="AV100" s="191">
        <f>AV44</f>
        <v>718.99800000000005</v>
      </c>
      <c r="AW100" s="245">
        <f>+SUM(AW94:AW99)</f>
        <v>718.99800000000005</v>
      </c>
      <c r="AX100" s="193"/>
      <c r="AY100" s="191">
        <f>AY44</f>
        <v>712.15000000000009</v>
      </c>
      <c r="AZ100" s="191">
        <f>AZ44</f>
        <v>694.24099999999999</v>
      </c>
      <c r="BA100" s="191">
        <f>BA44</f>
        <v>668.89800000000002</v>
      </c>
      <c r="BB100" s="191">
        <f>BB44</f>
        <v>662.12100000000009</v>
      </c>
      <c r="BC100" s="245">
        <f>+SUM(BC94:BC99)</f>
        <v>662.12100000000021</v>
      </c>
      <c r="BD100" s="193"/>
      <c r="BE100" s="191">
        <f>BE44</f>
        <v>687.1</v>
      </c>
      <c r="BF100" s="191">
        <f>BF44</f>
        <v>770.8</v>
      </c>
      <c r="BG100" s="191">
        <f>BG44</f>
        <v>770.2</v>
      </c>
      <c r="BH100" s="191">
        <f>BH44</f>
        <v>748.1</v>
      </c>
      <c r="BI100" s="245">
        <f>+SUM(BI94:BI99)</f>
        <v>748.10000000000025</v>
      </c>
      <c r="BJ100" s="193"/>
      <c r="BK100" s="191">
        <f>BK44</f>
        <v>735.30000000000007</v>
      </c>
      <c r="BL100" s="191">
        <f>BL44</f>
        <v>732.69999999999993</v>
      </c>
      <c r="BM100" s="191">
        <f>BM44</f>
        <v>747.90000000000009</v>
      </c>
      <c r="BN100" s="191">
        <f>BN44</f>
        <v>777.80000000000007</v>
      </c>
      <c r="BO100" s="245">
        <f>+SUM(BO94:BO99)</f>
        <v>777.80000000000007</v>
      </c>
      <c r="BP100" s="193"/>
      <c r="BQ100" s="191">
        <f>BQ44</f>
        <v>870.6</v>
      </c>
      <c r="BR100" s="191">
        <f>BR44</f>
        <v>914.2</v>
      </c>
      <c r="BS100" s="191">
        <f>BS44</f>
        <v>955.03320513284075</v>
      </c>
      <c r="BT100" s="191">
        <f>BT44</f>
        <v>998.08866699188331</v>
      </c>
      <c r="BU100" s="245">
        <f>+SUM(BU94:BU99)</f>
        <v>998.08866699188331</v>
      </c>
      <c r="BV100" s="193"/>
      <c r="BW100" s="191">
        <f>BW44</f>
        <v>1035.318386387082</v>
      </c>
      <c r="BX100" s="191">
        <f>BX44</f>
        <v>1076.512677581296</v>
      </c>
      <c r="BY100" s="191">
        <f>BY44</f>
        <v>1115.2198643926361</v>
      </c>
      <c r="BZ100" s="191">
        <f>BZ44</f>
        <v>1157.1554548495506</v>
      </c>
      <c r="CA100" s="245">
        <f>+SUM(CA94:CA99)</f>
        <v>1157.1554548495508</v>
      </c>
      <c r="CB100" s="193"/>
      <c r="CC100" s="191">
        <f>CC44</f>
        <v>1196.6970831769252</v>
      </c>
      <c r="CD100" s="191">
        <f>CD44</f>
        <v>1240.6857049568441</v>
      </c>
      <c r="CE100" s="191">
        <f>CE44</f>
        <v>1281.9950309068975</v>
      </c>
      <c r="CF100" s="191">
        <f>CF44</f>
        <v>1326.5688074375578</v>
      </c>
      <c r="CG100" s="245">
        <f>+SUM(CG94:CG99)</f>
        <v>1326.5688074375582</v>
      </c>
      <c r="CH100" s="193"/>
      <c r="CI100" s="191">
        <f t="shared" ref="CI100:CL100" si="171">CI44</f>
        <v>1367.4728873931408</v>
      </c>
      <c r="CJ100" s="191">
        <f t="shared" si="171"/>
        <v>1412.7509022158758</v>
      </c>
      <c r="CK100" s="191">
        <f t="shared" si="171"/>
        <v>1454.9332402155621</v>
      </c>
      <c r="CL100" s="191">
        <f t="shared" si="171"/>
        <v>1500.1454731141148</v>
      </c>
      <c r="CM100" s="245">
        <f t="shared" ref="CM100" si="172">+SUM(CM94:CM99)</f>
        <v>1500.1454731141152</v>
      </c>
      <c r="CN100" s="193"/>
      <c r="CO100" s="191">
        <f t="shared" ref="CO100:CR100" si="173">CO44</f>
        <v>1543.2710294883882</v>
      </c>
      <c r="CP100" s="191">
        <f t="shared" si="173"/>
        <v>1591.3848741372171</v>
      </c>
      <c r="CQ100" s="191">
        <f t="shared" si="173"/>
        <v>1636.1112518975881</v>
      </c>
      <c r="CR100" s="191">
        <f t="shared" si="173"/>
        <v>1684.1249286260445</v>
      </c>
      <c r="CS100" s="245">
        <f t="shared" ref="CS100" si="174">+SUM(CS94:CS99)</f>
        <v>1684.1249286260452</v>
      </c>
      <c r="CT100" s="245"/>
      <c r="CU100" s="245"/>
      <c r="CV100" s="245"/>
      <c r="CW100" s="190"/>
      <c r="CX100" s="75"/>
      <c r="CY100" s="75"/>
      <c r="CZ100" s="75"/>
    </row>
    <row r="101" spans="1:104" ht="12.75" customHeight="1" outlineLevel="1" x14ac:dyDescent="0.2">
      <c r="A101" s="299" t="s">
        <v>121</v>
      </c>
      <c r="B101" s="223"/>
      <c r="C101" s="221">
        <f>+C100-C44</f>
        <v>0</v>
      </c>
      <c r="D101" s="221">
        <f>+D100-D44</f>
        <v>0</v>
      </c>
      <c r="E101" s="221">
        <f>+E100-E44</f>
        <v>0</v>
      </c>
      <c r="F101" s="221">
        <f>+F100-F44</f>
        <v>0</v>
      </c>
      <c r="G101" s="222">
        <f>+G100-G44</f>
        <v>0</v>
      </c>
      <c r="H101" s="223"/>
      <c r="I101" s="222">
        <f>+I100-I44</f>
        <v>0</v>
      </c>
      <c r="J101" s="222">
        <f>+J100-J44</f>
        <v>0</v>
      </c>
      <c r="K101" s="222">
        <f>+K100-K44</f>
        <v>0</v>
      </c>
      <c r="L101" s="222">
        <f>+L100-L44</f>
        <v>0</v>
      </c>
      <c r="M101" s="222">
        <f>+M100-M44</f>
        <v>0</v>
      </c>
      <c r="N101" s="223"/>
      <c r="O101" s="222">
        <f>+O100-O44</f>
        <v>0</v>
      </c>
      <c r="P101" s="222">
        <f>+P100-P44</f>
        <v>0</v>
      </c>
      <c r="Q101" s="222">
        <f>+Q100-Q44</f>
        <v>0</v>
      </c>
      <c r="R101" s="222">
        <f>+R100-R44</f>
        <v>0</v>
      </c>
      <c r="S101" s="222">
        <f>+S100-S44</f>
        <v>0</v>
      </c>
      <c r="T101" s="223"/>
      <c r="U101" s="222">
        <f>+U100-U44</f>
        <v>0</v>
      </c>
      <c r="V101" s="222">
        <f>+V100-V44</f>
        <v>0</v>
      </c>
      <c r="W101" s="222">
        <f>+W100-W44</f>
        <v>0</v>
      </c>
      <c r="X101" s="222">
        <f>+X100-X44</f>
        <v>0</v>
      </c>
      <c r="Y101" s="222">
        <f>+Y100-Y44</f>
        <v>0</v>
      </c>
      <c r="Z101" s="223"/>
      <c r="AA101" s="222">
        <f>+AA100-AA44</f>
        <v>0</v>
      </c>
      <c r="AB101" s="222">
        <f>+AB100-AB44</f>
        <v>0</v>
      </c>
      <c r="AC101" s="222">
        <f>+AC100-AC44</f>
        <v>0</v>
      </c>
      <c r="AD101" s="222">
        <f>+AD100-AD44</f>
        <v>0</v>
      </c>
      <c r="AE101" s="222">
        <f>+AE100-AE44</f>
        <v>0</v>
      </c>
      <c r="AF101" s="223"/>
      <c r="AG101" s="222">
        <f>+AG100-AG44</f>
        <v>0</v>
      </c>
      <c r="AH101" s="222">
        <f>+AH100-AH44</f>
        <v>0</v>
      </c>
      <c r="AI101" s="222">
        <f>+AI100-AI44</f>
        <v>0</v>
      </c>
      <c r="AJ101" s="222">
        <f>+AJ100-AJ44</f>
        <v>0</v>
      </c>
      <c r="AK101" s="222">
        <f>+AK100-AK44</f>
        <v>0</v>
      </c>
      <c r="AL101" s="223"/>
      <c r="AM101" s="222">
        <f>+AM100-AM44</f>
        <v>0</v>
      </c>
      <c r="AN101" s="222">
        <f>+AN100-AN44</f>
        <v>0</v>
      </c>
      <c r="AO101" s="222">
        <f>+AO100-AO44</f>
        <v>0</v>
      </c>
      <c r="AP101" s="222">
        <f>+AP100-AP44</f>
        <v>0</v>
      </c>
      <c r="AQ101" s="222">
        <f>+AQ100-AQ44</f>
        <v>0</v>
      </c>
      <c r="AR101" s="223"/>
      <c r="AS101" s="222">
        <f>+AS100-AS44</f>
        <v>0</v>
      </c>
      <c r="AT101" s="222">
        <f>+AT100-AT44</f>
        <v>0</v>
      </c>
      <c r="AU101" s="222">
        <f>+AU100-AU44</f>
        <v>0</v>
      </c>
      <c r="AV101" s="222">
        <f>+AV100-AV44</f>
        <v>0</v>
      </c>
      <c r="AW101" s="222">
        <f>+AW100-AW44</f>
        <v>0</v>
      </c>
      <c r="AX101" s="223"/>
      <c r="AY101" s="222">
        <f>+AY100-AY44</f>
        <v>0</v>
      </c>
      <c r="AZ101" s="222">
        <f>+AZ100-AZ44</f>
        <v>0</v>
      </c>
      <c r="BA101" s="222">
        <f>+BA100-BA44</f>
        <v>0</v>
      </c>
      <c r="BB101" s="222">
        <f>+BB100-BB44</f>
        <v>0</v>
      </c>
      <c r="BC101" s="222">
        <f>+BC100-BC44</f>
        <v>0</v>
      </c>
      <c r="BD101" s="223"/>
      <c r="BE101" s="222">
        <f>+BE100-BE44</f>
        <v>0</v>
      </c>
      <c r="BF101" s="222">
        <f>+BF100-BF44</f>
        <v>0</v>
      </c>
      <c r="BG101" s="222">
        <f>+BG100-BG44</f>
        <v>0</v>
      </c>
      <c r="BH101" s="222">
        <f>+BH100-BH44</f>
        <v>0</v>
      </c>
      <c r="BI101" s="222">
        <f>+BI100-BI44</f>
        <v>0</v>
      </c>
      <c r="BJ101" s="223"/>
      <c r="BK101" s="222">
        <f>+BK100-BK44</f>
        <v>0</v>
      </c>
      <c r="BL101" s="222">
        <f>+BL100-BL44</f>
        <v>0</v>
      </c>
      <c r="BM101" s="222">
        <f>+BM100-BM44</f>
        <v>0</v>
      </c>
      <c r="BN101" s="222">
        <f>+BN100-BN44</f>
        <v>0</v>
      </c>
      <c r="BO101" s="222">
        <f>+BO100-BO44</f>
        <v>0</v>
      </c>
      <c r="BP101" s="223"/>
      <c r="BQ101" s="222">
        <f>+BQ100-BQ44</f>
        <v>0</v>
      </c>
      <c r="BR101" s="222">
        <f>+BR100-BR44</f>
        <v>0</v>
      </c>
      <c r="BS101" s="222">
        <f>+BS100-BS44</f>
        <v>0</v>
      </c>
      <c r="BT101" s="222">
        <f>+BT100-BT44</f>
        <v>0</v>
      </c>
      <c r="BU101" s="222">
        <f>+BU100-BU44</f>
        <v>0</v>
      </c>
      <c r="BV101" s="223"/>
      <c r="BW101" s="222">
        <f>+BW100-BW44</f>
        <v>0</v>
      </c>
      <c r="BX101" s="222">
        <f>+BX100-BX44</f>
        <v>0</v>
      </c>
      <c r="BY101" s="222">
        <f>+BY100-BY44</f>
        <v>0</v>
      </c>
      <c r="BZ101" s="222">
        <f>+BZ100-BZ44</f>
        <v>0</v>
      </c>
      <c r="CA101" s="222">
        <f>+CA100-CA44</f>
        <v>0</v>
      </c>
      <c r="CB101" s="223"/>
      <c r="CC101" s="222">
        <f>+CC100-CC44</f>
        <v>0</v>
      </c>
      <c r="CD101" s="222">
        <f>+CD100-CD44</f>
        <v>0</v>
      </c>
      <c r="CE101" s="222">
        <f>+CE100-CE44</f>
        <v>0</v>
      </c>
      <c r="CF101" s="222">
        <f>+CF100-CF44</f>
        <v>0</v>
      </c>
      <c r="CG101" s="222">
        <f>+CG100-CG44</f>
        <v>0</v>
      </c>
      <c r="CH101" s="223"/>
      <c r="CI101" s="222">
        <f t="shared" ref="CI101:CM101" si="175">+CI100-CI44</f>
        <v>0</v>
      </c>
      <c r="CJ101" s="222">
        <f t="shared" si="175"/>
        <v>0</v>
      </c>
      <c r="CK101" s="222">
        <f t="shared" si="175"/>
        <v>0</v>
      </c>
      <c r="CL101" s="222">
        <f t="shared" si="175"/>
        <v>0</v>
      </c>
      <c r="CM101" s="222">
        <f t="shared" si="175"/>
        <v>0</v>
      </c>
      <c r="CN101" s="223"/>
      <c r="CO101" s="222">
        <f t="shared" ref="CO101:CS101" si="176">+CO100-CO44</f>
        <v>0</v>
      </c>
      <c r="CP101" s="222">
        <f t="shared" si="176"/>
        <v>0</v>
      </c>
      <c r="CQ101" s="222">
        <f t="shared" si="176"/>
        <v>0</v>
      </c>
      <c r="CR101" s="222">
        <f t="shared" si="176"/>
        <v>0</v>
      </c>
      <c r="CS101" s="222">
        <f t="shared" si="176"/>
        <v>0</v>
      </c>
      <c r="CT101" s="222"/>
      <c r="CU101" s="222"/>
      <c r="CV101" s="222"/>
      <c r="CW101" s="224"/>
      <c r="CX101" s="225"/>
      <c r="CY101" s="225"/>
      <c r="CZ101" s="225"/>
    </row>
    <row r="102" spans="1:104" ht="12.75" customHeight="1" outlineLevel="1" x14ac:dyDescent="0.2">
      <c r="A102" s="43"/>
      <c r="B102" s="52"/>
      <c r="C102" s="90"/>
      <c r="D102" s="90"/>
      <c r="E102" s="90"/>
      <c r="F102" s="90"/>
      <c r="G102" s="90"/>
      <c r="H102" s="52"/>
      <c r="I102" s="90"/>
      <c r="J102" s="90"/>
      <c r="K102" s="90"/>
      <c r="L102" s="90"/>
      <c r="M102" s="90"/>
      <c r="N102" s="52"/>
      <c r="O102" s="90"/>
      <c r="P102" s="90"/>
      <c r="Q102" s="90"/>
      <c r="R102" s="90"/>
      <c r="S102" s="43"/>
      <c r="T102" s="52"/>
      <c r="U102" s="90"/>
      <c r="V102" s="90"/>
      <c r="W102" s="90"/>
      <c r="X102" s="90"/>
      <c r="Y102" s="43"/>
      <c r="Z102" s="52"/>
      <c r="AA102" s="43"/>
      <c r="AB102" s="90"/>
      <c r="AC102" s="43"/>
      <c r="AD102" s="43"/>
      <c r="AE102" s="309"/>
      <c r="AF102" s="108"/>
      <c r="AG102" s="43"/>
      <c r="AH102" s="90"/>
      <c r="AI102" s="43"/>
      <c r="AJ102" s="43"/>
      <c r="AK102" s="43"/>
      <c r="AL102" s="108"/>
      <c r="AM102" s="43"/>
      <c r="AN102" s="43"/>
      <c r="AO102" s="43"/>
      <c r="AP102" s="43"/>
      <c r="AQ102" s="43"/>
      <c r="AR102" s="108"/>
      <c r="AS102" s="43"/>
      <c r="AT102" s="43"/>
      <c r="AU102" s="43"/>
      <c r="AV102" s="43"/>
      <c r="AW102" s="43"/>
      <c r="AX102" s="108"/>
      <c r="AY102" s="43"/>
      <c r="AZ102" s="43"/>
      <c r="BA102" s="43"/>
      <c r="BB102" s="43"/>
      <c r="BC102" s="43"/>
      <c r="BD102" s="108"/>
      <c r="BE102" s="43"/>
      <c r="BF102" s="43"/>
      <c r="BG102" s="43"/>
      <c r="BH102" s="43"/>
      <c r="BI102" s="43"/>
      <c r="BJ102" s="108"/>
      <c r="BK102" s="43"/>
      <c r="BL102" s="43"/>
      <c r="BM102" s="43"/>
      <c r="BN102" s="43"/>
      <c r="BO102" s="43"/>
      <c r="BP102" s="108"/>
      <c r="BQ102" s="43"/>
      <c r="BR102" s="43"/>
      <c r="BS102" s="43"/>
      <c r="BT102" s="43"/>
      <c r="BU102" s="43"/>
      <c r="BV102" s="108"/>
      <c r="BW102" s="43"/>
      <c r="BX102" s="43"/>
      <c r="BY102" s="43"/>
      <c r="BZ102" s="43"/>
      <c r="CA102" s="43"/>
      <c r="CB102" s="108"/>
      <c r="CC102" s="43"/>
      <c r="CD102" s="43"/>
      <c r="CE102" s="43"/>
      <c r="CF102" s="43"/>
      <c r="CG102" s="43"/>
      <c r="CH102" s="108"/>
      <c r="CI102" s="43"/>
      <c r="CJ102" s="43"/>
      <c r="CK102" s="43"/>
      <c r="CL102" s="43"/>
      <c r="CM102" s="43"/>
      <c r="CN102" s="108"/>
      <c r="CO102" s="43"/>
      <c r="CP102" s="43"/>
      <c r="CQ102" s="43"/>
      <c r="CR102" s="43"/>
      <c r="CS102" s="43"/>
      <c r="CT102" s="43"/>
      <c r="CU102" s="43"/>
      <c r="CV102" s="43"/>
      <c r="CW102" s="43"/>
      <c r="CX102" s="43"/>
      <c r="CY102" s="43"/>
      <c r="CZ102" s="43"/>
    </row>
    <row r="103" spans="1:104" ht="12.75" customHeight="1" outlineLevel="1" x14ac:dyDescent="0.2">
      <c r="A103" s="89" t="s">
        <v>153</v>
      </c>
      <c r="B103" s="109"/>
      <c r="C103" s="90"/>
      <c r="D103" s="90"/>
      <c r="E103" s="90"/>
      <c r="F103" s="90"/>
      <c r="G103" s="90"/>
      <c r="H103" s="109"/>
      <c r="I103" s="90"/>
      <c r="J103" s="90"/>
      <c r="K103" s="90"/>
      <c r="L103" s="90"/>
      <c r="M103" s="90"/>
      <c r="N103" s="109"/>
      <c r="O103" s="90"/>
      <c r="P103" s="90"/>
      <c r="Q103" s="90"/>
      <c r="R103" s="90"/>
      <c r="S103" s="43"/>
      <c r="T103" s="109"/>
      <c r="U103" s="90"/>
      <c r="V103" s="90"/>
      <c r="W103" s="90"/>
      <c r="X103" s="90"/>
      <c r="Y103" s="43"/>
      <c r="Z103" s="109"/>
      <c r="AA103" s="43"/>
      <c r="AB103" s="90"/>
      <c r="AC103" s="43"/>
      <c r="AD103" s="43"/>
      <c r="AE103" s="309"/>
      <c r="AF103" s="108"/>
      <c r="AG103" s="43"/>
      <c r="AH103" s="90"/>
      <c r="AI103" s="43"/>
      <c r="AJ103" s="43"/>
      <c r="AK103" s="43"/>
      <c r="AL103" s="108"/>
      <c r="AM103" s="43"/>
      <c r="AN103" s="43"/>
      <c r="AO103" s="43"/>
      <c r="AP103" s="43"/>
      <c r="AQ103" s="43"/>
      <c r="AR103" s="108"/>
      <c r="AS103" s="43"/>
      <c r="AT103" s="43"/>
      <c r="AU103" s="43"/>
      <c r="AV103" s="43"/>
      <c r="AW103" s="43"/>
      <c r="AX103" s="108"/>
      <c r="AY103" s="43"/>
      <c r="AZ103" s="43"/>
      <c r="BA103" s="43"/>
      <c r="BB103" s="43"/>
      <c r="BC103" s="43"/>
      <c r="BD103" s="108"/>
      <c r="BE103" s="43"/>
      <c r="BF103" s="43"/>
      <c r="BG103" s="43"/>
      <c r="BH103" s="43"/>
      <c r="BI103" s="43"/>
      <c r="BJ103" s="108"/>
      <c r="BK103" s="43"/>
      <c r="BL103" s="43"/>
      <c r="BM103" s="43"/>
      <c r="BN103" s="43"/>
      <c r="BO103" s="43"/>
      <c r="BP103" s="108"/>
      <c r="BQ103" s="43"/>
      <c r="BR103" s="43"/>
      <c r="BS103" s="43"/>
      <c r="BT103" s="43"/>
      <c r="BU103" s="43"/>
      <c r="BV103" s="108"/>
      <c r="BW103" s="43"/>
      <c r="BX103" s="43"/>
      <c r="BY103" s="43"/>
      <c r="BZ103" s="43"/>
      <c r="CA103" s="43"/>
      <c r="CB103" s="108"/>
      <c r="CC103" s="43"/>
      <c r="CD103" s="43"/>
      <c r="CE103" s="43"/>
      <c r="CF103" s="43"/>
      <c r="CG103" s="43"/>
      <c r="CH103" s="108"/>
      <c r="CI103" s="43"/>
      <c r="CJ103" s="43"/>
      <c r="CK103" s="43"/>
      <c r="CL103" s="43"/>
      <c r="CM103" s="43"/>
      <c r="CN103" s="108"/>
      <c r="CO103" s="43"/>
      <c r="CP103" s="43"/>
      <c r="CQ103" s="43"/>
      <c r="CR103" s="43"/>
      <c r="CS103" s="43"/>
      <c r="CT103" s="43"/>
      <c r="CU103" s="43"/>
      <c r="CV103" s="43"/>
      <c r="CW103" s="43"/>
      <c r="CX103" s="43"/>
      <c r="CY103" s="43"/>
      <c r="CZ103" s="43"/>
    </row>
    <row r="104" spans="1:104" ht="12.75" customHeight="1" outlineLevel="1" x14ac:dyDescent="0.2">
      <c r="A104" s="75"/>
      <c r="B104" s="109"/>
      <c r="C104" s="90"/>
      <c r="D104" s="90"/>
      <c r="E104" s="90"/>
      <c r="F104" s="90"/>
      <c r="G104" s="90"/>
      <c r="H104" s="109"/>
      <c r="I104" s="90"/>
      <c r="J104" s="90"/>
      <c r="K104" s="90"/>
      <c r="L104" s="90"/>
      <c r="M104" s="90"/>
      <c r="N104" s="109"/>
      <c r="O104" s="90"/>
      <c r="P104" s="90"/>
      <c r="Q104" s="90"/>
      <c r="R104" s="90"/>
      <c r="S104" s="43"/>
      <c r="T104" s="109"/>
      <c r="U104" s="90"/>
      <c r="V104" s="90"/>
      <c r="W104" s="90"/>
      <c r="X104" s="90"/>
      <c r="Y104" s="43"/>
      <c r="Z104" s="109"/>
      <c r="AA104" s="43"/>
      <c r="AB104" s="90"/>
      <c r="AC104" s="43"/>
      <c r="AD104" s="43"/>
      <c r="AE104" s="43"/>
      <c r="AF104" s="108"/>
      <c r="AG104" s="43"/>
      <c r="AH104" s="90"/>
      <c r="AI104" s="43"/>
      <c r="AJ104" s="43"/>
      <c r="AK104" s="43"/>
      <c r="AL104" s="108"/>
      <c r="AM104" s="43"/>
      <c r="AN104" s="43"/>
      <c r="AO104" s="43"/>
      <c r="AP104" s="43"/>
      <c r="AQ104" s="43"/>
      <c r="AR104" s="108"/>
      <c r="AS104" s="43"/>
      <c r="AT104" s="43"/>
      <c r="AU104" s="43"/>
      <c r="AV104" s="43"/>
      <c r="AW104" s="43"/>
      <c r="AX104" s="108"/>
      <c r="AY104" s="43"/>
      <c r="AZ104" s="43"/>
      <c r="BA104" s="43"/>
      <c r="BB104" s="43"/>
      <c r="BC104" s="43"/>
      <c r="BD104" s="108"/>
      <c r="BE104" s="43"/>
      <c r="BF104" s="43"/>
      <c r="BG104" s="43"/>
      <c r="BH104" s="43"/>
      <c r="BI104" s="43"/>
      <c r="BJ104" s="108"/>
      <c r="BK104" s="43"/>
      <c r="BL104" s="43"/>
      <c r="BM104" s="43"/>
      <c r="BN104" s="43"/>
      <c r="BO104" s="43"/>
      <c r="BP104" s="108"/>
      <c r="BQ104" s="43"/>
      <c r="BR104" s="43"/>
      <c r="BS104" s="43"/>
      <c r="BT104" s="43"/>
      <c r="BU104" s="43"/>
      <c r="BV104" s="108"/>
      <c r="BW104" s="43"/>
      <c r="BX104" s="43"/>
      <c r="BY104" s="43"/>
      <c r="BZ104" s="43"/>
      <c r="CA104" s="43"/>
      <c r="CB104" s="108"/>
      <c r="CC104" s="43"/>
      <c r="CD104" s="43"/>
      <c r="CE104" s="43"/>
      <c r="CF104" s="43"/>
      <c r="CG104" s="43"/>
      <c r="CH104" s="108"/>
      <c r="CI104" s="43"/>
      <c r="CJ104" s="43"/>
      <c r="CK104" s="43"/>
      <c r="CL104" s="43"/>
      <c r="CM104" s="43"/>
      <c r="CN104" s="108"/>
      <c r="CO104" s="43"/>
      <c r="CP104" s="43"/>
      <c r="CQ104" s="43"/>
      <c r="CR104" s="43"/>
      <c r="CS104" s="43"/>
      <c r="CT104" s="43"/>
      <c r="CU104" s="43"/>
      <c r="CV104" s="43"/>
      <c r="CW104" s="43"/>
      <c r="CX104" s="43"/>
      <c r="CY104" s="43"/>
      <c r="CZ104" s="43"/>
    </row>
    <row r="105" spans="1:104" ht="12.75" customHeight="1" outlineLevel="1" x14ac:dyDescent="0.2">
      <c r="A105" s="23" t="s">
        <v>154</v>
      </c>
      <c r="B105" s="109"/>
      <c r="C105" s="82"/>
      <c r="D105" s="82"/>
      <c r="E105" s="82"/>
      <c r="F105" s="82"/>
      <c r="G105" s="82"/>
      <c r="H105" s="109"/>
      <c r="I105" s="82"/>
      <c r="J105" s="82"/>
      <c r="K105" s="82"/>
      <c r="L105" s="82"/>
      <c r="M105" s="82"/>
      <c r="N105" s="109"/>
      <c r="O105" s="82"/>
      <c r="P105" s="82"/>
      <c r="Q105" s="82"/>
      <c r="R105" s="82"/>
      <c r="S105" s="82"/>
      <c r="T105" s="109"/>
      <c r="U105" s="82"/>
      <c r="V105" s="82"/>
      <c r="W105" s="82"/>
      <c r="X105" s="82"/>
      <c r="Y105" s="82"/>
      <c r="Z105" s="109"/>
      <c r="AA105" s="82"/>
      <c r="AB105" s="82"/>
      <c r="AC105" s="82"/>
      <c r="AD105" s="82"/>
      <c r="AE105" s="82"/>
      <c r="AF105" s="109"/>
      <c r="AG105" s="82"/>
      <c r="AH105" s="82"/>
      <c r="AI105" s="82"/>
      <c r="AJ105" s="82"/>
      <c r="AK105" s="82"/>
      <c r="AL105" s="109"/>
      <c r="AM105" s="82"/>
      <c r="AN105" s="82"/>
      <c r="AO105" s="82"/>
      <c r="AP105" s="82"/>
      <c r="AQ105" s="82"/>
      <c r="AR105" s="109"/>
      <c r="AS105" s="82"/>
      <c r="AT105" s="82"/>
      <c r="AU105" s="82"/>
      <c r="AV105" s="82"/>
      <c r="AW105" s="82"/>
      <c r="AX105" s="109"/>
      <c r="AY105" s="82"/>
      <c r="AZ105" s="82"/>
      <c r="BA105" s="82"/>
      <c r="BB105" s="82"/>
      <c r="BC105" s="82"/>
      <c r="BD105" s="109"/>
      <c r="BE105" s="82"/>
      <c r="BF105" s="82"/>
      <c r="BG105" s="82"/>
      <c r="BH105" s="82"/>
      <c r="BI105" s="82"/>
      <c r="BJ105" s="109"/>
      <c r="BK105" s="82"/>
      <c r="BL105" s="82"/>
      <c r="BM105" s="82"/>
      <c r="BN105" s="82"/>
      <c r="BO105" s="82"/>
      <c r="BP105" s="109"/>
      <c r="BQ105" s="82"/>
      <c r="BR105" s="82"/>
      <c r="BS105" s="82"/>
      <c r="BT105" s="82"/>
      <c r="BU105" s="82"/>
      <c r="BV105" s="109"/>
      <c r="BW105" s="82"/>
      <c r="BX105" s="82"/>
      <c r="BY105" s="82"/>
      <c r="BZ105" s="82"/>
      <c r="CA105" s="82"/>
      <c r="CB105" s="109"/>
      <c r="CC105" s="82"/>
      <c r="CD105" s="82"/>
      <c r="CE105" s="82"/>
      <c r="CF105" s="82"/>
      <c r="CG105" s="82"/>
      <c r="CH105" s="109"/>
      <c r="CI105" s="82"/>
      <c r="CJ105" s="82"/>
      <c r="CK105" s="82"/>
      <c r="CL105" s="82"/>
      <c r="CM105" s="82"/>
      <c r="CN105" s="109"/>
      <c r="CO105" s="82"/>
      <c r="CP105" s="82"/>
      <c r="CQ105" s="82"/>
      <c r="CR105" s="82"/>
      <c r="CS105" s="82"/>
      <c r="CT105" s="82"/>
      <c r="CU105" s="82"/>
      <c r="CV105" s="82"/>
      <c r="CW105" s="75"/>
      <c r="CX105" s="75"/>
      <c r="CY105" s="75"/>
      <c r="CZ105" s="75"/>
    </row>
    <row r="106" spans="1:104" ht="12.75" customHeight="1" outlineLevel="1" x14ac:dyDescent="0.2">
      <c r="A106" s="75" t="s">
        <v>155</v>
      </c>
      <c r="B106" s="109"/>
      <c r="C106" s="84">
        <v>55.585999999999999</v>
      </c>
      <c r="D106" s="82">
        <f>C111</f>
        <v>57.927</v>
      </c>
      <c r="E106" s="82">
        <f>D111</f>
        <v>62.695</v>
      </c>
      <c r="F106" s="82">
        <f>E111</f>
        <v>62.34</v>
      </c>
      <c r="G106" s="82">
        <f>+C106</f>
        <v>55.585999999999999</v>
      </c>
      <c r="H106" s="109"/>
      <c r="I106" s="82">
        <f>+G111</f>
        <v>64.694000000000017</v>
      </c>
      <c r="J106" s="82">
        <f>I111</f>
        <v>66.885000000000005</v>
      </c>
      <c r="K106" s="82">
        <f>J111</f>
        <v>71.415000000000006</v>
      </c>
      <c r="L106" s="82">
        <f>K111</f>
        <v>72.265000000000001</v>
      </c>
      <c r="M106" s="82">
        <f>+I106</f>
        <v>64.694000000000017</v>
      </c>
      <c r="N106" s="109"/>
      <c r="O106" s="82">
        <f>+M111</f>
        <v>74.796000000000006</v>
      </c>
      <c r="P106" s="82">
        <f>O111</f>
        <v>75.078000000000003</v>
      </c>
      <c r="Q106" s="82">
        <f>P111</f>
        <v>77.641000000000005</v>
      </c>
      <c r="R106" s="82">
        <f>Q111</f>
        <v>79.257000000000005</v>
      </c>
      <c r="S106" s="82">
        <f>+O106</f>
        <v>74.796000000000006</v>
      </c>
      <c r="T106" s="109"/>
      <c r="U106" s="82">
        <f>+S111</f>
        <v>61.058000000000014</v>
      </c>
      <c r="V106" s="82">
        <f>U111</f>
        <v>60.087000000000003</v>
      </c>
      <c r="W106" s="82">
        <f>V111</f>
        <v>64.147000000000006</v>
      </c>
      <c r="X106" s="82">
        <f>W111</f>
        <v>65.135999999999996</v>
      </c>
      <c r="Y106" s="82">
        <f>+U106</f>
        <v>61.058000000000014</v>
      </c>
      <c r="Z106" s="109"/>
      <c r="AA106" s="82">
        <f>+Y111</f>
        <v>65.272999999999996</v>
      </c>
      <c r="AB106" s="82">
        <f>AA111</f>
        <v>67.231999999999999</v>
      </c>
      <c r="AC106" s="82">
        <f>AB111</f>
        <v>68.260000000000005</v>
      </c>
      <c r="AD106" s="82">
        <f>AC111</f>
        <v>68.281999999999996</v>
      </c>
      <c r="AE106" s="82">
        <f>+AA106</f>
        <v>65.272999999999996</v>
      </c>
      <c r="AF106" s="109"/>
      <c r="AG106" s="82">
        <f>+AE111</f>
        <v>64.113</v>
      </c>
      <c r="AH106" s="82">
        <f>AG111</f>
        <v>66.134</v>
      </c>
      <c r="AI106" s="82">
        <f>AH111</f>
        <v>69.197000000000003</v>
      </c>
      <c r="AJ106" s="82">
        <f>AI111</f>
        <v>70.763999999999996</v>
      </c>
      <c r="AK106" s="82">
        <f>+AG106</f>
        <v>64.113</v>
      </c>
      <c r="AL106" s="109"/>
      <c r="AM106" s="82">
        <f>AK111</f>
        <v>72.52800000000002</v>
      </c>
      <c r="AN106" s="82">
        <f>AM111</f>
        <v>75.206000000000003</v>
      </c>
      <c r="AO106" s="82">
        <f>AN111</f>
        <v>79.593999999999994</v>
      </c>
      <c r="AP106" s="82">
        <f>AO111</f>
        <v>81.073999999999998</v>
      </c>
      <c r="AQ106" s="82">
        <f>+AM106</f>
        <v>72.52800000000002</v>
      </c>
      <c r="AR106" s="109"/>
      <c r="AS106" s="82">
        <f>AQ111</f>
        <v>84.197000000000017</v>
      </c>
      <c r="AT106" s="82">
        <f>AS111</f>
        <v>89.103999999999999</v>
      </c>
      <c r="AU106" s="82">
        <f>AT111</f>
        <v>91.96</v>
      </c>
      <c r="AV106" s="82">
        <f>AU111</f>
        <v>95.533000000000001</v>
      </c>
      <c r="AW106" s="82">
        <f>+AS106</f>
        <v>84.197000000000017</v>
      </c>
      <c r="AX106" s="109"/>
      <c r="AY106" s="82">
        <f>AW111</f>
        <v>99.607000000000014</v>
      </c>
      <c r="AZ106" s="82">
        <f>AY111</f>
        <v>108.58799999999999</v>
      </c>
      <c r="BA106" s="82">
        <f>AZ111</f>
        <v>114.262</v>
      </c>
      <c r="BB106" s="82">
        <f>BA111</f>
        <v>136.626</v>
      </c>
      <c r="BC106" s="82">
        <f>+AY106</f>
        <v>99.607000000000014</v>
      </c>
      <c r="BD106" s="109"/>
      <c r="BE106" s="82">
        <f>BC111</f>
        <v>138.1</v>
      </c>
      <c r="BF106" s="82">
        <f>BE111</f>
        <v>139.5</v>
      </c>
      <c r="BG106" s="82">
        <f>BF111</f>
        <v>139.19999999999999</v>
      </c>
      <c r="BH106" s="82">
        <f>BG111</f>
        <v>141.69999999999999</v>
      </c>
      <c r="BI106" s="82">
        <f>+BE106</f>
        <v>138.1</v>
      </c>
      <c r="BJ106" s="109"/>
      <c r="BK106" s="82">
        <f>BI111</f>
        <v>141.70000000000002</v>
      </c>
      <c r="BL106" s="82">
        <f>BK111</f>
        <v>143.30000000000001</v>
      </c>
      <c r="BM106" s="82">
        <f>BL111</f>
        <v>144.6</v>
      </c>
      <c r="BN106" s="82">
        <f>BM111</f>
        <v>146.30000000000001</v>
      </c>
      <c r="BO106" s="82">
        <f>+BK106</f>
        <v>141.70000000000002</v>
      </c>
      <c r="BP106" s="109"/>
      <c r="BQ106" s="82">
        <f>BO111</f>
        <v>148.4</v>
      </c>
      <c r="BR106" s="82">
        <f>BQ111</f>
        <v>150.69999999999999</v>
      </c>
      <c r="BS106" s="82">
        <f>BR111</f>
        <v>154.80000000000001</v>
      </c>
      <c r="BT106" s="82">
        <f>BS111</f>
        <v>159.54647229924501</v>
      </c>
      <c r="BU106" s="82">
        <f>+BQ106</f>
        <v>148.4</v>
      </c>
      <c r="BV106" s="109"/>
      <c r="BW106" s="82">
        <f>BU111</f>
        <v>164.47634920333704</v>
      </c>
      <c r="BX106" s="82">
        <f>BW111</f>
        <v>168.28464235739176</v>
      </c>
      <c r="BY106" s="82">
        <f>BX111</f>
        <v>172.28085663684948</v>
      </c>
      <c r="BZ106" s="82">
        <f>BY111</f>
        <v>176.25660412500187</v>
      </c>
      <c r="CA106" s="82">
        <f>+BW106</f>
        <v>164.47634920333704</v>
      </c>
      <c r="CB106" s="109"/>
      <c r="CC106" s="82">
        <f>CA111</f>
        <v>180.42918989136692</v>
      </c>
      <c r="CD106" s="82">
        <f>CC111</f>
        <v>184.41947330454883</v>
      </c>
      <c r="CE106" s="82">
        <f>CD111</f>
        <v>188.65258118893601</v>
      </c>
      <c r="CF106" s="82">
        <f>CE111</f>
        <v>192.8667433810532</v>
      </c>
      <c r="CG106" s="82">
        <f>+CC106</f>
        <v>180.42918989136692</v>
      </c>
      <c r="CH106" s="109"/>
      <c r="CI106" s="82">
        <f t="shared" ref="CI106" si="177">CG111</f>
        <v>197.30815497372799</v>
      </c>
      <c r="CJ106" s="82">
        <f t="shared" ref="CJ106:CL106" si="178">CI111</f>
        <v>201.58614004413889</v>
      </c>
      <c r="CK106" s="82">
        <f t="shared" si="178"/>
        <v>206.13969977585629</v>
      </c>
      <c r="CL106" s="82">
        <f t="shared" si="178"/>
        <v>210.64895921410815</v>
      </c>
      <c r="CM106" s="82">
        <f t="shared" ref="CM106" si="179">+CI106</f>
        <v>197.30815497372799</v>
      </c>
      <c r="CN106" s="109"/>
      <c r="CO106" s="82">
        <f t="shared" ref="CO106" si="180">CM111</f>
        <v>215.40094418552957</v>
      </c>
      <c r="CP106" s="82">
        <f t="shared" ref="CP106:CR106" si="181">CO111</f>
        <v>219.98641250555789</v>
      </c>
      <c r="CQ106" s="82">
        <f t="shared" si="181"/>
        <v>224.90596714951107</v>
      </c>
      <c r="CR106" s="82">
        <f t="shared" si="181"/>
        <v>229.72729174805028</v>
      </c>
      <c r="CS106" s="82">
        <f t="shared" ref="CS106" si="182">+CO106</f>
        <v>215.40094418552957</v>
      </c>
      <c r="CT106" s="82"/>
      <c r="CU106" s="82"/>
      <c r="CV106" s="82"/>
      <c r="CW106" s="75"/>
      <c r="CX106" s="75"/>
      <c r="CY106" s="75"/>
      <c r="CZ106" s="75"/>
    </row>
    <row r="107" spans="1:104" ht="12.75" customHeight="1" outlineLevel="1" x14ac:dyDescent="0.2">
      <c r="A107" s="127" t="s">
        <v>156</v>
      </c>
      <c r="B107" s="109"/>
      <c r="C107" s="82">
        <f>-'Cash Flow'!C30</f>
        <v>2.48</v>
      </c>
      <c r="D107" s="82">
        <f>-'Cash Flow'!D30</f>
        <v>4.7850000000000001</v>
      </c>
      <c r="E107" s="82">
        <f>-'Cash Flow'!E30</f>
        <v>1.3929999999999993</v>
      </c>
      <c r="F107" s="82">
        <f>-'Cash Flow'!F30</f>
        <v>2.7420000000000013</v>
      </c>
      <c r="G107" s="82">
        <f>+SUM(C107:F107)</f>
        <v>11.4</v>
      </c>
      <c r="H107" s="109"/>
      <c r="I107" s="82">
        <f>-'Cash Flow'!I30</f>
        <v>3.282</v>
      </c>
      <c r="J107" s="82">
        <f>-'Cash Flow'!J30</f>
        <v>4.8740000000000006</v>
      </c>
      <c r="K107" s="82">
        <f>-'Cash Flow'!K30</f>
        <v>1.5129999999999999</v>
      </c>
      <c r="L107" s="82">
        <f>-'Cash Flow'!L30</f>
        <v>4.0060000000000002</v>
      </c>
      <c r="M107" s="82">
        <f>+SUM(I107:L107)</f>
        <v>13.675000000000001</v>
      </c>
      <c r="N107" s="109"/>
      <c r="O107" s="82">
        <f>-'Cash Flow'!O30</f>
        <v>0.95299999999999996</v>
      </c>
      <c r="P107" s="82">
        <f>-'Cash Flow'!P30</f>
        <v>2.556</v>
      </c>
      <c r="Q107" s="82">
        <f>-'Cash Flow'!Q30</f>
        <v>1.8409999999999997</v>
      </c>
      <c r="R107" s="82">
        <f>-'Cash Flow'!R30</f>
        <v>2.1750000000000012</v>
      </c>
      <c r="S107" s="82">
        <f>+SUM(O107:R107)</f>
        <v>7.5250000000000004</v>
      </c>
      <c r="T107" s="109"/>
      <c r="U107" s="82">
        <f>-'Cash Flow'!U30</f>
        <v>1.577</v>
      </c>
      <c r="V107" s="82">
        <f>-'Cash Flow'!V30</f>
        <v>4.343</v>
      </c>
      <c r="W107" s="82">
        <f>-'Cash Flow'!W30</f>
        <v>1.1479999999999997</v>
      </c>
      <c r="X107" s="82">
        <f>-'Cash Flow'!X30</f>
        <v>0.82699999999999996</v>
      </c>
      <c r="Y107" s="82">
        <f>+SUM(U107:X107)</f>
        <v>7.8949999999999996</v>
      </c>
      <c r="Z107" s="109"/>
      <c r="AA107" s="82">
        <f>-'Cash Flow'!AA30</f>
        <v>1.9590000000000001</v>
      </c>
      <c r="AB107" s="82">
        <f>-'Cash Flow'!AB30</f>
        <v>1.0649999999999999</v>
      </c>
      <c r="AC107" s="82">
        <f>-'Cash Flow'!AC30</f>
        <v>0.15799999999999992</v>
      </c>
      <c r="AD107" s="82">
        <f>-'Cash Flow'!AD30</f>
        <v>0.60999999999999988</v>
      </c>
      <c r="AE107" s="82">
        <f>+SUM(AA107:AD107)</f>
        <v>3.7919999999999998</v>
      </c>
      <c r="AF107" s="109"/>
      <c r="AG107" s="82">
        <f>-'Cash Flow'!AG30</f>
        <v>2.109</v>
      </c>
      <c r="AH107" s="82">
        <f>-'Cash Flow'!AH30</f>
        <v>3.1070000000000002</v>
      </c>
      <c r="AI107" s="82">
        <f>-'Cash Flow'!AI30</f>
        <v>2</v>
      </c>
      <c r="AJ107" s="82">
        <f>-'Cash Flow'!AJ30</f>
        <v>2.1919999999999993</v>
      </c>
      <c r="AK107" s="82">
        <f>+SUM(AG107:AJ107)</f>
        <v>9.4079999999999995</v>
      </c>
      <c r="AL107" s="109"/>
      <c r="AM107" s="82">
        <f>-'Cash Flow'!AM30</f>
        <v>2.4609999999999999</v>
      </c>
      <c r="AN107" s="82">
        <f>-'Cash Flow'!AN30</f>
        <v>4.5470000000000006</v>
      </c>
      <c r="AO107" s="82">
        <f>-'Cash Flow'!AO30</f>
        <v>1.5740000000000003</v>
      </c>
      <c r="AP107" s="82">
        <f>-'Cash Flow'!AP30</f>
        <v>2.790999999999999</v>
      </c>
      <c r="AQ107" s="82">
        <f>+SUM(AM107:AP107)</f>
        <v>11.372999999999999</v>
      </c>
      <c r="AR107" s="109"/>
      <c r="AS107" s="82">
        <f>-'Cash Flow'!AS30</f>
        <v>5.2649999999999997</v>
      </c>
      <c r="AT107" s="82">
        <f>-'Cash Flow'!AT30</f>
        <v>2.8330000000000011</v>
      </c>
      <c r="AU107" s="82">
        <f>-'Cash Flow'!AU30</f>
        <v>1.5549999999999997</v>
      </c>
      <c r="AV107" s="82">
        <f>-'Cash Flow'!AV30</f>
        <v>4.6179999999999994</v>
      </c>
      <c r="AW107" s="82">
        <f>+SUM(AS107:AV107)</f>
        <v>14.271000000000001</v>
      </c>
      <c r="AX107" s="109"/>
      <c r="AY107" s="82">
        <f>-'Cash Flow'!AY30</f>
        <v>11.502000000000001</v>
      </c>
      <c r="AZ107" s="82">
        <f>-'Cash Flow'!AZ30</f>
        <v>5.9459999999999997</v>
      </c>
      <c r="BA107" s="82">
        <f>-'Cash Flow'!BA30</f>
        <v>4.4570000000000007</v>
      </c>
      <c r="BB107" s="82">
        <f>-'Cash Flow'!BB30</f>
        <v>1.9949999999999974</v>
      </c>
      <c r="BC107" s="82">
        <f>+SUM(AY107:BB107)</f>
        <v>23.9</v>
      </c>
      <c r="BD107" s="109"/>
      <c r="BE107" s="82">
        <f>-'Cash Flow'!BE30</f>
        <v>1</v>
      </c>
      <c r="BF107" s="82">
        <f>-'Cash Flow'!BF30</f>
        <v>1.1000000000000001</v>
      </c>
      <c r="BG107" s="82">
        <f>-'Cash Flow'!BG30</f>
        <v>0.69999999999999973</v>
      </c>
      <c r="BH107" s="82">
        <f>-'Cash Flow'!BH30</f>
        <v>2.2000000000000002</v>
      </c>
      <c r="BI107" s="82">
        <f>+SUM(BE107:BH107)</f>
        <v>5</v>
      </c>
      <c r="BJ107" s="109"/>
      <c r="BK107" s="82">
        <f>-'Cash Flow'!BK30</f>
        <v>1.5</v>
      </c>
      <c r="BL107" s="82">
        <f>-'Cash Flow'!BL30</f>
        <v>2.4</v>
      </c>
      <c r="BM107" s="82">
        <f>-'Cash Flow'!BM30</f>
        <v>1.5000000000000004</v>
      </c>
      <c r="BN107" s="82">
        <f>-'Cash Flow'!BN30</f>
        <v>0.69999999999999929</v>
      </c>
      <c r="BO107" s="82">
        <f>+SUM(BK107:BN107)</f>
        <v>6.1</v>
      </c>
      <c r="BP107" s="109"/>
      <c r="BQ107" s="82">
        <f>-'Cash Flow'!BQ30</f>
        <v>1.6</v>
      </c>
      <c r="BR107" s="82">
        <f>-'Cash Flow'!BR30</f>
        <v>2.1</v>
      </c>
      <c r="BS107" s="82">
        <f>+BS108*'P&amp;L'!BS8</f>
        <v>4.7464722992449939</v>
      </c>
      <c r="BT107" s="82">
        <f>+BT108*'P&amp;L'!BT8</f>
        <v>4.9298769040920272</v>
      </c>
      <c r="BU107" s="82">
        <f>+SUM(BQ107:BT107)</f>
        <v>13.376349203337021</v>
      </c>
      <c r="BV107" s="109"/>
      <c r="BW107" s="82">
        <f>+BW108*'P&amp;L'!BW8</f>
        <v>3.8082931540547151</v>
      </c>
      <c r="BX107" s="82">
        <f>+BX108*'P&amp;L'!BX8</f>
        <v>3.9962142794577176</v>
      </c>
      <c r="BY107" s="82">
        <f>+BY108*'P&amp;L'!BY8</f>
        <v>3.9757474881523853</v>
      </c>
      <c r="BZ107" s="82">
        <f>+BZ108*'P&amp;L'!BZ8</f>
        <v>4.1725857663650672</v>
      </c>
      <c r="CA107" s="82">
        <f>+SUM(BW107:BZ107)</f>
        <v>15.952840688029884</v>
      </c>
      <c r="CB107" s="109"/>
      <c r="CC107" s="82">
        <f>+CC108*'P&amp;L'!CC8</f>
        <v>3.9902834131819147</v>
      </c>
      <c r="CD107" s="82">
        <f>+CD108*'P&amp;L'!CD8</f>
        <v>4.2331078843871772</v>
      </c>
      <c r="CE107" s="82">
        <f>+CE108*'P&amp;L'!CE8</f>
        <v>4.2141621921171737</v>
      </c>
      <c r="CF107" s="82">
        <f>+CF108*'P&amp;L'!CF8</f>
        <v>4.4414115926748119</v>
      </c>
      <c r="CG107" s="82">
        <f>+SUM(CC107:CF107)</f>
        <v>16.878965082361077</v>
      </c>
      <c r="CH107" s="109"/>
      <c r="CI107" s="82">
        <f>+CI108*'P&amp;L'!CI8</f>
        <v>4.2779850704108808</v>
      </c>
      <c r="CJ107" s="82">
        <f>+CJ108*'P&amp;L'!CJ8</f>
        <v>4.553559731717395</v>
      </c>
      <c r="CK107" s="82">
        <f>+CK108*'P&amp;L'!CK8</f>
        <v>4.509259438251858</v>
      </c>
      <c r="CL107" s="82">
        <f>+CL108*'P&amp;L'!CL8</f>
        <v>4.7519849714214262</v>
      </c>
      <c r="CM107" s="82">
        <f t="shared" ref="CM107" si="183">+SUM(CI107:CL107)</f>
        <v>18.092789211801559</v>
      </c>
      <c r="CN107" s="109"/>
      <c r="CO107" s="82">
        <f>+CO108*'P&amp;L'!CO8</f>
        <v>4.5854683200283386</v>
      </c>
      <c r="CP107" s="82">
        <f>+CP108*'P&amp;L'!CP8</f>
        <v>4.919554643953175</v>
      </c>
      <c r="CQ107" s="82">
        <f>+CQ108*'P&amp;L'!CQ8</f>
        <v>4.821324598539209</v>
      </c>
      <c r="CR107" s="82">
        <f>+CR108*'P&amp;L'!CR8</f>
        <v>5.1072072272884519</v>
      </c>
      <c r="CS107" s="82">
        <f t="shared" ref="CS107" si="184">+SUM(CO107:CR107)</f>
        <v>19.433554789809175</v>
      </c>
      <c r="CT107" s="82"/>
      <c r="CU107" s="82"/>
      <c r="CV107" s="82"/>
      <c r="CW107" s="75"/>
      <c r="CX107" s="75"/>
      <c r="CY107" s="75"/>
      <c r="CZ107" s="75"/>
    </row>
    <row r="108" spans="1:104" ht="12.75" customHeight="1" outlineLevel="1" x14ac:dyDescent="0.2">
      <c r="A108" s="266" t="s">
        <v>157</v>
      </c>
      <c r="B108" s="110"/>
      <c r="C108" s="195">
        <f>+C107/'P&amp;L'!C8</f>
        <v>7.3934949169722444E-2</v>
      </c>
      <c r="D108" s="195">
        <f>+D107/'P&amp;L'!D8</f>
        <v>0.1288541806920695</v>
      </c>
      <c r="E108" s="195">
        <f>+E107/'P&amp;L'!E8</f>
        <v>3.400048816206979E-2</v>
      </c>
      <c r="F108" s="195">
        <f>+F107/'P&amp;L'!F8</f>
        <v>6.0292888869343447E-2</v>
      </c>
      <c r="G108" s="195">
        <f>+G107/'P&amp;L'!G8</f>
        <v>7.2553237529116757E-2</v>
      </c>
      <c r="H108" s="110"/>
      <c r="I108" s="195">
        <f>+I107/'P&amp;L'!I8</f>
        <v>6.7998176770397378E-2</v>
      </c>
      <c r="J108" s="195">
        <f>+J107/'P&amp;L'!J8</f>
        <v>8.5897571463818698E-2</v>
      </c>
      <c r="K108" s="195">
        <f>+K107/'P&amp;L'!K8</f>
        <v>2.4496073828219864E-2</v>
      </c>
      <c r="L108" s="195">
        <f>+L107/'P&amp;L'!L8</f>
        <v>6.1937598565199918E-2</v>
      </c>
      <c r="M108" s="195">
        <f>+M107/'P&amp;L'!M8</f>
        <v>5.9083780152170445E-2</v>
      </c>
      <c r="N108" s="110"/>
      <c r="O108" s="195">
        <f>+O107/'P&amp;L'!O8</f>
        <v>1.3621096262416921E-2</v>
      </c>
      <c r="P108" s="195">
        <f>+P107/'P&amp;L'!P8</f>
        <v>3.0445969125214408E-2</v>
      </c>
      <c r="Q108" s="195">
        <f>+Q107/'P&amp;L'!Q8</f>
        <v>2.1275612208341513E-2</v>
      </c>
      <c r="R108" s="195">
        <f>+R107/'P&amp;L'!R8</f>
        <v>2.5267486843481003E-2</v>
      </c>
      <c r="S108" s="195">
        <f>+S107/'P&amp;L'!S8</f>
        <v>2.3045567441589823E-2</v>
      </c>
      <c r="T108" s="110"/>
      <c r="U108" s="195">
        <f>+U107/'P&amp;L'!U8</f>
        <v>1.8526350414698901E-2</v>
      </c>
      <c r="V108" s="195">
        <f>+V107/'P&amp;L'!V8</f>
        <v>4.6815712314591237E-2</v>
      </c>
      <c r="W108" s="195">
        <f>+W107/'P&amp;L'!W8</f>
        <v>1.2638995926456013E-2</v>
      </c>
      <c r="X108" s="195">
        <f>+X107/'P&amp;L'!X8</f>
        <v>8.8046163018482195E-3</v>
      </c>
      <c r="Y108" s="195">
        <f>+Y107/'P&amp;L'!Y8</f>
        <v>2.1770422007015063E-2</v>
      </c>
      <c r="Z108" s="110"/>
      <c r="AA108" s="195">
        <f>+AA107/'P&amp;L'!AA8</f>
        <v>2.1326395088070719E-2</v>
      </c>
      <c r="AB108" s="195">
        <f>+AB107/'P&amp;L'!AB8</f>
        <v>1.0603345280764636E-2</v>
      </c>
      <c r="AC108" s="195">
        <f>+AC107/'P&amp;L'!AC8</f>
        <v>1.5433606189071438E-3</v>
      </c>
      <c r="AD108" s="195">
        <f>+AD107/'P&amp;L'!AD8</f>
        <v>5.6790675157338084E-3</v>
      </c>
      <c r="AE108" s="195">
        <f>+AE107/'P&amp;L'!AE8</f>
        <v>9.4308651923478651E-3</v>
      </c>
      <c r="AF108" s="110"/>
      <c r="AG108" s="195">
        <f>+AG107/'P&amp;L'!AG8</f>
        <v>1.9094267192988811E-2</v>
      </c>
      <c r="AH108" s="195">
        <f>+AH107/'P&amp;L'!AH8</f>
        <v>2.5299036731237429E-2</v>
      </c>
      <c r="AI108" s="195">
        <f>+AI107/'P&amp;L'!AI8</f>
        <v>1.5411051264862034E-2</v>
      </c>
      <c r="AJ108" s="195">
        <f>+AJ107/'P&amp;L'!AJ8</f>
        <v>1.6485541307862967E-2</v>
      </c>
      <c r="AK108" s="195">
        <f>+AK107/'P&amp;L'!AK8</f>
        <v>1.8967550730335379E-2</v>
      </c>
      <c r="AL108" s="110"/>
      <c r="AM108" s="195">
        <f>+AM107/'P&amp;L'!AM8</f>
        <v>1.8443160442755756E-2</v>
      </c>
      <c r="AN108" s="195">
        <f>+AN107/'P&amp;L'!AN8</f>
        <v>3.0488131956550899E-2</v>
      </c>
      <c r="AO108" s="195">
        <f>+AO107/'P&amp;L'!AO8</f>
        <v>1.0059307735569305E-2</v>
      </c>
      <c r="AP108" s="195">
        <f>+AP107/'P&amp;L'!AP8</f>
        <v>1.6029543522708991E-2</v>
      </c>
      <c r="AQ108" s="195">
        <f>+AQ107/'P&amp;L'!AQ8</f>
        <v>1.8548025409147618E-2</v>
      </c>
      <c r="AR108" s="110"/>
      <c r="AS108" s="195">
        <f>+AS107/'P&amp;L'!AS8</f>
        <v>2.6004237727629685E-2</v>
      </c>
      <c r="AT108" s="195">
        <f>+AT107/'P&amp;L'!AT8</f>
        <v>1.3883171616191322E-2</v>
      </c>
      <c r="AU108" s="195">
        <f>+AU107/'P&amp;L'!AU8</f>
        <v>8.5007981456779839E-3</v>
      </c>
      <c r="AV108" s="195">
        <f>+AV107/'P&amp;L'!AV8</f>
        <v>2.4464280984292635E-2</v>
      </c>
      <c r="AW108" s="195">
        <f>+AW107/'P&amp;L'!AW8</f>
        <v>1.8338096363991488E-2</v>
      </c>
      <c r="AX108" s="110"/>
      <c r="AY108" s="195">
        <f>+AY107/'P&amp;L'!AY8</f>
        <v>6.8124877840757658E-2</v>
      </c>
      <c r="AZ108" s="195">
        <f>+AZ107/'P&amp;L'!AZ8</f>
        <v>3.2246343407830017E-2</v>
      </c>
      <c r="BA108" s="195">
        <f>+BA107/'P&amp;L'!BA8</f>
        <v>2.4763174709003532E-2</v>
      </c>
      <c r="BB108" s="195">
        <f>+BB107/'P&amp;L'!BB8</f>
        <v>1.05069718614191E-2</v>
      </c>
      <c r="BC108" s="195">
        <f>+BC107/'P&amp;L'!BC8</f>
        <v>3.305264281251364E-2</v>
      </c>
      <c r="BD108" s="110"/>
      <c r="BE108" s="195">
        <f>+BE107/'P&amp;L'!BE8</f>
        <v>5.4486594014342424E-3</v>
      </c>
      <c r="BF108" s="195">
        <f>+BF107/'P&amp;L'!BF8</f>
        <v>5.6909536313444614E-3</v>
      </c>
      <c r="BG108" s="195">
        <f>+BG107/'P&amp;L'!BG8</f>
        <v>3.6741931168114126E-3</v>
      </c>
      <c r="BH108" s="195">
        <f>+BH107/'P&amp;L'!BH8</f>
        <v>1.1796246648793566E-2</v>
      </c>
      <c r="BI108" s="195">
        <f>+BI107/'P&amp;L'!BI8</f>
        <v>6.6327192907306935E-3</v>
      </c>
      <c r="BJ108" s="110"/>
      <c r="BK108" s="195">
        <f>+BK107/'P&amp;L'!BK8</f>
        <v>8.450409126793984E-3</v>
      </c>
      <c r="BL108" s="195">
        <f>+BL107/'P&amp;L'!BL8</f>
        <v>1.221067363081141E-2</v>
      </c>
      <c r="BM108" s="195">
        <f>+BM107/'P&amp;L'!BM8</f>
        <v>7.6176498371068246E-3</v>
      </c>
      <c r="BN108" s="195">
        <f>+BN107/'P&amp;L'!BN8</f>
        <v>3.4919694419158166E-3</v>
      </c>
      <c r="BO108" s="195">
        <f>+BO107/'P&amp;L'!BO8</f>
        <v>7.9074274019594742E-3</v>
      </c>
      <c r="BP108" s="110"/>
      <c r="BQ108" s="195">
        <f>+BQ107/'P&amp;L'!BQ8</f>
        <v>8.4133638788449136E-3</v>
      </c>
      <c r="BR108" s="195">
        <f>+BR107/'P&amp;L'!BR8</f>
        <v>1.0826115920768561E-2</v>
      </c>
      <c r="BS108" s="557">
        <v>2.5000000000000001E-2</v>
      </c>
      <c r="BT108" s="557">
        <v>2.5000000000000001E-2</v>
      </c>
      <c r="BU108" s="195">
        <f>+BU107/'P&amp;L'!BU8</f>
        <v>1.7344783925284553E-2</v>
      </c>
      <c r="BV108" s="110"/>
      <c r="BW108" s="557">
        <v>0.02</v>
      </c>
      <c r="BX108" s="557">
        <f>+BW108</f>
        <v>0.02</v>
      </c>
      <c r="BY108" s="557">
        <f>+BX108</f>
        <v>0.02</v>
      </c>
      <c r="BZ108" s="557">
        <f>+BY108</f>
        <v>0.02</v>
      </c>
      <c r="CA108" s="195">
        <f>+CA107/'P&amp;L'!CA8</f>
        <v>1.9999999999999997E-2</v>
      </c>
      <c r="CB108" s="110"/>
      <c r="CC108" s="557">
        <v>0.02</v>
      </c>
      <c r="CD108" s="557">
        <f>+CC108</f>
        <v>0.02</v>
      </c>
      <c r="CE108" s="557">
        <f>+CD108</f>
        <v>0.02</v>
      </c>
      <c r="CF108" s="557">
        <f>+CE108</f>
        <v>0.02</v>
      </c>
      <c r="CG108" s="195">
        <f>+CG107/'P&amp;L'!CG8</f>
        <v>1.9999999999999997E-2</v>
      </c>
      <c r="CH108" s="110"/>
      <c r="CI108" s="557">
        <v>0.02</v>
      </c>
      <c r="CJ108" s="557">
        <f t="shared" ref="CJ108:CL108" si="185">+CI108</f>
        <v>0.02</v>
      </c>
      <c r="CK108" s="557">
        <f t="shared" si="185"/>
        <v>0.02</v>
      </c>
      <c r="CL108" s="557">
        <f t="shared" si="185"/>
        <v>0.02</v>
      </c>
      <c r="CM108" s="195">
        <f>+CM107/'P&amp;L'!CM8</f>
        <v>0.02</v>
      </c>
      <c r="CN108" s="110"/>
      <c r="CO108" s="557">
        <v>0.02</v>
      </c>
      <c r="CP108" s="557">
        <f t="shared" ref="CP108:CR108" si="186">+CO108</f>
        <v>0.02</v>
      </c>
      <c r="CQ108" s="557">
        <f t="shared" si="186"/>
        <v>0.02</v>
      </c>
      <c r="CR108" s="557">
        <f t="shared" si="186"/>
        <v>0.02</v>
      </c>
      <c r="CS108" s="195">
        <f>+CS107/'P&amp;L'!CS8</f>
        <v>0.02</v>
      </c>
      <c r="CT108" s="195"/>
      <c r="CU108" s="195"/>
      <c r="CV108" s="195"/>
      <c r="CW108" s="87"/>
      <c r="CX108" s="87"/>
      <c r="CY108" s="87"/>
      <c r="CZ108" s="87"/>
    </row>
    <row r="109" spans="1:104" ht="12.75" customHeight="1" outlineLevel="1" x14ac:dyDescent="0.2">
      <c r="A109" s="127" t="s">
        <v>158</v>
      </c>
      <c r="B109" s="109"/>
      <c r="C109" s="84">
        <v>0</v>
      </c>
      <c r="D109" s="84">
        <v>0</v>
      </c>
      <c r="E109" s="84">
        <v>0</v>
      </c>
      <c r="F109" s="84">
        <v>0</v>
      </c>
      <c r="G109" s="82">
        <f>+SUM(C109:F109)</f>
        <v>0</v>
      </c>
      <c r="H109" s="109"/>
      <c r="I109" s="84">
        <v>0</v>
      </c>
      <c r="J109" s="84">
        <v>0</v>
      </c>
      <c r="K109" s="84">
        <v>0</v>
      </c>
      <c r="L109" s="84">
        <v>0</v>
      </c>
      <c r="M109" s="82">
        <f>+SUM(I109:L109)</f>
        <v>0</v>
      </c>
      <c r="N109" s="109"/>
      <c r="O109" s="84">
        <v>0</v>
      </c>
      <c r="P109" s="84">
        <v>0</v>
      </c>
      <c r="Q109" s="84">
        <v>0</v>
      </c>
      <c r="R109" s="84">
        <v>0</v>
      </c>
      <c r="S109" s="82">
        <f>+SUM(O109:R109)</f>
        <v>0</v>
      </c>
      <c r="T109" s="109"/>
      <c r="U109" s="84">
        <v>0</v>
      </c>
      <c r="V109" s="84">
        <v>0</v>
      </c>
      <c r="W109" s="84">
        <v>0</v>
      </c>
      <c r="X109" s="84">
        <v>0</v>
      </c>
      <c r="Y109" s="82">
        <f>+SUM(U109:X109)</f>
        <v>0</v>
      </c>
      <c r="Z109" s="109"/>
      <c r="AA109" s="84">
        <v>0</v>
      </c>
      <c r="AB109" s="84">
        <v>0</v>
      </c>
      <c r="AC109" s="84">
        <v>0</v>
      </c>
      <c r="AD109" s="82">
        <f>-AD143*AD146</f>
        <v>15.767038751989519</v>
      </c>
      <c r="AE109" s="82">
        <f>+SUM(AA109:AD109)</f>
        <v>15.767038751989519</v>
      </c>
      <c r="AF109" s="109"/>
      <c r="AG109" s="82">
        <v>0</v>
      </c>
      <c r="AH109" s="84">
        <v>0</v>
      </c>
      <c r="AI109" s="84">
        <v>0</v>
      </c>
      <c r="AJ109" s="82">
        <f>-AJ143*AJ146</f>
        <v>0</v>
      </c>
      <c r="AK109" s="82">
        <f>+SUM(AG109:AJ109)</f>
        <v>0</v>
      </c>
      <c r="AL109" s="109"/>
      <c r="AM109" s="84">
        <v>0</v>
      </c>
      <c r="AN109" s="84">
        <v>0</v>
      </c>
      <c r="AO109" s="84">
        <v>0</v>
      </c>
      <c r="AP109" s="82">
        <v>0</v>
      </c>
      <c r="AQ109" s="82">
        <f>+SUM(AM109:AP109)</f>
        <v>0</v>
      </c>
      <c r="AR109" s="109"/>
      <c r="AS109" s="84">
        <v>0</v>
      </c>
      <c r="AT109" s="84">
        <v>0</v>
      </c>
      <c r="AU109" s="84">
        <v>0</v>
      </c>
      <c r="AV109" s="550">
        <v>0</v>
      </c>
      <c r="AW109" s="82">
        <f>+SUM(AS109:AV109)</f>
        <v>0</v>
      </c>
      <c r="AX109" s="109"/>
      <c r="AY109" s="84">
        <v>0</v>
      </c>
      <c r="AZ109" s="84">
        <v>0</v>
      </c>
      <c r="BA109" s="82">
        <f>-BA143*BA146</f>
        <v>5.0287500000000005</v>
      </c>
      <c r="BB109" s="82">
        <f>-BB143*BB146</f>
        <v>-3.7499999999992548E-3</v>
      </c>
      <c r="BC109" s="82">
        <f>+SUM(AY109:BB109)</f>
        <v>5.0250000000000012</v>
      </c>
      <c r="BD109" s="109"/>
      <c r="BE109" s="82">
        <f>-BE143*BE146</f>
        <v>0</v>
      </c>
      <c r="BF109" s="82">
        <f>-BF143*BF146</f>
        <v>0</v>
      </c>
      <c r="BG109" s="82">
        <f>-BG143*BG146</f>
        <v>0</v>
      </c>
      <c r="BH109" s="82">
        <f>-BH143*BH146</f>
        <v>9.2500000000000018</v>
      </c>
      <c r="BI109" s="82">
        <f>+SUM(BE109:BH109)</f>
        <v>9.2500000000000018</v>
      </c>
      <c r="BJ109" s="109"/>
      <c r="BK109" s="550">
        <v>0</v>
      </c>
      <c r="BL109" s="82">
        <f>-BL143*BL146</f>
        <v>0.7749999999999988</v>
      </c>
      <c r="BM109" s="82">
        <f>-BM143*BM146</f>
        <v>0</v>
      </c>
      <c r="BN109" s="82">
        <f>-BN143*BN146</f>
        <v>0</v>
      </c>
      <c r="BO109" s="82">
        <f>+SUM(BK109:BN109)</f>
        <v>0.7749999999999988</v>
      </c>
      <c r="BP109" s="109"/>
      <c r="BQ109" s="82">
        <f>-BQ143*BQ146</f>
        <v>0</v>
      </c>
      <c r="BR109" s="82">
        <f>-BR143*BR146</f>
        <v>0</v>
      </c>
      <c r="BS109" s="82">
        <f>-BS143*BS146</f>
        <v>0</v>
      </c>
      <c r="BT109" s="82">
        <f>-BT143*BT146</f>
        <v>0</v>
      </c>
      <c r="BU109" s="82">
        <f>+SUM(BQ109:BT109)</f>
        <v>0</v>
      </c>
      <c r="BV109" s="109"/>
      <c r="BW109" s="82">
        <f>-BW143*BW146</f>
        <v>0</v>
      </c>
      <c r="BX109" s="82">
        <f>-BX143*BX146</f>
        <v>0</v>
      </c>
      <c r="BY109" s="82">
        <f>-BY143*BY146</f>
        <v>0</v>
      </c>
      <c r="BZ109" s="82">
        <f>-BZ143*BZ146</f>
        <v>0</v>
      </c>
      <c r="CA109" s="82">
        <f>+SUM(BW109:BZ109)</f>
        <v>0</v>
      </c>
      <c r="CB109" s="109"/>
      <c r="CC109" s="82">
        <f>-CC143*CC146</f>
        <v>0</v>
      </c>
      <c r="CD109" s="82">
        <f>-CD143*CD146</f>
        <v>0</v>
      </c>
      <c r="CE109" s="82">
        <f>-CE143*CE146</f>
        <v>0</v>
      </c>
      <c r="CF109" s="82">
        <f>-CF143*CF146</f>
        <v>0</v>
      </c>
      <c r="CG109" s="82">
        <f>+SUM(CC109:CF109)</f>
        <v>0</v>
      </c>
      <c r="CH109" s="109"/>
      <c r="CI109" s="82">
        <f t="shared" ref="CI109:CL109" si="187">-CI143*CI146</f>
        <v>0</v>
      </c>
      <c r="CJ109" s="82">
        <f t="shared" si="187"/>
        <v>0</v>
      </c>
      <c r="CK109" s="82">
        <f t="shared" si="187"/>
        <v>0</v>
      </c>
      <c r="CL109" s="82">
        <f t="shared" si="187"/>
        <v>0</v>
      </c>
      <c r="CM109" s="82">
        <f t="shared" ref="CM109:CM110" si="188">+SUM(CI109:CL109)</f>
        <v>0</v>
      </c>
      <c r="CN109" s="109"/>
      <c r="CO109" s="82">
        <f t="shared" ref="CO109:CR109" si="189">-CO143*CO146</f>
        <v>0</v>
      </c>
      <c r="CP109" s="82">
        <f t="shared" si="189"/>
        <v>0</v>
      </c>
      <c r="CQ109" s="82">
        <f t="shared" si="189"/>
        <v>0</v>
      </c>
      <c r="CR109" s="82">
        <f t="shared" si="189"/>
        <v>0</v>
      </c>
      <c r="CS109" s="82">
        <f t="shared" ref="CS109:CS110" si="190">+SUM(CO109:CR109)</f>
        <v>0</v>
      </c>
      <c r="CT109" s="82"/>
      <c r="CU109" s="82"/>
      <c r="CV109" s="82"/>
      <c r="CW109" s="75"/>
      <c r="CX109" s="75"/>
      <c r="CY109" s="75"/>
      <c r="CZ109" s="75"/>
    </row>
    <row r="110" spans="1:104" ht="12.75" customHeight="1" outlineLevel="1" x14ac:dyDescent="0.2">
      <c r="A110" s="127" t="s">
        <v>109</v>
      </c>
      <c r="B110" s="109"/>
      <c r="C110" s="196">
        <f>C111-SUM(C106,C107,C109)</f>
        <v>-0.13899999999999579</v>
      </c>
      <c r="D110" s="196">
        <f>D111-SUM(D106,D107,D109)</f>
        <v>-1.7000000000003013E-2</v>
      </c>
      <c r="E110" s="196">
        <f>E111-SUM(E106,E107,E109)</f>
        <v>-1.7479999999999905</v>
      </c>
      <c r="F110" s="196">
        <f>F111-SUM(F106,F107,F109)</f>
        <v>-0.38800000000000523</v>
      </c>
      <c r="G110" s="196">
        <f>+SUM(C110:F110)</f>
        <v>-2.2919999999999945</v>
      </c>
      <c r="H110" s="109"/>
      <c r="I110" s="196">
        <f>I111-SUM(I106,I107,I109)</f>
        <v>-1.0910000000000082</v>
      </c>
      <c r="J110" s="196">
        <f>J111-SUM(J106,J107,J109)</f>
        <v>-0.34399999999999409</v>
      </c>
      <c r="K110" s="196">
        <f>K111-SUM(K106,K107,K109)</f>
        <v>-0.66300000000001091</v>
      </c>
      <c r="L110" s="196">
        <f>L111-SUM(L106,L107,L109)</f>
        <v>-1.4749999999999943</v>
      </c>
      <c r="M110" s="196">
        <f>+SUM(I110:L110)</f>
        <v>-3.5730000000000075</v>
      </c>
      <c r="N110" s="109"/>
      <c r="O110" s="196">
        <f>O111-SUM(O106,O107,O109)</f>
        <v>-0.67100000000000648</v>
      </c>
      <c r="P110" s="196">
        <f>P111-SUM(P106,P107,P109)</f>
        <v>7.0000000000050022E-3</v>
      </c>
      <c r="Q110" s="196">
        <f>Q111-SUM(Q106,Q107,Q109)</f>
        <v>-0.22499999999999432</v>
      </c>
      <c r="R110" s="196">
        <f>R111-SUM(R106,R107,R109)</f>
        <v>-20.374000000000002</v>
      </c>
      <c r="S110" s="196">
        <f>+SUM(O110:R110)</f>
        <v>-21.262999999999998</v>
      </c>
      <c r="T110" s="109"/>
      <c r="U110" s="196">
        <f>U111-SUM(U106,U107,U109)</f>
        <v>-2.5480000000000089</v>
      </c>
      <c r="V110" s="196">
        <f>V111-SUM(V106,V107,V109)</f>
        <v>-0.28300000000000125</v>
      </c>
      <c r="W110" s="196">
        <f>W111-SUM(W106,W107,W109)</f>
        <v>-0.15900000000000603</v>
      </c>
      <c r="X110" s="196">
        <f>X111-SUM(X106,X107,X109)</f>
        <v>-0.68999999999999773</v>
      </c>
      <c r="Y110" s="196">
        <f>+SUM(U110:X110)</f>
        <v>-3.6800000000000139</v>
      </c>
      <c r="Z110" s="109"/>
      <c r="AA110" s="196">
        <f>AA111-SUM(AA106,AA107,AA109)</f>
        <v>0</v>
      </c>
      <c r="AB110" s="196">
        <f>AB111-SUM(AB106,AB107,AB109)</f>
        <v>-3.6999999999991928E-2</v>
      </c>
      <c r="AC110" s="196">
        <f>AC111-SUM(AC106,AC107,AC109)</f>
        <v>-0.13600000000000989</v>
      </c>
      <c r="AD110" s="196">
        <f>AD111-SUM(AD106,AD107,AD109)</f>
        <v>-20.546038751989514</v>
      </c>
      <c r="AE110" s="196">
        <f>+SUM(AA110:AD110)</f>
        <v>-20.719038751989515</v>
      </c>
      <c r="AF110" s="109"/>
      <c r="AG110" s="196">
        <f>AG111-SUM(AG106,AG107,AG109)</f>
        <v>-8.7999999999993861E-2</v>
      </c>
      <c r="AH110" s="196">
        <f>AH111-SUM(AH106,AH107,AH109)</f>
        <v>-4.399999999999693E-2</v>
      </c>
      <c r="AI110" s="196">
        <f>AI111-SUM(AI106,AI107,AI109)</f>
        <v>-0.43300000000000693</v>
      </c>
      <c r="AJ110" s="196">
        <f>AJ111-SUM(AJ106,AJ107,AJ109)</f>
        <v>-0.42799999999998306</v>
      </c>
      <c r="AK110" s="196">
        <f>+SUM(AG110:AJ110)</f>
        <v>-0.99299999999998079</v>
      </c>
      <c r="AL110" s="109"/>
      <c r="AM110" s="196">
        <f>AM111-SUM(AM106,AM107,AM109)</f>
        <v>0.21699999999998454</v>
      </c>
      <c r="AN110" s="196">
        <f>AN111-SUM(AN106,AN107,AN109)</f>
        <v>-0.15900000000000603</v>
      </c>
      <c r="AO110" s="196">
        <f>AO111-SUM(AO106,AO107,AO109)</f>
        <v>-9.3999999999994088E-2</v>
      </c>
      <c r="AP110" s="196">
        <f>AP111-SUM(AP106,AP107,AP109)</f>
        <v>0.33200000000000784</v>
      </c>
      <c r="AQ110" s="196">
        <f>+SUM(AM110:AP110)</f>
        <v>0.29599999999999227</v>
      </c>
      <c r="AR110" s="109"/>
      <c r="AS110" s="196">
        <f>AS111-SUM(AS106,AS107,AS109)</f>
        <v>-0.3580000000000183</v>
      </c>
      <c r="AT110" s="196">
        <f>AT111-SUM(AT106,AT107,AT109)</f>
        <v>2.2999999999996135E-2</v>
      </c>
      <c r="AU110" s="196">
        <f>AU111-SUM(AU106,AU107,AU109)</f>
        <v>2.0180000000000149</v>
      </c>
      <c r="AV110" s="196">
        <f>AV111-SUM(AV106,AV107,AV109)</f>
        <v>-0.54399999999999693</v>
      </c>
      <c r="AW110" s="196">
        <f>+SUM(AS110:AV110)</f>
        <v>1.1389999999999958</v>
      </c>
      <c r="AX110" s="109"/>
      <c r="AY110" s="196">
        <f>AY111-SUM(AY106,AY107,AY109)</f>
        <v>-2.521000000000015</v>
      </c>
      <c r="AZ110" s="196">
        <f>AZ111-SUM(AZ106,AZ107,AZ109)</f>
        <v>-0.27199999999999136</v>
      </c>
      <c r="BA110" s="196">
        <f>BA111-SUM(BA106,BA107,BA109)</f>
        <v>12.878250000000008</v>
      </c>
      <c r="BB110" s="196">
        <f>BB111-SUM(BB106,BB107,BB109)</f>
        <v>-0.51725000000001842</v>
      </c>
      <c r="BC110" s="196">
        <f>+SUM(AY110:BB110)</f>
        <v>9.5679999999999836</v>
      </c>
      <c r="BD110" s="109"/>
      <c r="BE110" s="196">
        <f>BE111-SUM(BE106,BE107,BE109)</f>
        <v>0.40000000000000568</v>
      </c>
      <c r="BF110" s="196">
        <f>BF111-SUM(BF106,BF107,BF109)</f>
        <v>-1.4000000000000057</v>
      </c>
      <c r="BG110" s="196">
        <f>BG111-SUM(BG106,BG107,BG109)</f>
        <v>1.8000000000000114</v>
      </c>
      <c r="BH110" s="196">
        <f>BH111-SUM(BH106,BH107,BH109)</f>
        <v>-11.449999999999989</v>
      </c>
      <c r="BI110" s="196">
        <f>+SUM(BE110:BH110)</f>
        <v>-10.649999999999977</v>
      </c>
      <c r="BJ110" s="109"/>
      <c r="BK110" s="196">
        <f>BK111-SUM(BK106,BK107,BK109)</f>
        <v>9.9999999999994316E-2</v>
      </c>
      <c r="BL110" s="196">
        <f>BL111-SUM(BL106,BL107,BL109)</f>
        <v>-1.8750000000000284</v>
      </c>
      <c r="BM110" s="196">
        <f>BM111-SUM(BM106,BM107,BM109)</f>
        <v>0.20000000000001705</v>
      </c>
      <c r="BN110" s="196">
        <f>BN111-SUM(BN106,BN107,BN109)</f>
        <v>1.4000000000000057</v>
      </c>
      <c r="BO110" s="196">
        <f>+SUM(BK110:BN110)</f>
        <v>-0.17500000000001137</v>
      </c>
      <c r="BP110" s="109"/>
      <c r="BQ110" s="196">
        <f>BQ111-SUM(BQ106,BQ107,BQ109)</f>
        <v>0.69999999999998863</v>
      </c>
      <c r="BR110" s="196">
        <f>BR111-SUM(BR106,BR107,BR109)</f>
        <v>2.0000000000000284</v>
      </c>
      <c r="BS110" s="197">
        <f>-'Cash Flow'!BS10</f>
        <v>0</v>
      </c>
      <c r="BT110" s="197">
        <f>-'Cash Flow'!BT10</f>
        <v>0</v>
      </c>
      <c r="BU110" s="196">
        <f>+SUM(BQ110:BT110)</f>
        <v>2.7000000000000171</v>
      </c>
      <c r="BV110" s="109"/>
      <c r="BW110" s="197">
        <f>-'Cash Flow'!BW10</f>
        <v>0</v>
      </c>
      <c r="BX110" s="197">
        <f>-'Cash Flow'!BX10</f>
        <v>0</v>
      </c>
      <c r="BY110" s="197">
        <f>-'Cash Flow'!BY10</f>
        <v>0</v>
      </c>
      <c r="BZ110" s="197">
        <f>-'Cash Flow'!BZ10</f>
        <v>0</v>
      </c>
      <c r="CA110" s="196">
        <f>+SUM(BW110:BZ110)</f>
        <v>0</v>
      </c>
      <c r="CB110" s="109"/>
      <c r="CC110" s="197">
        <f>-'Cash Flow'!CC10</f>
        <v>0</v>
      </c>
      <c r="CD110" s="197">
        <f>-'Cash Flow'!CD10</f>
        <v>0</v>
      </c>
      <c r="CE110" s="197">
        <f>-'Cash Flow'!CE10</f>
        <v>0</v>
      </c>
      <c r="CF110" s="197">
        <f>-'Cash Flow'!CF10</f>
        <v>0</v>
      </c>
      <c r="CG110" s="196">
        <f>+SUM(CC110:CF110)</f>
        <v>0</v>
      </c>
      <c r="CH110" s="109"/>
      <c r="CI110" s="197">
        <f>-'Cash Flow'!CI10</f>
        <v>0</v>
      </c>
      <c r="CJ110" s="197">
        <f>-'Cash Flow'!CJ10</f>
        <v>0</v>
      </c>
      <c r="CK110" s="197">
        <f>-'Cash Flow'!CK10</f>
        <v>0</v>
      </c>
      <c r="CL110" s="197">
        <f>-'Cash Flow'!CL10</f>
        <v>0</v>
      </c>
      <c r="CM110" s="196">
        <f t="shared" si="188"/>
        <v>0</v>
      </c>
      <c r="CN110" s="109"/>
      <c r="CO110" s="197">
        <f>-'Cash Flow'!CO10</f>
        <v>0</v>
      </c>
      <c r="CP110" s="197">
        <f>-'Cash Flow'!CP10</f>
        <v>0</v>
      </c>
      <c r="CQ110" s="197">
        <f>-'Cash Flow'!CQ10</f>
        <v>0</v>
      </c>
      <c r="CR110" s="197">
        <f>-'Cash Flow'!CR10</f>
        <v>0</v>
      </c>
      <c r="CS110" s="196">
        <f t="shared" si="190"/>
        <v>0</v>
      </c>
      <c r="CT110" s="109"/>
      <c r="CU110" s="109"/>
      <c r="CV110" s="109"/>
      <c r="CW110" s="75"/>
      <c r="CX110" s="75"/>
      <c r="CY110" s="75"/>
      <c r="CZ110" s="75"/>
    </row>
    <row r="111" spans="1:104" ht="12.75" customHeight="1" outlineLevel="1" x14ac:dyDescent="0.2">
      <c r="A111" s="75" t="s">
        <v>159</v>
      </c>
      <c r="B111" s="109"/>
      <c r="C111" s="448">
        <v>57.927</v>
      </c>
      <c r="D111" s="448">
        <v>62.695</v>
      </c>
      <c r="E111" s="448">
        <v>62.34</v>
      </c>
      <c r="F111" s="448">
        <v>64.694000000000003</v>
      </c>
      <c r="G111" s="82">
        <f>+G106+G107+G109+G110</f>
        <v>64.694000000000017</v>
      </c>
      <c r="H111" s="109"/>
      <c r="I111" s="448">
        <v>66.885000000000005</v>
      </c>
      <c r="J111" s="448">
        <v>71.415000000000006</v>
      </c>
      <c r="K111" s="448">
        <v>72.265000000000001</v>
      </c>
      <c r="L111" s="448">
        <v>74.796000000000006</v>
      </c>
      <c r="M111" s="448">
        <f>+M106+M107+M109+M110</f>
        <v>74.796000000000006</v>
      </c>
      <c r="N111" s="109"/>
      <c r="O111" s="448">
        <v>75.078000000000003</v>
      </c>
      <c r="P111" s="448">
        <v>77.641000000000005</v>
      </c>
      <c r="Q111" s="448">
        <v>79.257000000000005</v>
      </c>
      <c r="R111" s="448">
        <v>61.058</v>
      </c>
      <c r="S111" s="448">
        <f>+S106+S107+S109+S110</f>
        <v>61.058000000000014</v>
      </c>
      <c r="T111" s="109"/>
      <c r="U111" s="448">
        <v>60.087000000000003</v>
      </c>
      <c r="V111" s="448">
        <v>64.147000000000006</v>
      </c>
      <c r="W111" s="448">
        <v>65.135999999999996</v>
      </c>
      <c r="X111" s="448">
        <v>65.272999999999996</v>
      </c>
      <c r="Y111" s="448">
        <f>+Y106+Y107+Y109+Y110</f>
        <v>65.272999999999996</v>
      </c>
      <c r="Z111" s="109"/>
      <c r="AA111" s="448">
        <v>67.231999999999999</v>
      </c>
      <c r="AB111" s="448">
        <v>68.260000000000005</v>
      </c>
      <c r="AC111" s="448">
        <v>68.281999999999996</v>
      </c>
      <c r="AD111" s="448">
        <v>64.113</v>
      </c>
      <c r="AE111" s="448">
        <f>+AE106+AE107+AE109+AE110</f>
        <v>64.113</v>
      </c>
      <c r="AF111" s="82"/>
      <c r="AG111" s="448">
        <v>66.134</v>
      </c>
      <c r="AH111" s="448">
        <v>69.197000000000003</v>
      </c>
      <c r="AI111" s="448">
        <v>70.763999999999996</v>
      </c>
      <c r="AJ111" s="448">
        <v>72.528000000000006</v>
      </c>
      <c r="AK111" s="448">
        <f>+AK106+AK107+AK109+AK110</f>
        <v>72.52800000000002</v>
      </c>
      <c r="AL111" s="109"/>
      <c r="AM111" s="448">
        <v>75.206000000000003</v>
      </c>
      <c r="AN111" s="448">
        <v>79.593999999999994</v>
      </c>
      <c r="AO111" s="448">
        <v>81.073999999999998</v>
      </c>
      <c r="AP111" s="448">
        <v>84.197000000000003</v>
      </c>
      <c r="AQ111" s="448">
        <f>+AQ106+AQ107+AQ109+AQ110</f>
        <v>84.197000000000017</v>
      </c>
      <c r="AR111" s="109"/>
      <c r="AS111" s="448">
        <v>89.103999999999999</v>
      </c>
      <c r="AT111" s="448">
        <v>91.96</v>
      </c>
      <c r="AU111" s="448">
        <v>95.533000000000001</v>
      </c>
      <c r="AV111" s="448">
        <v>99.606999999999999</v>
      </c>
      <c r="AW111" s="82">
        <f>+AW106+AW107+AW109+AW110</f>
        <v>99.607000000000014</v>
      </c>
      <c r="AX111" s="109"/>
      <c r="AY111" s="448">
        <v>108.58799999999999</v>
      </c>
      <c r="AZ111" s="448">
        <v>114.262</v>
      </c>
      <c r="BA111" s="448">
        <v>136.626</v>
      </c>
      <c r="BB111" s="448">
        <v>138.1</v>
      </c>
      <c r="BC111" s="82">
        <f>+BC106+BC107+BC109+BC110</f>
        <v>138.1</v>
      </c>
      <c r="BD111" s="109"/>
      <c r="BE111" s="448">
        <v>139.5</v>
      </c>
      <c r="BF111" s="550">
        <v>139.19999999999999</v>
      </c>
      <c r="BG111" s="550">
        <v>141.69999999999999</v>
      </c>
      <c r="BH111" s="448">
        <v>141.69999999999999</v>
      </c>
      <c r="BI111" s="82">
        <f>+BI106+BI107+BI109+BI110</f>
        <v>141.70000000000002</v>
      </c>
      <c r="BJ111" s="109"/>
      <c r="BK111" s="448">
        <v>143.30000000000001</v>
      </c>
      <c r="BL111" s="448">
        <v>144.6</v>
      </c>
      <c r="BM111" s="448">
        <v>146.30000000000001</v>
      </c>
      <c r="BN111" s="448">
        <v>148.4</v>
      </c>
      <c r="BO111" s="82">
        <f>+BO106+BO107+BO109+BO110</f>
        <v>148.4</v>
      </c>
      <c r="BP111" s="109"/>
      <c r="BQ111" s="448">
        <v>150.69999999999999</v>
      </c>
      <c r="BR111" s="448">
        <v>154.80000000000001</v>
      </c>
      <c r="BS111" s="82">
        <f>+BS106+BS107+BS109+BS110</f>
        <v>159.54647229924501</v>
      </c>
      <c r="BT111" s="82">
        <f>+BT106+BT107+BT109+BT110</f>
        <v>164.47634920333704</v>
      </c>
      <c r="BU111" s="82">
        <f>+BU106+BU107+BU109+BU110</f>
        <v>164.47634920333704</v>
      </c>
      <c r="BV111" s="109"/>
      <c r="BW111" s="82">
        <f>+BW106+BW107+BW109+BW110</f>
        <v>168.28464235739176</v>
      </c>
      <c r="BX111" s="82">
        <f>+BX106+BX107+BX109+BX110</f>
        <v>172.28085663684948</v>
      </c>
      <c r="BY111" s="82">
        <f>+BY106+BY107+BY109+BY110</f>
        <v>176.25660412500187</v>
      </c>
      <c r="BZ111" s="82">
        <f>+BZ106+BZ107+BZ109+BZ110</f>
        <v>180.42918989136695</v>
      </c>
      <c r="CA111" s="82">
        <f>+CA106+CA107+CA109+CA110</f>
        <v>180.42918989136692</v>
      </c>
      <c r="CB111" s="109"/>
      <c r="CC111" s="82">
        <f>+CC106+CC107+CC109+CC110</f>
        <v>184.41947330454883</v>
      </c>
      <c r="CD111" s="82">
        <f>+CD106+CD107+CD109+CD110</f>
        <v>188.65258118893601</v>
      </c>
      <c r="CE111" s="82">
        <f>+CE106+CE107+CE109+CE110</f>
        <v>192.8667433810532</v>
      </c>
      <c r="CF111" s="82">
        <f>+CF106+CF107+CF109+CF110</f>
        <v>197.30815497372802</v>
      </c>
      <c r="CG111" s="82">
        <f>+CG106+CG107+CG109+CG110</f>
        <v>197.30815497372799</v>
      </c>
      <c r="CH111" s="109"/>
      <c r="CI111" s="82">
        <f t="shared" ref="CI111:CM111" si="191">+CI106+CI107+CI109+CI110</f>
        <v>201.58614004413889</v>
      </c>
      <c r="CJ111" s="82">
        <f t="shared" si="191"/>
        <v>206.13969977585629</v>
      </c>
      <c r="CK111" s="82">
        <f t="shared" si="191"/>
        <v>210.64895921410815</v>
      </c>
      <c r="CL111" s="82">
        <f t="shared" si="191"/>
        <v>215.40094418552957</v>
      </c>
      <c r="CM111" s="82">
        <f t="shared" si="191"/>
        <v>215.40094418552957</v>
      </c>
      <c r="CN111" s="109"/>
      <c r="CO111" s="82">
        <f t="shared" ref="CO111:CS111" si="192">+CO106+CO107+CO109+CO110</f>
        <v>219.98641250555789</v>
      </c>
      <c r="CP111" s="82">
        <f t="shared" si="192"/>
        <v>224.90596714951107</v>
      </c>
      <c r="CQ111" s="82">
        <f t="shared" si="192"/>
        <v>229.72729174805028</v>
      </c>
      <c r="CR111" s="82">
        <f t="shared" si="192"/>
        <v>234.83449897533873</v>
      </c>
      <c r="CS111" s="82">
        <f t="shared" si="192"/>
        <v>234.83449897533873</v>
      </c>
      <c r="CT111" s="82"/>
      <c r="CU111" s="82"/>
      <c r="CV111" s="82"/>
      <c r="CW111" s="75"/>
      <c r="CX111" s="75"/>
      <c r="CY111" s="75"/>
      <c r="CZ111" s="75"/>
    </row>
    <row r="112" spans="1:104" ht="12.75" customHeight="1" outlineLevel="1" x14ac:dyDescent="0.2">
      <c r="A112" s="75"/>
      <c r="B112" s="109"/>
      <c r="C112" s="90"/>
      <c r="D112" s="90"/>
      <c r="E112" s="90"/>
      <c r="F112" s="90"/>
      <c r="G112" s="90"/>
      <c r="H112" s="109"/>
      <c r="I112" s="90"/>
      <c r="J112" s="90"/>
      <c r="K112" s="90"/>
      <c r="L112" s="90"/>
      <c r="M112" s="90"/>
      <c r="N112" s="109"/>
      <c r="O112" s="90"/>
      <c r="P112" s="90"/>
      <c r="Q112" s="90"/>
      <c r="R112" s="90"/>
      <c r="S112" s="90"/>
      <c r="T112" s="109"/>
      <c r="U112" s="90"/>
      <c r="V112" s="90"/>
      <c r="W112" s="90"/>
      <c r="X112" s="90"/>
      <c r="Y112" s="90"/>
      <c r="Z112" s="109"/>
      <c r="AA112" s="90"/>
      <c r="AB112" s="90"/>
      <c r="AC112" s="90"/>
      <c r="AD112" s="90"/>
      <c r="AE112" s="43"/>
      <c r="AF112" s="111"/>
      <c r="AG112" s="90"/>
      <c r="AH112" s="90"/>
      <c r="AI112" s="90"/>
      <c r="AJ112" s="90"/>
      <c r="AK112" s="43"/>
      <c r="AL112" s="111"/>
      <c r="AM112" s="90"/>
      <c r="AN112" s="90"/>
      <c r="AO112" s="90"/>
      <c r="AP112" s="90"/>
      <c r="AQ112" s="43"/>
      <c r="AR112" s="111"/>
      <c r="AS112" s="90"/>
      <c r="AT112" s="90"/>
      <c r="AU112" s="90"/>
      <c r="AV112" s="90"/>
      <c r="AW112" s="43"/>
      <c r="AX112" s="111"/>
      <c r="AY112" s="90"/>
      <c r="AZ112" s="90"/>
      <c r="BA112" s="90"/>
      <c r="BB112" s="90"/>
      <c r="BC112" s="43"/>
      <c r="BD112" s="111"/>
      <c r="BE112" s="90"/>
      <c r="BF112" s="90"/>
      <c r="BG112" s="90"/>
      <c r="BH112" s="90"/>
      <c r="BI112" s="43"/>
      <c r="BJ112" s="111"/>
      <c r="BK112" s="90"/>
      <c r="BL112" s="90"/>
      <c r="BM112" s="90"/>
      <c r="BN112" s="90"/>
      <c r="BO112" s="43"/>
      <c r="BP112" s="111"/>
      <c r="BQ112" s="90"/>
      <c r="BR112" s="90"/>
      <c r="BS112" s="90"/>
      <c r="BT112" s="90"/>
      <c r="BU112" s="43"/>
      <c r="BV112" s="111"/>
      <c r="BW112" s="90"/>
      <c r="BX112" s="90"/>
      <c r="BY112" s="90"/>
      <c r="BZ112" s="90"/>
      <c r="CA112" s="43"/>
      <c r="CB112" s="111"/>
      <c r="CC112" s="90"/>
      <c r="CD112" s="90"/>
      <c r="CE112" s="90"/>
      <c r="CF112" s="90"/>
      <c r="CG112" s="43"/>
      <c r="CH112" s="111"/>
      <c r="CI112" s="90"/>
      <c r="CJ112" s="90"/>
      <c r="CK112" s="90"/>
      <c r="CL112" s="90"/>
      <c r="CM112" s="43"/>
      <c r="CN112" s="111"/>
      <c r="CO112" s="90"/>
      <c r="CP112" s="90"/>
      <c r="CQ112" s="90"/>
      <c r="CR112" s="90"/>
      <c r="CS112" s="43"/>
      <c r="CT112" s="43"/>
      <c r="CU112" s="43"/>
      <c r="CV112" s="43"/>
      <c r="CW112" s="43"/>
      <c r="CX112" s="43"/>
      <c r="CY112" s="43"/>
      <c r="CZ112" s="43"/>
    </row>
    <row r="113" spans="1:104" ht="12.75" customHeight="1" outlineLevel="1" x14ac:dyDescent="0.2">
      <c r="A113" s="75" t="s">
        <v>160</v>
      </c>
      <c r="B113" s="109"/>
      <c r="C113" s="84">
        <v>-35.756999999999998</v>
      </c>
      <c r="D113" s="82">
        <f>C117</f>
        <v>-37.264000000000003</v>
      </c>
      <c r="E113" s="82">
        <f>D117</f>
        <v>-38.933999999999997</v>
      </c>
      <c r="F113" s="82">
        <f>E117</f>
        <v>-38.970999999999997</v>
      </c>
      <c r="G113" s="82">
        <f>C113</f>
        <v>-35.756999999999998</v>
      </c>
      <c r="H113" s="109"/>
      <c r="I113" s="82">
        <f>+G117</f>
        <v>-39.805999999999997</v>
      </c>
      <c r="J113" s="82">
        <f>I117</f>
        <v>-40.918999999999997</v>
      </c>
      <c r="K113" s="82">
        <f>J117</f>
        <v>-42.603000000000002</v>
      </c>
      <c r="L113" s="82">
        <f>K117</f>
        <v>-44.154000000000003</v>
      </c>
      <c r="M113" s="82">
        <f>I113</f>
        <v>-39.805999999999997</v>
      </c>
      <c r="N113" s="109"/>
      <c r="O113" s="82">
        <f>+M117</f>
        <v>-44.77</v>
      </c>
      <c r="P113" s="82">
        <f>O117</f>
        <v>-46.292999999999999</v>
      </c>
      <c r="Q113" s="82">
        <f>P117</f>
        <v>-48.515000000000001</v>
      </c>
      <c r="R113" s="82">
        <f>Q117</f>
        <v>-50.637999999999998</v>
      </c>
      <c r="S113" s="82">
        <f>O113</f>
        <v>-44.77</v>
      </c>
      <c r="T113" s="109"/>
      <c r="U113" s="82">
        <f>+S117</f>
        <v>-38.434999999999995</v>
      </c>
      <c r="V113" s="82">
        <f>U117</f>
        <v>-37.872999999999998</v>
      </c>
      <c r="W113" s="82">
        <f>V117</f>
        <v>-39.322000000000003</v>
      </c>
      <c r="X113" s="82">
        <f>W117</f>
        <v>-40.860999999999997</v>
      </c>
      <c r="Y113" s="82">
        <f>U113</f>
        <v>-38.434999999999995</v>
      </c>
      <c r="Z113" s="109"/>
      <c r="AA113" s="82">
        <f>+Y117</f>
        <v>-42.011999999999993</v>
      </c>
      <c r="AB113" s="82">
        <f>AA117</f>
        <v>-43.689</v>
      </c>
      <c r="AC113" s="82">
        <f>AB117</f>
        <v>-45.354999999999997</v>
      </c>
      <c r="AD113" s="82">
        <f>AC117</f>
        <v>-46.939</v>
      </c>
      <c r="AE113" s="82">
        <f>AA113</f>
        <v>-42.011999999999993</v>
      </c>
      <c r="AF113" s="109"/>
      <c r="AG113" s="82">
        <f>+AE117</f>
        <v>-41.033000000000008</v>
      </c>
      <c r="AH113" s="82">
        <f>AG117</f>
        <v>-42.875</v>
      </c>
      <c r="AI113" s="82">
        <f>AH117</f>
        <v>-44.868000000000002</v>
      </c>
      <c r="AJ113" s="82">
        <f>AI117</f>
        <v>-46.662999999999997</v>
      </c>
      <c r="AK113" s="82">
        <f>AG113</f>
        <v>-41.033000000000008</v>
      </c>
      <c r="AL113" s="109"/>
      <c r="AM113" s="82">
        <f>AK117</f>
        <v>-48.297000000000004</v>
      </c>
      <c r="AN113" s="82">
        <f>AM117</f>
        <v>-50.448999999999998</v>
      </c>
      <c r="AO113" s="82">
        <f>AN117</f>
        <v>-52.308999999999997</v>
      </c>
      <c r="AP113" s="82">
        <f>AO117</f>
        <v>-54.198999999999998</v>
      </c>
      <c r="AQ113" s="82">
        <f>AM113</f>
        <v>-48.297000000000004</v>
      </c>
      <c r="AR113" s="109"/>
      <c r="AS113" s="82">
        <f>AQ117</f>
        <v>-56.595000000000006</v>
      </c>
      <c r="AT113" s="82">
        <f>AS117</f>
        <v>-58.429000000000002</v>
      </c>
      <c r="AU113" s="82">
        <f>AT117</f>
        <v>-60.646999999999998</v>
      </c>
      <c r="AV113" s="82">
        <f>AU117</f>
        <v>-62.868000000000002</v>
      </c>
      <c r="AW113" s="82">
        <f>AS113</f>
        <v>-56.595000000000006</v>
      </c>
      <c r="AX113" s="109"/>
      <c r="AY113" s="82">
        <f>AW117</f>
        <v>-65.013000000000005</v>
      </c>
      <c r="AZ113" s="82">
        <f>AY117</f>
        <v>-65.164000000000001</v>
      </c>
      <c r="BA113" s="82">
        <f>AZ117</f>
        <v>-67.804000000000002</v>
      </c>
      <c r="BB113" s="82">
        <f>BA117</f>
        <v>-67.527000000000001</v>
      </c>
      <c r="BC113" s="82">
        <f>AY113</f>
        <v>-65.013000000000005</v>
      </c>
      <c r="BD113" s="109"/>
      <c r="BE113" s="82">
        <f>BC117</f>
        <v>-70.90000000000002</v>
      </c>
      <c r="BF113" s="82">
        <f>BE117</f>
        <v>-74.599999999999994</v>
      </c>
      <c r="BG113" s="82">
        <f>BF117</f>
        <v>-77.5</v>
      </c>
      <c r="BH113" s="82">
        <f>BG117</f>
        <v>-81.7</v>
      </c>
      <c r="BI113" s="82">
        <f>BE113</f>
        <v>-70.90000000000002</v>
      </c>
      <c r="BJ113" s="109"/>
      <c r="BK113" s="82">
        <f>BI117</f>
        <v>-83.4</v>
      </c>
      <c r="BL113" s="82">
        <f>BK117</f>
        <v>-86.5</v>
      </c>
      <c r="BM113" s="82">
        <f>BL117</f>
        <v>-89.9</v>
      </c>
      <c r="BN113" s="82">
        <f>BM117</f>
        <v>-93.3</v>
      </c>
      <c r="BO113" s="82">
        <f>BK113</f>
        <v>-83.4</v>
      </c>
      <c r="BP113" s="109"/>
      <c r="BQ113" s="82">
        <f>BO117</f>
        <v>-97.3</v>
      </c>
      <c r="BR113" s="82">
        <f>BQ117</f>
        <v>-100.9</v>
      </c>
      <c r="BS113" s="82">
        <f>BR117</f>
        <v>-106.4</v>
      </c>
      <c r="BT113" s="82">
        <f>BS117</f>
        <v>-110.30338420703384</v>
      </c>
      <c r="BU113" s="82">
        <f>BQ113</f>
        <v>-97.3</v>
      </c>
      <c r="BV113" s="109"/>
      <c r="BW113" s="82">
        <f>BU117</f>
        <v>-114.32645384696173</v>
      </c>
      <c r="BX113" s="82">
        <f>BW117</f>
        <v>-118.64894550392273</v>
      </c>
      <c r="BY113" s="82">
        <f>BX117</f>
        <v>-122.8923538712624</v>
      </c>
      <c r="BZ113" s="82">
        <f>BY117</f>
        <v>-127.2365294201677</v>
      </c>
      <c r="CA113" s="82">
        <f>BW113</f>
        <v>-114.32645384696173</v>
      </c>
      <c r="CB113" s="109"/>
      <c r="CC113" s="82">
        <f>CA117</f>
        <v>-131.68095606698262</v>
      </c>
      <c r="CD113" s="82">
        <f>CC117</f>
        <v>-136.417222301631</v>
      </c>
      <c r="CE113" s="82">
        <f>CD117</f>
        <v>-141.25823347587541</v>
      </c>
      <c r="CF113" s="82">
        <f>CE117</f>
        <v>-146.21036373208497</v>
      </c>
      <c r="CG113" s="82">
        <f>CC113</f>
        <v>-131.68095606698262</v>
      </c>
      <c r="CH113" s="109"/>
      <c r="CI113" s="82">
        <f t="shared" ref="CI113" si="193">CG117</f>
        <v>-151.27311574583763</v>
      </c>
      <c r="CJ113" s="82">
        <f t="shared" ref="CJ113:CL113" si="194">CI117</f>
        <v>-156.45245481389799</v>
      </c>
      <c r="CK113" s="82">
        <f t="shared" si="194"/>
        <v>-161.74409099005663</v>
      </c>
      <c r="CL113" s="82">
        <f t="shared" si="194"/>
        <v>-167.15525810917285</v>
      </c>
      <c r="CM113" s="82">
        <f t="shared" ref="CM113" si="195">CI113</f>
        <v>-151.27311574583763</v>
      </c>
      <c r="CN113" s="109"/>
      <c r="CO113" s="82">
        <f t="shared" ref="CO113" si="196">CM117</f>
        <v>-172.6847932885432</v>
      </c>
      <c r="CP113" s="82">
        <f t="shared" ref="CP113:CR113" si="197">CO117</f>
        <v>-178.33906807341336</v>
      </c>
      <c r="CQ113" s="82">
        <f t="shared" si="197"/>
        <v>-184.11371140168424</v>
      </c>
      <c r="CR113" s="82">
        <f t="shared" si="197"/>
        <v>-190.0174930393589</v>
      </c>
      <c r="CS113" s="82">
        <f t="shared" ref="CS113" si="198">CO113</f>
        <v>-172.6847932885432</v>
      </c>
      <c r="CT113" s="82"/>
      <c r="CU113" s="82"/>
      <c r="CV113" s="82"/>
      <c r="CW113" s="75"/>
      <c r="CX113" s="75"/>
      <c r="CY113" s="75"/>
      <c r="CZ113" s="75"/>
    </row>
    <row r="114" spans="1:104" ht="12.75" customHeight="1" outlineLevel="1" x14ac:dyDescent="0.2">
      <c r="A114" s="127" t="s">
        <v>161</v>
      </c>
      <c r="B114" s="109"/>
      <c r="C114" s="82">
        <f>-'Cash Flow'!C9</f>
        <v>-1.7569999999999999</v>
      </c>
      <c r="D114" s="82">
        <f>-'Cash Flow'!D9</f>
        <v>-1.8240000000000001</v>
      </c>
      <c r="E114" s="82">
        <f>-'Cash Flow'!E9</f>
        <v>-1.9549999999999998</v>
      </c>
      <c r="F114" s="82">
        <f>-'Cash Flow'!F9</f>
        <v>-2.008</v>
      </c>
      <c r="G114" s="82">
        <f>+SUM(C114:F114)</f>
        <v>-7.5439999999999996</v>
      </c>
      <c r="H114" s="109"/>
      <c r="I114" s="82">
        <f>-'Cash Flow'!I9</f>
        <v>-2.0680000000000001</v>
      </c>
      <c r="J114" s="82">
        <f>-'Cash Flow'!J9</f>
        <v>-2.1670000000000003</v>
      </c>
      <c r="K114" s="82">
        <f>-'Cash Flow'!K9</f>
        <v>-2.2870000000000004</v>
      </c>
      <c r="L114" s="82">
        <f>-'Cash Flow'!L9</f>
        <v>-2.2589999999999999</v>
      </c>
      <c r="M114" s="82">
        <f>+SUM(I114:L114)</f>
        <v>-8.7810000000000006</v>
      </c>
      <c r="N114" s="109"/>
      <c r="O114" s="82">
        <f>-'Cash Flow'!O9</f>
        <v>-2.2559999999999998</v>
      </c>
      <c r="P114" s="82">
        <f>-'Cash Flow'!P9</f>
        <v>-2.3460000000000005</v>
      </c>
      <c r="Q114" s="82">
        <f>-'Cash Flow'!Q9</f>
        <v>-2.4079999999999999</v>
      </c>
      <c r="R114" s="82">
        <f>-'Cash Flow'!R9</f>
        <v>-2.4390000000000005</v>
      </c>
      <c r="S114" s="82">
        <f>+SUM(O114:R114)</f>
        <v>-9.4489999999999998</v>
      </c>
      <c r="T114" s="109"/>
      <c r="U114" s="82">
        <f>-'Cash Flow'!U9</f>
        <v>-1.7789999999999999</v>
      </c>
      <c r="V114" s="82">
        <f>-'Cash Flow'!V9</f>
        <v>-1.7349999999999999</v>
      </c>
      <c r="W114" s="82">
        <f>-'Cash Flow'!W9</f>
        <v>-1.778</v>
      </c>
      <c r="X114" s="82">
        <f>-'Cash Flow'!X9</f>
        <v>-1.7919999999999994</v>
      </c>
      <c r="Y114" s="82">
        <f>+SUM(U114:X114)</f>
        <v>-7.0839999999999996</v>
      </c>
      <c r="Z114" s="109"/>
      <c r="AA114" s="82">
        <f>-'Cash Flow'!AA9</f>
        <v>-1.7569999999999999</v>
      </c>
      <c r="AB114" s="82">
        <f>-'Cash Flow'!AB9</f>
        <v>-1.784</v>
      </c>
      <c r="AC114" s="82">
        <f>-'Cash Flow'!AC9</f>
        <v>-1.8000000000000005</v>
      </c>
      <c r="AD114" s="82">
        <f>-'Cash Flow'!AD9</f>
        <v>-1.8779999999999999</v>
      </c>
      <c r="AE114" s="82">
        <f>+SUM(AA114:AD114)</f>
        <v>-7.2190000000000003</v>
      </c>
      <c r="AF114" s="109"/>
      <c r="AG114" s="82">
        <f>-'Cash Flow'!AG9</f>
        <v>-2.1469999999999998</v>
      </c>
      <c r="AH114" s="82">
        <f>-'Cash Flow'!AH9</f>
        <v>-2.2909999999999999</v>
      </c>
      <c r="AI114" s="82">
        <f>-'Cash Flow'!AI9</f>
        <v>-2.3029999999999995</v>
      </c>
      <c r="AJ114" s="82">
        <f>-'Cash Flow'!AJ9</f>
        <v>-2.3280000000000016</v>
      </c>
      <c r="AK114" s="82">
        <f>+SUM(AG114:AJ114)</f>
        <v>-9.0690000000000008</v>
      </c>
      <c r="AL114" s="109"/>
      <c r="AM114" s="82">
        <f>-'Cash Flow'!AM9</f>
        <v>-2.2109999999999999</v>
      </c>
      <c r="AN114" s="82">
        <f>-'Cash Flow'!AN9</f>
        <v>-2.2440000000000002</v>
      </c>
      <c r="AO114" s="82">
        <f>-'Cash Flow'!AO9</f>
        <v>-2.1800000000000002</v>
      </c>
      <c r="AP114" s="82">
        <f>-'Cash Flow'!AP9</f>
        <v>-2.254</v>
      </c>
      <c r="AQ114" s="82">
        <f>+SUM(AM114:AP114)</f>
        <v>-8.8889999999999993</v>
      </c>
      <c r="AR114" s="109"/>
      <c r="AS114" s="82">
        <f>-'Cash Flow'!AS9</f>
        <v>-2.3719999999999999</v>
      </c>
      <c r="AT114" s="82">
        <f>-'Cash Flow'!AT9</f>
        <v>-2.4390000000000001</v>
      </c>
      <c r="AU114" s="82">
        <f>-'Cash Flow'!AU9</f>
        <v>-3.4800000000000004</v>
      </c>
      <c r="AV114" s="82">
        <f>-'Cash Flow'!AV9</f>
        <v>-5.5280000000000005</v>
      </c>
      <c r="AW114" s="82">
        <f>+SUM(AS114:AV114)</f>
        <v>-13.819000000000001</v>
      </c>
      <c r="AX114" s="109"/>
      <c r="AY114" s="82">
        <f>-'Cash Flow'!AY9-AY129</f>
        <v>-2.6039999999999996</v>
      </c>
      <c r="AZ114" s="82">
        <f>-'Cash Flow'!AZ9-AZ129</f>
        <v>-2.9010000000000007</v>
      </c>
      <c r="BA114" s="82">
        <f>-'Cash Flow'!BA9-BA129</f>
        <v>-3.2629999999999981</v>
      </c>
      <c r="BB114" s="82">
        <f>-'Cash Flow'!BB9-BB129</f>
        <v>-3.4750000000000005</v>
      </c>
      <c r="BC114" s="82">
        <f>+SUM(AY114:BB114)</f>
        <v>-12.242999999999999</v>
      </c>
      <c r="BD114" s="109"/>
      <c r="BE114" s="82">
        <f>-'Cash Flow'!BE9-BE129</f>
        <v>-3.5999999999999996</v>
      </c>
      <c r="BF114" s="82">
        <f>-'Cash Flow'!BF9-BF129</f>
        <v>-3.5</v>
      </c>
      <c r="BG114" s="82">
        <f>-'Cash Flow'!BG9-BG129</f>
        <v>-3.4</v>
      </c>
      <c r="BH114" s="82">
        <f>-'Cash Flow'!BH9-BH129</f>
        <v>-3.5999999999999996</v>
      </c>
      <c r="BI114" s="82">
        <f>+SUM(BE114:BH114)</f>
        <v>-14.1</v>
      </c>
      <c r="BJ114" s="109"/>
      <c r="BK114" s="82">
        <f>-'Cash Flow'!BK9-BK129</f>
        <v>-3.6999999999999993</v>
      </c>
      <c r="BL114" s="82">
        <f>-'Cash Flow'!BL9-BL129</f>
        <v>-3.6000000000000014</v>
      </c>
      <c r="BM114" s="82">
        <f>-'Cash Flow'!BM9-BM129</f>
        <v>-3.6999999999999993</v>
      </c>
      <c r="BN114" s="82">
        <f>-'Cash Flow'!BN9-BN129</f>
        <v>-4</v>
      </c>
      <c r="BO114" s="82">
        <f>+SUM(BK114:BN114)</f>
        <v>-15</v>
      </c>
      <c r="BP114" s="109"/>
      <c r="BQ114" s="82">
        <f>-'Cash Flow'!BQ9-BQ129</f>
        <v>-3.8999999999999986</v>
      </c>
      <c r="BR114" s="82">
        <f>-'Cash Flow'!BR9-BR129</f>
        <v>-3.8000000000000007</v>
      </c>
      <c r="BS114" s="82">
        <f>-(BS106*BS115)/4</f>
        <v>-3.9033842070338434</v>
      </c>
      <c r="BT114" s="82">
        <f>-(BT106*BT115)/4</f>
        <v>-4.0230696399278782</v>
      </c>
      <c r="BU114" s="82">
        <f>+SUM(BQ114:BT114)</f>
        <v>-15.62645384696172</v>
      </c>
      <c r="BV114" s="109"/>
      <c r="BW114" s="82">
        <f>-(BW106*BW115)/4</f>
        <v>-4.3224916569610121</v>
      </c>
      <c r="BX114" s="82">
        <f>-(BX106*BX115)/4</f>
        <v>-4.2434083673396739</v>
      </c>
      <c r="BY114" s="82">
        <f>-(BY106*BY115)/4</f>
        <v>-4.3441755489052962</v>
      </c>
      <c r="BZ114" s="82">
        <f>-(BZ106*BZ115)/4</f>
        <v>-4.4444266468149127</v>
      </c>
      <c r="CA114" s="82">
        <f>+SUM(BW114:BZ114)</f>
        <v>-17.354502220020894</v>
      </c>
      <c r="CB114" s="109"/>
      <c r="CC114" s="82">
        <f>-(CC106*CC115)/4</f>
        <v>-4.7362662346483813</v>
      </c>
      <c r="CD114" s="82">
        <f>-(CD106*CD115)/4</f>
        <v>-4.8410111742444064</v>
      </c>
      <c r="CE114" s="82">
        <f>-(CE106*CE115)/4</f>
        <v>-4.9521302562095704</v>
      </c>
      <c r="CF114" s="82">
        <f>-(CF106*CF115)/4</f>
        <v>-5.0627520137526458</v>
      </c>
      <c r="CG114" s="82">
        <f>+SUM(CC114:CF114)</f>
        <v>-19.592159678855005</v>
      </c>
      <c r="CH114" s="109"/>
      <c r="CI114" s="82">
        <f t="shared" ref="CI114:CL114" si="199">-(CI106*CI115)/4</f>
        <v>-5.1793390680603597</v>
      </c>
      <c r="CJ114" s="82">
        <f t="shared" si="199"/>
        <v>-5.2916361761586455</v>
      </c>
      <c r="CK114" s="82">
        <f t="shared" si="199"/>
        <v>-5.4111671191162269</v>
      </c>
      <c r="CL114" s="82">
        <f t="shared" si="199"/>
        <v>-5.5295351793703382</v>
      </c>
      <c r="CM114" s="82">
        <f t="shared" ref="CM114" si="200">+SUM(CI114:CL114)</f>
        <v>-21.411677542705569</v>
      </c>
      <c r="CN114" s="109"/>
      <c r="CO114" s="82">
        <f t="shared" ref="CO114:CR114" si="201">-(CO106*CO115)/4</f>
        <v>-5.6542747848701511</v>
      </c>
      <c r="CP114" s="82">
        <f t="shared" si="201"/>
        <v>-5.7746433282708942</v>
      </c>
      <c r="CQ114" s="82">
        <f t="shared" si="201"/>
        <v>-5.9037816376746655</v>
      </c>
      <c r="CR114" s="82">
        <f t="shared" si="201"/>
        <v>-6.0303414083863194</v>
      </c>
      <c r="CS114" s="82">
        <f t="shared" ref="CS114" si="202">+SUM(CO114:CR114)</f>
        <v>-23.36304115920203</v>
      </c>
      <c r="CT114" s="82"/>
      <c r="CU114" s="82"/>
      <c r="CV114" s="82"/>
      <c r="CW114" s="75"/>
      <c r="CX114" s="75"/>
      <c r="CY114" s="75"/>
      <c r="CZ114" s="75"/>
    </row>
    <row r="115" spans="1:104" ht="12.75" customHeight="1" outlineLevel="1" x14ac:dyDescent="0.2">
      <c r="A115" s="266" t="s">
        <v>162</v>
      </c>
      <c r="B115" s="110"/>
      <c r="C115" s="195">
        <f>-(C114*4)/C106</f>
        <v>0.12643471377685028</v>
      </c>
      <c r="D115" s="195">
        <f>-(D114*4)/D106</f>
        <v>0.12595162877414678</v>
      </c>
      <c r="E115" s="195">
        <f>-(E114*4)/E106</f>
        <v>0.12473083977988675</v>
      </c>
      <c r="F115" s="195">
        <f>-(F114*4)/F106</f>
        <v>0.12884183509785049</v>
      </c>
      <c r="G115" s="195">
        <f>-(G114)/G106</f>
        <v>0.13571762674054619</v>
      </c>
      <c r="H115" s="110"/>
      <c r="I115" s="195">
        <f>-(I114*4)/I106</f>
        <v>0.12786348038457968</v>
      </c>
      <c r="J115" s="195">
        <f>-(J114*4)/J106</f>
        <v>0.12959557449353368</v>
      </c>
      <c r="K115" s="195">
        <f>-(K114*4)/K106</f>
        <v>0.12809633830427783</v>
      </c>
      <c r="L115" s="195">
        <f>-(L114*4)/L106</f>
        <v>0.12503978412786271</v>
      </c>
      <c r="M115" s="195">
        <f>-(M114)/M106</f>
        <v>0.13573128883667726</v>
      </c>
      <c r="N115" s="110"/>
      <c r="O115" s="195">
        <f>-(O114*4)/O106</f>
        <v>0.12064816300336914</v>
      </c>
      <c r="P115" s="195">
        <f>-(P114*4)/P106</f>
        <v>0.12499001038919526</v>
      </c>
      <c r="Q115" s="195">
        <f>-(Q114*4)/Q106</f>
        <v>0.12405816514470445</v>
      </c>
      <c r="R115" s="195">
        <f>-(R114*4)/R106</f>
        <v>0.12309322835837845</v>
      </c>
      <c r="S115" s="195">
        <f>-(S114)/S106</f>
        <v>0.12633028504198085</v>
      </c>
      <c r="T115" s="110"/>
      <c r="U115" s="195">
        <f>-(U114*4)/U106</f>
        <v>0.11654492449801825</v>
      </c>
      <c r="V115" s="195">
        <f>-(V114*4)/V106</f>
        <v>0.11549919283705293</v>
      </c>
      <c r="W115" s="195">
        <f>-(W114*4)/W106</f>
        <v>0.11087034467706984</v>
      </c>
      <c r="X115" s="195">
        <f>-(X114*4)/X106</f>
        <v>0.11004667157946448</v>
      </c>
      <c r="Y115" s="195">
        <f>-(Y114)/Y106</f>
        <v>0.11602083265092204</v>
      </c>
      <c r="Z115" s="110"/>
      <c r="AA115" s="195">
        <f>-(AA114*4)/AA106</f>
        <v>0.1076708593139583</v>
      </c>
      <c r="AB115" s="195">
        <f>-(AB114*4)/AB106</f>
        <v>0.10613993336506426</v>
      </c>
      <c r="AC115" s="195">
        <f>-(AC114*4)/AC106</f>
        <v>0.10547905068854382</v>
      </c>
      <c r="AD115" s="195">
        <f>-(AD114*4)/AD106</f>
        <v>0.1100143522451012</v>
      </c>
      <c r="AE115" s="195">
        <f>-(AE114)/AE106</f>
        <v>0.11059703093162565</v>
      </c>
      <c r="AF115" s="110"/>
      <c r="AG115" s="195">
        <f>-(AG114*4)/AG106</f>
        <v>0.13395099277837566</v>
      </c>
      <c r="AH115" s="195">
        <f>-(AH114*4)/AH106</f>
        <v>0.13856715154081106</v>
      </c>
      <c r="AI115" s="195">
        <f>-(AI114*4)/AI106</f>
        <v>0.13312715869185077</v>
      </c>
      <c r="AJ115" s="195">
        <f>-(AJ114*4)/AJ106</f>
        <v>0.13159233508563686</v>
      </c>
      <c r="AK115" s="195">
        <f>-(AK114)/AK106</f>
        <v>0.14145337139113753</v>
      </c>
      <c r="AL115" s="110"/>
      <c r="AM115" s="195">
        <f>-(AM114*4)/AM106</f>
        <v>0.12193911317008599</v>
      </c>
      <c r="AN115" s="195">
        <f>-(AN114*4)/AN106</f>
        <v>0.11935217934739251</v>
      </c>
      <c r="AO115" s="195">
        <f>-(AO114*4)/AO106</f>
        <v>0.1095559966831671</v>
      </c>
      <c r="AP115" s="195">
        <f>-(AP114*4)/AP106</f>
        <v>0.1112070454152996</v>
      </c>
      <c r="AQ115" s="195">
        <f>-(AQ114)/AQ106</f>
        <v>0.12255956320317667</v>
      </c>
      <c r="AR115" s="110"/>
      <c r="AS115" s="195">
        <f>-(AS114*4)/AS106</f>
        <v>0.11268810052614699</v>
      </c>
      <c r="AT115" s="195">
        <f>-(AT114*4)/AT106</f>
        <v>0.10949003411743581</v>
      </c>
      <c r="AU115" s="195">
        <f>-(AU114*4)/AU106</f>
        <v>0.15137016093953895</v>
      </c>
      <c r="AV115" s="195">
        <f>-(AV114*4)/AV106</f>
        <v>0.23145928631991042</v>
      </c>
      <c r="AW115" s="195">
        <f>-(AW114)/AW106</f>
        <v>0.16412698789743099</v>
      </c>
      <c r="AX115" s="110"/>
      <c r="AY115" s="195">
        <f>-(AY114*4)/AY106</f>
        <v>0.10457096388808013</v>
      </c>
      <c r="AZ115" s="195">
        <f>-(AZ114*4)/AZ106</f>
        <v>0.10686263675544262</v>
      </c>
      <c r="BA115" s="195">
        <f>-(BA114*4)/BA106</f>
        <v>0.1142287024557595</v>
      </c>
      <c r="BB115" s="195">
        <f>-(BB114*4)/BB106</f>
        <v>0.10173759020976975</v>
      </c>
      <c r="BC115" s="195">
        <f>-(BC114)/BC106</f>
        <v>0.12291304827973934</v>
      </c>
      <c r="BD115" s="110"/>
      <c r="BE115" s="195">
        <f>-(BE114*4)/BE106</f>
        <v>0.10427226647356987</v>
      </c>
      <c r="BF115" s="195">
        <f>-(BF114*4)/BF106</f>
        <v>0.1003584229390681</v>
      </c>
      <c r="BG115" s="195">
        <f>-(BG114*4)/BG106</f>
        <v>9.7701149425287362E-2</v>
      </c>
      <c r="BH115" s="195">
        <f>-(BH114*4)/BH106</f>
        <v>0.10162314749470712</v>
      </c>
      <c r="BI115" s="195">
        <f>-(BI114)/BI106</f>
        <v>0.10209992758870384</v>
      </c>
      <c r="BJ115" s="110"/>
      <c r="BK115" s="195">
        <f>-(BK114*4)/BK106</f>
        <v>0.1044460127028934</v>
      </c>
      <c r="BL115" s="195">
        <f>-(BL114*4)/BL106</f>
        <v>0.10048848569434755</v>
      </c>
      <c r="BM115" s="195">
        <f>-(BM114*4)/BM106</f>
        <v>0.10235131396957121</v>
      </c>
      <c r="BN115" s="195">
        <f>-(BN114*4)/BN106</f>
        <v>0.10936431989063568</v>
      </c>
      <c r="BO115" s="195">
        <f>-(BO114)/BO106</f>
        <v>0.10585744530698658</v>
      </c>
      <c r="BP115" s="110"/>
      <c r="BQ115" s="195">
        <f>-(BQ114*4)/BQ106</f>
        <v>0.10512129380053904</v>
      </c>
      <c r="BR115" s="195">
        <f>-(BR114*4)/BR106</f>
        <v>0.10086264100862644</v>
      </c>
      <c r="BS115" s="558">
        <f>+BR115</f>
        <v>0.10086264100862644</v>
      </c>
      <c r="BT115" s="558">
        <f>+BS115</f>
        <v>0.10086264100862644</v>
      </c>
      <c r="BU115" s="195">
        <f>-(BU114)/BU106</f>
        <v>0.10529955422480942</v>
      </c>
      <c r="BV115" s="110"/>
      <c r="BW115" s="558">
        <f>BQ115</f>
        <v>0.10512129380053904</v>
      </c>
      <c r="BX115" s="558">
        <f>BR115</f>
        <v>0.10086264100862644</v>
      </c>
      <c r="BY115" s="558">
        <f>BS115</f>
        <v>0.10086264100862644</v>
      </c>
      <c r="BZ115" s="558">
        <f>BT115</f>
        <v>0.10086264100862644</v>
      </c>
      <c r="CA115" s="195">
        <f>-(CA114)/CA106</f>
        <v>0.10551366384334114</v>
      </c>
      <c r="CB115" s="110"/>
      <c r="CC115" s="558">
        <v>0.105</v>
      </c>
      <c r="CD115" s="558">
        <f>+CC115</f>
        <v>0.105</v>
      </c>
      <c r="CE115" s="558">
        <f>+CD115</f>
        <v>0.105</v>
      </c>
      <c r="CF115" s="558">
        <f>+CE115</f>
        <v>0.105</v>
      </c>
      <c r="CG115" s="195">
        <f>-(CG114)/CG106</f>
        <v>0.10858641936291508</v>
      </c>
      <c r="CH115" s="110"/>
      <c r="CI115" s="558">
        <v>0.105</v>
      </c>
      <c r="CJ115" s="558">
        <f t="shared" ref="CJ115:CL115" si="203">+CI115</f>
        <v>0.105</v>
      </c>
      <c r="CK115" s="558">
        <f t="shared" si="203"/>
        <v>0.105</v>
      </c>
      <c r="CL115" s="558">
        <f t="shared" si="203"/>
        <v>0.105</v>
      </c>
      <c r="CM115" s="195">
        <f t="shared" ref="CM115" si="204">-(CM114)/CM106</f>
        <v>0.10851896894761688</v>
      </c>
      <c r="CN115" s="110"/>
      <c r="CO115" s="558">
        <v>0.105</v>
      </c>
      <c r="CP115" s="558">
        <f t="shared" ref="CP115:CR115" si="205">+CO115</f>
        <v>0.105</v>
      </c>
      <c r="CQ115" s="558">
        <f t="shared" si="205"/>
        <v>0.105</v>
      </c>
      <c r="CR115" s="558">
        <f t="shared" si="205"/>
        <v>0.105</v>
      </c>
      <c r="CS115" s="195">
        <f t="shared" ref="CS115" si="206">-(CS114)/CS106</f>
        <v>0.10846303969345153</v>
      </c>
      <c r="CT115" s="195"/>
      <c r="CU115" s="195"/>
      <c r="CV115" s="195"/>
      <c r="CW115" s="87"/>
      <c r="CX115" s="87"/>
      <c r="CY115" s="87"/>
      <c r="CZ115" s="87"/>
    </row>
    <row r="116" spans="1:104" ht="12.75" customHeight="1" outlineLevel="1" x14ac:dyDescent="0.2">
      <c r="A116" s="127" t="s">
        <v>109</v>
      </c>
      <c r="B116" s="109"/>
      <c r="C116" s="196">
        <f>C117-C114-C113</f>
        <v>0.24999999999999289</v>
      </c>
      <c r="D116" s="196">
        <f>D117-D114-D113</f>
        <v>0.15400000000000347</v>
      </c>
      <c r="E116" s="196">
        <f>E117-E114-E113</f>
        <v>1.9179999999999993</v>
      </c>
      <c r="F116" s="196">
        <f>F117-F114-F113</f>
        <v>1.1730000000000018</v>
      </c>
      <c r="G116" s="196">
        <f>+SUM(C116:F116)</f>
        <v>3.4949999999999974</v>
      </c>
      <c r="H116" s="109"/>
      <c r="I116" s="196">
        <f>I117-I114-I113</f>
        <v>0.95499999999999829</v>
      </c>
      <c r="J116" s="196">
        <f>J117-J114-J113</f>
        <v>0.48299999999999699</v>
      </c>
      <c r="K116" s="196">
        <f>K117-K114-K113</f>
        <v>0.7359999999999971</v>
      </c>
      <c r="L116" s="196">
        <f>L117-L114-L113</f>
        <v>1.6430000000000007</v>
      </c>
      <c r="M116" s="196">
        <f>+SUM(I116:L116)</f>
        <v>3.8169999999999931</v>
      </c>
      <c r="N116" s="109"/>
      <c r="O116" s="196">
        <f>O117-O114-O113</f>
        <v>0.73300000000000409</v>
      </c>
      <c r="P116" s="196">
        <f>P117-P114-P113</f>
        <v>0.12400000000000233</v>
      </c>
      <c r="Q116" s="196">
        <f>Q117-Q114-Q113</f>
        <v>0.28500000000000369</v>
      </c>
      <c r="R116" s="196">
        <f>R117-R114-R113</f>
        <v>14.641999999999996</v>
      </c>
      <c r="S116" s="196">
        <f>+SUM(O116:R116)</f>
        <v>15.784000000000006</v>
      </c>
      <c r="T116" s="109"/>
      <c r="U116" s="196">
        <f>U117-U114-U113</f>
        <v>2.3410000000000011</v>
      </c>
      <c r="V116" s="196">
        <f>V117-V114-V113</f>
        <v>0.28599999999999426</v>
      </c>
      <c r="W116" s="196">
        <f>W117-W114-W113</f>
        <v>0.23900000000000432</v>
      </c>
      <c r="X116" s="196">
        <f>X117-X114-X113</f>
        <v>0.64099999999999824</v>
      </c>
      <c r="Y116" s="196">
        <f>+SUM(U116:X116)</f>
        <v>3.5069999999999979</v>
      </c>
      <c r="Z116" s="109"/>
      <c r="AA116" s="196">
        <f>AA117-AA114-AA113</f>
        <v>7.9999999999991189E-2</v>
      </c>
      <c r="AB116" s="196">
        <f>AB117-AB114-AB113</f>
        <v>0.1180000000000021</v>
      </c>
      <c r="AC116" s="196">
        <f>AC117-AC114-AC113</f>
        <v>0.21599999999999397</v>
      </c>
      <c r="AD116" s="196">
        <f>AD117-AD114-AD113</f>
        <v>7.7839999999999989</v>
      </c>
      <c r="AE116" s="196">
        <f>+SUM(AA116:AD116)</f>
        <v>8.1979999999999862</v>
      </c>
      <c r="AF116" s="109"/>
      <c r="AG116" s="196">
        <f>AG117-AG114-AG113</f>
        <v>0.30500000000000682</v>
      </c>
      <c r="AH116" s="196">
        <f>AH117-AH114-AH113</f>
        <v>0.29799999999999471</v>
      </c>
      <c r="AI116" s="196">
        <f>AI117-AI114-AI113</f>
        <v>0.50800000000000267</v>
      </c>
      <c r="AJ116" s="196">
        <f>AJ117-AJ114-AJ113</f>
        <v>0.69400000000000261</v>
      </c>
      <c r="AK116" s="196">
        <f>+SUM(AG116:AJ116)</f>
        <v>1.8050000000000068</v>
      </c>
      <c r="AL116" s="109"/>
      <c r="AM116" s="196">
        <f>AM117-AM114-AM113</f>
        <v>5.9000000000004604E-2</v>
      </c>
      <c r="AN116" s="196">
        <f>AN117-AN114-AN113</f>
        <v>0.38400000000000034</v>
      </c>
      <c r="AO116" s="196">
        <f>AO117-AO114-AO113</f>
        <v>0.28999999999999915</v>
      </c>
      <c r="AP116" s="196">
        <f>AP117-AP114-AP113</f>
        <v>-0.14200000000000301</v>
      </c>
      <c r="AQ116" s="196">
        <f>+SUM(AM116:AP116)</f>
        <v>0.59100000000000108</v>
      </c>
      <c r="AR116" s="109"/>
      <c r="AS116" s="196">
        <f>AS117-AS114-AS113</f>
        <v>0.53800000000000381</v>
      </c>
      <c r="AT116" s="196">
        <f>AT117-AT114-AT113</f>
        <v>0.22100000000000364</v>
      </c>
      <c r="AU116" s="196">
        <f>AU117-AU114-AU113</f>
        <v>1.2589999999999932</v>
      </c>
      <c r="AV116" s="196">
        <f>AV117-AV114-AV113</f>
        <v>3.3829999999999956</v>
      </c>
      <c r="AW116" s="196">
        <f>+SUM(AS116:AV116)</f>
        <v>5.4009999999999962</v>
      </c>
      <c r="AX116" s="109"/>
      <c r="AY116" s="196">
        <f>AY117-AY114-AY113</f>
        <v>2.453000000000003</v>
      </c>
      <c r="AZ116" s="196">
        <f>AZ117-AZ114-AZ113</f>
        <v>0.26099999999999568</v>
      </c>
      <c r="BA116" s="196">
        <f>BA117-BA114-BA113</f>
        <v>3.539999999999992</v>
      </c>
      <c r="BB116" s="196">
        <f>BB117-BB114-BB113</f>
        <v>0.10199999999998965</v>
      </c>
      <c r="BC116" s="196">
        <f>+SUM(AY116:BB116)</f>
        <v>6.3559999999999803</v>
      </c>
      <c r="BD116" s="109"/>
      <c r="BE116" s="196">
        <f>BE117-BE114-BE113</f>
        <v>-9.9999999999980105E-2</v>
      </c>
      <c r="BF116" s="196">
        <f>BF117-BF114-BF113</f>
        <v>0.59999999999999432</v>
      </c>
      <c r="BG116" s="196">
        <f>BG117-BG114-BG113</f>
        <v>-0.79999999999999716</v>
      </c>
      <c r="BH116" s="196">
        <f>BH117-BH114-BH113</f>
        <v>1.8999999999999915</v>
      </c>
      <c r="BI116" s="196">
        <f>+SUM(BE116:BH116)</f>
        <v>1.6000000000000085</v>
      </c>
      <c r="BJ116" s="109"/>
      <c r="BK116" s="196">
        <f>BK117-BK114-BK113</f>
        <v>0.60000000000000853</v>
      </c>
      <c r="BL116" s="196">
        <f>BL117-BL114-BL113</f>
        <v>0.19999999999998863</v>
      </c>
      <c r="BM116" s="196">
        <f>BM117-BM114-BM113</f>
        <v>0.30000000000001137</v>
      </c>
      <c r="BN116" s="196">
        <f>BN117-BN114-BN113</f>
        <v>0</v>
      </c>
      <c r="BO116" s="196">
        <f>+SUM(BK116:BN116)</f>
        <v>1.1000000000000085</v>
      </c>
      <c r="BP116" s="109"/>
      <c r="BQ116" s="196">
        <f>BQ117-BQ114-BQ113</f>
        <v>0.29999999999999716</v>
      </c>
      <c r="BR116" s="196">
        <f>BR117-BR114-BR113</f>
        <v>-1.7000000000000028</v>
      </c>
      <c r="BS116" s="197">
        <v>0</v>
      </c>
      <c r="BT116" s="197">
        <v>0</v>
      </c>
      <c r="BU116" s="196">
        <f>+SUM(BQ116:BT116)</f>
        <v>-1.4000000000000057</v>
      </c>
      <c r="BV116" s="109"/>
      <c r="BW116" s="197">
        <v>0</v>
      </c>
      <c r="BX116" s="197">
        <v>0</v>
      </c>
      <c r="BY116" s="197">
        <v>0</v>
      </c>
      <c r="BZ116" s="197">
        <v>0</v>
      </c>
      <c r="CA116" s="196">
        <f>+SUM(BW116:BZ116)</f>
        <v>0</v>
      </c>
      <c r="CB116" s="109"/>
      <c r="CC116" s="197">
        <v>0</v>
      </c>
      <c r="CD116" s="197">
        <v>0</v>
      </c>
      <c r="CE116" s="197">
        <v>0</v>
      </c>
      <c r="CF116" s="197">
        <v>0</v>
      </c>
      <c r="CG116" s="196">
        <f>+SUM(CC116:CF116)</f>
        <v>0</v>
      </c>
      <c r="CH116" s="109"/>
      <c r="CI116" s="197">
        <v>0</v>
      </c>
      <c r="CJ116" s="197">
        <v>0</v>
      </c>
      <c r="CK116" s="197">
        <v>0</v>
      </c>
      <c r="CL116" s="197">
        <v>0</v>
      </c>
      <c r="CM116" s="196">
        <f t="shared" ref="CM116" si="207">+SUM(CI116:CL116)</f>
        <v>0</v>
      </c>
      <c r="CN116" s="109"/>
      <c r="CO116" s="197">
        <v>0</v>
      </c>
      <c r="CP116" s="197">
        <v>0</v>
      </c>
      <c r="CQ116" s="197">
        <v>0</v>
      </c>
      <c r="CR116" s="197">
        <v>0</v>
      </c>
      <c r="CS116" s="196">
        <f t="shared" ref="CS116" si="208">+SUM(CO116:CR116)</f>
        <v>0</v>
      </c>
      <c r="CT116" s="109"/>
      <c r="CU116" s="109"/>
      <c r="CV116" s="109"/>
      <c r="CW116" s="75"/>
      <c r="CX116" s="75"/>
      <c r="CY116" s="75"/>
      <c r="CZ116" s="75"/>
    </row>
    <row r="117" spans="1:104" ht="12.75" customHeight="1" outlineLevel="1" x14ac:dyDescent="0.2">
      <c r="A117" s="75" t="s">
        <v>163</v>
      </c>
      <c r="B117" s="109"/>
      <c r="C117" s="448">
        <v>-37.264000000000003</v>
      </c>
      <c r="D117" s="448">
        <v>-38.933999999999997</v>
      </c>
      <c r="E117" s="448">
        <v>-38.970999999999997</v>
      </c>
      <c r="F117" s="448">
        <v>-39.805999999999997</v>
      </c>
      <c r="G117" s="82">
        <f>+G113+G114+G116</f>
        <v>-39.805999999999997</v>
      </c>
      <c r="H117" s="109"/>
      <c r="I117" s="448">
        <v>-40.918999999999997</v>
      </c>
      <c r="J117" s="448">
        <v>-42.603000000000002</v>
      </c>
      <c r="K117" s="448">
        <v>-44.154000000000003</v>
      </c>
      <c r="L117" s="448">
        <v>-44.77</v>
      </c>
      <c r="M117" s="82">
        <f>+M113+M114+M116</f>
        <v>-44.77</v>
      </c>
      <c r="N117" s="109"/>
      <c r="O117" s="448">
        <v>-46.292999999999999</v>
      </c>
      <c r="P117" s="448">
        <v>-48.515000000000001</v>
      </c>
      <c r="Q117" s="448">
        <v>-50.637999999999998</v>
      </c>
      <c r="R117" s="448">
        <v>-38.435000000000002</v>
      </c>
      <c r="S117" s="82">
        <f>+S113+S114+S116</f>
        <v>-38.434999999999995</v>
      </c>
      <c r="T117" s="109"/>
      <c r="U117" s="448">
        <v>-37.872999999999998</v>
      </c>
      <c r="V117" s="448">
        <v>-39.322000000000003</v>
      </c>
      <c r="W117" s="448">
        <v>-40.860999999999997</v>
      </c>
      <c r="X117" s="448">
        <v>-42.012</v>
      </c>
      <c r="Y117" s="82">
        <f>+Y113+Y114+Y116</f>
        <v>-42.011999999999993</v>
      </c>
      <c r="Z117" s="109"/>
      <c r="AA117" s="448">
        <v>-43.689</v>
      </c>
      <c r="AB117" s="448">
        <v>-45.354999999999997</v>
      </c>
      <c r="AC117" s="448">
        <v>-46.939</v>
      </c>
      <c r="AD117" s="448">
        <v>-41.033000000000001</v>
      </c>
      <c r="AE117" s="82">
        <f>+AE113+AE114+AE116</f>
        <v>-41.033000000000008</v>
      </c>
      <c r="AF117" s="109"/>
      <c r="AG117" s="448">
        <v>-42.875</v>
      </c>
      <c r="AH117" s="448">
        <v>-44.868000000000002</v>
      </c>
      <c r="AI117" s="448">
        <v>-46.662999999999997</v>
      </c>
      <c r="AJ117" s="448">
        <v>-48.296999999999997</v>
      </c>
      <c r="AK117" s="82">
        <f>+AK113+AK114+AK116</f>
        <v>-48.297000000000004</v>
      </c>
      <c r="AL117" s="109"/>
      <c r="AM117" s="448">
        <v>-50.448999999999998</v>
      </c>
      <c r="AN117" s="448">
        <v>-52.308999999999997</v>
      </c>
      <c r="AO117" s="448">
        <v>-54.198999999999998</v>
      </c>
      <c r="AP117" s="448">
        <v>-56.594999999999999</v>
      </c>
      <c r="AQ117" s="82">
        <f>+AQ113+AQ114+AQ116</f>
        <v>-56.595000000000006</v>
      </c>
      <c r="AR117" s="109"/>
      <c r="AS117" s="448">
        <v>-58.429000000000002</v>
      </c>
      <c r="AT117" s="448">
        <v>-60.646999999999998</v>
      </c>
      <c r="AU117" s="448">
        <v>-62.868000000000002</v>
      </c>
      <c r="AV117" s="448">
        <v>-65.013000000000005</v>
      </c>
      <c r="AW117" s="82">
        <f>+AW113+AW114+AW116</f>
        <v>-65.013000000000005</v>
      </c>
      <c r="AX117" s="109"/>
      <c r="AY117" s="448">
        <v>-65.164000000000001</v>
      </c>
      <c r="AZ117" s="448">
        <v>-67.804000000000002</v>
      </c>
      <c r="BA117" s="448">
        <v>-67.527000000000001</v>
      </c>
      <c r="BB117" s="448">
        <v>-70.900000000000006</v>
      </c>
      <c r="BC117" s="82">
        <f>+BC113+BC114+BC116</f>
        <v>-70.90000000000002</v>
      </c>
      <c r="BD117" s="109"/>
      <c r="BE117" s="448">
        <v>-74.599999999999994</v>
      </c>
      <c r="BF117" s="448">
        <v>-77.5</v>
      </c>
      <c r="BG117" s="448">
        <v>-81.7</v>
      </c>
      <c r="BH117" s="448">
        <v>-83.4</v>
      </c>
      <c r="BI117" s="82">
        <f>+BI113+BI114+BI116</f>
        <v>-83.4</v>
      </c>
      <c r="BJ117" s="109"/>
      <c r="BK117" s="448">
        <v>-86.5</v>
      </c>
      <c r="BL117" s="448">
        <v>-89.9</v>
      </c>
      <c r="BM117" s="448">
        <v>-93.3</v>
      </c>
      <c r="BN117" s="448">
        <v>-97.3</v>
      </c>
      <c r="BO117" s="82">
        <f>+BO113+BO114+BO116</f>
        <v>-97.3</v>
      </c>
      <c r="BP117" s="109"/>
      <c r="BQ117" s="448">
        <v>-100.9</v>
      </c>
      <c r="BR117" s="448">
        <v>-106.4</v>
      </c>
      <c r="BS117" s="82">
        <f>+BS113+BS114+BS116</f>
        <v>-110.30338420703384</v>
      </c>
      <c r="BT117" s="82">
        <f>+BT113+BT114+BT116</f>
        <v>-114.32645384696173</v>
      </c>
      <c r="BU117" s="82">
        <f>+BU113+BU114+BU116</f>
        <v>-114.32645384696173</v>
      </c>
      <c r="BV117" s="109"/>
      <c r="BW117" s="82">
        <f>+BW113+BW114+BW116</f>
        <v>-118.64894550392273</v>
      </c>
      <c r="BX117" s="82">
        <f>+BX113+BX114+BX116</f>
        <v>-122.8923538712624</v>
      </c>
      <c r="BY117" s="82">
        <f>+BY113+BY114+BY116</f>
        <v>-127.2365294201677</v>
      </c>
      <c r="BZ117" s="82">
        <f>+BZ113+BZ114+BZ116</f>
        <v>-131.68095606698262</v>
      </c>
      <c r="CA117" s="82">
        <f>+CA113+CA114+CA116</f>
        <v>-131.68095606698262</v>
      </c>
      <c r="CB117" s="109"/>
      <c r="CC117" s="82">
        <f>+CC113+CC114+CC116</f>
        <v>-136.417222301631</v>
      </c>
      <c r="CD117" s="82">
        <f>+CD113+CD114+CD116</f>
        <v>-141.25823347587541</v>
      </c>
      <c r="CE117" s="82">
        <f>+CE113+CE114+CE116</f>
        <v>-146.21036373208497</v>
      </c>
      <c r="CF117" s="82">
        <f>+CF113+CF114+CF116</f>
        <v>-151.27311574583763</v>
      </c>
      <c r="CG117" s="82">
        <f>+CG113+CG114+CG116</f>
        <v>-151.27311574583763</v>
      </c>
      <c r="CH117" s="109"/>
      <c r="CI117" s="82">
        <f t="shared" ref="CI117:CM117" si="209">+CI113+CI114+CI116</f>
        <v>-156.45245481389799</v>
      </c>
      <c r="CJ117" s="82">
        <f t="shared" si="209"/>
        <v>-161.74409099005663</v>
      </c>
      <c r="CK117" s="82">
        <f t="shared" si="209"/>
        <v>-167.15525810917285</v>
      </c>
      <c r="CL117" s="82">
        <f t="shared" si="209"/>
        <v>-172.68479328854318</v>
      </c>
      <c r="CM117" s="82">
        <f t="shared" si="209"/>
        <v>-172.6847932885432</v>
      </c>
      <c r="CN117" s="109"/>
      <c r="CO117" s="82">
        <f t="shared" ref="CO117:CS117" si="210">+CO113+CO114+CO116</f>
        <v>-178.33906807341336</v>
      </c>
      <c r="CP117" s="82">
        <f t="shared" si="210"/>
        <v>-184.11371140168424</v>
      </c>
      <c r="CQ117" s="82">
        <f t="shared" si="210"/>
        <v>-190.0174930393589</v>
      </c>
      <c r="CR117" s="82">
        <f t="shared" si="210"/>
        <v>-196.0478344477452</v>
      </c>
      <c r="CS117" s="82">
        <f t="shared" si="210"/>
        <v>-196.04783444774523</v>
      </c>
      <c r="CT117" s="82"/>
      <c r="CU117" s="82"/>
      <c r="CV117" s="82"/>
      <c r="CW117" s="75"/>
      <c r="CX117" s="75"/>
      <c r="CY117" s="75"/>
      <c r="CZ117" s="75"/>
    </row>
    <row r="118" spans="1:104" ht="12.75" customHeight="1" outlineLevel="1" x14ac:dyDescent="0.2">
      <c r="A118" s="75"/>
      <c r="B118" s="109"/>
      <c r="C118" s="82"/>
      <c r="D118" s="82"/>
      <c r="E118" s="82"/>
      <c r="F118" s="82"/>
      <c r="G118" s="82"/>
      <c r="H118" s="109"/>
      <c r="I118" s="82"/>
      <c r="J118" s="82"/>
      <c r="K118" s="82"/>
      <c r="L118" s="82"/>
      <c r="M118" s="82"/>
      <c r="N118" s="109"/>
      <c r="O118" s="82"/>
      <c r="P118" s="82"/>
      <c r="Q118" s="82"/>
      <c r="R118" s="82"/>
      <c r="S118" s="82"/>
      <c r="T118" s="109"/>
      <c r="U118" s="82"/>
      <c r="V118" s="82"/>
      <c r="W118" s="82"/>
      <c r="X118" s="82"/>
      <c r="Y118" s="82"/>
      <c r="Z118" s="109"/>
      <c r="AA118" s="82"/>
      <c r="AB118" s="82"/>
      <c r="AC118" s="82"/>
      <c r="AD118" s="82"/>
      <c r="AE118" s="82"/>
      <c r="AF118" s="109"/>
      <c r="AG118" s="82"/>
      <c r="AH118" s="82"/>
      <c r="AI118" s="82"/>
      <c r="AJ118" s="82"/>
      <c r="AK118" s="82"/>
      <c r="AL118" s="109"/>
      <c r="AM118" s="82"/>
      <c r="AN118" s="82"/>
      <c r="AO118" s="82"/>
      <c r="AP118" s="82"/>
      <c r="AQ118" s="82"/>
      <c r="AR118" s="109"/>
      <c r="AS118" s="82"/>
      <c r="AT118" s="82"/>
      <c r="AU118" s="82"/>
      <c r="AV118" s="82"/>
      <c r="AW118" s="82"/>
      <c r="AX118" s="109"/>
      <c r="AY118" s="82"/>
      <c r="AZ118" s="82"/>
      <c r="BA118" s="82"/>
      <c r="BB118" s="82"/>
      <c r="BC118" s="82"/>
      <c r="BD118" s="109"/>
      <c r="BE118" s="82"/>
      <c r="BF118" s="82"/>
      <c r="BG118" s="82"/>
      <c r="BH118" s="82"/>
      <c r="BI118" s="82"/>
      <c r="BJ118" s="109"/>
      <c r="BK118" s="82"/>
      <c r="BL118" s="82"/>
      <c r="BM118" s="82"/>
      <c r="BN118" s="82"/>
      <c r="BO118" s="82"/>
      <c r="BP118" s="109"/>
      <c r="BQ118" s="82"/>
      <c r="BR118" s="82"/>
      <c r="BS118" s="82"/>
      <c r="BT118" s="82"/>
      <c r="BU118" s="82"/>
      <c r="BV118" s="109"/>
      <c r="BW118" s="82"/>
      <c r="BX118" s="82"/>
      <c r="BY118" s="82"/>
      <c r="BZ118" s="82"/>
      <c r="CA118" s="82"/>
      <c r="CB118" s="109"/>
      <c r="CC118" s="82"/>
      <c r="CD118" s="82"/>
      <c r="CE118" s="82"/>
      <c r="CF118" s="82"/>
      <c r="CG118" s="82"/>
      <c r="CH118" s="109"/>
      <c r="CI118" s="82"/>
      <c r="CJ118" s="82"/>
      <c r="CK118" s="82"/>
      <c r="CL118" s="82"/>
      <c r="CM118" s="82"/>
      <c r="CN118" s="109"/>
      <c r="CO118" s="82"/>
      <c r="CP118" s="82"/>
      <c r="CQ118" s="82"/>
      <c r="CR118" s="82"/>
      <c r="CS118" s="82"/>
      <c r="CT118" s="82"/>
      <c r="CU118" s="82"/>
      <c r="CV118" s="82"/>
      <c r="CW118" s="75"/>
      <c r="CX118" s="75"/>
      <c r="CY118" s="75"/>
      <c r="CZ118" s="75"/>
    </row>
    <row r="119" spans="1:104" ht="12.75" customHeight="1" outlineLevel="1" x14ac:dyDescent="0.2">
      <c r="A119" s="75" t="s">
        <v>164</v>
      </c>
      <c r="B119" s="109"/>
      <c r="C119" s="109">
        <f>C17</f>
        <v>20.663</v>
      </c>
      <c r="D119" s="109">
        <f>D17</f>
        <v>23.760999999999999</v>
      </c>
      <c r="E119" s="109">
        <f>E17</f>
        <v>23.369</v>
      </c>
      <c r="F119" s="109">
        <f>F17</f>
        <v>24.888000000000002</v>
      </c>
      <c r="G119" s="109">
        <f>G17</f>
        <v>24.888000000000002</v>
      </c>
      <c r="H119" s="109"/>
      <c r="I119" s="109">
        <f>I17</f>
        <v>25.966000000000001</v>
      </c>
      <c r="J119" s="109">
        <f>J17</f>
        <v>28.812000000000001</v>
      </c>
      <c r="K119" s="109">
        <f>K17</f>
        <v>28.111000000000001</v>
      </c>
      <c r="L119" s="109">
        <f>L17</f>
        <v>30.026</v>
      </c>
      <c r="M119" s="109">
        <f>M17</f>
        <v>30.026</v>
      </c>
      <c r="N119" s="109"/>
      <c r="O119" s="109">
        <f>O17</f>
        <v>28.785</v>
      </c>
      <c r="P119" s="109">
        <f>P17</f>
        <v>29.126000000000001</v>
      </c>
      <c r="Q119" s="109">
        <f>Q17</f>
        <v>28.619</v>
      </c>
      <c r="R119" s="109">
        <f>R17</f>
        <v>22.623000000000001</v>
      </c>
      <c r="S119" s="109">
        <f>S17</f>
        <v>22.623000000000001</v>
      </c>
      <c r="T119" s="109"/>
      <c r="U119" s="109">
        <f>U17</f>
        <v>22.213999999999999</v>
      </c>
      <c r="V119" s="109">
        <f>V17</f>
        <v>24.824999999999999</v>
      </c>
      <c r="W119" s="109">
        <f>W17</f>
        <v>24.274999999999999</v>
      </c>
      <c r="X119" s="109">
        <f>X17</f>
        <v>23.260999999999999</v>
      </c>
      <c r="Y119" s="109">
        <f>Y17</f>
        <v>23.260999999999999</v>
      </c>
      <c r="Z119" s="109"/>
      <c r="AA119" s="109">
        <f>AA17</f>
        <v>23.542999999999999</v>
      </c>
      <c r="AB119" s="109">
        <f>AB17</f>
        <v>22.905000000000001</v>
      </c>
      <c r="AC119" s="109">
        <f>AC17</f>
        <v>21.343</v>
      </c>
      <c r="AD119" s="109">
        <f>AD17</f>
        <v>23.08</v>
      </c>
      <c r="AE119" s="109">
        <f>+AE111+AE117</f>
        <v>23.079999999999991</v>
      </c>
      <c r="AF119" s="109"/>
      <c r="AG119" s="109">
        <f>AG17</f>
        <v>23.259</v>
      </c>
      <c r="AH119" s="109">
        <f>AH17</f>
        <v>24.329000000000001</v>
      </c>
      <c r="AI119" s="109">
        <f>AI17</f>
        <v>24.100999999999999</v>
      </c>
      <c r="AJ119" s="109">
        <f>AJ17</f>
        <v>24.231000000000002</v>
      </c>
      <c r="AK119" s="109">
        <f>+AK111+AK117</f>
        <v>24.231000000000016</v>
      </c>
      <c r="AL119" s="109"/>
      <c r="AM119" s="109">
        <f>AM17</f>
        <v>24.757000000000001</v>
      </c>
      <c r="AN119" s="109">
        <f>AN17</f>
        <v>27.285</v>
      </c>
      <c r="AO119" s="109">
        <f>AO17</f>
        <v>26.875</v>
      </c>
      <c r="AP119" s="109">
        <f>AP17</f>
        <v>27.602</v>
      </c>
      <c r="AQ119" s="109">
        <f>+AQ111+AQ117</f>
        <v>27.602000000000011</v>
      </c>
      <c r="AR119" s="109"/>
      <c r="AS119" s="109">
        <f>AS17</f>
        <v>30.675000000000001</v>
      </c>
      <c r="AT119" s="109">
        <f>AT17</f>
        <v>31.312999999999999</v>
      </c>
      <c r="AU119" s="109">
        <f>AU17</f>
        <v>32.664999999999999</v>
      </c>
      <c r="AV119" s="109">
        <f>AV17</f>
        <v>34.594000000000001</v>
      </c>
      <c r="AW119" s="109">
        <f>+AW111+AW117</f>
        <v>34.594000000000008</v>
      </c>
      <c r="AX119" s="109"/>
      <c r="AY119" s="109">
        <f>+AY111+AY117</f>
        <v>43.423999999999992</v>
      </c>
      <c r="AZ119" s="109">
        <f>+AZ111+AZ117</f>
        <v>46.457999999999998</v>
      </c>
      <c r="BA119" s="109">
        <f>+BA111+BA117</f>
        <v>69.099000000000004</v>
      </c>
      <c r="BB119" s="109">
        <f>+BB111+BB117</f>
        <v>67.199999999999989</v>
      </c>
      <c r="BC119" s="109">
        <f>+BC111+BC117</f>
        <v>67.199999999999974</v>
      </c>
      <c r="BD119" s="109"/>
      <c r="BE119" s="109">
        <f>+BE111+BE117</f>
        <v>64.900000000000006</v>
      </c>
      <c r="BF119" s="109">
        <f>+BF111+BF117</f>
        <v>61.699999999999989</v>
      </c>
      <c r="BG119" s="109">
        <f>+BG111+BG117</f>
        <v>59.999999999999986</v>
      </c>
      <c r="BH119" s="109">
        <f>+BH111+BH117</f>
        <v>58.299999999999983</v>
      </c>
      <c r="BI119" s="109">
        <f>+BI111+BI117</f>
        <v>58.300000000000011</v>
      </c>
      <c r="BJ119" s="109"/>
      <c r="BK119" s="109">
        <f>+BK111+BK117</f>
        <v>56.800000000000011</v>
      </c>
      <c r="BL119" s="109">
        <f>+BL111+BL117</f>
        <v>54.699999999999989</v>
      </c>
      <c r="BM119" s="109">
        <f>+BM111+BM117</f>
        <v>53.000000000000014</v>
      </c>
      <c r="BN119" s="109">
        <f>+BN111+BN117</f>
        <v>51.100000000000009</v>
      </c>
      <c r="BO119" s="109">
        <f>+BO111+BO117</f>
        <v>51.100000000000009</v>
      </c>
      <c r="BP119" s="109"/>
      <c r="BQ119" s="109">
        <f>+BQ111+BQ117</f>
        <v>49.799999999999983</v>
      </c>
      <c r="BR119" s="109">
        <f>+BR111+BR117</f>
        <v>48.400000000000006</v>
      </c>
      <c r="BS119" s="109">
        <f>+BS111+BS117</f>
        <v>49.243088092211167</v>
      </c>
      <c r="BT119" s="109">
        <f>+BT111+BT117</f>
        <v>50.14989535637531</v>
      </c>
      <c r="BU119" s="109">
        <f>+BU111+BU117</f>
        <v>50.14989535637531</v>
      </c>
      <c r="BV119" s="109"/>
      <c r="BW119" s="109">
        <f>+BW111+BW117</f>
        <v>49.635696853469028</v>
      </c>
      <c r="BX119" s="109">
        <f>+BX111+BX117</f>
        <v>49.388502765587077</v>
      </c>
      <c r="BY119" s="109">
        <f>+BY111+BY117</f>
        <v>49.020074704834173</v>
      </c>
      <c r="BZ119" s="109">
        <f>+BZ111+BZ117</f>
        <v>48.748233824384329</v>
      </c>
      <c r="CA119" s="109">
        <f>+CA111+CA117</f>
        <v>48.7482338243843</v>
      </c>
      <c r="CB119" s="109"/>
      <c r="CC119" s="109">
        <f>+CC111+CC117</f>
        <v>48.002251002917831</v>
      </c>
      <c r="CD119" s="109">
        <f>+CD111+CD117</f>
        <v>47.394347713060597</v>
      </c>
      <c r="CE119" s="109">
        <f>+CE111+CE117</f>
        <v>46.656379648968226</v>
      </c>
      <c r="CF119" s="109">
        <f>+CF111+CF117</f>
        <v>46.035039227890394</v>
      </c>
      <c r="CG119" s="109">
        <f>+CG111+CG117</f>
        <v>46.035039227890366</v>
      </c>
      <c r="CH119" s="109"/>
      <c r="CI119" s="109">
        <f t="shared" ref="CI119:CM119" si="211">+CI111+CI117</f>
        <v>45.1336852302409</v>
      </c>
      <c r="CJ119" s="109">
        <f t="shared" si="211"/>
        <v>44.395608785799652</v>
      </c>
      <c r="CK119" s="109">
        <f t="shared" si="211"/>
        <v>43.493701104935298</v>
      </c>
      <c r="CL119" s="109">
        <f t="shared" si="211"/>
        <v>42.716150896986392</v>
      </c>
      <c r="CM119" s="109">
        <f t="shared" si="211"/>
        <v>42.716150896986363</v>
      </c>
      <c r="CN119" s="109"/>
      <c r="CO119" s="109">
        <f t="shared" ref="CO119:CS119" si="212">+CO111+CO117</f>
        <v>41.647344432144536</v>
      </c>
      <c r="CP119" s="109">
        <f t="shared" si="212"/>
        <v>40.792255747826829</v>
      </c>
      <c r="CQ119" s="109">
        <f t="shared" si="212"/>
        <v>39.70979870869138</v>
      </c>
      <c r="CR119" s="109">
        <f t="shared" si="212"/>
        <v>38.78666452759353</v>
      </c>
      <c r="CS119" s="109">
        <f t="shared" si="212"/>
        <v>38.786664527593501</v>
      </c>
      <c r="CT119" s="109"/>
      <c r="CU119" s="109"/>
      <c r="CV119" s="109"/>
      <c r="CW119" s="75"/>
      <c r="CX119" s="75"/>
      <c r="CY119" s="75"/>
      <c r="CZ119" s="75"/>
    </row>
    <row r="120" spans="1:104" ht="12.75" customHeight="1" outlineLevel="1" x14ac:dyDescent="0.2">
      <c r="A120" s="75" t="s">
        <v>121</v>
      </c>
      <c r="B120" s="109"/>
      <c r="C120" s="712">
        <f>C119-C17</f>
        <v>0</v>
      </c>
      <c r="D120" s="712">
        <f>D119-D17</f>
        <v>0</v>
      </c>
      <c r="E120" s="712">
        <f>E119-E17</f>
        <v>0</v>
      </c>
      <c r="F120" s="712">
        <f>F119-F17</f>
        <v>0</v>
      </c>
      <c r="G120" s="712">
        <f>G119-G17</f>
        <v>0</v>
      </c>
      <c r="H120" s="109"/>
      <c r="I120" s="712">
        <f>I119-I17</f>
        <v>0</v>
      </c>
      <c r="J120" s="712">
        <f>J119-J17</f>
        <v>0</v>
      </c>
      <c r="K120" s="712">
        <f>K119-K17</f>
        <v>0</v>
      </c>
      <c r="L120" s="712">
        <f>L119-L17</f>
        <v>0</v>
      </c>
      <c r="M120" s="712">
        <f>M119-M17</f>
        <v>0</v>
      </c>
      <c r="N120" s="109"/>
      <c r="O120" s="712">
        <f>O119-O17</f>
        <v>0</v>
      </c>
      <c r="P120" s="712">
        <f>P119-P17</f>
        <v>0</v>
      </c>
      <c r="Q120" s="712">
        <f>Q119-Q17</f>
        <v>0</v>
      </c>
      <c r="R120" s="712">
        <f>R119-R17</f>
        <v>0</v>
      </c>
      <c r="S120" s="712">
        <f>S119-S17</f>
        <v>0</v>
      </c>
      <c r="T120" s="109"/>
      <c r="U120" s="712">
        <f>U119-U17</f>
        <v>0</v>
      </c>
      <c r="V120" s="712">
        <f>V119-V17</f>
        <v>0</v>
      </c>
      <c r="W120" s="712">
        <f>W119-W17</f>
        <v>0</v>
      </c>
      <c r="X120" s="712">
        <f>X119-X17</f>
        <v>0</v>
      </c>
      <c r="Y120" s="712">
        <f>Y119-Y17</f>
        <v>0</v>
      </c>
      <c r="Z120" s="109"/>
      <c r="AA120" s="712">
        <f>AA119-AA17</f>
        <v>0</v>
      </c>
      <c r="AB120" s="712">
        <f>AB119-AB17</f>
        <v>0</v>
      </c>
      <c r="AC120" s="712">
        <f>AC119-AC17</f>
        <v>0</v>
      </c>
      <c r="AD120" s="712">
        <f>AD119-AD17</f>
        <v>0</v>
      </c>
      <c r="AE120" s="712">
        <f>AE119-AE17</f>
        <v>0</v>
      </c>
      <c r="AF120" s="109"/>
      <c r="AG120" s="712">
        <f>AG119-AG17</f>
        <v>0</v>
      </c>
      <c r="AH120" s="712">
        <f>AH119-AH17</f>
        <v>0</v>
      </c>
      <c r="AI120" s="712">
        <f>AI119-AI17</f>
        <v>0</v>
      </c>
      <c r="AJ120" s="712">
        <f>AJ119-AJ17</f>
        <v>0</v>
      </c>
      <c r="AK120" s="712">
        <f>AK119-AK17</f>
        <v>0</v>
      </c>
      <c r="AL120" s="109"/>
      <c r="AM120" s="712">
        <f>AM119-AM17</f>
        <v>0</v>
      </c>
      <c r="AN120" s="712">
        <f>AN119-AN17</f>
        <v>0</v>
      </c>
      <c r="AO120" s="712">
        <f>AO119-AO17</f>
        <v>0</v>
      </c>
      <c r="AP120" s="712">
        <f>AP119-AP17</f>
        <v>0</v>
      </c>
      <c r="AQ120" s="712">
        <f>AQ119-AQ17</f>
        <v>0</v>
      </c>
      <c r="AR120" s="109"/>
      <c r="AS120" s="712">
        <f>AS119-AS17</f>
        <v>0</v>
      </c>
      <c r="AT120" s="712">
        <f>AT119-AT17</f>
        <v>0</v>
      </c>
      <c r="AU120" s="712">
        <f>AU119-AU17</f>
        <v>0</v>
      </c>
      <c r="AV120" s="712">
        <f>AV119-AV17</f>
        <v>0</v>
      </c>
      <c r="AW120" s="712">
        <f>AW119-AW17</f>
        <v>0</v>
      </c>
      <c r="AX120" s="109"/>
      <c r="AY120" s="712">
        <f>AY119-AY17</f>
        <v>0</v>
      </c>
      <c r="AZ120" s="712">
        <f>AZ119-AZ17</f>
        <v>0</v>
      </c>
      <c r="BA120" s="712">
        <f>BA119-BA17</f>
        <v>0</v>
      </c>
      <c r="BB120" s="712">
        <f>BB119-BB17</f>
        <v>0</v>
      </c>
      <c r="BC120" s="712">
        <f>BC119-BC17</f>
        <v>0</v>
      </c>
      <c r="BD120" s="109"/>
      <c r="BE120" s="712">
        <f>BE119-BE17</f>
        <v>0</v>
      </c>
      <c r="BF120" s="712">
        <f>BF119-BF17</f>
        <v>0</v>
      </c>
      <c r="BG120" s="712">
        <f>BG119-BG17</f>
        <v>0</v>
      </c>
      <c r="BH120" s="712">
        <f>BH119-BH17</f>
        <v>0</v>
      </c>
      <c r="BI120" s="712">
        <f>BI119-BI17</f>
        <v>0</v>
      </c>
      <c r="BJ120" s="109"/>
      <c r="BK120" s="712">
        <f>BK119-BK17</f>
        <v>0</v>
      </c>
      <c r="BL120" s="712">
        <f>BL119-BL17</f>
        <v>0</v>
      </c>
      <c r="BM120" s="712">
        <f>BM119-BM17</f>
        <v>0</v>
      </c>
      <c r="BN120" s="712">
        <f>BN119-BN17</f>
        <v>0</v>
      </c>
      <c r="BO120" s="712">
        <f>BO119-BO17</f>
        <v>0</v>
      </c>
      <c r="BP120" s="109"/>
      <c r="BQ120" s="712">
        <f>BQ119-BQ17</f>
        <v>0</v>
      </c>
      <c r="BR120" s="712">
        <f>BR119-BR17</f>
        <v>0</v>
      </c>
      <c r="BS120" s="712">
        <f>BS119-BS17</f>
        <v>0</v>
      </c>
      <c r="BT120" s="712">
        <f>BT119-BT17</f>
        <v>0</v>
      </c>
      <c r="BU120" s="712">
        <f>ROUND(BU119-BU17,12)</f>
        <v>0</v>
      </c>
      <c r="BV120" s="109"/>
      <c r="BW120" s="712">
        <f>BW119-BW17</f>
        <v>0</v>
      </c>
      <c r="BX120" s="712">
        <f>BX119-BX17</f>
        <v>0</v>
      </c>
      <c r="BY120" s="712">
        <f>BY119-BY17</f>
        <v>0</v>
      </c>
      <c r="BZ120" s="712">
        <f>BZ119-BZ17</f>
        <v>0</v>
      </c>
      <c r="CA120" s="712">
        <f>CA119-CA17</f>
        <v>0</v>
      </c>
      <c r="CB120" s="109"/>
      <c r="CC120" s="712">
        <f>CC119-CC17</f>
        <v>0</v>
      </c>
      <c r="CD120" s="712">
        <f>CD119-CD17</f>
        <v>0</v>
      </c>
      <c r="CE120" s="712">
        <f>CE119-CE17</f>
        <v>0</v>
      </c>
      <c r="CF120" s="712">
        <f>CF119-CF17</f>
        <v>0</v>
      </c>
      <c r="CG120" s="712">
        <f>CG119-CG17</f>
        <v>0</v>
      </c>
      <c r="CH120" s="109"/>
      <c r="CI120" s="712">
        <f t="shared" ref="CI120:CM120" si="213">CI119-CI17</f>
        <v>0</v>
      </c>
      <c r="CJ120" s="712">
        <f t="shared" si="213"/>
        <v>0</v>
      </c>
      <c r="CK120" s="712">
        <f t="shared" si="213"/>
        <v>0</v>
      </c>
      <c r="CL120" s="712">
        <f t="shared" si="213"/>
        <v>0</v>
      </c>
      <c r="CM120" s="712">
        <f t="shared" si="213"/>
        <v>0</v>
      </c>
      <c r="CN120" s="109"/>
      <c r="CO120" s="712">
        <f t="shared" ref="CO120:CS120" si="214">CO119-CO17</f>
        <v>0</v>
      </c>
      <c r="CP120" s="712">
        <f t="shared" si="214"/>
        <v>0</v>
      </c>
      <c r="CQ120" s="712">
        <f t="shared" si="214"/>
        <v>0</v>
      </c>
      <c r="CR120" s="712">
        <f t="shared" si="214"/>
        <v>0</v>
      </c>
      <c r="CS120" s="712">
        <f t="shared" si="214"/>
        <v>0</v>
      </c>
      <c r="CT120" s="109"/>
      <c r="CU120" s="109"/>
      <c r="CV120" s="109"/>
      <c r="CW120" s="75"/>
      <c r="CX120" s="75"/>
      <c r="CY120" s="75"/>
      <c r="CZ120" s="75"/>
    </row>
    <row r="121" spans="1:104" ht="12.75" customHeight="1" outlineLevel="1" x14ac:dyDescent="0.2">
      <c r="A121" s="75"/>
      <c r="B121" s="109"/>
      <c r="C121" s="427">
        <f>C119-C17</f>
        <v>0</v>
      </c>
      <c r="D121" s="427">
        <f>D119-D17</f>
        <v>0</v>
      </c>
      <c r="E121" s="427">
        <f>E119-E17</f>
        <v>0</v>
      </c>
      <c r="F121" s="427">
        <f>F119-F17</f>
        <v>0</v>
      </c>
      <c r="G121" s="427">
        <f>G119-G17</f>
        <v>0</v>
      </c>
      <c r="H121" s="109"/>
      <c r="I121" s="427">
        <f>I119-I17</f>
        <v>0</v>
      </c>
      <c r="J121" s="90"/>
      <c r="K121" s="90"/>
      <c r="L121" s="274"/>
      <c r="M121" s="90"/>
      <c r="N121" s="109"/>
      <c r="O121" s="90"/>
      <c r="P121" s="90"/>
      <c r="Q121" s="90"/>
      <c r="R121" s="274"/>
      <c r="S121" s="43"/>
      <c r="T121" s="109"/>
      <c r="U121" s="90"/>
      <c r="V121" s="90"/>
      <c r="W121" s="90"/>
      <c r="X121" s="274"/>
      <c r="Y121" s="43"/>
      <c r="Z121" s="109"/>
      <c r="AA121" s="43"/>
      <c r="AB121" s="90"/>
      <c r="AC121" s="90"/>
      <c r="AD121" s="90"/>
      <c r="AE121" s="301"/>
      <c r="AF121" s="109"/>
      <c r="AG121" s="43"/>
      <c r="AH121" s="90"/>
      <c r="AI121" s="90"/>
      <c r="AJ121" s="43"/>
      <c r="AK121" s="43"/>
      <c r="AL121" s="109"/>
      <c r="AM121" s="43"/>
      <c r="AN121" s="43"/>
      <c r="AO121" s="90"/>
      <c r="AP121" s="43"/>
      <c r="AQ121" s="43"/>
      <c r="AR121" s="109"/>
      <c r="AS121" s="43"/>
      <c r="AT121" s="43"/>
      <c r="AU121" s="90"/>
      <c r="AV121" s="43"/>
      <c r="AW121" s="43"/>
      <c r="AX121" s="109"/>
      <c r="AY121" s="301"/>
      <c r="AZ121" s="301"/>
      <c r="BA121" s="301"/>
      <c r="BB121" s="43"/>
      <c r="BC121" s="656"/>
      <c r="BD121" s="109"/>
      <c r="BE121" s="43"/>
      <c r="BF121" s="43"/>
      <c r="BG121" s="43"/>
      <c r="BH121" s="43"/>
      <c r="BI121" s="43"/>
      <c r="BJ121" s="109"/>
      <c r="BK121" s="43"/>
      <c r="BL121" s="43"/>
      <c r="BM121" s="43"/>
      <c r="BN121" s="43"/>
      <c r="BO121" s="43"/>
      <c r="BP121" s="109"/>
      <c r="BQ121" s="43"/>
      <c r="BR121" s="43"/>
      <c r="BS121" s="43"/>
      <c r="BT121" s="43"/>
      <c r="BU121" s="43"/>
      <c r="BV121" s="109"/>
      <c r="BW121" s="43"/>
      <c r="BX121" s="43"/>
      <c r="BY121" s="43"/>
      <c r="BZ121" s="43"/>
      <c r="CA121" s="43"/>
      <c r="CB121" s="109"/>
      <c r="CC121" s="43"/>
      <c r="CD121" s="43"/>
      <c r="CE121" s="43"/>
      <c r="CF121" s="43"/>
      <c r="CG121" s="43"/>
      <c r="CH121" s="109"/>
      <c r="CI121" s="43"/>
      <c r="CJ121" s="43"/>
      <c r="CK121" s="43"/>
      <c r="CL121" s="43"/>
      <c r="CM121" s="43"/>
      <c r="CN121" s="109"/>
      <c r="CO121" s="43"/>
      <c r="CP121" s="43"/>
      <c r="CQ121" s="43"/>
      <c r="CR121" s="43"/>
      <c r="CS121" s="43"/>
      <c r="CT121" s="43"/>
      <c r="CU121" s="43"/>
      <c r="CV121" s="43"/>
      <c r="CW121" s="43"/>
      <c r="CX121" s="43"/>
      <c r="CY121" s="43"/>
      <c r="CZ121" s="43"/>
    </row>
    <row r="122" spans="1:104" ht="12.75" customHeight="1" outlineLevel="1" x14ac:dyDescent="0.2">
      <c r="A122" s="23" t="s">
        <v>165</v>
      </c>
      <c r="B122" s="109"/>
      <c r="C122" s="82"/>
      <c r="D122" s="82"/>
      <c r="E122" s="82"/>
      <c r="F122" s="82"/>
      <c r="G122" s="82"/>
      <c r="H122" s="109"/>
      <c r="I122" s="82"/>
      <c r="J122" s="82"/>
      <c r="K122" s="82"/>
      <c r="L122" s="82"/>
      <c r="M122" s="82"/>
      <c r="N122" s="109"/>
      <c r="O122" s="82"/>
      <c r="P122" s="82"/>
      <c r="Q122" s="82"/>
      <c r="R122" s="82"/>
      <c r="S122" s="82"/>
      <c r="T122" s="109"/>
      <c r="U122" s="82"/>
      <c r="V122" s="82"/>
      <c r="W122" s="82"/>
      <c r="X122" s="82"/>
      <c r="Y122" s="82"/>
      <c r="Z122" s="109"/>
      <c r="AA122" s="82"/>
      <c r="AB122" s="82"/>
      <c r="AC122" s="82"/>
      <c r="AD122" s="82"/>
      <c r="AE122" s="82"/>
      <c r="AF122" s="109"/>
      <c r="AG122" s="82"/>
      <c r="AH122" s="82"/>
      <c r="AI122" s="82"/>
      <c r="AJ122" s="82"/>
      <c r="AK122" s="82"/>
      <c r="AL122" s="109"/>
      <c r="AM122" s="82"/>
      <c r="AN122" s="82"/>
      <c r="AO122" s="82"/>
      <c r="AP122" s="82"/>
      <c r="AQ122" s="82"/>
      <c r="AR122" s="109"/>
      <c r="AS122" s="82"/>
      <c r="AT122" s="82"/>
      <c r="AU122" s="82"/>
      <c r="AV122" s="82"/>
      <c r="AW122" s="82"/>
      <c r="AX122" s="109"/>
      <c r="AY122" s="82"/>
      <c r="AZ122" s="82"/>
      <c r="BA122" s="82"/>
      <c r="BB122" s="82"/>
      <c r="BC122" s="656"/>
      <c r="BD122" s="109"/>
      <c r="BE122" s="82"/>
      <c r="BF122" s="82"/>
      <c r="BG122" s="82"/>
      <c r="BH122" s="82"/>
      <c r="BI122" s="82"/>
      <c r="BJ122" s="109"/>
      <c r="BK122" s="82"/>
      <c r="BL122" s="82"/>
      <c r="BM122" s="82"/>
      <c r="BN122" s="82"/>
      <c r="BO122" s="82"/>
      <c r="BP122" s="109"/>
      <c r="BQ122" s="82"/>
      <c r="BR122" s="82"/>
      <c r="BS122" s="82"/>
      <c r="BT122" s="82"/>
      <c r="BU122" s="82"/>
      <c r="BV122" s="109"/>
      <c r="BW122" s="82"/>
      <c r="BX122" s="82"/>
      <c r="BY122" s="82"/>
      <c r="BZ122" s="82"/>
      <c r="CA122" s="82"/>
      <c r="CB122" s="109"/>
      <c r="CC122" s="82"/>
      <c r="CD122" s="82"/>
      <c r="CE122" s="82"/>
      <c r="CF122" s="82"/>
      <c r="CG122" s="82"/>
      <c r="CH122" s="109"/>
      <c r="CI122" s="82"/>
      <c r="CJ122" s="82"/>
      <c r="CK122" s="82"/>
      <c r="CL122" s="82"/>
      <c r="CM122" s="82"/>
      <c r="CN122" s="109"/>
      <c r="CO122" s="82"/>
      <c r="CP122" s="82"/>
      <c r="CQ122" s="82"/>
      <c r="CR122" s="82"/>
      <c r="CS122" s="82"/>
      <c r="CT122" s="82"/>
      <c r="CU122" s="82"/>
      <c r="CV122" s="82"/>
      <c r="CW122" s="75"/>
      <c r="CX122" s="75"/>
      <c r="CY122" s="75"/>
      <c r="CZ122" s="75"/>
    </row>
    <row r="123" spans="1:104" ht="12.75" customHeight="1" outlineLevel="1" x14ac:dyDescent="0.2">
      <c r="A123" s="75" t="s">
        <v>166</v>
      </c>
      <c r="B123" s="109"/>
      <c r="C123" s="84"/>
      <c r="D123" s="82"/>
      <c r="E123" s="82"/>
      <c r="F123" s="82"/>
      <c r="G123" s="82"/>
      <c r="H123" s="109"/>
      <c r="I123" s="82"/>
      <c r="J123" s="82"/>
      <c r="K123" s="82"/>
      <c r="L123" s="82"/>
      <c r="M123" s="82"/>
      <c r="N123" s="109"/>
      <c r="O123" s="82"/>
      <c r="P123" s="82"/>
      <c r="Q123" s="82"/>
      <c r="R123" s="82"/>
      <c r="S123" s="82"/>
      <c r="T123" s="109"/>
      <c r="U123" s="82"/>
      <c r="V123" s="82"/>
      <c r="W123" s="82"/>
      <c r="X123" s="82"/>
      <c r="Y123" s="82"/>
      <c r="Z123" s="109"/>
      <c r="AA123" s="82"/>
      <c r="AB123" s="82"/>
      <c r="AC123" s="82"/>
      <c r="AD123" s="82"/>
      <c r="AE123" s="82"/>
      <c r="AF123" s="109"/>
      <c r="AG123" s="82">
        <f>AE126</f>
        <v>18.850000000000001</v>
      </c>
      <c r="AH123" s="82">
        <f>AG126</f>
        <v>18.850000000000001</v>
      </c>
      <c r="AI123" s="82">
        <f>AH126</f>
        <v>18.95</v>
      </c>
      <c r="AJ123" s="82">
        <f>AI126</f>
        <v>18.95</v>
      </c>
      <c r="AK123" s="82">
        <f>AE126</f>
        <v>18.850000000000001</v>
      </c>
      <c r="AL123" s="109"/>
      <c r="AM123" s="82">
        <f>AK126</f>
        <v>18.95</v>
      </c>
      <c r="AN123" s="82">
        <f>AM126</f>
        <v>18.95</v>
      </c>
      <c r="AO123" s="82">
        <f>AN126</f>
        <v>18.95</v>
      </c>
      <c r="AP123" s="82">
        <f>AO126</f>
        <v>16.95</v>
      </c>
      <c r="AQ123" s="82">
        <f>AK126</f>
        <v>18.95</v>
      </c>
      <c r="AR123" s="109"/>
      <c r="AS123" s="82">
        <f>AQ126</f>
        <v>16.95</v>
      </c>
      <c r="AT123" s="82">
        <f>AS126</f>
        <v>16.95</v>
      </c>
      <c r="AU123" s="82">
        <f>AT126</f>
        <v>16.95</v>
      </c>
      <c r="AV123" s="82">
        <f>AU126</f>
        <v>213.55</v>
      </c>
      <c r="AW123" s="82">
        <f>AQ126</f>
        <v>16.95</v>
      </c>
      <c r="AX123" s="109"/>
      <c r="AY123" s="82">
        <f>AW126</f>
        <v>213.55</v>
      </c>
      <c r="AZ123" s="82">
        <f>AY126</f>
        <v>211.55</v>
      </c>
      <c r="BA123" s="82">
        <f>AZ126</f>
        <v>211.55</v>
      </c>
      <c r="BB123" s="82">
        <f>BA126</f>
        <v>211.55</v>
      </c>
      <c r="BC123" s="82">
        <f>AW126</f>
        <v>213.55</v>
      </c>
      <c r="BD123" s="109"/>
      <c r="BE123" s="82">
        <f>BC126</f>
        <v>211.6</v>
      </c>
      <c r="BF123" s="82">
        <f>BE126</f>
        <v>211.6</v>
      </c>
      <c r="BG123" s="82">
        <f>BF126</f>
        <v>211.6</v>
      </c>
      <c r="BH123" s="82">
        <f>BG126</f>
        <v>211.6</v>
      </c>
      <c r="BI123" s="82">
        <f>BC126</f>
        <v>211.6</v>
      </c>
      <c r="BJ123" s="109"/>
      <c r="BK123" s="82">
        <f>BI126</f>
        <v>259</v>
      </c>
      <c r="BL123" s="82">
        <f>BK126</f>
        <v>558.5</v>
      </c>
      <c r="BM123" s="82">
        <f>BL126</f>
        <v>552.70000000000005</v>
      </c>
      <c r="BN123" s="82">
        <f>BM126</f>
        <v>553.6</v>
      </c>
      <c r="BO123" s="82">
        <f>BI126</f>
        <v>259</v>
      </c>
      <c r="BP123" s="109"/>
      <c r="BQ123" s="82">
        <f>BO126</f>
        <v>556.4</v>
      </c>
      <c r="BR123" s="82">
        <f>BQ126</f>
        <v>558.1</v>
      </c>
      <c r="BS123" s="82">
        <f>BR126</f>
        <v>558.79999999999995</v>
      </c>
      <c r="BT123" s="82">
        <f>BS126</f>
        <v>558.79999999999995</v>
      </c>
      <c r="BU123" s="82">
        <f>BO126</f>
        <v>556.4</v>
      </c>
      <c r="BV123" s="109"/>
      <c r="BW123" s="82">
        <f>BU126</f>
        <v>558.79999999999995</v>
      </c>
      <c r="BX123" s="82">
        <f>BW126</f>
        <v>558.79999999999995</v>
      </c>
      <c r="BY123" s="82">
        <f>BX126</f>
        <v>558.79999999999995</v>
      </c>
      <c r="BZ123" s="82">
        <f>BY126</f>
        <v>558.79999999999995</v>
      </c>
      <c r="CA123" s="82">
        <f>BU126</f>
        <v>558.79999999999995</v>
      </c>
      <c r="CB123" s="109"/>
      <c r="CC123" s="82">
        <f>CA126</f>
        <v>558.79999999999995</v>
      </c>
      <c r="CD123" s="82">
        <f>CC126</f>
        <v>558.79999999999995</v>
      </c>
      <c r="CE123" s="82">
        <f>CD126</f>
        <v>558.79999999999995</v>
      </c>
      <c r="CF123" s="82">
        <f>CE126</f>
        <v>558.79999999999995</v>
      </c>
      <c r="CG123" s="82">
        <f>CA126</f>
        <v>558.79999999999995</v>
      </c>
      <c r="CH123" s="109"/>
      <c r="CI123" s="82">
        <f t="shared" ref="CI123" si="215">CG126</f>
        <v>558.79999999999995</v>
      </c>
      <c r="CJ123" s="82">
        <f t="shared" ref="CJ123:CL123" si="216">CI126</f>
        <v>558.79999999999995</v>
      </c>
      <c r="CK123" s="82">
        <f t="shared" si="216"/>
        <v>558.79999999999995</v>
      </c>
      <c r="CL123" s="82">
        <f t="shared" si="216"/>
        <v>558.79999999999995</v>
      </c>
      <c r="CM123" s="82">
        <f t="shared" ref="CM123" si="217">CG126</f>
        <v>558.79999999999995</v>
      </c>
      <c r="CN123" s="109"/>
      <c r="CO123" s="82">
        <f t="shared" ref="CO123" si="218">CM126</f>
        <v>558.79999999999995</v>
      </c>
      <c r="CP123" s="82">
        <f t="shared" ref="CP123:CR123" si="219">CO126</f>
        <v>558.79999999999995</v>
      </c>
      <c r="CQ123" s="82">
        <f t="shared" si="219"/>
        <v>558.79999999999995</v>
      </c>
      <c r="CR123" s="82">
        <f t="shared" si="219"/>
        <v>558.79999999999995</v>
      </c>
      <c r="CS123" s="82">
        <f t="shared" ref="CS123" si="220">CM126</f>
        <v>558.79999999999995</v>
      </c>
      <c r="CT123" s="82"/>
      <c r="CU123" s="82"/>
      <c r="CV123" s="82"/>
      <c r="CW123" s="75"/>
      <c r="CX123" s="75"/>
      <c r="CY123" s="75"/>
      <c r="CZ123" s="75"/>
    </row>
    <row r="124" spans="1:104" ht="12.75" customHeight="1" outlineLevel="1" x14ac:dyDescent="0.2">
      <c r="A124" s="127" t="s">
        <v>158</v>
      </c>
      <c r="B124" s="109"/>
      <c r="C124" s="84"/>
      <c r="D124" s="84"/>
      <c r="E124" s="84"/>
      <c r="F124" s="84"/>
      <c r="G124" s="82"/>
      <c r="H124" s="109"/>
      <c r="I124" s="84"/>
      <c r="J124" s="84"/>
      <c r="K124" s="84"/>
      <c r="L124" s="84"/>
      <c r="M124" s="82"/>
      <c r="N124" s="109"/>
      <c r="O124" s="84"/>
      <c r="P124" s="84"/>
      <c r="Q124" s="84"/>
      <c r="R124" s="84"/>
      <c r="S124" s="82"/>
      <c r="T124" s="109"/>
      <c r="U124" s="84"/>
      <c r="V124" s="84"/>
      <c r="W124" s="84"/>
      <c r="X124" s="84"/>
      <c r="Y124" s="82"/>
      <c r="Z124" s="109"/>
      <c r="AA124" s="82"/>
      <c r="AB124" s="82"/>
      <c r="AC124" s="82"/>
      <c r="AD124" s="82"/>
      <c r="AE124" s="448">
        <v>18.850000000000001</v>
      </c>
      <c r="AF124" s="109"/>
      <c r="AG124" s="82">
        <f>AG126-AG123-AG125</f>
        <v>0</v>
      </c>
      <c r="AH124" s="82">
        <f>AH126-AH123-AH125</f>
        <v>9.9999999999997868E-2</v>
      </c>
      <c r="AI124" s="82">
        <f>AI126-AI123-AI125</f>
        <v>0</v>
      </c>
      <c r="AJ124" s="82">
        <f>AJ126-AJ123-AJ125</f>
        <v>0</v>
      </c>
      <c r="AK124" s="82">
        <f>SUM(AG124:AJ124)</f>
        <v>9.9999999999997868E-2</v>
      </c>
      <c r="AL124" s="109"/>
      <c r="AM124" s="82">
        <f>AM126-AM123-AM125</f>
        <v>0</v>
      </c>
      <c r="AN124" s="82">
        <f>AN126-AN123-AN125</f>
        <v>0</v>
      </c>
      <c r="AO124" s="82">
        <f>AO126-AO123-AO125</f>
        <v>-2</v>
      </c>
      <c r="AP124" s="82">
        <f>AP126-AP123-AP125</f>
        <v>0</v>
      </c>
      <c r="AQ124" s="82">
        <f>SUM(AM124:AP124)</f>
        <v>-2</v>
      </c>
      <c r="AR124" s="109"/>
      <c r="AS124" s="82">
        <f>AS126-AS123-AS125</f>
        <v>0</v>
      </c>
      <c r="AT124" s="82">
        <f>AT126-AT123-AT125</f>
        <v>0</v>
      </c>
      <c r="AU124" s="82">
        <f>AU126-AU123-AU125</f>
        <v>196.60000000000002</v>
      </c>
      <c r="AV124" s="82">
        <f>AV126-AV123-AV125</f>
        <v>0</v>
      </c>
      <c r="AW124" s="82">
        <f>SUM(AS124:AV124)</f>
        <v>196.60000000000002</v>
      </c>
      <c r="AX124" s="109"/>
      <c r="AY124" s="82">
        <f>AY126-AY123-AY125</f>
        <v>-2</v>
      </c>
      <c r="AZ124" s="82">
        <f>AZ126-AZ123-AZ125</f>
        <v>0</v>
      </c>
      <c r="BA124" s="82">
        <f>BA126-BA123-BA125</f>
        <v>0</v>
      </c>
      <c r="BB124" s="82">
        <f>BB126-BB123-BB125</f>
        <v>4.9999999999982947E-2</v>
      </c>
      <c r="BC124" s="82">
        <f>SUM(AY124:BB124)</f>
        <v>-1.9500000000000171</v>
      </c>
      <c r="BD124" s="109"/>
      <c r="BE124" s="82">
        <f>BE126-BE123-BE125</f>
        <v>0</v>
      </c>
      <c r="BF124" s="82">
        <f>BF126-BF123-BF125</f>
        <v>0</v>
      </c>
      <c r="BG124" s="82">
        <f>-BG143*BG145</f>
        <v>0</v>
      </c>
      <c r="BH124" s="82">
        <f>BH126-BH123-BH125</f>
        <v>47.400000000000006</v>
      </c>
      <c r="BI124" s="82">
        <f>SUM(BE124:BH124)</f>
        <v>47.400000000000006</v>
      </c>
      <c r="BJ124" s="109"/>
      <c r="BK124" s="82">
        <f>BK126-BK123-BK125</f>
        <v>299.5</v>
      </c>
      <c r="BL124" s="82">
        <f>BL126-BL123-BL125</f>
        <v>-5.7999999999999545</v>
      </c>
      <c r="BM124" s="82">
        <f>BM126-BM123-BM125</f>
        <v>0.89999999999997726</v>
      </c>
      <c r="BN124" s="82">
        <f>BN126-BN123-BN125</f>
        <v>2.7999999999999545</v>
      </c>
      <c r="BO124" s="82">
        <f>SUM(BK124:BN124)</f>
        <v>297.39999999999998</v>
      </c>
      <c r="BP124" s="109"/>
      <c r="BQ124" s="82">
        <f>BQ126-BQ123-BQ125</f>
        <v>1.7000000000000455</v>
      </c>
      <c r="BR124" s="82">
        <f>BR126-BR123-BR125</f>
        <v>0.69999999999993179</v>
      </c>
      <c r="BS124" s="82">
        <f>-BS143*BS145</f>
        <v>0</v>
      </c>
      <c r="BT124" s="82">
        <f>-BT143*BT145</f>
        <v>0</v>
      </c>
      <c r="BU124" s="82">
        <f>SUM(BQ124:BT124)</f>
        <v>2.3999999999999773</v>
      </c>
      <c r="BV124" s="109"/>
      <c r="BW124" s="82">
        <f>-BW143*BW145</f>
        <v>0</v>
      </c>
      <c r="BX124" s="82">
        <f>-BX143*BX145</f>
        <v>0</v>
      </c>
      <c r="BY124" s="82">
        <f>-BY143*BY145</f>
        <v>0</v>
      </c>
      <c r="BZ124" s="82">
        <f>-BZ143*BZ145</f>
        <v>0</v>
      </c>
      <c r="CA124" s="82">
        <f>SUM(BW124:BZ124)</f>
        <v>0</v>
      </c>
      <c r="CB124" s="109"/>
      <c r="CC124" s="82">
        <f>-CC143*CC145</f>
        <v>0</v>
      </c>
      <c r="CD124" s="82">
        <f>-CD143*CD145</f>
        <v>0</v>
      </c>
      <c r="CE124" s="82">
        <f>-CE143*CE145</f>
        <v>0</v>
      </c>
      <c r="CF124" s="82">
        <f>-CF143*CF145</f>
        <v>0</v>
      </c>
      <c r="CG124" s="82">
        <f>SUM(CC124:CF124)</f>
        <v>0</v>
      </c>
      <c r="CH124" s="109"/>
      <c r="CI124" s="82">
        <f t="shared" ref="CI124:CL124" si="221">-CI143*CI145</f>
        <v>0</v>
      </c>
      <c r="CJ124" s="82">
        <f t="shared" si="221"/>
        <v>0</v>
      </c>
      <c r="CK124" s="82">
        <f t="shared" si="221"/>
        <v>0</v>
      </c>
      <c r="CL124" s="82">
        <f t="shared" si="221"/>
        <v>0</v>
      </c>
      <c r="CM124" s="82">
        <f t="shared" ref="CM124:CM125" si="222">SUM(CI124:CL124)</f>
        <v>0</v>
      </c>
      <c r="CN124" s="109"/>
      <c r="CO124" s="82">
        <f t="shared" ref="CO124:CR124" si="223">-CO143*CO145</f>
        <v>0</v>
      </c>
      <c r="CP124" s="82">
        <f t="shared" si="223"/>
        <v>0</v>
      </c>
      <c r="CQ124" s="82">
        <f t="shared" si="223"/>
        <v>0</v>
      </c>
      <c r="CR124" s="82">
        <f t="shared" si="223"/>
        <v>0</v>
      </c>
      <c r="CS124" s="82">
        <f t="shared" ref="CS124:CS125" si="224">SUM(CO124:CR124)</f>
        <v>0</v>
      </c>
      <c r="CT124" s="82"/>
      <c r="CU124" s="82"/>
      <c r="CV124" s="82"/>
      <c r="CW124" s="75"/>
      <c r="CX124" s="75"/>
      <c r="CY124" s="75"/>
      <c r="CZ124" s="75"/>
    </row>
    <row r="125" spans="1:104" ht="12.75" customHeight="1" outlineLevel="1" x14ac:dyDescent="0.2">
      <c r="A125" s="127" t="s">
        <v>109</v>
      </c>
      <c r="B125" s="109"/>
      <c r="C125" s="196"/>
      <c r="D125" s="196"/>
      <c r="E125" s="196"/>
      <c r="F125" s="196"/>
      <c r="G125" s="196"/>
      <c r="H125" s="109"/>
      <c r="I125" s="196"/>
      <c r="J125" s="196"/>
      <c r="K125" s="196"/>
      <c r="L125" s="196"/>
      <c r="M125" s="196"/>
      <c r="N125" s="109"/>
      <c r="O125" s="196"/>
      <c r="P125" s="196"/>
      <c r="Q125" s="196"/>
      <c r="R125" s="196"/>
      <c r="S125" s="196"/>
      <c r="T125" s="109"/>
      <c r="U125" s="196"/>
      <c r="V125" s="196"/>
      <c r="W125" s="196"/>
      <c r="X125" s="196"/>
      <c r="Y125" s="196"/>
      <c r="Z125" s="109"/>
      <c r="AA125" s="459"/>
      <c r="AB125" s="459"/>
      <c r="AC125" s="459"/>
      <c r="AD125" s="459"/>
      <c r="AE125" s="196">
        <f>SUM(AA125:AD125)</f>
        <v>0</v>
      </c>
      <c r="AF125" s="196"/>
      <c r="AG125" s="459">
        <v>0</v>
      </c>
      <c r="AH125" s="459">
        <v>0</v>
      </c>
      <c r="AI125" s="459">
        <v>0</v>
      </c>
      <c r="AJ125" s="459">
        <v>0</v>
      </c>
      <c r="AK125" s="196">
        <f>SUM(AG125:AJ125)</f>
        <v>0</v>
      </c>
      <c r="AL125" s="109"/>
      <c r="AM125" s="459">
        <v>0</v>
      </c>
      <c r="AN125" s="459">
        <v>0</v>
      </c>
      <c r="AO125" s="459">
        <v>0</v>
      </c>
      <c r="AP125" s="459">
        <v>0</v>
      </c>
      <c r="AQ125" s="196">
        <f>SUM(AM125:AP125)</f>
        <v>0</v>
      </c>
      <c r="AR125" s="109"/>
      <c r="AS125" s="459">
        <v>0</v>
      </c>
      <c r="AT125" s="459">
        <v>0</v>
      </c>
      <c r="AU125" s="459">
        <v>0</v>
      </c>
      <c r="AV125" s="459">
        <v>0</v>
      </c>
      <c r="AW125" s="196">
        <f>SUM(AS125:AV125)</f>
        <v>0</v>
      </c>
      <c r="AX125" s="109"/>
      <c r="AY125" s="197">
        <v>0</v>
      </c>
      <c r="AZ125" s="197">
        <v>0</v>
      </c>
      <c r="BA125" s="197">
        <v>0</v>
      </c>
      <c r="BB125" s="197">
        <v>0</v>
      </c>
      <c r="BC125" s="196">
        <f>SUM(AY125:BB125)</f>
        <v>0</v>
      </c>
      <c r="BD125" s="109"/>
      <c r="BE125" s="197">
        <v>0</v>
      </c>
      <c r="BF125" s="197">
        <v>0</v>
      </c>
      <c r="BG125" s="197">
        <v>0</v>
      </c>
      <c r="BH125" s="197">
        <v>0</v>
      </c>
      <c r="BI125" s="196">
        <f>SUM(BE125:BH125)</f>
        <v>0</v>
      </c>
      <c r="BJ125" s="109"/>
      <c r="BK125" s="197">
        <v>0</v>
      </c>
      <c r="BL125" s="197">
        <v>0</v>
      </c>
      <c r="BM125" s="197">
        <v>0</v>
      </c>
      <c r="BN125" s="197">
        <v>0</v>
      </c>
      <c r="BO125" s="196">
        <f>SUM(BK125:BN125)</f>
        <v>0</v>
      </c>
      <c r="BP125" s="109"/>
      <c r="BQ125" s="197">
        <v>0</v>
      </c>
      <c r="BR125" s="197">
        <v>0</v>
      </c>
      <c r="BS125" s="197">
        <v>0</v>
      </c>
      <c r="BT125" s="197">
        <v>0</v>
      </c>
      <c r="BU125" s="196">
        <f>SUM(BQ125:BT125)</f>
        <v>0</v>
      </c>
      <c r="BV125" s="109"/>
      <c r="BW125" s="197">
        <v>0</v>
      </c>
      <c r="BX125" s="197">
        <v>0</v>
      </c>
      <c r="BY125" s="197">
        <v>0</v>
      </c>
      <c r="BZ125" s="197">
        <v>0</v>
      </c>
      <c r="CA125" s="196">
        <f>SUM(BW125:BZ125)</f>
        <v>0</v>
      </c>
      <c r="CB125" s="109"/>
      <c r="CC125" s="197">
        <v>0</v>
      </c>
      <c r="CD125" s="197">
        <v>0</v>
      </c>
      <c r="CE125" s="197">
        <v>0</v>
      </c>
      <c r="CF125" s="197">
        <v>0</v>
      </c>
      <c r="CG125" s="196">
        <f>SUM(CC125:CF125)</f>
        <v>0</v>
      </c>
      <c r="CH125" s="109"/>
      <c r="CI125" s="197">
        <v>0</v>
      </c>
      <c r="CJ125" s="197">
        <v>0</v>
      </c>
      <c r="CK125" s="197">
        <v>0</v>
      </c>
      <c r="CL125" s="197">
        <v>0</v>
      </c>
      <c r="CM125" s="196">
        <f t="shared" si="222"/>
        <v>0</v>
      </c>
      <c r="CN125" s="109"/>
      <c r="CO125" s="197">
        <v>0</v>
      </c>
      <c r="CP125" s="197">
        <v>0</v>
      </c>
      <c r="CQ125" s="197">
        <v>0</v>
      </c>
      <c r="CR125" s="197">
        <v>0</v>
      </c>
      <c r="CS125" s="196">
        <f t="shared" si="224"/>
        <v>0</v>
      </c>
      <c r="CT125" s="109"/>
      <c r="CU125" s="109"/>
      <c r="CV125" s="109"/>
      <c r="CW125" s="75"/>
      <c r="CX125" s="75"/>
      <c r="CY125" s="75"/>
      <c r="CZ125" s="75"/>
    </row>
    <row r="126" spans="1:104" ht="12.75" customHeight="1" outlineLevel="1" x14ac:dyDescent="0.2">
      <c r="A126" s="75" t="s">
        <v>168</v>
      </c>
      <c r="B126" s="109"/>
      <c r="C126" s="82"/>
      <c r="D126" s="82"/>
      <c r="E126" s="82"/>
      <c r="F126" s="82"/>
      <c r="G126" s="82"/>
      <c r="H126" s="109"/>
      <c r="I126" s="82"/>
      <c r="J126" s="82"/>
      <c r="K126" s="82"/>
      <c r="L126" s="82"/>
      <c r="M126" s="82"/>
      <c r="N126" s="109"/>
      <c r="O126" s="82"/>
      <c r="P126" s="82"/>
      <c r="Q126" s="82"/>
      <c r="R126" s="82"/>
      <c r="S126" s="82"/>
      <c r="T126" s="109"/>
      <c r="U126" s="82"/>
      <c r="V126" s="82"/>
      <c r="W126" s="82"/>
      <c r="X126" s="82"/>
      <c r="Y126" s="82"/>
      <c r="Z126" s="109"/>
      <c r="AA126" s="448"/>
      <c r="AB126" s="448"/>
      <c r="AC126" s="448"/>
      <c r="AD126" s="448"/>
      <c r="AE126" s="82">
        <f>AE123+AE124+AE125</f>
        <v>18.850000000000001</v>
      </c>
      <c r="AF126" s="109"/>
      <c r="AG126" s="448">
        <v>18.850000000000001</v>
      </c>
      <c r="AH126" s="448">
        <v>18.95</v>
      </c>
      <c r="AI126" s="448">
        <v>18.95</v>
      </c>
      <c r="AJ126" s="448">
        <v>18.95</v>
      </c>
      <c r="AK126" s="82">
        <f>AK123+AK124+AK125</f>
        <v>18.95</v>
      </c>
      <c r="AL126" s="109"/>
      <c r="AM126" s="448">
        <v>18.95</v>
      </c>
      <c r="AN126" s="448">
        <v>18.95</v>
      </c>
      <c r="AO126" s="448">
        <v>16.95</v>
      </c>
      <c r="AP126" s="448">
        <v>16.95</v>
      </c>
      <c r="AQ126" s="82">
        <f>AQ123+AQ124+AQ125</f>
        <v>16.95</v>
      </c>
      <c r="AR126" s="109"/>
      <c r="AS126" s="448">
        <v>16.95</v>
      </c>
      <c r="AT126" s="448">
        <v>16.95</v>
      </c>
      <c r="AU126" s="448">
        <v>213.55</v>
      </c>
      <c r="AV126" s="448">
        <v>213.55</v>
      </c>
      <c r="AW126" s="82">
        <f>AW123+AW124+AW125</f>
        <v>213.55</v>
      </c>
      <c r="AX126" s="109"/>
      <c r="AY126" s="448">
        <v>211.55</v>
      </c>
      <c r="AZ126" s="448">
        <v>211.55</v>
      </c>
      <c r="BA126" s="448">
        <v>211.55</v>
      </c>
      <c r="BB126" s="448">
        <v>211.6</v>
      </c>
      <c r="BC126" s="82">
        <f>BC123+BC124+BC125</f>
        <v>211.6</v>
      </c>
      <c r="BD126" s="109"/>
      <c r="BE126" s="448">
        <v>211.6</v>
      </c>
      <c r="BF126" s="448">
        <v>211.6</v>
      </c>
      <c r="BG126" s="82">
        <f>BG123+BG124+BG125</f>
        <v>211.6</v>
      </c>
      <c r="BH126" s="448">
        <v>259</v>
      </c>
      <c r="BI126" s="82">
        <f>BI123+BI124+BI125</f>
        <v>259</v>
      </c>
      <c r="BJ126" s="109"/>
      <c r="BK126" s="448">
        <v>558.5</v>
      </c>
      <c r="BL126" s="448">
        <v>552.70000000000005</v>
      </c>
      <c r="BM126" s="448">
        <v>553.6</v>
      </c>
      <c r="BN126" s="448">
        <v>556.4</v>
      </c>
      <c r="BO126" s="82">
        <f>BO123+BO124+BO125</f>
        <v>556.4</v>
      </c>
      <c r="BP126" s="109"/>
      <c r="BQ126" s="448">
        <v>558.1</v>
      </c>
      <c r="BR126" s="448">
        <v>558.79999999999995</v>
      </c>
      <c r="BS126" s="82">
        <f>BS123+BS124+BS125</f>
        <v>558.79999999999995</v>
      </c>
      <c r="BT126" s="82">
        <f>BT123+BT124+BT125</f>
        <v>558.79999999999995</v>
      </c>
      <c r="BU126" s="82">
        <f>BU123+BU124+BU125</f>
        <v>558.79999999999995</v>
      </c>
      <c r="BV126" s="109"/>
      <c r="BW126" s="82">
        <f>BW123+BW124+BW125</f>
        <v>558.79999999999995</v>
      </c>
      <c r="BX126" s="82">
        <f>BX123+BX124+BX125</f>
        <v>558.79999999999995</v>
      </c>
      <c r="BY126" s="82">
        <f>BY123+BY124+BY125</f>
        <v>558.79999999999995</v>
      </c>
      <c r="BZ126" s="82">
        <f>BZ123+BZ124+BZ125</f>
        <v>558.79999999999995</v>
      </c>
      <c r="CA126" s="82">
        <f>CA123+CA124+CA125</f>
        <v>558.79999999999995</v>
      </c>
      <c r="CB126" s="109"/>
      <c r="CC126" s="82">
        <f>CC123+CC124+CC125</f>
        <v>558.79999999999995</v>
      </c>
      <c r="CD126" s="82">
        <f>CD123+CD124+CD125</f>
        <v>558.79999999999995</v>
      </c>
      <c r="CE126" s="82">
        <f>CE123+CE124+CE125</f>
        <v>558.79999999999995</v>
      </c>
      <c r="CF126" s="82">
        <f>CF123+CF124+CF125</f>
        <v>558.79999999999995</v>
      </c>
      <c r="CG126" s="82">
        <f>CG123+CG124+CG125</f>
        <v>558.79999999999995</v>
      </c>
      <c r="CH126" s="109"/>
      <c r="CI126" s="82">
        <f t="shared" ref="CI126:CM126" si="225">CI123+CI124+CI125</f>
        <v>558.79999999999995</v>
      </c>
      <c r="CJ126" s="82">
        <f t="shared" si="225"/>
        <v>558.79999999999995</v>
      </c>
      <c r="CK126" s="82">
        <f t="shared" si="225"/>
        <v>558.79999999999995</v>
      </c>
      <c r="CL126" s="82">
        <f t="shared" si="225"/>
        <v>558.79999999999995</v>
      </c>
      <c r="CM126" s="82">
        <f t="shared" si="225"/>
        <v>558.79999999999995</v>
      </c>
      <c r="CN126" s="109"/>
      <c r="CO126" s="82">
        <f t="shared" ref="CO126:CS126" si="226">CO123+CO124+CO125</f>
        <v>558.79999999999995</v>
      </c>
      <c r="CP126" s="82">
        <f t="shared" si="226"/>
        <v>558.79999999999995</v>
      </c>
      <c r="CQ126" s="82">
        <f t="shared" si="226"/>
        <v>558.79999999999995</v>
      </c>
      <c r="CR126" s="82">
        <f t="shared" si="226"/>
        <v>558.79999999999995</v>
      </c>
      <c r="CS126" s="82">
        <f t="shared" si="226"/>
        <v>558.79999999999995</v>
      </c>
      <c r="CT126" s="82"/>
      <c r="CU126" s="82"/>
      <c r="CV126" s="82"/>
      <c r="CW126" s="75"/>
      <c r="CX126" s="75"/>
      <c r="CY126" s="75"/>
      <c r="CZ126" s="75"/>
    </row>
    <row r="127" spans="1:104" ht="12.75" customHeight="1" outlineLevel="1" x14ac:dyDescent="0.2">
      <c r="A127" s="75"/>
      <c r="B127" s="109"/>
      <c r="C127" s="82"/>
      <c r="D127" s="82"/>
      <c r="E127" s="82"/>
      <c r="F127" s="82"/>
      <c r="G127" s="82"/>
      <c r="H127" s="109"/>
      <c r="I127" s="82"/>
      <c r="J127" s="82"/>
      <c r="K127" s="82"/>
      <c r="L127" s="82"/>
      <c r="M127" s="82"/>
      <c r="N127" s="109"/>
      <c r="O127" s="82"/>
      <c r="P127" s="82"/>
      <c r="Q127" s="82"/>
      <c r="R127" s="82"/>
      <c r="S127" s="82"/>
      <c r="T127" s="109"/>
      <c r="U127" s="82"/>
      <c r="V127" s="82"/>
      <c r="W127" s="82"/>
      <c r="X127" s="82"/>
      <c r="Y127" s="82"/>
      <c r="Z127" s="109"/>
      <c r="AA127" s="82"/>
      <c r="AB127" s="82"/>
      <c r="AC127" s="82"/>
      <c r="AD127" s="82"/>
      <c r="AE127" s="82"/>
      <c r="AF127" s="109"/>
      <c r="AG127" s="82"/>
      <c r="AH127" s="82"/>
      <c r="AI127" s="82"/>
      <c r="AJ127" s="82"/>
      <c r="AK127" s="82"/>
      <c r="AL127" s="109"/>
      <c r="AM127" s="82"/>
      <c r="AN127" s="82"/>
      <c r="AO127" s="82"/>
      <c r="AP127" s="82"/>
      <c r="AQ127" s="82"/>
      <c r="AR127" s="109"/>
      <c r="AS127" s="82"/>
      <c r="AT127" s="82"/>
      <c r="AU127" s="82"/>
      <c r="AV127" s="82"/>
      <c r="AW127" s="82"/>
      <c r="AX127" s="109"/>
      <c r="AY127" s="82"/>
      <c r="AZ127" s="82"/>
      <c r="BA127" s="605"/>
      <c r="BB127" s="605"/>
      <c r="BC127" s="82"/>
      <c r="BD127" s="109"/>
      <c r="BE127" s="82"/>
      <c r="BF127" s="82"/>
      <c r="BG127" s="82"/>
      <c r="BH127" s="605"/>
      <c r="BI127" s="82"/>
      <c r="BJ127" s="109"/>
      <c r="BK127" s="82"/>
      <c r="BL127" s="82"/>
      <c r="BM127" s="82"/>
      <c r="BN127" s="605"/>
      <c r="BO127" s="82"/>
      <c r="BP127" s="109"/>
      <c r="BQ127" s="82"/>
      <c r="BR127" s="82"/>
      <c r="BS127" s="82"/>
      <c r="BT127" s="82"/>
      <c r="BU127" s="82"/>
      <c r="BV127" s="109"/>
      <c r="BW127" s="82"/>
      <c r="BX127" s="82"/>
      <c r="BY127" s="82"/>
      <c r="BZ127" s="82"/>
      <c r="CA127" s="82"/>
      <c r="CB127" s="109"/>
      <c r="CC127" s="82"/>
      <c r="CD127" s="82"/>
      <c r="CE127" s="82"/>
      <c r="CF127" s="82"/>
      <c r="CG127" s="82"/>
      <c r="CH127" s="109"/>
      <c r="CI127" s="82"/>
      <c r="CJ127" s="82"/>
      <c r="CK127" s="82"/>
      <c r="CL127" s="82"/>
      <c r="CM127" s="82"/>
      <c r="CN127" s="109"/>
      <c r="CO127" s="82"/>
      <c r="CP127" s="82"/>
      <c r="CQ127" s="82"/>
      <c r="CR127" s="82"/>
      <c r="CS127" s="82"/>
      <c r="CT127" s="82"/>
      <c r="CU127" s="82"/>
      <c r="CV127" s="82"/>
      <c r="CW127" s="75"/>
      <c r="CX127" s="75"/>
      <c r="CY127" s="75"/>
      <c r="CZ127" s="75"/>
    </row>
    <row r="128" spans="1:104" ht="12.75" customHeight="1" outlineLevel="1" x14ac:dyDescent="0.2">
      <c r="A128" s="75" t="s">
        <v>281</v>
      </c>
      <c r="B128" s="109"/>
      <c r="C128" s="84"/>
      <c r="D128" s="82"/>
      <c r="E128" s="82"/>
      <c r="F128" s="82"/>
      <c r="G128" s="82"/>
      <c r="H128" s="109"/>
      <c r="I128" s="82"/>
      <c r="J128" s="82"/>
      <c r="K128" s="82"/>
      <c r="L128" s="82"/>
      <c r="M128" s="82"/>
      <c r="N128" s="109"/>
      <c r="O128" s="82"/>
      <c r="P128" s="82"/>
      <c r="Q128" s="82"/>
      <c r="R128" s="82"/>
      <c r="S128" s="82"/>
      <c r="T128" s="109"/>
      <c r="U128" s="82"/>
      <c r="V128" s="82"/>
      <c r="W128" s="82"/>
      <c r="X128" s="82"/>
      <c r="Y128" s="82"/>
      <c r="Z128" s="109"/>
      <c r="AA128" s="82"/>
      <c r="AB128" s="82"/>
      <c r="AC128" s="82"/>
      <c r="AD128" s="82"/>
      <c r="AE128" s="82"/>
      <c r="AF128" s="109"/>
      <c r="AG128" s="82">
        <f>AE132</f>
        <v>-2.1349999999999998</v>
      </c>
      <c r="AH128" s="82">
        <f>AG132</f>
        <v>-2.41</v>
      </c>
      <c r="AI128" s="82">
        <f>AH132</f>
        <v>-2.6850000000000001</v>
      </c>
      <c r="AJ128" s="82">
        <f>AI132</f>
        <v>-2.96</v>
      </c>
      <c r="AK128" s="82">
        <f>AE132</f>
        <v>-2.1349999999999998</v>
      </c>
      <c r="AL128" s="109"/>
      <c r="AM128" s="82">
        <f>AK132</f>
        <v>-3.2280000000000002</v>
      </c>
      <c r="AN128" s="82">
        <f>AM132</f>
        <v>-3.5030000000000001</v>
      </c>
      <c r="AO128" s="82">
        <f>AN132</f>
        <v>-5.2309999999999999</v>
      </c>
      <c r="AP128" s="82">
        <f>AO132</f>
        <v>-3.4249999999999998</v>
      </c>
      <c r="AQ128" s="82">
        <f>AK132</f>
        <v>-3.2280000000000002</v>
      </c>
      <c r="AR128" s="109"/>
      <c r="AS128" s="82">
        <f>AQ132</f>
        <v>-3.62</v>
      </c>
      <c r="AT128" s="82">
        <f>AS132</f>
        <v>-3.8639999999999999</v>
      </c>
      <c r="AU128" s="82">
        <f>AT132</f>
        <v>-4.1079999999999997</v>
      </c>
      <c r="AV128" s="82">
        <f>AU132</f>
        <v>-5.2539999999999996</v>
      </c>
      <c r="AW128" s="82">
        <f>AQ132</f>
        <v>-3.62</v>
      </c>
      <c r="AX128" s="109"/>
      <c r="AY128" s="82">
        <f>AW132</f>
        <v>-8.2379999999999995</v>
      </c>
      <c r="AZ128" s="82">
        <f>AY132</f>
        <v>-9.5879999999999992</v>
      </c>
      <c r="BA128" s="82">
        <f>AZ132</f>
        <v>-12.723000000000001</v>
      </c>
      <c r="BB128" s="82">
        <f>BA132</f>
        <v>-15.859</v>
      </c>
      <c r="BC128" s="82">
        <f>AW132</f>
        <v>-8.2379999999999995</v>
      </c>
      <c r="BD128" s="109"/>
      <c r="BE128" s="82">
        <f>BC132</f>
        <v>-19</v>
      </c>
      <c r="BF128" s="82">
        <f>BE132</f>
        <v>-22.2</v>
      </c>
      <c r="BG128" s="82">
        <f>BF132</f>
        <v>-25.3</v>
      </c>
      <c r="BH128" s="82">
        <f>BG132</f>
        <v>-28.4</v>
      </c>
      <c r="BI128" s="82">
        <f>BC132</f>
        <v>-19</v>
      </c>
      <c r="BJ128" s="109"/>
      <c r="BK128" s="82">
        <f>BI132</f>
        <v>-31.500000000000004</v>
      </c>
      <c r="BL128" s="82">
        <f>BK132</f>
        <v>-37.299999999999997</v>
      </c>
      <c r="BM128" s="82">
        <f>BL132</f>
        <v>-46.3</v>
      </c>
      <c r="BN128" s="82">
        <f>BM132</f>
        <v>-55.5</v>
      </c>
      <c r="BO128" s="82">
        <f>BI132</f>
        <v>-31.500000000000004</v>
      </c>
      <c r="BP128" s="109"/>
      <c r="BQ128" s="82">
        <f>BO132</f>
        <v>-64.8</v>
      </c>
      <c r="BR128" s="82">
        <f>BQ132</f>
        <v>-74.3</v>
      </c>
      <c r="BS128" s="82">
        <f>BR132</f>
        <v>-83.6</v>
      </c>
      <c r="BT128" s="82">
        <f>BS132</f>
        <v>-92.91166457624081</v>
      </c>
      <c r="BU128" s="82">
        <f>BO132</f>
        <v>-64.8</v>
      </c>
      <c r="BV128" s="109"/>
      <c r="BW128" s="82">
        <f>BU132</f>
        <v>-102.22332915248164</v>
      </c>
      <c r="BX128" s="82">
        <f>BW132</f>
        <v>-111.53499372872245</v>
      </c>
      <c r="BY128" s="82">
        <f>BX132</f>
        <v>-120.84665830496327</v>
      </c>
      <c r="BZ128" s="82">
        <f>BY132</f>
        <v>-130.15832288120407</v>
      </c>
      <c r="CA128" s="82">
        <f>BU132</f>
        <v>-102.22332915248164</v>
      </c>
      <c r="CB128" s="109"/>
      <c r="CC128" s="82">
        <f>CA132</f>
        <v>-139.46998745744492</v>
      </c>
      <c r="CD128" s="82">
        <f>CC132</f>
        <v>-148.78165203368573</v>
      </c>
      <c r="CE128" s="82">
        <f>CD132</f>
        <v>-158.09331660992655</v>
      </c>
      <c r="CF128" s="82">
        <f>CE132</f>
        <v>-167.40498118616736</v>
      </c>
      <c r="CG128" s="82">
        <f>CA132</f>
        <v>-139.46998745744492</v>
      </c>
      <c r="CH128" s="109"/>
      <c r="CI128" s="82">
        <f t="shared" ref="CI128" si="227">CG132</f>
        <v>-176.71664576240818</v>
      </c>
      <c r="CJ128" s="82">
        <f t="shared" ref="CJ128:CL128" si="228">CI132</f>
        <v>-186.02831033864899</v>
      </c>
      <c r="CK128" s="82">
        <f t="shared" si="228"/>
        <v>-195.33997491488981</v>
      </c>
      <c r="CL128" s="82">
        <f t="shared" si="228"/>
        <v>-204.65163949113062</v>
      </c>
      <c r="CM128" s="82">
        <f t="shared" ref="CM128" si="229">CG132</f>
        <v>-176.71664576240818</v>
      </c>
      <c r="CN128" s="109"/>
      <c r="CO128" s="82">
        <f t="shared" ref="CO128" si="230">CM132</f>
        <v>-213.96330406737144</v>
      </c>
      <c r="CP128" s="82">
        <f t="shared" ref="CP128:CR128" si="231">CO132</f>
        <v>-223.27496864361225</v>
      </c>
      <c r="CQ128" s="82">
        <f t="shared" si="231"/>
        <v>-232.58663321985307</v>
      </c>
      <c r="CR128" s="82">
        <f t="shared" si="231"/>
        <v>-241.89829779609389</v>
      </c>
      <c r="CS128" s="82">
        <f t="shared" ref="CS128" si="232">CM132</f>
        <v>-213.96330406737144</v>
      </c>
      <c r="CT128" s="82"/>
      <c r="CU128" s="82"/>
      <c r="CV128" s="82"/>
      <c r="CW128" s="75"/>
      <c r="CX128" s="75"/>
      <c r="CY128" s="75"/>
      <c r="CZ128" s="75"/>
    </row>
    <row r="129" spans="1:104" ht="12.75" customHeight="1" outlineLevel="1" x14ac:dyDescent="0.2">
      <c r="A129" s="127" t="s">
        <v>167</v>
      </c>
      <c r="B129" s="109"/>
      <c r="C129" s="82"/>
      <c r="D129" s="82"/>
      <c r="E129" s="82"/>
      <c r="F129" s="82"/>
      <c r="G129" s="82"/>
      <c r="H129" s="109"/>
      <c r="I129" s="82"/>
      <c r="J129" s="82"/>
      <c r="K129" s="82"/>
      <c r="L129" s="82"/>
      <c r="M129" s="82"/>
      <c r="N129" s="109"/>
      <c r="O129" s="82"/>
      <c r="P129" s="82"/>
      <c r="Q129" s="82"/>
      <c r="R129" s="82"/>
      <c r="S129" s="82"/>
      <c r="T129" s="109"/>
      <c r="U129" s="82"/>
      <c r="V129" s="82"/>
      <c r="W129" s="82"/>
      <c r="X129" s="82"/>
      <c r="Y129" s="82"/>
      <c r="Z129" s="109"/>
      <c r="AA129" s="82"/>
      <c r="AB129" s="82"/>
      <c r="AC129" s="448"/>
      <c r="AD129" s="448"/>
      <c r="AE129" s="448">
        <v>-2.1349999999999998</v>
      </c>
      <c r="AF129" s="109"/>
      <c r="AG129" s="448">
        <v>-0.27500000000000002</v>
      </c>
      <c r="AH129" s="448">
        <v>-0.27500000000000002</v>
      </c>
      <c r="AI129" s="448">
        <v>-0.27500000000000002</v>
      </c>
      <c r="AJ129" s="82">
        <f>-1.1-AI129-AH129-AG129</f>
        <v>-0.27500000000000002</v>
      </c>
      <c r="AK129" s="82">
        <f>SUM(AG129:AJ129)</f>
        <v>-1.1000000000000001</v>
      </c>
      <c r="AL129" s="109"/>
      <c r="AM129" s="448">
        <v>-0.27500000000000002</v>
      </c>
      <c r="AN129" s="448">
        <v>-0.23100000000000001</v>
      </c>
      <c r="AO129" s="448">
        <v>-0.19400000000000001</v>
      </c>
      <c r="AP129" s="82">
        <f>-0.895-AO129-AN129-AM129</f>
        <v>-0.19500000000000006</v>
      </c>
      <c r="AQ129" s="82">
        <f>SUM(AM129:AP129)</f>
        <v>-0.89500000000000002</v>
      </c>
      <c r="AR129" s="109"/>
      <c r="AS129" s="448">
        <v>-0.24399999999999999</v>
      </c>
      <c r="AT129" s="448">
        <v>-0.24399999999999999</v>
      </c>
      <c r="AU129" s="448">
        <v>-1.1459999999999999</v>
      </c>
      <c r="AV129" s="448">
        <f>-4.633-AU129-AT129-AS129</f>
        <v>-2.9990000000000006</v>
      </c>
      <c r="AW129" s="82">
        <f>SUM(AS129:AV129)</f>
        <v>-4.6330000000000009</v>
      </c>
      <c r="AX129" s="109"/>
      <c r="AY129" s="448">
        <v>-3.35</v>
      </c>
      <c r="AZ129" s="448">
        <v>-3.1349999999999998</v>
      </c>
      <c r="BA129" s="448">
        <v>-3.1360000000000001</v>
      </c>
      <c r="BB129" s="448">
        <v>-3.1360000000000001</v>
      </c>
      <c r="BC129" s="82">
        <f>SUM(AY129:BB129)</f>
        <v>-12.756999999999998</v>
      </c>
      <c r="BD129" s="109"/>
      <c r="BE129" s="448">
        <v>-3.2</v>
      </c>
      <c r="BF129" s="448">
        <v>-3.2</v>
      </c>
      <c r="BG129" s="448">
        <v>-3.1</v>
      </c>
      <c r="BH129" s="448">
        <f>-12.6-SUM(BE129:BG129)</f>
        <v>-3.0999999999999996</v>
      </c>
      <c r="BI129" s="82">
        <f>SUM(BE129:BH129)</f>
        <v>-12.6</v>
      </c>
      <c r="BJ129" s="109"/>
      <c r="BK129" s="448">
        <v>-5.5</v>
      </c>
      <c r="BL129" s="448">
        <v>-9.3000000000000007</v>
      </c>
      <c r="BM129" s="448">
        <v>-9.1999999999999993</v>
      </c>
      <c r="BN129" s="448">
        <f>-33.3-SUM(BK129:BM129)</f>
        <v>-9.2999999999999972</v>
      </c>
      <c r="BO129" s="82">
        <f>SUM(BK129:BN129)</f>
        <v>-33.299999999999997</v>
      </c>
      <c r="BP129" s="109"/>
      <c r="BQ129" s="448">
        <v>-9.3000000000000007</v>
      </c>
      <c r="BR129" s="448">
        <v>-9.3000000000000007</v>
      </c>
      <c r="BS129" s="82">
        <f>-(BS123*BS130)/4</f>
        <v>-9.3116645762408154</v>
      </c>
      <c r="BT129" s="82">
        <f>-(BT123*BT130)/4</f>
        <v>-9.3116645762408154</v>
      </c>
      <c r="BU129" s="82">
        <f>SUM(BQ129:BT129)</f>
        <v>-37.223329152481632</v>
      </c>
      <c r="BV129" s="109"/>
      <c r="BW129" s="82">
        <f>-(BW123*BW130)/4</f>
        <v>-9.3116645762408154</v>
      </c>
      <c r="BX129" s="82">
        <f>-(BX123*BX130)/4</f>
        <v>-9.3116645762408154</v>
      </c>
      <c r="BY129" s="82">
        <f>-(BY123*BY130)/4</f>
        <v>-9.3116645762408154</v>
      </c>
      <c r="BZ129" s="82">
        <f>-(BZ123*BZ130)/4</f>
        <v>-9.3116645762408154</v>
      </c>
      <c r="CA129" s="82">
        <f>SUM(BW129:BZ129)</f>
        <v>-37.246658304963262</v>
      </c>
      <c r="CB129" s="109"/>
      <c r="CC129" s="82">
        <f>-(CC123*CC130)/4</f>
        <v>-9.3116645762408154</v>
      </c>
      <c r="CD129" s="82">
        <f>-(CD123*CD130)/4</f>
        <v>-9.3116645762408154</v>
      </c>
      <c r="CE129" s="82">
        <f>-(CE123*CE130)/4</f>
        <v>-9.3116645762408154</v>
      </c>
      <c r="CF129" s="82">
        <f>-(CF123*CF130)/4</f>
        <v>-9.3116645762408154</v>
      </c>
      <c r="CG129" s="82">
        <f>SUM(CC129:CF129)</f>
        <v>-37.246658304963262</v>
      </c>
      <c r="CH129" s="109"/>
      <c r="CI129" s="82">
        <f t="shared" ref="CI129:CL129" si="233">-(CI123*CI130)/4</f>
        <v>-9.3116645762408154</v>
      </c>
      <c r="CJ129" s="82">
        <f t="shared" si="233"/>
        <v>-9.3116645762408154</v>
      </c>
      <c r="CK129" s="82">
        <f t="shared" si="233"/>
        <v>-9.3116645762408154</v>
      </c>
      <c r="CL129" s="82">
        <f t="shared" si="233"/>
        <v>-9.3116645762408154</v>
      </c>
      <c r="CM129" s="82">
        <f t="shared" ref="CM129" si="234">SUM(CI129:CL129)</f>
        <v>-37.246658304963262</v>
      </c>
      <c r="CN129" s="109"/>
      <c r="CO129" s="82">
        <f t="shared" ref="CO129:CR129" si="235">-(CO123*CO130)/4</f>
        <v>-9.3116645762408154</v>
      </c>
      <c r="CP129" s="82">
        <f t="shared" si="235"/>
        <v>-9.3116645762408154</v>
      </c>
      <c r="CQ129" s="82">
        <f t="shared" si="235"/>
        <v>-9.3116645762408154</v>
      </c>
      <c r="CR129" s="82">
        <f t="shared" si="235"/>
        <v>-9.3116645762408154</v>
      </c>
      <c r="CS129" s="82">
        <f t="shared" ref="CS129" si="236">SUM(CO129:CR129)</f>
        <v>-37.246658304963262</v>
      </c>
      <c r="CT129" s="82"/>
      <c r="CU129" s="82"/>
      <c r="CV129" s="82"/>
      <c r="CW129" s="75"/>
      <c r="CX129" s="75"/>
      <c r="CY129" s="75"/>
      <c r="CZ129" s="75"/>
    </row>
    <row r="130" spans="1:104" ht="12.75" customHeight="1" outlineLevel="1" x14ac:dyDescent="0.2">
      <c r="A130" s="266" t="s">
        <v>162</v>
      </c>
      <c r="B130" s="110"/>
      <c r="C130" s="195"/>
      <c r="D130" s="195"/>
      <c r="E130" s="195"/>
      <c r="F130" s="195"/>
      <c r="G130" s="195"/>
      <c r="H130" s="110"/>
      <c r="I130" s="195"/>
      <c r="J130" s="195"/>
      <c r="K130" s="195"/>
      <c r="L130" s="195"/>
      <c r="M130" s="195"/>
      <c r="N130" s="110"/>
      <c r="O130" s="195"/>
      <c r="P130" s="195"/>
      <c r="Q130" s="195"/>
      <c r="R130" s="195"/>
      <c r="S130" s="195"/>
      <c r="T130" s="110"/>
      <c r="U130" s="195"/>
      <c r="V130" s="195"/>
      <c r="W130" s="195"/>
      <c r="X130" s="195"/>
      <c r="Y130" s="195"/>
      <c r="Z130" s="110"/>
      <c r="AA130" s="195"/>
      <c r="AB130" s="195"/>
      <c r="AC130" s="195"/>
      <c r="AD130" s="195"/>
      <c r="AE130" s="195">
        <f>-(AE128)/AE124</f>
        <v>0</v>
      </c>
      <c r="AF130" s="110"/>
      <c r="AG130" s="195">
        <f>-(AG129*4)/AG123</f>
        <v>5.8355437665782495E-2</v>
      </c>
      <c r="AH130" s="195">
        <f>-(AH129*4)/AH123</f>
        <v>5.8355437665782495E-2</v>
      </c>
      <c r="AI130" s="195">
        <f>-(AI129*4)/AI123</f>
        <v>5.8047493403693938E-2</v>
      </c>
      <c r="AJ130" s="195">
        <f>-(AJ129*4)/AJ123</f>
        <v>5.8047493403693938E-2</v>
      </c>
      <c r="AK130" s="195">
        <f>-(AK129)/AK123</f>
        <v>5.8355437665782495E-2</v>
      </c>
      <c r="AL130" s="110"/>
      <c r="AM130" s="195">
        <f>-(AM129*4)/AM123</f>
        <v>5.8047493403693938E-2</v>
      </c>
      <c r="AN130" s="195">
        <f>-(AN129*4)/AN123</f>
        <v>4.8759894459102907E-2</v>
      </c>
      <c r="AO130" s="195">
        <f>-(AO129*4)/AO123</f>
        <v>4.0949868073878633E-2</v>
      </c>
      <c r="AP130" s="195">
        <f>-(AP129*4)/AP123</f>
        <v>4.6017699115044261E-2</v>
      </c>
      <c r="AQ130" s="195">
        <f>-(AQ129)/AQ123</f>
        <v>4.7229551451187339E-2</v>
      </c>
      <c r="AR130" s="110"/>
      <c r="AS130" s="195">
        <f>-(AS129*4)/AS123</f>
        <v>5.7581120943952804E-2</v>
      </c>
      <c r="AT130" s="195">
        <f>-(AT129*4)/AT123</f>
        <v>5.7581120943952804E-2</v>
      </c>
      <c r="AU130" s="195">
        <f>-(AU129*4)/AU123</f>
        <v>0.2704424778761062</v>
      </c>
      <c r="AV130" s="195">
        <f>-(AV129*4)/AV123</f>
        <v>5.6174198080074934E-2</v>
      </c>
      <c r="AW130" s="195">
        <f>-(AW129)/AW123</f>
        <v>0.27333333333333337</v>
      </c>
      <c r="AX130" s="110"/>
      <c r="AY130" s="195">
        <f>-(AY129*4)/AY123</f>
        <v>6.2748770779676888E-2</v>
      </c>
      <c r="AZ130" s="195">
        <f>-(AZ129*4)/AZ123</f>
        <v>5.9276766721815165E-2</v>
      </c>
      <c r="BA130" s="195">
        <f>-(BA129*4)/BA123</f>
        <v>5.9295674781375561E-2</v>
      </c>
      <c r="BB130" s="195">
        <f>-(BB129*4)/BB123</f>
        <v>5.9295674781375561E-2</v>
      </c>
      <c r="BC130" s="195">
        <f>-(BC129)/BC123</f>
        <v>5.9737766331069996E-2</v>
      </c>
      <c r="BD130" s="110"/>
      <c r="BE130" s="195">
        <f>-(BE129*4)/BE123</f>
        <v>6.0491493383742913E-2</v>
      </c>
      <c r="BF130" s="195">
        <f>-(BF129*4)/BF123</f>
        <v>6.0491493383742913E-2</v>
      </c>
      <c r="BG130" s="195">
        <f>-(BG129*4)/BG123</f>
        <v>5.860113421550095E-2</v>
      </c>
      <c r="BH130" s="195">
        <f>-(BH129*4)/BH123</f>
        <v>5.8601134215500943E-2</v>
      </c>
      <c r="BI130" s="195">
        <f>-(BI129)/BI123</f>
        <v>5.9546313799621928E-2</v>
      </c>
      <c r="BJ130" s="110"/>
      <c r="BK130" s="195">
        <f>-(BK129*4)/BK123</f>
        <v>8.4942084942084939E-2</v>
      </c>
      <c r="BL130" s="195">
        <f>-(BL129*4)/BL123</f>
        <v>6.6606982990152205E-2</v>
      </c>
      <c r="BM130" s="195">
        <f>-(BM129*4)/BM123</f>
        <v>6.6582232675954395E-2</v>
      </c>
      <c r="BN130" s="195">
        <f>-(BN129*4)/BN123</f>
        <v>6.7196531791907488E-2</v>
      </c>
      <c r="BO130" s="195">
        <f>-(BO129)/BO123</f>
        <v>0.12857142857142856</v>
      </c>
      <c r="BP130" s="110"/>
      <c r="BQ130" s="195">
        <f>-(BQ129*4)/BQ123</f>
        <v>6.6858375269590237E-2</v>
      </c>
      <c r="BR130" s="195">
        <f>-(BR129*4)/BR123</f>
        <v>6.6654721376097473E-2</v>
      </c>
      <c r="BS130" s="558">
        <f>+BR130</f>
        <v>6.6654721376097473E-2</v>
      </c>
      <c r="BT130" s="558">
        <f>+BS130</f>
        <v>6.6654721376097473E-2</v>
      </c>
      <c r="BU130" s="195">
        <f>-(BU129)/BU123</f>
        <v>6.6900304012368142E-2</v>
      </c>
      <c r="BV130" s="110"/>
      <c r="BW130" s="558">
        <f>+BT130</f>
        <v>6.6654721376097473E-2</v>
      </c>
      <c r="BX130" s="558">
        <f>+BW130</f>
        <v>6.6654721376097473E-2</v>
      </c>
      <c r="BY130" s="558">
        <f>+BX130</f>
        <v>6.6654721376097473E-2</v>
      </c>
      <c r="BZ130" s="558">
        <f>+BY130</f>
        <v>6.6654721376097473E-2</v>
      </c>
      <c r="CA130" s="195">
        <f>-(CA129)/CA123</f>
        <v>6.6654721376097473E-2</v>
      </c>
      <c r="CB130" s="110"/>
      <c r="CC130" s="558">
        <f>+BZ130</f>
        <v>6.6654721376097473E-2</v>
      </c>
      <c r="CD130" s="558">
        <f>+CC130</f>
        <v>6.6654721376097473E-2</v>
      </c>
      <c r="CE130" s="558">
        <f>+CD130</f>
        <v>6.6654721376097473E-2</v>
      </c>
      <c r="CF130" s="558">
        <f>+CE130</f>
        <v>6.6654721376097473E-2</v>
      </c>
      <c r="CG130" s="195">
        <f>-(CG129)/CG123</f>
        <v>6.6654721376097473E-2</v>
      </c>
      <c r="CH130" s="110"/>
      <c r="CI130" s="558">
        <f t="shared" ref="CI130" si="237">+CF130</f>
        <v>6.6654721376097473E-2</v>
      </c>
      <c r="CJ130" s="558">
        <f t="shared" ref="CJ130:CL130" si="238">+CI130</f>
        <v>6.6654721376097473E-2</v>
      </c>
      <c r="CK130" s="558">
        <f t="shared" si="238"/>
        <v>6.6654721376097473E-2</v>
      </c>
      <c r="CL130" s="558">
        <f t="shared" si="238"/>
        <v>6.6654721376097473E-2</v>
      </c>
      <c r="CM130" s="195">
        <f t="shared" ref="CM130" si="239">-(CM129)/CM123</f>
        <v>6.6654721376097473E-2</v>
      </c>
      <c r="CN130" s="110"/>
      <c r="CO130" s="558">
        <f t="shared" ref="CO130" si="240">+CL130</f>
        <v>6.6654721376097473E-2</v>
      </c>
      <c r="CP130" s="558">
        <f t="shared" ref="CP130:CR130" si="241">+CO130</f>
        <v>6.6654721376097473E-2</v>
      </c>
      <c r="CQ130" s="558">
        <f t="shared" si="241"/>
        <v>6.6654721376097473E-2</v>
      </c>
      <c r="CR130" s="558">
        <f t="shared" si="241"/>
        <v>6.6654721376097473E-2</v>
      </c>
      <c r="CS130" s="195">
        <f t="shared" ref="CS130" si="242">-(CS129)/CS123</f>
        <v>6.6654721376097473E-2</v>
      </c>
      <c r="CT130" s="195"/>
      <c r="CU130" s="195"/>
      <c r="CV130" s="195"/>
      <c r="CW130" s="87"/>
      <c r="CX130" s="87"/>
      <c r="CY130" s="87"/>
      <c r="CZ130" s="87"/>
    </row>
    <row r="131" spans="1:104" ht="12.75" customHeight="1" outlineLevel="1" x14ac:dyDescent="0.2">
      <c r="A131" s="127" t="s">
        <v>109</v>
      </c>
      <c r="B131" s="109"/>
      <c r="C131" s="196"/>
      <c r="D131" s="196"/>
      <c r="E131" s="196"/>
      <c r="F131" s="196"/>
      <c r="G131" s="196"/>
      <c r="H131" s="109"/>
      <c r="I131" s="196"/>
      <c r="J131" s="196"/>
      <c r="K131" s="196"/>
      <c r="L131" s="196"/>
      <c r="M131" s="196"/>
      <c r="N131" s="109"/>
      <c r="O131" s="196"/>
      <c r="P131" s="196"/>
      <c r="Q131" s="196"/>
      <c r="R131" s="196"/>
      <c r="S131" s="196"/>
      <c r="T131" s="109"/>
      <c r="U131" s="196"/>
      <c r="V131" s="196"/>
      <c r="W131" s="196"/>
      <c r="X131" s="196"/>
      <c r="Y131" s="196"/>
      <c r="Z131" s="109"/>
      <c r="AA131" s="196"/>
      <c r="AB131" s="196"/>
      <c r="AC131" s="196"/>
      <c r="AD131" s="196"/>
      <c r="AE131" s="196">
        <v>0</v>
      </c>
      <c r="AF131" s="109"/>
      <c r="AG131" s="196">
        <f>AG132-AG129-AG128</f>
        <v>0</v>
      </c>
      <c r="AH131" s="196">
        <f>AH132-AH129-AH128</f>
        <v>0</v>
      </c>
      <c r="AI131" s="196">
        <f>AI132-AI129-AI128</f>
        <v>0</v>
      </c>
      <c r="AJ131" s="196">
        <f>AJ132-AJ129-AJ128</f>
        <v>6.9999999999996732E-3</v>
      </c>
      <c r="AK131" s="196">
        <f>SUM(AG131:AJ131)</f>
        <v>6.9999999999996732E-3</v>
      </c>
      <c r="AL131" s="109"/>
      <c r="AM131" s="196">
        <f>AM132-AM129-AM128</f>
        <v>0</v>
      </c>
      <c r="AN131" s="196">
        <f>AN132-AN129-AN128</f>
        <v>-1.4969999999999999</v>
      </c>
      <c r="AO131" s="196">
        <f>AO132-AO129-AO128</f>
        <v>2</v>
      </c>
      <c r="AP131" s="196">
        <f>AP132-AP129-AP128</f>
        <v>0</v>
      </c>
      <c r="AQ131" s="196">
        <f>SUM(AM131:AP131)</f>
        <v>0.50300000000000011</v>
      </c>
      <c r="AR131" s="109"/>
      <c r="AS131" s="196">
        <f>AS132-AS129-AS128</f>
        <v>0</v>
      </c>
      <c r="AT131" s="196">
        <f>AT132-AT129-AT128</f>
        <v>0</v>
      </c>
      <c r="AU131" s="196">
        <f>AU132-AU129-AU128</f>
        <v>0</v>
      </c>
      <c r="AV131" s="196">
        <f>AV132-AV129-AV128</f>
        <v>1.5000000000000568E-2</v>
      </c>
      <c r="AW131" s="196">
        <f>SUM(AS131:AV131)</f>
        <v>1.5000000000000568E-2</v>
      </c>
      <c r="AX131" s="109"/>
      <c r="AY131" s="196">
        <f>AY132-AY129-AY128</f>
        <v>2</v>
      </c>
      <c r="AZ131" s="196">
        <f>AZ132-AZ129-AZ128</f>
        <v>0</v>
      </c>
      <c r="BA131" s="196">
        <f>BA132-BA129-BA128</f>
        <v>0</v>
      </c>
      <c r="BB131" s="196">
        <f>BB132-BB129-BB128</f>
        <v>-5.0000000000007816E-3</v>
      </c>
      <c r="BC131" s="196">
        <f>SUM(AY131:BB131)</f>
        <v>1.9949999999999992</v>
      </c>
      <c r="BD131" s="109"/>
      <c r="BE131" s="196">
        <f>BE132-BE129-BE128</f>
        <v>0</v>
      </c>
      <c r="BF131" s="196">
        <f>BF132-BF129-BF128</f>
        <v>9.9999999999997868E-2</v>
      </c>
      <c r="BG131" s="196">
        <f>BG132-BG129-BG128</f>
        <v>0</v>
      </c>
      <c r="BH131" s="196">
        <f>BH132-BH129-BH128</f>
        <v>0</v>
      </c>
      <c r="BI131" s="196">
        <f>SUM(BE131:BH131)</f>
        <v>9.9999999999997868E-2</v>
      </c>
      <c r="BJ131" s="109"/>
      <c r="BK131" s="196">
        <f>BK132-BK129-BK128</f>
        <v>-0.29999999999999361</v>
      </c>
      <c r="BL131" s="196">
        <f>BL132-BL129-BL128</f>
        <v>0.29999999999999716</v>
      </c>
      <c r="BM131" s="196">
        <f>BM132-BM129-BM128</f>
        <v>0</v>
      </c>
      <c r="BN131" s="196">
        <f>BN132-BN129-BN128</f>
        <v>0</v>
      </c>
      <c r="BO131" s="196">
        <f>SUM(BK131:BN131)</f>
        <v>3.5527136788005009E-15</v>
      </c>
      <c r="BP131" s="109"/>
      <c r="BQ131" s="196">
        <f>BQ132-BQ129-BQ128</f>
        <v>-0.20000000000000284</v>
      </c>
      <c r="BR131" s="196">
        <f>BR132-BR129-BR128</f>
        <v>0</v>
      </c>
      <c r="BS131" s="197">
        <v>0</v>
      </c>
      <c r="BT131" s="197">
        <v>0</v>
      </c>
      <c r="BU131" s="196">
        <f>SUM(BQ131:BT131)</f>
        <v>-0.20000000000000284</v>
      </c>
      <c r="BV131" s="109"/>
      <c r="BW131" s="197">
        <v>0</v>
      </c>
      <c r="BX131" s="197">
        <v>0</v>
      </c>
      <c r="BY131" s="197">
        <v>0</v>
      </c>
      <c r="BZ131" s="197">
        <v>0</v>
      </c>
      <c r="CA131" s="196">
        <f>SUM(BW131:BZ131)</f>
        <v>0</v>
      </c>
      <c r="CB131" s="109"/>
      <c r="CC131" s="197">
        <v>0</v>
      </c>
      <c r="CD131" s="197">
        <v>0</v>
      </c>
      <c r="CE131" s="197">
        <v>0</v>
      </c>
      <c r="CF131" s="197">
        <v>0</v>
      </c>
      <c r="CG131" s="196">
        <f>SUM(CC131:CF131)</f>
        <v>0</v>
      </c>
      <c r="CH131" s="109"/>
      <c r="CI131" s="197">
        <v>0</v>
      </c>
      <c r="CJ131" s="197">
        <v>0</v>
      </c>
      <c r="CK131" s="197">
        <v>0</v>
      </c>
      <c r="CL131" s="197">
        <v>0</v>
      </c>
      <c r="CM131" s="196">
        <f t="shared" ref="CM131" si="243">SUM(CI131:CL131)</f>
        <v>0</v>
      </c>
      <c r="CN131" s="109"/>
      <c r="CO131" s="197">
        <v>0</v>
      </c>
      <c r="CP131" s="197">
        <v>0</v>
      </c>
      <c r="CQ131" s="197">
        <v>0</v>
      </c>
      <c r="CR131" s="197">
        <v>0</v>
      </c>
      <c r="CS131" s="196">
        <f t="shared" ref="CS131" si="244">SUM(CO131:CR131)</f>
        <v>0</v>
      </c>
      <c r="CT131" s="109"/>
      <c r="CU131" s="109"/>
      <c r="CV131" s="109"/>
      <c r="CW131" s="75"/>
      <c r="CX131" s="75"/>
      <c r="CY131" s="75"/>
      <c r="CZ131" s="75"/>
    </row>
    <row r="132" spans="1:104" ht="12.75" customHeight="1" outlineLevel="1" x14ac:dyDescent="0.2">
      <c r="A132" s="75" t="s">
        <v>282</v>
      </c>
      <c r="B132" s="109"/>
      <c r="C132" s="448"/>
      <c r="D132" s="448"/>
      <c r="E132" s="448"/>
      <c r="F132" s="448"/>
      <c r="G132" s="448"/>
      <c r="H132" s="109"/>
      <c r="I132" s="448"/>
      <c r="J132" s="448"/>
      <c r="K132" s="448"/>
      <c r="L132" s="448"/>
      <c r="M132" s="448"/>
      <c r="N132" s="109"/>
      <c r="O132" s="448"/>
      <c r="P132" s="448"/>
      <c r="Q132" s="448"/>
      <c r="R132" s="448"/>
      <c r="S132" s="448"/>
      <c r="T132" s="109"/>
      <c r="U132" s="448"/>
      <c r="V132" s="448"/>
      <c r="W132" s="448"/>
      <c r="X132" s="448"/>
      <c r="Y132" s="448"/>
      <c r="Z132" s="109"/>
      <c r="AA132" s="448"/>
      <c r="AB132" s="448"/>
      <c r="AC132" s="448"/>
      <c r="AD132" s="82"/>
      <c r="AE132" s="82">
        <f>AE128+AE129+AE131</f>
        <v>-2.1349999999999998</v>
      </c>
      <c r="AF132" s="109"/>
      <c r="AG132" s="448">
        <v>-2.41</v>
      </c>
      <c r="AH132" s="448">
        <v>-2.6850000000000001</v>
      </c>
      <c r="AI132" s="448">
        <v>-2.96</v>
      </c>
      <c r="AJ132" s="448">
        <v>-3.2280000000000002</v>
      </c>
      <c r="AK132" s="82">
        <f>AK128+AK129+AK131</f>
        <v>-3.2280000000000002</v>
      </c>
      <c r="AL132" s="109"/>
      <c r="AM132" s="448">
        <v>-3.5030000000000001</v>
      </c>
      <c r="AN132" s="448">
        <f>-3.741-1.49</f>
        <v>-5.2309999999999999</v>
      </c>
      <c r="AO132" s="448">
        <v>-3.4249999999999998</v>
      </c>
      <c r="AP132" s="448">
        <v>-3.62</v>
      </c>
      <c r="AQ132" s="82">
        <f>AQ128+AQ129+AQ131</f>
        <v>-3.62</v>
      </c>
      <c r="AR132" s="109"/>
      <c r="AS132" s="448">
        <v>-3.8639999999999999</v>
      </c>
      <c r="AT132" s="448">
        <v>-4.1079999999999997</v>
      </c>
      <c r="AU132" s="448">
        <v>-5.2539999999999996</v>
      </c>
      <c r="AV132" s="448">
        <v>-8.2379999999999995</v>
      </c>
      <c r="AW132" s="82">
        <f>AW128+AW129+AW131</f>
        <v>-8.2379999999999995</v>
      </c>
      <c r="AX132" s="109"/>
      <c r="AY132" s="448">
        <v>-9.5879999999999992</v>
      </c>
      <c r="AZ132" s="448">
        <v>-12.723000000000001</v>
      </c>
      <c r="BA132" s="448">
        <v>-15.859</v>
      </c>
      <c r="BB132" s="448">
        <v>-19</v>
      </c>
      <c r="BC132" s="82">
        <f>BC128+BC129+BC131</f>
        <v>-19</v>
      </c>
      <c r="BD132" s="109"/>
      <c r="BE132" s="448">
        <v>-22.2</v>
      </c>
      <c r="BF132" s="448">
        <v>-25.3</v>
      </c>
      <c r="BG132" s="448">
        <v>-28.4</v>
      </c>
      <c r="BH132" s="448">
        <v>-31.5</v>
      </c>
      <c r="BI132" s="82">
        <f>BI128+BI129+BI131</f>
        <v>-31.500000000000004</v>
      </c>
      <c r="BJ132" s="109"/>
      <c r="BK132" s="448">
        <v>-37.299999999999997</v>
      </c>
      <c r="BL132" s="448">
        <v>-46.3</v>
      </c>
      <c r="BM132" s="448">
        <v>-55.5</v>
      </c>
      <c r="BN132" s="448">
        <v>-64.8</v>
      </c>
      <c r="BO132" s="82">
        <f>BO128+BO129+BO131</f>
        <v>-64.8</v>
      </c>
      <c r="BP132" s="109"/>
      <c r="BQ132" s="448">
        <v>-74.3</v>
      </c>
      <c r="BR132" s="448">
        <v>-83.6</v>
      </c>
      <c r="BS132" s="82">
        <f>BS128+BS129+BS131</f>
        <v>-92.91166457624081</v>
      </c>
      <c r="BT132" s="82">
        <f>BT128+BT129+BT131</f>
        <v>-102.22332915248163</v>
      </c>
      <c r="BU132" s="82">
        <f>BU128+BU129+BU131</f>
        <v>-102.22332915248164</v>
      </c>
      <c r="BV132" s="109"/>
      <c r="BW132" s="82">
        <f>BW128+BW129+BW131</f>
        <v>-111.53499372872245</v>
      </c>
      <c r="BX132" s="82">
        <f>BX128+BX129+BX131</f>
        <v>-120.84665830496327</v>
      </c>
      <c r="BY132" s="82">
        <f>BY128+BY129+BY131</f>
        <v>-130.15832288120407</v>
      </c>
      <c r="BZ132" s="82">
        <f>BZ128+BZ129+BZ131</f>
        <v>-139.46998745744489</v>
      </c>
      <c r="CA132" s="82">
        <f>CA128+CA129+CA131</f>
        <v>-139.46998745744492</v>
      </c>
      <c r="CB132" s="109"/>
      <c r="CC132" s="82">
        <f>CC128+CC129+CC131</f>
        <v>-148.78165203368573</v>
      </c>
      <c r="CD132" s="82">
        <f>CD128+CD129+CD131</f>
        <v>-158.09331660992655</v>
      </c>
      <c r="CE132" s="82">
        <f>CE128+CE129+CE131</f>
        <v>-167.40498118616736</v>
      </c>
      <c r="CF132" s="82">
        <f>CF128+CF129+CF131</f>
        <v>-176.71664576240818</v>
      </c>
      <c r="CG132" s="82">
        <f>CG128+CG129+CG131</f>
        <v>-176.71664576240818</v>
      </c>
      <c r="CH132" s="109"/>
      <c r="CI132" s="82">
        <f t="shared" ref="CI132:CM132" si="245">CI128+CI129+CI131</f>
        <v>-186.02831033864899</v>
      </c>
      <c r="CJ132" s="82">
        <f t="shared" si="245"/>
        <v>-195.33997491488981</v>
      </c>
      <c r="CK132" s="82">
        <f t="shared" si="245"/>
        <v>-204.65163949113062</v>
      </c>
      <c r="CL132" s="82">
        <f t="shared" si="245"/>
        <v>-213.96330406737144</v>
      </c>
      <c r="CM132" s="82">
        <f t="shared" si="245"/>
        <v>-213.96330406737144</v>
      </c>
      <c r="CN132" s="109"/>
      <c r="CO132" s="82">
        <f t="shared" ref="CO132:CS132" si="246">CO128+CO129+CO131</f>
        <v>-223.27496864361225</v>
      </c>
      <c r="CP132" s="82">
        <f t="shared" si="246"/>
        <v>-232.58663321985307</v>
      </c>
      <c r="CQ132" s="82">
        <f t="shared" si="246"/>
        <v>-241.89829779609389</v>
      </c>
      <c r="CR132" s="82">
        <f t="shared" si="246"/>
        <v>-251.2099623723347</v>
      </c>
      <c r="CS132" s="82">
        <f t="shared" si="246"/>
        <v>-251.2099623723347</v>
      </c>
      <c r="CT132" s="82"/>
      <c r="CU132" s="82"/>
      <c r="CV132" s="82"/>
      <c r="CW132" s="75"/>
      <c r="CX132" s="75"/>
      <c r="CY132" s="75"/>
      <c r="CZ132" s="75"/>
    </row>
    <row r="133" spans="1:104" ht="12.75" customHeight="1" outlineLevel="1" x14ac:dyDescent="0.2">
      <c r="A133" s="75"/>
      <c r="B133" s="109"/>
      <c r="C133" s="82"/>
      <c r="D133" s="82"/>
      <c r="E133" s="82"/>
      <c r="F133" s="82"/>
      <c r="G133" s="82"/>
      <c r="H133" s="109"/>
      <c r="I133" s="82"/>
      <c r="J133" s="82"/>
      <c r="K133" s="82"/>
      <c r="L133" s="82"/>
      <c r="M133" s="82"/>
      <c r="N133" s="109"/>
      <c r="O133" s="82"/>
      <c r="P133" s="82"/>
      <c r="Q133" s="82"/>
      <c r="R133" s="82"/>
      <c r="S133" s="82"/>
      <c r="T133" s="109"/>
      <c r="U133" s="82"/>
      <c r="V133" s="82"/>
      <c r="W133" s="82"/>
      <c r="X133" s="82"/>
      <c r="Y133" s="82"/>
      <c r="Z133" s="109"/>
      <c r="AA133" s="82"/>
      <c r="AB133" s="82"/>
      <c r="AC133" s="82"/>
      <c r="AD133" s="82"/>
      <c r="AE133" s="82"/>
      <c r="AF133" s="109"/>
      <c r="AG133" s="82"/>
      <c r="AH133" s="82"/>
      <c r="AI133" s="82"/>
      <c r="AJ133" s="82"/>
      <c r="AK133" s="82"/>
      <c r="AL133" s="109"/>
      <c r="AM133" s="82"/>
      <c r="AN133" s="82"/>
      <c r="AO133" s="82"/>
      <c r="AP133" s="82"/>
      <c r="AQ133" s="82"/>
      <c r="AR133" s="109"/>
      <c r="AS133" s="82"/>
      <c r="AT133" s="82"/>
      <c r="AU133" s="82"/>
      <c r="AV133" s="82"/>
      <c r="AW133" s="82"/>
      <c r="AX133" s="109"/>
      <c r="AY133" s="82"/>
      <c r="AZ133" s="82"/>
      <c r="BA133" s="82"/>
      <c r="BB133" s="82"/>
      <c r="BC133" s="82"/>
      <c r="BD133" s="109"/>
      <c r="BE133" s="82"/>
      <c r="BF133" s="82"/>
      <c r="BG133" s="82"/>
      <c r="BH133" s="82"/>
      <c r="BI133" s="82"/>
      <c r="BJ133" s="109"/>
      <c r="BK133" s="82"/>
      <c r="BL133" s="82"/>
      <c r="BM133" s="82"/>
      <c r="BN133" s="82"/>
      <c r="BO133" s="82"/>
      <c r="BP133" s="109"/>
      <c r="BQ133" s="82"/>
      <c r="BR133" s="82"/>
      <c r="BS133" s="82"/>
      <c r="BT133" s="82"/>
      <c r="BU133" s="82"/>
      <c r="BV133" s="109"/>
      <c r="BW133" s="82"/>
      <c r="BX133" s="82"/>
      <c r="BY133" s="82"/>
      <c r="BZ133" s="82"/>
      <c r="CA133" s="82"/>
      <c r="CB133" s="109"/>
      <c r="CC133" s="82"/>
      <c r="CD133" s="82"/>
      <c r="CE133" s="82"/>
      <c r="CF133" s="82"/>
      <c r="CG133" s="82"/>
      <c r="CH133" s="109"/>
      <c r="CI133" s="82"/>
      <c r="CJ133" s="82"/>
      <c r="CK133" s="82"/>
      <c r="CL133" s="82"/>
      <c r="CM133" s="82"/>
      <c r="CN133" s="109"/>
      <c r="CO133" s="82"/>
      <c r="CP133" s="82"/>
      <c r="CQ133" s="82"/>
      <c r="CR133" s="82"/>
      <c r="CS133" s="82"/>
      <c r="CT133" s="82"/>
      <c r="CU133" s="82"/>
      <c r="CV133" s="82"/>
      <c r="CW133" s="75"/>
      <c r="CX133" s="75"/>
      <c r="CY133" s="75"/>
      <c r="CZ133" s="75"/>
    </row>
    <row r="134" spans="1:104" ht="12.75" customHeight="1" outlineLevel="1" x14ac:dyDescent="0.2">
      <c r="A134" s="75" t="s">
        <v>283</v>
      </c>
      <c r="B134" s="109"/>
      <c r="C134" s="82"/>
      <c r="D134" s="82"/>
      <c r="E134" s="82"/>
      <c r="F134" s="82"/>
      <c r="G134" s="82"/>
      <c r="H134" s="109"/>
      <c r="I134" s="82"/>
      <c r="J134" s="82"/>
      <c r="K134" s="82"/>
      <c r="L134" s="82"/>
      <c r="M134" s="82"/>
      <c r="N134" s="109"/>
      <c r="O134" s="82"/>
      <c r="P134" s="82"/>
      <c r="Q134" s="82"/>
      <c r="R134" s="82"/>
      <c r="S134" s="82"/>
      <c r="T134" s="109"/>
      <c r="U134" s="82"/>
      <c r="V134" s="82"/>
      <c r="W134" s="82"/>
      <c r="X134" s="82"/>
      <c r="Y134" s="82"/>
      <c r="Z134" s="109"/>
      <c r="AA134" s="82"/>
      <c r="AB134" s="82"/>
      <c r="AC134" s="82"/>
      <c r="AD134" s="82"/>
      <c r="AE134" s="82">
        <f>AE22</f>
        <v>16.715</v>
      </c>
      <c r="AF134" s="109"/>
      <c r="AG134" s="82">
        <f>AG22</f>
        <v>16.440000000000001</v>
      </c>
      <c r="AH134" s="82">
        <f>AH22</f>
        <v>16.265000000000001</v>
      </c>
      <c r="AI134" s="82">
        <f>AI22</f>
        <v>15.99</v>
      </c>
      <c r="AJ134" s="82">
        <f>AJ22</f>
        <v>15.722</v>
      </c>
      <c r="AK134" s="82">
        <f>AK22</f>
        <v>15.722</v>
      </c>
      <c r="AL134" s="109"/>
      <c r="AM134" s="82">
        <f>AM22</f>
        <v>15.446999999999999</v>
      </c>
      <c r="AN134" s="82">
        <f>AN22</f>
        <v>13.718999999999999</v>
      </c>
      <c r="AO134" s="82">
        <f>AO22</f>
        <v>13.525</v>
      </c>
      <c r="AP134" s="82">
        <f>AP22</f>
        <v>13.33</v>
      </c>
      <c r="AQ134" s="82">
        <f>AQ22</f>
        <v>13.33</v>
      </c>
      <c r="AR134" s="109"/>
      <c r="AS134" s="82">
        <f>AS22</f>
        <v>13.086</v>
      </c>
      <c r="AT134" s="82">
        <f>AT22</f>
        <v>12.842000000000001</v>
      </c>
      <c r="AU134" s="82">
        <f>AU22</f>
        <v>208.29599999999999</v>
      </c>
      <c r="AV134" s="82">
        <f>AV22</f>
        <v>205.31200000000001</v>
      </c>
      <c r="AW134" s="82">
        <f>AW126+AW132</f>
        <v>205.31200000000001</v>
      </c>
      <c r="AX134" s="109"/>
      <c r="AY134" s="82">
        <f>AY22</f>
        <v>201.96199999999999</v>
      </c>
      <c r="AZ134" s="82">
        <f>AZ22</f>
        <v>198.827</v>
      </c>
      <c r="BA134" s="82">
        <f>BA126+BA132</f>
        <v>195.691</v>
      </c>
      <c r="BB134" s="82">
        <f>BB126+BB132</f>
        <v>192.6</v>
      </c>
      <c r="BC134" s="82">
        <f>BC126+BC132</f>
        <v>192.6</v>
      </c>
      <c r="BD134" s="109"/>
      <c r="BE134" s="82">
        <f>BE22</f>
        <v>189.4</v>
      </c>
      <c r="BF134" s="82">
        <f>BF22</f>
        <v>186.3</v>
      </c>
      <c r="BG134" s="82">
        <f>BG22</f>
        <v>183.2</v>
      </c>
      <c r="BH134" s="82">
        <f>BH22</f>
        <v>227.5</v>
      </c>
      <c r="BI134" s="82">
        <f>BI126+BI132</f>
        <v>227.5</v>
      </c>
      <c r="BJ134" s="109"/>
      <c r="BK134" s="82">
        <f>BK22</f>
        <v>521.20000000000005</v>
      </c>
      <c r="BL134" s="82">
        <f>BL22</f>
        <v>506.4</v>
      </c>
      <c r="BM134" s="82">
        <f>BM22</f>
        <v>498.1</v>
      </c>
      <c r="BN134" s="82">
        <f>BN22</f>
        <v>491.6</v>
      </c>
      <c r="BO134" s="82">
        <f>BO126+BO132</f>
        <v>491.59999999999997</v>
      </c>
      <c r="BP134" s="109"/>
      <c r="BQ134" s="82">
        <f>BQ22</f>
        <v>483.8</v>
      </c>
      <c r="BR134" s="82">
        <f>BR22</f>
        <v>475.2</v>
      </c>
      <c r="BS134" s="82">
        <f>BS126+BS132</f>
        <v>465.88833542375914</v>
      </c>
      <c r="BT134" s="82">
        <f>BT126+BT132</f>
        <v>456.57667084751836</v>
      </c>
      <c r="BU134" s="82">
        <f>BU126+BU132</f>
        <v>456.5766708475183</v>
      </c>
      <c r="BV134" s="109"/>
      <c r="BW134" s="82">
        <f>BW126+BW132</f>
        <v>447.26500627127751</v>
      </c>
      <c r="BX134" s="82">
        <f>BX126+BX132</f>
        <v>437.95334169503667</v>
      </c>
      <c r="BY134" s="82">
        <f>BY126+BY132</f>
        <v>428.64167711879588</v>
      </c>
      <c r="BZ134" s="82">
        <f>BZ126+BZ132</f>
        <v>419.3300125425551</v>
      </c>
      <c r="CA134" s="82">
        <f>CA126+CA132</f>
        <v>419.33001254255504</v>
      </c>
      <c r="CB134" s="109"/>
      <c r="CC134" s="82">
        <f>CC126+CC132</f>
        <v>410.0183479663142</v>
      </c>
      <c r="CD134" s="82">
        <f>CD126+CD132</f>
        <v>400.70668339007341</v>
      </c>
      <c r="CE134" s="82">
        <f>CE126+CE132</f>
        <v>391.39501881383262</v>
      </c>
      <c r="CF134" s="82">
        <f>CF126+CF132</f>
        <v>382.08335423759178</v>
      </c>
      <c r="CG134" s="82">
        <f>CG126+CG132</f>
        <v>382.08335423759178</v>
      </c>
      <c r="CH134" s="109"/>
      <c r="CI134" s="82">
        <f t="shared" ref="CI134:CM134" si="247">CI126+CI132</f>
        <v>372.77168966135093</v>
      </c>
      <c r="CJ134" s="82">
        <f t="shared" si="247"/>
        <v>363.46002508511015</v>
      </c>
      <c r="CK134" s="82">
        <f t="shared" si="247"/>
        <v>354.14836050886936</v>
      </c>
      <c r="CL134" s="82">
        <f t="shared" si="247"/>
        <v>344.83669593262852</v>
      </c>
      <c r="CM134" s="82">
        <f t="shared" si="247"/>
        <v>344.83669593262852</v>
      </c>
      <c r="CN134" s="109"/>
      <c r="CO134" s="82">
        <f t="shared" ref="CO134:CS134" si="248">CO126+CO132</f>
        <v>335.52503135638767</v>
      </c>
      <c r="CP134" s="82">
        <f t="shared" si="248"/>
        <v>326.21336678014688</v>
      </c>
      <c r="CQ134" s="82">
        <f t="shared" si="248"/>
        <v>316.9017022039061</v>
      </c>
      <c r="CR134" s="82">
        <f t="shared" si="248"/>
        <v>307.59003762766525</v>
      </c>
      <c r="CS134" s="82">
        <f t="shared" si="248"/>
        <v>307.59003762766525</v>
      </c>
      <c r="CT134" s="82"/>
      <c r="CU134" s="82"/>
      <c r="CV134" s="82"/>
      <c r="CW134" s="75"/>
      <c r="CX134" s="75"/>
      <c r="CY134" s="75"/>
      <c r="CZ134" s="75"/>
    </row>
    <row r="135" spans="1:104" ht="12.75" customHeight="1" outlineLevel="1" x14ac:dyDescent="0.2">
      <c r="A135" s="75" t="s">
        <v>121</v>
      </c>
      <c r="B135" s="109"/>
      <c r="C135" s="82"/>
      <c r="D135" s="82"/>
      <c r="E135" s="82"/>
      <c r="F135" s="82"/>
      <c r="G135" s="82"/>
      <c r="H135" s="109"/>
      <c r="I135" s="82"/>
      <c r="J135" s="82"/>
      <c r="K135" s="82"/>
      <c r="L135" s="82"/>
      <c r="M135" s="82"/>
      <c r="N135" s="109"/>
      <c r="O135" s="82"/>
      <c r="P135" s="82"/>
      <c r="Q135" s="82"/>
      <c r="R135" s="82"/>
      <c r="S135" s="82"/>
      <c r="T135" s="109"/>
      <c r="U135" s="82"/>
      <c r="V135" s="82"/>
      <c r="W135" s="82"/>
      <c r="X135" s="82"/>
      <c r="Y135" s="82"/>
      <c r="Z135" s="109"/>
      <c r="AA135" s="82"/>
      <c r="AB135" s="82"/>
      <c r="AC135" s="82"/>
      <c r="AD135" s="82"/>
      <c r="AE135" s="713">
        <f>AE126+AE132-AE134</f>
        <v>0</v>
      </c>
      <c r="AF135" s="712"/>
      <c r="AG135" s="713">
        <f>AG126+AG132-AG134</f>
        <v>0</v>
      </c>
      <c r="AH135" s="713">
        <f>AH126+AH132-AH134</f>
        <v>0</v>
      </c>
      <c r="AI135" s="713">
        <f>AI126+AI132-AI134</f>
        <v>0</v>
      </c>
      <c r="AJ135" s="713">
        <f>AJ126+AJ132-AJ134</f>
        <v>0</v>
      </c>
      <c r="AK135" s="713">
        <f>AK126+AK132-AK134</f>
        <v>0</v>
      </c>
      <c r="AL135" s="712"/>
      <c r="AM135" s="713">
        <f>AM126+AM132-AM134</f>
        <v>0</v>
      </c>
      <c r="AN135" s="713">
        <f>AN126+AN132-AN134</f>
        <v>0</v>
      </c>
      <c r="AO135" s="713">
        <f>AO126+AO132-AO134</f>
        <v>0</v>
      </c>
      <c r="AP135" s="713">
        <f>AP126+AP132-AP134</f>
        <v>0</v>
      </c>
      <c r="AQ135" s="713">
        <f>AQ126+AQ132-AQ134</f>
        <v>0</v>
      </c>
      <c r="AR135" s="712"/>
      <c r="AS135" s="713">
        <f>AS126+AS132-AS134</f>
        <v>0</v>
      </c>
      <c r="AT135" s="713">
        <f>AT126+AT132-AT134</f>
        <v>0</v>
      </c>
      <c r="AU135" s="713">
        <f>AU126+AU132-AU134</f>
        <v>0</v>
      </c>
      <c r="AV135" s="713">
        <f>AV126+AV132-AV134</f>
        <v>0</v>
      </c>
      <c r="AW135" s="713">
        <f>AW126+AW132-AW134</f>
        <v>0</v>
      </c>
      <c r="AX135" s="712"/>
      <c r="AY135" s="713">
        <f>AY126+AY132-AY134</f>
        <v>0</v>
      </c>
      <c r="AZ135" s="713">
        <f>AZ126+AZ132-AZ134</f>
        <v>0</v>
      </c>
      <c r="BA135" s="713">
        <f>BA126+BA132-BA134</f>
        <v>0</v>
      </c>
      <c r="BB135" s="713">
        <f>BB126+BB132-BB134</f>
        <v>0</v>
      </c>
      <c r="BC135" s="713">
        <f>BC126+BC132-BC134</f>
        <v>0</v>
      </c>
      <c r="BD135" s="712"/>
      <c r="BE135" s="713">
        <f>BE126+BE132-BE134</f>
        <v>0</v>
      </c>
      <c r="BF135" s="713">
        <f>BF126+BF132-BF134</f>
        <v>0</v>
      </c>
      <c r="BG135" s="713">
        <f>BG126+BG132-BG134</f>
        <v>0</v>
      </c>
      <c r="BH135" s="713">
        <f>BH126+BH132-BH134</f>
        <v>0</v>
      </c>
      <c r="BI135" s="713">
        <f>BI126+BI132-BI134</f>
        <v>0</v>
      </c>
      <c r="BJ135" s="712"/>
      <c r="BK135" s="713">
        <f>BK126+BK132-BK134</f>
        <v>0</v>
      </c>
      <c r="BL135" s="713">
        <f>BL126+BL132-BL134</f>
        <v>0</v>
      </c>
      <c r="BM135" s="713">
        <f>BM126+BM132-BM134</f>
        <v>0</v>
      </c>
      <c r="BN135" s="713">
        <f>BN126+BN132-BN134</f>
        <v>0</v>
      </c>
      <c r="BO135" s="713">
        <f>BO126+BO132-BO134</f>
        <v>0</v>
      </c>
      <c r="BP135" s="712"/>
      <c r="BQ135" s="713">
        <f>BQ126+BQ132-BQ134</f>
        <v>0</v>
      </c>
      <c r="BR135" s="713">
        <f>BR126+BR132-BR134</f>
        <v>0</v>
      </c>
      <c r="BS135" s="713">
        <f>BS126+BS132-BS134</f>
        <v>0</v>
      </c>
      <c r="BT135" s="713">
        <f>BT126+BT132-BT134</f>
        <v>0</v>
      </c>
      <c r="BU135" s="713">
        <f>BU126+BU132-BU134</f>
        <v>0</v>
      </c>
      <c r="BV135" s="712"/>
      <c r="BW135" s="713">
        <f>BW126+BW132-BW134</f>
        <v>0</v>
      </c>
      <c r="BX135" s="713">
        <f>BX126+BX132-BX134</f>
        <v>0</v>
      </c>
      <c r="BY135" s="713">
        <f>BY126+BY132-BY134</f>
        <v>0</v>
      </c>
      <c r="BZ135" s="713">
        <f>BZ126+BZ132-BZ134</f>
        <v>0</v>
      </c>
      <c r="CA135" s="713">
        <f>CA126+CA132-CA134</f>
        <v>0</v>
      </c>
      <c r="CB135" s="712"/>
      <c r="CC135" s="713">
        <f>CC126+CC132-CC134</f>
        <v>0</v>
      </c>
      <c r="CD135" s="713">
        <f>CD126+CD132-CD134</f>
        <v>0</v>
      </c>
      <c r="CE135" s="713">
        <f>CE126+CE132-CE134</f>
        <v>0</v>
      </c>
      <c r="CF135" s="713">
        <f>CF126+CF132-CF134</f>
        <v>0</v>
      </c>
      <c r="CG135" s="713">
        <f>CG126+CG132-CG134</f>
        <v>0</v>
      </c>
      <c r="CH135" s="712"/>
      <c r="CI135" s="713">
        <f t="shared" ref="CI135:CM135" si="249">CI126+CI132-CI134</f>
        <v>0</v>
      </c>
      <c r="CJ135" s="713">
        <f t="shared" si="249"/>
        <v>0</v>
      </c>
      <c r="CK135" s="713">
        <f t="shared" si="249"/>
        <v>0</v>
      </c>
      <c r="CL135" s="713">
        <f t="shared" si="249"/>
        <v>0</v>
      </c>
      <c r="CM135" s="713">
        <f t="shared" si="249"/>
        <v>0</v>
      </c>
      <c r="CN135" s="712"/>
      <c r="CO135" s="713">
        <f t="shared" ref="CO135:CS135" si="250">CO126+CO132-CO134</f>
        <v>0</v>
      </c>
      <c r="CP135" s="713">
        <f t="shared" si="250"/>
        <v>0</v>
      </c>
      <c r="CQ135" s="713">
        <f t="shared" si="250"/>
        <v>0</v>
      </c>
      <c r="CR135" s="713">
        <f t="shared" si="250"/>
        <v>0</v>
      </c>
      <c r="CS135" s="713">
        <f t="shared" si="250"/>
        <v>0</v>
      </c>
      <c r="CT135" s="82"/>
      <c r="CU135" s="82"/>
      <c r="CV135" s="82"/>
      <c r="CW135" s="75"/>
      <c r="CX135" s="75"/>
      <c r="CY135" s="75"/>
      <c r="CZ135" s="75"/>
    </row>
    <row r="136" spans="1:104" ht="12.75" customHeight="1" outlineLevel="1" x14ac:dyDescent="0.2">
      <c r="A136" s="75"/>
      <c r="B136" s="109"/>
      <c r="C136" s="82"/>
      <c r="D136" s="82"/>
      <c r="E136" s="82"/>
      <c r="F136" s="82"/>
      <c r="G136" s="82"/>
      <c r="H136" s="109"/>
      <c r="I136" s="82"/>
      <c r="J136" s="82"/>
      <c r="K136" s="82"/>
      <c r="L136" s="82"/>
      <c r="M136" s="82"/>
      <c r="N136" s="109"/>
      <c r="O136" s="82"/>
      <c r="P136" s="82"/>
      <c r="Q136" s="82"/>
      <c r="R136" s="82"/>
      <c r="S136" s="82"/>
      <c r="T136" s="109"/>
      <c r="U136" s="82"/>
      <c r="V136" s="82"/>
      <c r="W136" s="82"/>
      <c r="X136" s="82"/>
      <c r="Y136" s="82"/>
      <c r="Z136" s="109"/>
      <c r="AA136" s="82"/>
      <c r="AB136" s="82"/>
      <c r="AC136" s="82"/>
      <c r="AD136" s="82"/>
      <c r="AE136" s="82"/>
      <c r="AF136" s="109"/>
      <c r="AG136" s="82"/>
      <c r="AH136" s="82"/>
      <c r="AI136" s="82"/>
      <c r="AJ136" s="82"/>
      <c r="AK136" s="82"/>
      <c r="AL136" s="109"/>
      <c r="AM136" s="82"/>
      <c r="AN136" s="82"/>
      <c r="AO136" s="82"/>
      <c r="AP136" s="82"/>
      <c r="AQ136" s="82"/>
      <c r="AR136" s="109"/>
      <c r="AS136" s="82"/>
      <c r="AT136" s="82"/>
      <c r="AU136" s="82"/>
      <c r="AV136" s="82"/>
      <c r="AW136" s="82"/>
      <c r="AX136" s="109"/>
      <c r="AY136" s="82"/>
      <c r="AZ136" s="82"/>
      <c r="BA136" s="82"/>
      <c r="BB136" s="82"/>
      <c r="BC136" s="656"/>
      <c r="BD136" s="109"/>
      <c r="BE136" s="82"/>
      <c r="BF136" s="82"/>
      <c r="BG136" s="82"/>
      <c r="BH136" s="82"/>
      <c r="BI136" s="82"/>
      <c r="BJ136" s="109"/>
      <c r="BK136" s="82"/>
      <c r="BL136" s="82"/>
      <c r="BM136" s="82"/>
      <c r="BN136" s="82"/>
      <c r="BO136" s="82"/>
      <c r="BP136" s="109"/>
      <c r="BQ136" s="82"/>
      <c r="BR136" s="82"/>
      <c r="BS136" s="82"/>
      <c r="BT136" s="82"/>
      <c r="BU136" s="82"/>
      <c r="BV136" s="109"/>
      <c r="BW136" s="82"/>
      <c r="BX136" s="82"/>
      <c r="BY136" s="82"/>
      <c r="BZ136" s="82"/>
      <c r="CA136" s="82"/>
      <c r="CB136" s="109"/>
      <c r="CC136" s="82"/>
      <c r="CD136" s="82"/>
      <c r="CE136" s="82"/>
      <c r="CF136" s="82"/>
      <c r="CG136" s="82"/>
      <c r="CH136" s="109"/>
      <c r="CI136" s="82"/>
      <c r="CJ136" s="82"/>
      <c r="CK136" s="82"/>
      <c r="CL136" s="82"/>
      <c r="CM136" s="82"/>
      <c r="CN136" s="109"/>
      <c r="CO136" s="82"/>
      <c r="CP136" s="82"/>
      <c r="CQ136" s="82"/>
      <c r="CR136" s="82"/>
      <c r="CS136" s="82"/>
      <c r="CT136" s="82"/>
      <c r="CU136" s="82"/>
      <c r="CV136" s="82"/>
      <c r="CW136" s="75"/>
      <c r="CX136" s="75"/>
      <c r="CY136" s="75"/>
      <c r="CZ136" s="75"/>
    </row>
    <row r="137" spans="1:104" ht="12.75" customHeight="1" outlineLevel="1" x14ac:dyDescent="0.2">
      <c r="A137" s="23" t="s">
        <v>108</v>
      </c>
      <c r="B137" s="75"/>
      <c r="C137" s="47"/>
      <c r="D137" s="47"/>
      <c r="E137" s="47"/>
      <c r="F137" s="47"/>
      <c r="G137" s="47"/>
      <c r="H137" s="75"/>
      <c r="I137" s="47"/>
      <c r="J137" s="47"/>
      <c r="K137" s="47"/>
      <c r="L137" s="47"/>
      <c r="M137" s="47"/>
      <c r="N137" s="75"/>
      <c r="O137" s="47"/>
      <c r="P137" s="47"/>
      <c r="Q137" s="47"/>
      <c r="R137" s="47"/>
      <c r="S137" s="47"/>
      <c r="T137" s="75"/>
      <c r="U137" s="47"/>
      <c r="V137" s="47"/>
      <c r="W137" s="47"/>
      <c r="X137" s="47"/>
      <c r="Y137" s="47"/>
      <c r="Z137" s="75"/>
      <c r="AA137" s="47"/>
      <c r="AB137" s="47"/>
      <c r="AC137" s="47"/>
      <c r="AD137" s="47"/>
      <c r="AE137" s="47"/>
      <c r="AF137" s="75"/>
      <c r="AG137" s="47"/>
      <c r="AH137" s="47"/>
      <c r="AI137" s="47"/>
      <c r="AJ137" s="47"/>
      <c r="AK137" s="47"/>
      <c r="AL137" s="75"/>
      <c r="AM137" s="47"/>
      <c r="AN137" s="47"/>
      <c r="AO137" s="47"/>
      <c r="AP137" s="47"/>
      <c r="AQ137" s="47"/>
      <c r="AR137" s="75"/>
      <c r="AS137" s="47"/>
      <c r="AT137" s="47"/>
      <c r="AU137" s="47"/>
      <c r="AV137" s="47"/>
      <c r="AW137" s="47"/>
      <c r="AX137" s="75"/>
      <c r="AY137" s="47"/>
      <c r="AZ137" s="47"/>
      <c r="BA137" s="47"/>
      <c r="BB137" s="47"/>
      <c r="BC137" s="47"/>
      <c r="BD137" s="75"/>
      <c r="BE137" s="47"/>
      <c r="BF137" s="47"/>
      <c r="BG137" s="47"/>
      <c r="BH137" s="47"/>
      <c r="BI137" s="47"/>
      <c r="BJ137" s="75"/>
      <c r="BK137" s="47"/>
      <c r="BL137" s="47"/>
      <c r="BM137" s="47"/>
      <c r="BN137" s="47"/>
      <c r="BO137" s="47"/>
      <c r="BP137" s="75"/>
      <c r="BQ137" s="47"/>
      <c r="BR137" s="47"/>
      <c r="BS137" s="47"/>
      <c r="BT137" s="47"/>
      <c r="BU137" s="47"/>
      <c r="BV137" s="75"/>
      <c r="BW137" s="47"/>
      <c r="BX137" s="47"/>
      <c r="BY137" s="47"/>
      <c r="BZ137" s="47"/>
      <c r="CA137" s="47"/>
      <c r="CB137" s="75"/>
      <c r="CC137" s="47"/>
      <c r="CD137" s="47"/>
      <c r="CE137" s="47"/>
      <c r="CF137" s="47"/>
      <c r="CG137" s="47"/>
      <c r="CH137" s="75"/>
      <c r="CI137" s="47"/>
      <c r="CJ137" s="47"/>
      <c r="CK137" s="47"/>
      <c r="CL137" s="47"/>
      <c r="CM137" s="47"/>
      <c r="CN137" s="75"/>
      <c r="CO137" s="47"/>
      <c r="CP137" s="47"/>
      <c r="CQ137" s="47"/>
      <c r="CR137" s="47"/>
      <c r="CS137" s="47"/>
      <c r="CT137" s="47"/>
      <c r="CU137" s="47"/>
      <c r="CV137" s="47"/>
      <c r="CW137" s="75"/>
      <c r="CX137" s="75"/>
      <c r="CY137" s="75"/>
      <c r="CZ137" s="75"/>
    </row>
    <row r="138" spans="1:104" ht="12.75" customHeight="1" outlineLevel="1" x14ac:dyDescent="0.2">
      <c r="A138" s="75" t="s">
        <v>169</v>
      </c>
      <c r="B138" s="75"/>
      <c r="C138" s="84"/>
      <c r="D138" s="49"/>
      <c r="E138" s="49"/>
      <c r="F138" s="49"/>
      <c r="G138" s="49"/>
      <c r="H138" s="75"/>
      <c r="I138" s="49"/>
      <c r="J138" s="49"/>
      <c r="K138" s="49"/>
      <c r="L138" s="49"/>
      <c r="M138" s="49"/>
      <c r="N138" s="75"/>
      <c r="O138" s="49"/>
      <c r="P138" s="49"/>
      <c r="Q138" s="49"/>
      <c r="R138" s="49"/>
      <c r="S138" s="49"/>
      <c r="T138" s="75"/>
      <c r="U138" s="49"/>
      <c r="V138" s="49"/>
      <c r="W138" s="49"/>
      <c r="X138" s="49"/>
      <c r="Y138" s="49"/>
      <c r="Z138" s="75"/>
      <c r="AA138" s="49"/>
      <c r="AB138" s="49"/>
      <c r="AC138" s="49"/>
      <c r="AD138" s="49"/>
      <c r="AE138" s="49">
        <f>Y140</f>
        <v>0</v>
      </c>
      <c r="AF138" s="75"/>
      <c r="AG138" s="49">
        <f>AE140</f>
        <v>56.051000000000002</v>
      </c>
      <c r="AH138" s="49">
        <f>AG140</f>
        <v>56.85</v>
      </c>
      <c r="AI138" s="49">
        <f>AH140</f>
        <v>56.85</v>
      </c>
      <c r="AJ138" s="49">
        <f>+AI140</f>
        <v>56.85</v>
      </c>
      <c r="AK138" s="49">
        <f>AE140</f>
        <v>56.051000000000002</v>
      </c>
      <c r="AL138" s="75"/>
      <c r="AM138" s="49">
        <f>AK140</f>
        <v>56.85</v>
      </c>
      <c r="AN138" s="49">
        <f>+AM140</f>
        <v>56.85</v>
      </c>
      <c r="AO138" s="49">
        <f>AN140</f>
        <v>56.85</v>
      </c>
      <c r="AP138" s="49">
        <f>+AO140</f>
        <v>56.85</v>
      </c>
      <c r="AQ138" s="49">
        <f>AK140</f>
        <v>56.85</v>
      </c>
      <c r="AR138" s="75"/>
      <c r="AS138" s="49">
        <f>AQ140</f>
        <v>56.85</v>
      </c>
      <c r="AT138" s="49">
        <f>+AS140</f>
        <v>56.85</v>
      </c>
      <c r="AU138" s="49">
        <f>+AT140</f>
        <v>56.85</v>
      </c>
      <c r="AV138" s="49">
        <f>+AU140</f>
        <v>166.74600000000001</v>
      </c>
      <c r="AW138" s="49">
        <f>AQ140</f>
        <v>56.85</v>
      </c>
      <c r="AX138" s="75"/>
      <c r="AY138" s="49">
        <f>AW140</f>
        <v>169.18100000000001</v>
      </c>
      <c r="AZ138" s="49">
        <f>+AY140</f>
        <v>169.18100000000001</v>
      </c>
      <c r="BA138" s="49">
        <f>+AZ140</f>
        <v>169.18100000000001</v>
      </c>
      <c r="BB138" s="49">
        <f>+BA140</f>
        <v>185.22800000000001</v>
      </c>
      <c r="BC138" s="49">
        <f>AW140</f>
        <v>169.18100000000001</v>
      </c>
      <c r="BD138" s="75"/>
      <c r="BE138" s="49">
        <f>BC140</f>
        <v>177.2</v>
      </c>
      <c r="BF138" s="49">
        <f>+BE140</f>
        <v>177.3</v>
      </c>
      <c r="BG138" s="49">
        <f>+BF140</f>
        <v>177</v>
      </c>
      <c r="BH138" s="49">
        <f>+BG140</f>
        <v>177.9</v>
      </c>
      <c r="BI138" s="49">
        <f>BC140</f>
        <v>177.2</v>
      </c>
      <c r="BJ138" s="75"/>
      <c r="BK138" s="49">
        <f>BI140</f>
        <v>195.3</v>
      </c>
      <c r="BL138" s="49">
        <f>+BK140</f>
        <v>312.8</v>
      </c>
      <c r="BM138" s="49">
        <f>+BL140</f>
        <v>315.39999999999998</v>
      </c>
      <c r="BN138" s="49">
        <f>+BM140</f>
        <v>315</v>
      </c>
      <c r="BO138" s="49">
        <f>BI140</f>
        <v>195.3</v>
      </c>
      <c r="BP138" s="75"/>
      <c r="BQ138" s="49">
        <f>BO140</f>
        <v>316.10000000000002</v>
      </c>
      <c r="BR138" s="49">
        <f>+BQ140</f>
        <v>319</v>
      </c>
      <c r="BS138" s="49">
        <f>+BR140</f>
        <v>319.39999999999998</v>
      </c>
      <c r="BT138" s="49">
        <f>+BS140</f>
        <v>319.39999999999998</v>
      </c>
      <c r="BU138" s="49">
        <f>BO140</f>
        <v>316.10000000000002</v>
      </c>
      <c r="BV138" s="75"/>
      <c r="BW138" s="49">
        <f>BU140</f>
        <v>319.39999999999998</v>
      </c>
      <c r="BX138" s="49">
        <f>+BW140</f>
        <v>319.39999999999998</v>
      </c>
      <c r="BY138" s="49">
        <f>+BX140</f>
        <v>319.39999999999998</v>
      </c>
      <c r="BZ138" s="49">
        <f>+BY140</f>
        <v>319.39999999999998</v>
      </c>
      <c r="CA138" s="49">
        <f>BU140</f>
        <v>319.39999999999998</v>
      </c>
      <c r="CB138" s="75"/>
      <c r="CC138" s="49">
        <f>CA140</f>
        <v>319.39999999999998</v>
      </c>
      <c r="CD138" s="49">
        <f>+CC140</f>
        <v>319.39999999999998</v>
      </c>
      <c r="CE138" s="49">
        <f>+CD140</f>
        <v>319.39999999999998</v>
      </c>
      <c r="CF138" s="49">
        <f>+CE140</f>
        <v>319.39999999999998</v>
      </c>
      <c r="CG138" s="49">
        <f>CA140</f>
        <v>319.39999999999998</v>
      </c>
      <c r="CH138" s="75"/>
      <c r="CI138" s="49">
        <f t="shared" ref="CI138" si="251">CG140</f>
        <v>319.39999999999998</v>
      </c>
      <c r="CJ138" s="49">
        <f t="shared" ref="CJ138:CL138" si="252">+CI140</f>
        <v>319.39999999999998</v>
      </c>
      <c r="CK138" s="49">
        <f t="shared" si="252"/>
        <v>319.39999999999998</v>
      </c>
      <c r="CL138" s="49">
        <f t="shared" si="252"/>
        <v>319.39999999999998</v>
      </c>
      <c r="CM138" s="49">
        <f t="shared" ref="CM138" si="253">CG140</f>
        <v>319.39999999999998</v>
      </c>
      <c r="CN138" s="75"/>
      <c r="CO138" s="49">
        <f t="shared" ref="CO138" si="254">CM140</f>
        <v>319.39999999999998</v>
      </c>
      <c r="CP138" s="49">
        <f t="shared" ref="CP138:CR138" si="255">+CO140</f>
        <v>319.39999999999998</v>
      </c>
      <c r="CQ138" s="49">
        <f t="shared" si="255"/>
        <v>319.39999999999998</v>
      </c>
      <c r="CR138" s="49">
        <f t="shared" si="255"/>
        <v>319.39999999999998</v>
      </c>
      <c r="CS138" s="49">
        <f t="shared" ref="CS138" si="256">CM140</f>
        <v>319.39999999999998</v>
      </c>
      <c r="CT138" s="49"/>
      <c r="CU138" s="49"/>
      <c r="CV138" s="49"/>
      <c r="CW138" s="75"/>
      <c r="CX138" s="75"/>
      <c r="CY138" s="75"/>
      <c r="CZ138" s="75"/>
    </row>
    <row r="139" spans="1:104" ht="12.75" customHeight="1" outlineLevel="1" x14ac:dyDescent="0.2">
      <c r="A139" s="127" t="s">
        <v>79</v>
      </c>
      <c r="B139" s="75"/>
      <c r="C139" s="196"/>
      <c r="D139" s="196"/>
      <c r="E139" s="196"/>
      <c r="F139" s="196"/>
      <c r="G139" s="196"/>
      <c r="H139" s="75"/>
      <c r="I139" s="196"/>
      <c r="J139" s="196"/>
      <c r="K139" s="196"/>
      <c r="L139" s="196"/>
      <c r="M139" s="196"/>
      <c r="N139" s="75"/>
      <c r="O139" s="196"/>
      <c r="P139" s="196"/>
      <c r="Q139" s="196"/>
      <c r="R139" s="196"/>
      <c r="S139" s="196"/>
      <c r="T139" s="75"/>
      <c r="U139" s="196"/>
      <c r="V139" s="196"/>
      <c r="W139" s="196"/>
      <c r="X139" s="196"/>
      <c r="Y139" s="196"/>
      <c r="Z139" s="75"/>
      <c r="AA139" s="196"/>
      <c r="AB139" s="196"/>
      <c r="AC139" s="196"/>
      <c r="AD139" s="196">
        <f>+AD140-AD138</f>
        <v>56.051000000000002</v>
      </c>
      <c r="AE139" s="196">
        <f>SUM(AA139:AD139)</f>
        <v>56.051000000000002</v>
      </c>
      <c r="AF139" s="75"/>
      <c r="AG139" s="196">
        <f>+AG140-AG138</f>
        <v>0.79899999999999949</v>
      </c>
      <c r="AH139" s="196">
        <f>+AH140-AH138</f>
        <v>0</v>
      </c>
      <c r="AI139" s="196">
        <f>+AI140-AI138</f>
        <v>0</v>
      </c>
      <c r="AJ139" s="196">
        <f>+AJ140-AJ138</f>
        <v>0</v>
      </c>
      <c r="AK139" s="196">
        <f>SUM(AG139:AJ139)</f>
        <v>0.79899999999999949</v>
      </c>
      <c r="AL139" s="75"/>
      <c r="AM139" s="196">
        <f>+AM140-AM138</f>
        <v>0</v>
      </c>
      <c r="AN139" s="196">
        <f>+AN140-AN138</f>
        <v>0</v>
      </c>
      <c r="AO139" s="196">
        <f>+AO140-AO138</f>
        <v>0</v>
      </c>
      <c r="AP139" s="196">
        <f>+AP140-AP138</f>
        <v>0</v>
      </c>
      <c r="AQ139" s="196">
        <f>SUM(AM139:AP139)</f>
        <v>0</v>
      </c>
      <c r="AR139" s="75"/>
      <c r="AS139" s="196">
        <f>-AS143*AS144</f>
        <v>0</v>
      </c>
      <c r="AT139" s="196">
        <f>-AT143*AT144</f>
        <v>0</v>
      </c>
      <c r="AU139" s="551">
        <v>109.896</v>
      </c>
      <c r="AV139" s="196">
        <f>+AV140-AV138</f>
        <v>2.4350000000000023</v>
      </c>
      <c r="AW139" s="196">
        <f>SUM(AS139:AV139)</f>
        <v>112.331</v>
      </c>
      <c r="AX139" s="75"/>
      <c r="AY139" s="196">
        <f>+AY140-AY138</f>
        <v>0</v>
      </c>
      <c r="AZ139" s="196">
        <f>+AZ140-AZ138</f>
        <v>0</v>
      </c>
      <c r="BA139" s="196">
        <f>+BA140-BA138</f>
        <v>16.046999999999997</v>
      </c>
      <c r="BB139" s="196">
        <f>+BB140-BB138</f>
        <v>-8.02800000000002</v>
      </c>
      <c r="BC139" s="196">
        <f>SUM(AY139:BB139)</f>
        <v>8.018999999999977</v>
      </c>
      <c r="BD139" s="75"/>
      <c r="BE139" s="196">
        <f>+BE140-BE138</f>
        <v>0.10000000000002274</v>
      </c>
      <c r="BF139" s="196">
        <f>+BF140-BF138</f>
        <v>-0.30000000000001137</v>
      </c>
      <c r="BG139" s="196">
        <f>+BG140-BG138</f>
        <v>0.90000000000000568</v>
      </c>
      <c r="BH139" s="196">
        <f>+BH140-BH138</f>
        <v>17.400000000000006</v>
      </c>
      <c r="BI139" s="196">
        <f>SUM(BE139:BH139)</f>
        <v>18.100000000000023</v>
      </c>
      <c r="BJ139" s="75"/>
      <c r="BK139" s="196">
        <f>+BK140-BK138</f>
        <v>117.5</v>
      </c>
      <c r="BL139" s="196">
        <f>+BL140-BL138</f>
        <v>2.5999999999999659</v>
      </c>
      <c r="BM139" s="196">
        <f>+BM140-BM138</f>
        <v>-0.39999999999997726</v>
      </c>
      <c r="BN139" s="196">
        <f>+BN140-BN138</f>
        <v>1.1000000000000227</v>
      </c>
      <c r="BO139" s="196">
        <f>SUM(BK139:BN139)</f>
        <v>120.80000000000001</v>
      </c>
      <c r="BP139" s="75"/>
      <c r="BQ139" s="196">
        <f>+BQ140-BQ138</f>
        <v>2.8999999999999773</v>
      </c>
      <c r="BR139" s="196">
        <f>+BR140-BR138</f>
        <v>0.39999999999997726</v>
      </c>
      <c r="BS139" s="196">
        <f>-BS143*BS144</f>
        <v>0</v>
      </c>
      <c r="BT139" s="196">
        <f>-BT143*BT144</f>
        <v>0</v>
      </c>
      <c r="BU139" s="196">
        <f>SUM(BQ139:BT139)</f>
        <v>3.2999999999999545</v>
      </c>
      <c r="BV139" s="75"/>
      <c r="BW139" s="196">
        <f>-BW143*BW144</f>
        <v>0</v>
      </c>
      <c r="BX139" s="196">
        <f>-BX143*BX144</f>
        <v>0</v>
      </c>
      <c r="BY139" s="196">
        <f>-BY143*BY144</f>
        <v>0</v>
      </c>
      <c r="BZ139" s="196">
        <f>-BZ143*BZ144</f>
        <v>0</v>
      </c>
      <c r="CA139" s="196">
        <f>SUM(BW139:BZ139)</f>
        <v>0</v>
      </c>
      <c r="CB139" s="75"/>
      <c r="CC139" s="196">
        <f>-CC143*CC144</f>
        <v>0</v>
      </c>
      <c r="CD139" s="196">
        <f>-CD143*CD144</f>
        <v>0</v>
      </c>
      <c r="CE139" s="196">
        <f>-CE143*CE144</f>
        <v>0</v>
      </c>
      <c r="CF139" s="196">
        <f>-CF143*CF144</f>
        <v>0</v>
      </c>
      <c r="CG139" s="196">
        <f>SUM(CC139:CF139)</f>
        <v>0</v>
      </c>
      <c r="CH139" s="75"/>
      <c r="CI139" s="196">
        <f t="shared" ref="CI139:CL139" si="257">-CI143*CI144</f>
        <v>0</v>
      </c>
      <c r="CJ139" s="196">
        <f t="shared" si="257"/>
        <v>0</v>
      </c>
      <c r="CK139" s="196">
        <f t="shared" si="257"/>
        <v>0</v>
      </c>
      <c r="CL139" s="196">
        <f t="shared" si="257"/>
        <v>0</v>
      </c>
      <c r="CM139" s="196">
        <f t="shared" ref="CM139" si="258">SUM(CI139:CL139)</f>
        <v>0</v>
      </c>
      <c r="CN139" s="75"/>
      <c r="CO139" s="196">
        <f t="shared" ref="CO139:CR139" si="259">-CO143*CO144</f>
        <v>0</v>
      </c>
      <c r="CP139" s="196">
        <f t="shared" si="259"/>
        <v>0</v>
      </c>
      <c r="CQ139" s="196">
        <f t="shared" si="259"/>
        <v>0</v>
      </c>
      <c r="CR139" s="196">
        <f t="shared" si="259"/>
        <v>0</v>
      </c>
      <c r="CS139" s="196">
        <f t="shared" ref="CS139" si="260">SUM(CO139:CR139)</f>
        <v>0</v>
      </c>
      <c r="CT139" s="109"/>
      <c r="CU139" s="109"/>
      <c r="CV139" s="109"/>
      <c r="CW139" s="75"/>
      <c r="CX139" s="75"/>
      <c r="CY139" s="75"/>
      <c r="CZ139" s="75"/>
    </row>
    <row r="140" spans="1:104" ht="12.75" customHeight="1" outlineLevel="1" x14ac:dyDescent="0.2">
      <c r="A140" s="75" t="s">
        <v>170</v>
      </c>
      <c r="B140" s="75"/>
      <c r="C140" s="49"/>
      <c r="D140" s="49"/>
      <c r="E140" s="49"/>
      <c r="F140" s="49"/>
      <c r="G140" s="49"/>
      <c r="H140" s="75"/>
      <c r="I140" s="49"/>
      <c r="J140" s="49"/>
      <c r="K140" s="49"/>
      <c r="L140" s="49"/>
      <c r="M140" s="49"/>
      <c r="N140" s="75"/>
      <c r="O140" s="49"/>
      <c r="P140" s="49"/>
      <c r="Q140" s="49"/>
      <c r="R140" s="49"/>
      <c r="S140" s="49"/>
      <c r="T140" s="75"/>
      <c r="U140" s="49"/>
      <c r="V140" s="49"/>
      <c r="W140" s="49"/>
      <c r="X140" s="49"/>
      <c r="Y140" s="49"/>
      <c r="Z140" s="75"/>
      <c r="AA140" s="49"/>
      <c r="AB140" s="49"/>
      <c r="AC140" s="49"/>
      <c r="AD140" s="49">
        <f>AD23</f>
        <v>56.051000000000002</v>
      </c>
      <c r="AE140" s="49">
        <f>AE138+AE139</f>
        <v>56.051000000000002</v>
      </c>
      <c r="AF140" s="75"/>
      <c r="AG140" s="49">
        <f>AG23</f>
        <v>56.85</v>
      </c>
      <c r="AH140" s="49">
        <f>AH23</f>
        <v>56.85</v>
      </c>
      <c r="AI140" s="49">
        <f>AI23</f>
        <v>56.85</v>
      </c>
      <c r="AJ140" s="49">
        <f>AJ23</f>
        <v>56.85</v>
      </c>
      <c r="AK140" s="49">
        <f>AK138+AK139</f>
        <v>56.85</v>
      </c>
      <c r="AL140" s="75"/>
      <c r="AM140" s="49">
        <f>AM23</f>
        <v>56.85</v>
      </c>
      <c r="AN140" s="49">
        <f>AN23</f>
        <v>56.85</v>
      </c>
      <c r="AO140" s="49">
        <f>AO23</f>
        <v>56.85</v>
      </c>
      <c r="AP140" s="49">
        <f>AP23</f>
        <v>56.85</v>
      </c>
      <c r="AQ140" s="49">
        <f>AQ138+AQ139</f>
        <v>56.85</v>
      </c>
      <c r="AR140" s="75"/>
      <c r="AS140" s="49">
        <f>+SUM(AS138:AS139)</f>
        <v>56.85</v>
      </c>
      <c r="AT140" s="49">
        <f>AT23</f>
        <v>56.85</v>
      </c>
      <c r="AU140" s="49">
        <f>+SUM(AU138:AU139)</f>
        <v>166.74600000000001</v>
      </c>
      <c r="AV140" s="49">
        <f>AV23</f>
        <v>169.18100000000001</v>
      </c>
      <c r="AW140" s="49">
        <f>AW138+AW139</f>
        <v>169.18100000000001</v>
      </c>
      <c r="AX140" s="75"/>
      <c r="AY140" s="49">
        <f>AY23</f>
        <v>169.18100000000001</v>
      </c>
      <c r="AZ140" s="49">
        <f>AZ23</f>
        <v>169.18100000000001</v>
      </c>
      <c r="BA140" s="49">
        <f>BA23</f>
        <v>185.22800000000001</v>
      </c>
      <c r="BB140" s="49">
        <f>BB23</f>
        <v>177.2</v>
      </c>
      <c r="BC140" s="49">
        <f>BC138+BC139</f>
        <v>177.2</v>
      </c>
      <c r="BD140" s="75"/>
      <c r="BE140" s="49">
        <f>BE23</f>
        <v>177.3</v>
      </c>
      <c r="BF140" s="49">
        <f>BF23</f>
        <v>177</v>
      </c>
      <c r="BG140" s="49">
        <f>BG23</f>
        <v>177.9</v>
      </c>
      <c r="BH140" s="49">
        <f>BH23</f>
        <v>195.3</v>
      </c>
      <c r="BI140" s="49">
        <f>BI138+BI139</f>
        <v>195.3</v>
      </c>
      <c r="BJ140" s="75"/>
      <c r="BK140" s="49">
        <f>BK23</f>
        <v>312.8</v>
      </c>
      <c r="BL140" s="49">
        <f>BL23</f>
        <v>315.39999999999998</v>
      </c>
      <c r="BM140" s="49">
        <f>BM23</f>
        <v>315</v>
      </c>
      <c r="BN140" s="49">
        <f>BN23</f>
        <v>316.10000000000002</v>
      </c>
      <c r="BO140" s="49">
        <f>BO138+BO139</f>
        <v>316.10000000000002</v>
      </c>
      <c r="BP140" s="75"/>
      <c r="BQ140" s="49">
        <f>BQ23</f>
        <v>319</v>
      </c>
      <c r="BR140" s="49">
        <f>BR23</f>
        <v>319.39999999999998</v>
      </c>
      <c r="BS140" s="49">
        <f>+SUM(BS138:BS139)</f>
        <v>319.39999999999998</v>
      </c>
      <c r="BT140" s="49">
        <f>+SUM(BT138:BT139)</f>
        <v>319.39999999999998</v>
      </c>
      <c r="BU140" s="49">
        <f>BU138+BU139</f>
        <v>319.39999999999998</v>
      </c>
      <c r="BV140" s="75"/>
      <c r="BW140" s="49">
        <f>+SUM(BW138:BW139)</f>
        <v>319.39999999999998</v>
      </c>
      <c r="BX140" s="49">
        <f>+SUM(BX138:BX139)</f>
        <v>319.39999999999998</v>
      </c>
      <c r="BY140" s="49">
        <f>+SUM(BY138:BY139)</f>
        <v>319.39999999999998</v>
      </c>
      <c r="BZ140" s="49">
        <f>+SUM(BZ138:BZ139)</f>
        <v>319.39999999999998</v>
      </c>
      <c r="CA140" s="49">
        <f>CA138+CA139</f>
        <v>319.39999999999998</v>
      </c>
      <c r="CB140" s="75"/>
      <c r="CC140" s="49">
        <f>+SUM(CC138:CC139)</f>
        <v>319.39999999999998</v>
      </c>
      <c r="CD140" s="49">
        <f>+SUM(CD138:CD139)</f>
        <v>319.39999999999998</v>
      </c>
      <c r="CE140" s="49">
        <f>+SUM(CE138:CE139)</f>
        <v>319.39999999999998</v>
      </c>
      <c r="CF140" s="49">
        <f>+SUM(CF138:CF139)</f>
        <v>319.39999999999998</v>
      </c>
      <c r="CG140" s="49">
        <f>CG138+CG139</f>
        <v>319.39999999999998</v>
      </c>
      <c r="CH140" s="75"/>
      <c r="CI140" s="49">
        <f t="shared" ref="CI140:CL140" si="261">+SUM(CI138:CI139)</f>
        <v>319.39999999999998</v>
      </c>
      <c r="CJ140" s="49">
        <f t="shared" si="261"/>
        <v>319.39999999999998</v>
      </c>
      <c r="CK140" s="49">
        <f t="shared" si="261"/>
        <v>319.39999999999998</v>
      </c>
      <c r="CL140" s="49">
        <f t="shared" si="261"/>
        <v>319.39999999999998</v>
      </c>
      <c r="CM140" s="49">
        <f t="shared" ref="CM140" si="262">CM138+CM139</f>
        <v>319.39999999999998</v>
      </c>
      <c r="CN140" s="75"/>
      <c r="CO140" s="49">
        <f t="shared" ref="CO140:CR140" si="263">+SUM(CO138:CO139)</f>
        <v>319.39999999999998</v>
      </c>
      <c r="CP140" s="49">
        <f t="shared" si="263"/>
        <v>319.39999999999998</v>
      </c>
      <c r="CQ140" s="49">
        <f t="shared" si="263"/>
        <v>319.39999999999998</v>
      </c>
      <c r="CR140" s="49">
        <f t="shared" si="263"/>
        <v>319.39999999999998</v>
      </c>
      <c r="CS140" s="49">
        <f t="shared" ref="CS140" si="264">CS138+CS139</f>
        <v>319.39999999999998</v>
      </c>
      <c r="CT140" s="49"/>
      <c r="CU140" s="49"/>
      <c r="CV140" s="49"/>
      <c r="CW140" s="75"/>
      <c r="CX140" s="75"/>
      <c r="CY140" s="75"/>
      <c r="CZ140" s="75"/>
    </row>
    <row r="141" spans="1:104" ht="12.75" customHeight="1" outlineLevel="1" x14ac:dyDescent="0.2">
      <c r="B141" s="25"/>
      <c r="C141" s="10"/>
      <c r="D141" s="10"/>
      <c r="E141" s="10"/>
      <c r="F141" s="10"/>
      <c r="G141" s="10"/>
      <c r="H141" s="25"/>
      <c r="I141" s="10"/>
      <c r="J141" s="10"/>
      <c r="K141" s="10"/>
      <c r="L141" s="10"/>
      <c r="M141" s="10"/>
      <c r="N141" s="25"/>
      <c r="O141" s="10"/>
      <c r="P141" s="10"/>
      <c r="Q141" s="10"/>
      <c r="R141" s="10"/>
      <c r="T141" s="25"/>
      <c r="U141" s="10"/>
      <c r="V141" s="10"/>
      <c r="W141" s="10"/>
      <c r="X141" s="10"/>
      <c r="Z141" s="25"/>
      <c r="AB141" s="10"/>
      <c r="AC141" s="10"/>
      <c r="AD141" s="10"/>
      <c r="AF141" s="1"/>
      <c r="AH141" s="90"/>
      <c r="AI141" s="90"/>
      <c r="AJ141" s="43"/>
      <c r="AK141" s="43"/>
      <c r="AL141" s="75"/>
      <c r="AM141" s="43"/>
      <c r="AN141" s="43"/>
      <c r="AO141" s="90"/>
      <c r="AP141" s="43"/>
      <c r="AQ141" s="43"/>
      <c r="AR141" s="1"/>
      <c r="AS141" s="43"/>
      <c r="AT141" s="43"/>
      <c r="AU141" s="90"/>
      <c r="AV141" s="43"/>
      <c r="AX141" s="1"/>
      <c r="BD141" s="1"/>
      <c r="BJ141" s="1"/>
      <c r="BP141" s="1"/>
      <c r="BV141" s="1"/>
      <c r="CB141" s="1"/>
      <c r="CH141" s="1"/>
      <c r="CN141" s="1"/>
      <c r="CY141" s="43"/>
      <c r="CZ141" s="43"/>
    </row>
    <row r="142" spans="1:104" ht="12.75" customHeight="1" outlineLevel="1" x14ac:dyDescent="0.2">
      <c r="A142" s="5" t="s">
        <v>187</v>
      </c>
      <c r="B142" s="4"/>
      <c r="C142" s="198"/>
      <c r="D142" s="198"/>
      <c r="E142" s="198"/>
      <c r="F142" s="198"/>
      <c r="G142" s="198"/>
      <c r="H142" s="4"/>
      <c r="I142" s="198"/>
      <c r="J142" s="198"/>
      <c r="K142" s="198"/>
      <c r="L142" s="198"/>
      <c r="M142" s="198"/>
      <c r="N142" s="4"/>
      <c r="O142" s="198"/>
      <c r="P142" s="198"/>
      <c r="Q142" s="198"/>
      <c r="R142" s="198"/>
      <c r="S142" s="198"/>
      <c r="T142" s="4"/>
      <c r="U142" s="198"/>
      <c r="V142" s="198"/>
      <c r="W142" s="198"/>
      <c r="X142" s="198"/>
      <c r="Y142" s="198"/>
      <c r="Z142" s="4"/>
      <c r="AA142" s="198"/>
      <c r="AB142" s="198"/>
      <c r="AC142" s="198"/>
      <c r="AD142" s="198"/>
      <c r="AE142" s="198"/>
      <c r="AF142" s="52"/>
      <c r="AG142" s="198"/>
      <c r="AH142" s="398"/>
      <c r="AI142" s="398"/>
      <c r="AJ142" s="398"/>
      <c r="AK142" s="398"/>
      <c r="AL142" s="52"/>
      <c r="AM142" s="398"/>
      <c r="AN142" s="398"/>
      <c r="AO142" s="398"/>
      <c r="AP142" s="398"/>
      <c r="AQ142" s="398"/>
      <c r="AR142" s="52"/>
      <c r="AS142" s="398"/>
      <c r="AT142" s="398"/>
      <c r="AU142" s="398"/>
      <c r="AV142" s="398"/>
      <c r="AW142" s="198"/>
      <c r="AX142" s="52"/>
      <c r="AY142" s="198"/>
      <c r="AZ142" s="198"/>
      <c r="BA142" s="198"/>
      <c r="BB142" s="198"/>
      <c r="BC142" s="198"/>
      <c r="BD142" s="52"/>
      <c r="BE142" s="198"/>
      <c r="BF142" s="198"/>
      <c r="BG142" s="198"/>
      <c r="BH142" s="198"/>
      <c r="BI142" s="198"/>
      <c r="BJ142" s="52"/>
      <c r="BK142" s="198"/>
      <c r="BL142" s="198"/>
      <c r="BM142" s="198"/>
      <c r="BN142" s="198"/>
      <c r="BO142" s="198"/>
      <c r="BP142" s="52"/>
      <c r="BQ142" s="198"/>
      <c r="BR142" s="198"/>
      <c r="BS142" s="198"/>
      <c r="BT142" s="198"/>
      <c r="BU142" s="198"/>
      <c r="BV142" s="52"/>
      <c r="BW142" s="198"/>
      <c r="BX142" s="198"/>
      <c r="BY142" s="198"/>
      <c r="BZ142" s="198"/>
      <c r="CA142" s="198"/>
      <c r="CB142" s="52"/>
      <c r="CC142" s="198"/>
      <c r="CD142" s="198"/>
      <c r="CE142" s="198"/>
      <c r="CF142" s="198"/>
      <c r="CG142" s="198"/>
      <c r="CH142" s="52"/>
      <c r="CI142" s="198"/>
      <c r="CJ142" s="198"/>
      <c r="CK142" s="198"/>
      <c r="CL142" s="198"/>
      <c r="CM142" s="198"/>
      <c r="CN142" s="52"/>
      <c r="CO142" s="198"/>
      <c r="CP142" s="198"/>
      <c r="CQ142" s="198"/>
      <c r="CR142" s="198"/>
      <c r="CS142" s="198"/>
      <c r="CT142" s="4"/>
      <c r="CU142" s="4"/>
      <c r="CV142" s="4"/>
      <c r="CW142" s="75"/>
      <c r="CX142" s="75"/>
      <c r="CY142" s="75"/>
      <c r="CZ142" s="75"/>
    </row>
    <row r="143" spans="1:104" ht="12.75" customHeight="1" outlineLevel="1" x14ac:dyDescent="0.2">
      <c r="A143" s="1" t="s">
        <v>188</v>
      </c>
      <c r="B143" s="109"/>
      <c r="C143" s="82">
        <f>+'Cash Flow'!C31</f>
        <v>0</v>
      </c>
      <c r="D143" s="82">
        <f>+'Cash Flow'!D31</f>
        <v>0</v>
      </c>
      <c r="E143" s="82">
        <f>+'Cash Flow'!E31</f>
        <v>0</v>
      </c>
      <c r="F143" s="82">
        <f>+'Cash Flow'!F31</f>
        <v>0</v>
      </c>
      <c r="G143" s="82">
        <f>+'Cash Flow'!G31</f>
        <v>0</v>
      </c>
      <c r="H143" s="109"/>
      <c r="I143" s="82">
        <f>+'Cash Flow'!I31</f>
        <v>0</v>
      </c>
      <c r="J143" s="82">
        <f>+'Cash Flow'!J31</f>
        <v>0</v>
      </c>
      <c r="K143" s="82">
        <f>+'Cash Flow'!K31</f>
        <v>0</v>
      </c>
      <c r="L143" s="82">
        <f>+'Cash Flow'!L31</f>
        <v>0</v>
      </c>
      <c r="M143" s="82">
        <f>+'Cash Flow'!M31</f>
        <v>0</v>
      </c>
      <c r="N143" s="109"/>
      <c r="O143" s="82">
        <f>+'Cash Flow'!O31</f>
        <v>0</v>
      </c>
      <c r="P143" s="82">
        <f>+'Cash Flow'!P31</f>
        <v>0</v>
      </c>
      <c r="Q143" s="82">
        <f>+'Cash Flow'!Q31</f>
        <v>0</v>
      </c>
      <c r="R143" s="82">
        <f>+'Cash Flow'!R31</f>
        <v>0</v>
      </c>
      <c r="S143" s="82">
        <f>+'Cash Flow'!S31</f>
        <v>0</v>
      </c>
      <c r="T143" s="109"/>
      <c r="U143" s="82">
        <f>+'Cash Flow'!U31</f>
        <v>0</v>
      </c>
      <c r="V143" s="82">
        <f>+'Cash Flow'!V31</f>
        <v>0</v>
      </c>
      <c r="W143" s="82">
        <f>+'Cash Flow'!W31</f>
        <v>0</v>
      </c>
      <c r="X143" s="82">
        <f>+'Cash Flow'!X31</f>
        <v>0</v>
      </c>
      <c r="Y143" s="82">
        <f>+'Cash Flow'!Y31</f>
        <v>0</v>
      </c>
      <c r="Z143" s="109"/>
      <c r="AA143" s="82">
        <f>+'Cash Flow'!AA31</f>
        <v>0</v>
      </c>
      <c r="AB143" s="82">
        <f>+'Cash Flow'!AB31</f>
        <v>0</v>
      </c>
      <c r="AC143" s="82">
        <f>+'Cash Flow'!AC31</f>
        <v>0</v>
      </c>
      <c r="AD143" s="82">
        <f>+'Cash Flow'!AD31</f>
        <v>-79.417000000000002</v>
      </c>
      <c r="AE143" s="82">
        <f>+'Cash Flow'!AE31</f>
        <v>-79.417000000000002</v>
      </c>
      <c r="AF143" s="109"/>
      <c r="AG143" s="82">
        <f>+'Cash Flow'!AG31</f>
        <v>-0.79900000000000004</v>
      </c>
      <c r="AH143" s="82">
        <f>+'Cash Flow'!AH31</f>
        <v>0</v>
      </c>
      <c r="AI143" s="82">
        <f>+'Cash Flow'!AI31</f>
        <v>0</v>
      </c>
      <c r="AJ143" s="82">
        <f>+'Cash Flow'!AJ31</f>
        <v>0</v>
      </c>
      <c r="AK143" s="82">
        <f>+'Cash Flow'!AK31</f>
        <v>-0.79900000000000004</v>
      </c>
      <c r="AL143" s="109"/>
      <c r="AM143" s="82">
        <f>+'Cash Flow'!AM31</f>
        <v>0</v>
      </c>
      <c r="AN143" s="82">
        <f>+'Cash Flow'!AN31</f>
        <v>0</v>
      </c>
      <c r="AO143" s="82">
        <f>+'Cash Flow'!AO31</f>
        <v>0</v>
      </c>
      <c r="AP143" s="82">
        <f>+'Cash Flow'!AP31</f>
        <v>0</v>
      </c>
      <c r="AQ143" s="82">
        <f>+'Cash Flow'!AQ31</f>
        <v>0</v>
      </c>
      <c r="AR143" s="109"/>
      <c r="AS143" s="82">
        <f>+'Cash Flow'!AS31</f>
        <v>0</v>
      </c>
      <c r="AT143" s="82">
        <f>+'Cash Flow'!AT31</f>
        <v>0</v>
      </c>
      <c r="AU143" s="82">
        <f>+'Cash Flow'!AU31</f>
        <v>-223.53100000000001</v>
      </c>
      <c r="AV143" s="82">
        <f>+'Cash Flow'!AV31</f>
        <v>0</v>
      </c>
      <c r="AW143" s="82">
        <f>+'Cash Flow'!AW31</f>
        <v>-223.53100000000001</v>
      </c>
      <c r="AX143" s="109"/>
      <c r="AY143" s="82">
        <f>+'Cash Flow'!AY31</f>
        <v>0</v>
      </c>
      <c r="AZ143" s="82">
        <f>+'Cash Flow'!AZ31</f>
        <v>0</v>
      </c>
      <c r="BA143" s="82">
        <f>+'Cash Flow'!BA31</f>
        <v>-20.114999999999998</v>
      </c>
      <c r="BB143" s="82">
        <f>+'Cash Flow'!BB31</f>
        <v>1.4999999999997016E-2</v>
      </c>
      <c r="BC143" s="82">
        <f>+'Cash Flow'!BC31</f>
        <v>-20.100000000000001</v>
      </c>
      <c r="BD143" s="109"/>
      <c r="BE143" s="82">
        <f>+'Cash Flow'!BE31</f>
        <v>0</v>
      </c>
      <c r="BF143" s="82">
        <f>+'Cash Flow'!BF31</f>
        <v>0</v>
      </c>
      <c r="BG143" s="82">
        <f>+'Cash Flow'!BG31</f>
        <v>0</v>
      </c>
      <c r="BH143" s="82">
        <f>+'Cash Flow'!BH31</f>
        <v>-37</v>
      </c>
      <c r="BI143" s="82">
        <f>+'Cash Flow'!BI31</f>
        <v>-37</v>
      </c>
      <c r="BJ143" s="109"/>
      <c r="BK143" s="82">
        <f>+'Cash Flow'!BK31</f>
        <v>-213</v>
      </c>
      <c r="BL143" s="82">
        <f>+'Cash Flow'!BL31</f>
        <v>-3.0999999999999943</v>
      </c>
      <c r="BM143" s="82">
        <f>+'Cash Flow'!BM31</f>
        <v>0</v>
      </c>
      <c r="BN143" s="82">
        <f>+'Cash Flow'!BN31</f>
        <v>0</v>
      </c>
      <c r="BO143" s="82">
        <f>+'Cash Flow'!BO31</f>
        <v>-216.1</v>
      </c>
      <c r="BP143" s="109"/>
      <c r="BQ143" s="82">
        <f>+'Cash Flow'!BQ31</f>
        <v>0</v>
      </c>
      <c r="BR143" s="82">
        <f>+'Cash Flow'!BR31</f>
        <v>0</v>
      </c>
      <c r="BS143" s="82">
        <f>+'Cash Flow'!BS31</f>
        <v>0</v>
      </c>
      <c r="BT143" s="82">
        <f>+'Cash Flow'!BT31</f>
        <v>0</v>
      </c>
      <c r="BU143" s="82">
        <f>+'Cash Flow'!BU31</f>
        <v>0</v>
      </c>
      <c r="BV143" s="109"/>
      <c r="BW143" s="82">
        <f>+'Cash Flow'!BW31</f>
        <v>0</v>
      </c>
      <c r="BX143" s="82">
        <f>+'Cash Flow'!BX31</f>
        <v>0</v>
      </c>
      <c r="BY143" s="82">
        <f>+'Cash Flow'!BY31</f>
        <v>0</v>
      </c>
      <c r="BZ143" s="82">
        <f>+'Cash Flow'!BZ31</f>
        <v>0</v>
      </c>
      <c r="CA143" s="82">
        <f>+'Cash Flow'!CA31</f>
        <v>0</v>
      </c>
      <c r="CB143" s="109"/>
      <c r="CC143" s="82">
        <f>+'Cash Flow'!CC31</f>
        <v>0</v>
      </c>
      <c r="CD143" s="82">
        <f>+'Cash Flow'!CD31</f>
        <v>0</v>
      </c>
      <c r="CE143" s="82">
        <f>+'Cash Flow'!CE31</f>
        <v>0</v>
      </c>
      <c r="CF143" s="82">
        <f>+'Cash Flow'!CF31</f>
        <v>0</v>
      </c>
      <c r="CG143" s="82">
        <f>+'Cash Flow'!CG31</f>
        <v>0</v>
      </c>
      <c r="CH143" s="109"/>
      <c r="CI143" s="82">
        <f>+'Cash Flow'!CI31</f>
        <v>0</v>
      </c>
      <c r="CJ143" s="82">
        <f>+'Cash Flow'!CJ31</f>
        <v>0</v>
      </c>
      <c r="CK143" s="82">
        <f>+'Cash Flow'!CK31</f>
        <v>0</v>
      </c>
      <c r="CL143" s="82">
        <f>+'Cash Flow'!CL31</f>
        <v>0</v>
      </c>
      <c r="CM143" s="82">
        <f>+'Cash Flow'!CM31</f>
        <v>0</v>
      </c>
      <c r="CN143" s="109"/>
      <c r="CO143" s="82">
        <f>+'Cash Flow'!CO31</f>
        <v>0</v>
      </c>
      <c r="CP143" s="82">
        <f>+'Cash Flow'!CP31</f>
        <v>0</v>
      </c>
      <c r="CQ143" s="82">
        <f>+'Cash Flow'!CQ31</f>
        <v>0</v>
      </c>
      <c r="CR143" s="82">
        <f>+'Cash Flow'!CR31</f>
        <v>0</v>
      </c>
      <c r="CS143" s="82">
        <f>+'Cash Flow'!CS31</f>
        <v>0</v>
      </c>
      <c r="CT143" s="82"/>
      <c r="CU143" s="82"/>
      <c r="CV143" s="82"/>
      <c r="CW143" s="75"/>
      <c r="CX143" s="75"/>
      <c r="CY143" s="75"/>
      <c r="CZ143" s="75"/>
    </row>
    <row r="144" spans="1:104" ht="12.75" customHeight="1" outlineLevel="1" x14ac:dyDescent="0.2">
      <c r="A144" s="6" t="s">
        <v>108</v>
      </c>
      <c r="B144" s="200"/>
      <c r="C144" s="199">
        <v>0.45</v>
      </c>
      <c r="D144" s="199">
        <v>0.45</v>
      </c>
      <c r="E144" s="199">
        <v>0.45</v>
      </c>
      <c r="F144" s="199">
        <v>0.45</v>
      </c>
      <c r="G144" s="199">
        <v>0.45</v>
      </c>
      <c r="H144" s="200"/>
      <c r="I144" s="199">
        <v>0.45</v>
      </c>
      <c r="J144" s="199">
        <v>0.45</v>
      </c>
      <c r="K144" s="199">
        <v>0.45</v>
      </c>
      <c r="L144" s="199">
        <v>0.45</v>
      </c>
      <c r="M144" s="199">
        <v>0.45</v>
      </c>
      <c r="N144" s="200"/>
      <c r="O144" s="199">
        <v>0.45</v>
      </c>
      <c r="P144" s="199">
        <v>0.45</v>
      </c>
      <c r="Q144" s="199">
        <v>0.45</v>
      </c>
      <c r="R144" s="199">
        <v>0.45</v>
      </c>
      <c r="S144" s="199">
        <v>0.45</v>
      </c>
      <c r="T144" s="200"/>
      <c r="U144" s="199">
        <v>0.45</v>
      </c>
      <c r="V144" s="199">
        <v>0.45</v>
      </c>
      <c r="W144" s="199">
        <v>0.45</v>
      </c>
      <c r="X144" s="199">
        <v>0.45</v>
      </c>
      <c r="Y144" s="199">
        <v>0.45</v>
      </c>
      <c r="Z144" s="200"/>
      <c r="AA144" s="199">
        <v>0.45</v>
      </c>
      <c r="AB144" s="199">
        <v>0.45</v>
      </c>
      <c r="AC144" s="199">
        <v>0.45</v>
      </c>
      <c r="AD144" s="199">
        <f>56.051/88.589</f>
        <v>0.63270834979512136</v>
      </c>
      <c r="AE144" s="199">
        <f>AD144</f>
        <v>0.63270834979512136</v>
      </c>
      <c r="AF144" s="200"/>
      <c r="AG144" s="199">
        <v>0.45</v>
      </c>
      <c r="AH144" s="199">
        <v>0.45</v>
      </c>
      <c r="AI144" s="199">
        <v>0.45</v>
      </c>
      <c r="AJ144" s="199">
        <v>0.45</v>
      </c>
      <c r="AK144" s="199">
        <v>0.45</v>
      </c>
      <c r="AL144" s="200"/>
      <c r="AM144" s="199">
        <v>0.45</v>
      </c>
      <c r="AN144" s="199">
        <v>0.45</v>
      </c>
      <c r="AO144" s="199">
        <v>0.45</v>
      </c>
      <c r="AP144" s="57">
        <v>0.45</v>
      </c>
      <c r="AQ144" s="57">
        <v>0.45</v>
      </c>
      <c r="AR144" s="200"/>
      <c r="AS144" s="199">
        <v>0.45</v>
      </c>
      <c r="AT144" s="199">
        <v>0.45</v>
      </c>
      <c r="AU144" s="199">
        <f>-AU139/AU143</f>
        <v>0.49163650679324122</v>
      </c>
      <c r="AV144" s="199">
        <v>0.45</v>
      </c>
      <c r="AW144" s="199">
        <v>0.45</v>
      </c>
      <c r="AX144" s="199"/>
      <c r="AY144" s="199">
        <v>0.45</v>
      </c>
      <c r="AZ144" s="199">
        <v>0.45</v>
      </c>
      <c r="BA144" s="199">
        <v>0.45</v>
      </c>
      <c r="BB144" s="199">
        <v>0.45</v>
      </c>
      <c r="BC144" s="199">
        <v>0.45</v>
      </c>
      <c r="BD144" s="200"/>
      <c r="BE144" s="199">
        <v>0.45</v>
      </c>
      <c r="BF144" s="199">
        <v>0.45</v>
      </c>
      <c r="BG144" s="199">
        <v>0.45</v>
      </c>
      <c r="BH144" s="199">
        <v>0.45</v>
      </c>
      <c r="BI144" s="199">
        <v>0.45</v>
      </c>
      <c r="BJ144" s="200"/>
      <c r="BK144" s="199">
        <v>0.45</v>
      </c>
      <c r="BL144" s="199">
        <v>0.45</v>
      </c>
      <c r="BM144" s="199">
        <v>0.45</v>
      </c>
      <c r="BN144" s="199">
        <v>0.45</v>
      </c>
      <c r="BO144" s="199">
        <v>0.45</v>
      </c>
      <c r="BP144" s="200"/>
      <c r="BQ144" s="199">
        <v>0.45</v>
      </c>
      <c r="BR144" s="199">
        <v>0.45</v>
      </c>
      <c r="BS144" s="559">
        <v>0.45</v>
      </c>
      <c r="BT144" s="559">
        <v>0.45</v>
      </c>
      <c r="BU144" s="559">
        <v>0.45</v>
      </c>
      <c r="BV144" s="200"/>
      <c r="BW144" s="559">
        <v>0.45</v>
      </c>
      <c r="BX144" s="559">
        <v>0.45</v>
      </c>
      <c r="BY144" s="559">
        <v>0.45</v>
      </c>
      <c r="BZ144" s="559">
        <v>0.45</v>
      </c>
      <c r="CA144" s="559">
        <v>0.45</v>
      </c>
      <c r="CB144" s="200"/>
      <c r="CC144" s="559">
        <v>0.45</v>
      </c>
      <c r="CD144" s="559">
        <v>0.45</v>
      </c>
      <c r="CE144" s="559">
        <v>0.45</v>
      </c>
      <c r="CF144" s="559">
        <v>0.45</v>
      </c>
      <c r="CG144" s="559">
        <v>0.45</v>
      </c>
      <c r="CH144" s="200"/>
      <c r="CI144" s="559">
        <v>0.45</v>
      </c>
      <c r="CJ144" s="559">
        <v>0.45</v>
      </c>
      <c r="CK144" s="559">
        <v>0.45</v>
      </c>
      <c r="CL144" s="559">
        <v>0.45</v>
      </c>
      <c r="CM144" s="559">
        <v>0.45</v>
      </c>
      <c r="CN144" s="200"/>
      <c r="CO144" s="559">
        <v>0.45</v>
      </c>
      <c r="CP144" s="559">
        <v>0.45</v>
      </c>
      <c r="CQ144" s="559">
        <v>0.45</v>
      </c>
      <c r="CR144" s="559">
        <v>0.45</v>
      </c>
      <c r="CS144" s="559">
        <v>0.45</v>
      </c>
      <c r="CT144" s="57"/>
      <c r="CU144" s="57"/>
      <c r="CV144" s="57"/>
      <c r="CW144" s="75"/>
      <c r="CX144" s="75"/>
      <c r="CY144" s="75"/>
      <c r="CZ144" s="75"/>
    </row>
    <row r="145" spans="1:104" ht="12.75" customHeight="1" outlineLevel="1" x14ac:dyDescent="0.2">
      <c r="A145" s="6" t="s">
        <v>165</v>
      </c>
      <c r="B145" s="200"/>
      <c r="C145" s="199">
        <v>0.3</v>
      </c>
      <c r="D145" s="199">
        <v>0.3</v>
      </c>
      <c r="E145" s="199">
        <v>0.3</v>
      </c>
      <c r="F145" s="199">
        <v>0.3</v>
      </c>
      <c r="G145" s="199">
        <v>0.3</v>
      </c>
      <c r="H145" s="200"/>
      <c r="I145" s="199">
        <v>0.3</v>
      </c>
      <c r="J145" s="199">
        <v>0.3</v>
      </c>
      <c r="K145" s="199">
        <v>0.3</v>
      </c>
      <c r="L145" s="199">
        <v>0.3</v>
      </c>
      <c r="M145" s="199">
        <v>0.3</v>
      </c>
      <c r="N145" s="200"/>
      <c r="O145" s="199">
        <v>0.3</v>
      </c>
      <c r="P145" s="199">
        <v>0.3</v>
      </c>
      <c r="Q145" s="199">
        <v>0.3</v>
      </c>
      <c r="R145" s="199">
        <v>0.3</v>
      </c>
      <c r="S145" s="199">
        <v>0.3</v>
      </c>
      <c r="T145" s="200"/>
      <c r="U145" s="199">
        <v>0.3</v>
      </c>
      <c r="V145" s="199">
        <v>0.3</v>
      </c>
      <c r="W145" s="199">
        <v>0.3</v>
      </c>
      <c r="X145" s="199">
        <v>0.3</v>
      </c>
      <c r="Y145" s="199">
        <v>0.3</v>
      </c>
      <c r="Z145" s="200"/>
      <c r="AA145" s="199">
        <v>0.3</v>
      </c>
      <c r="AB145" s="199">
        <v>0.3</v>
      </c>
      <c r="AC145" s="199">
        <v>0.3</v>
      </c>
      <c r="AD145" s="199">
        <f>14.95/88.589</f>
        <v>0.16875684340042216</v>
      </c>
      <c r="AE145" s="199">
        <f>AD145</f>
        <v>0.16875684340042216</v>
      </c>
      <c r="AF145" s="200"/>
      <c r="AG145" s="199">
        <v>0.3</v>
      </c>
      <c r="AH145" s="199">
        <v>0.3</v>
      </c>
      <c r="AI145" s="199">
        <v>0.3</v>
      </c>
      <c r="AJ145" s="199">
        <v>0.3</v>
      </c>
      <c r="AK145" s="199">
        <v>0.3</v>
      </c>
      <c r="AL145" s="200"/>
      <c r="AM145" s="199">
        <v>0.3</v>
      </c>
      <c r="AN145" s="199">
        <v>0.3</v>
      </c>
      <c r="AO145" s="199">
        <v>0.3</v>
      </c>
      <c r="AP145" s="57">
        <v>0.3</v>
      </c>
      <c r="AQ145" s="57">
        <v>0.3</v>
      </c>
      <c r="AR145" s="200"/>
      <c r="AS145" s="199">
        <v>0.3</v>
      </c>
      <c r="AT145" s="199">
        <v>0.3</v>
      </c>
      <c r="AU145" s="199">
        <f>1-AU144-AU146</f>
        <v>0.50836349320675878</v>
      </c>
      <c r="AV145" s="199">
        <v>0.3</v>
      </c>
      <c r="AW145" s="199">
        <v>0.3</v>
      </c>
      <c r="AX145" s="199"/>
      <c r="AY145" s="199">
        <v>0.3</v>
      </c>
      <c r="AZ145" s="199">
        <v>0.3</v>
      </c>
      <c r="BA145" s="199">
        <v>0.3</v>
      </c>
      <c r="BB145" s="199">
        <v>0.3</v>
      </c>
      <c r="BC145" s="199">
        <v>0.3</v>
      </c>
      <c r="BD145" s="200"/>
      <c r="BE145" s="199">
        <v>0.3</v>
      </c>
      <c r="BF145" s="199">
        <v>0.3</v>
      </c>
      <c r="BG145" s="199">
        <v>0.3</v>
      </c>
      <c r="BH145" s="199">
        <v>0.3</v>
      </c>
      <c r="BI145" s="199">
        <v>0.3</v>
      </c>
      <c r="BJ145" s="200"/>
      <c r="BK145" s="199">
        <v>0.3</v>
      </c>
      <c r="BL145" s="199">
        <v>0.3</v>
      </c>
      <c r="BM145" s="199">
        <v>0.3</v>
      </c>
      <c r="BN145" s="199">
        <v>0.3</v>
      </c>
      <c r="BO145" s="199">
        <v>0.3</v>
      </c>
      <c r="BP145" s="200"/>
      <c r="BQ145" s="199">
        <v>0.3</v>
      </c>
      <c r="BR145" s="199">
        <v>0.3</v>
      </c>
      <c r="BS145" s="559">
        <v>0.3</v>
      </c>
      <c r="BT145" s="559">
        <v>0.3</v>
      </c>
      <c r="BU145" s="559">
        <v>0.3</v>
      </c>
      <c r="BV145" s="200"/>
      <c r="BW145" s="559">
        <v>0.3</v>
      </c>
      <c r="BX145" s="559">
        <v>0.3</v>
      </c>
      <c r="BY145" s="559">
        <v>0.3</v>
      </c>
      <c r="BZ145" s="559">
        <v>0.3</v>
      </c>
      <c r="CA145" s="559">
        <v>0.3</v>
      </c>
      <c r="CB145" s="200"/>
      <c r="CC145" s="559">
        <v>0.3</v>
      </c>
      <c r="CD145" s="559">
        <v>0.3</v>
      </c>
      <c r="CE145" s="559">
        <v>0.3</v>
      </c>
      <c r="CF145" s="559">
        <v>0.3</v>
      </c>
      <c r="CG145" s="559">
        <v>0.3</v>
      </c>
      <c r="CH145" s="200"/>
      <c r="CI145" s="559">
        <v>0.3</v>
      </c>
      <c r="CJ145" s="559">
        <v>0.3</v>
      </c>
      <c r="CK145" s="559">
        <v>0.3</v>
      </c>
      <c r="CL145" s="559">
        <v>0.3</v>
      </c>
      <c r="CM145" s="559">
        <v>0.3</v>
      </c>
      <c r="CN145" s="200"/>
      <c r="CO145" s="559">
        <v>0.3</v>
      </c>
      <c r="CP145" s="559">
        <v>0.3</v>
      </c>
      <c r="CQ145" s="559">
        <v>0.3</v>
      </c>
      <c r="CR145" s="559">
        <v>0.3</v>
      </c>
      <c r="CS145" s="559">
        <v>0.3</v>
      </c>
      <c r="CT145" s="57"/>
      <c r="CU145" s="57"/>
      <c r="CV145" s="57"/>
      <c r="CW145" s="75"/>
      <c r="CX145" s="75"/>
      <c r="CY145" s="75"/>
      <c r="CZ145" s="75"/>
    </row>
    <row r="146" spans="1:104" ht="12.75" customHeight="1" outlineLevel="1" x14ac:dyDescent="0.2">
      <c r="A146" s="6" t="s">
        <v>154</v>
      </c>
      <c r="B146" s="200"/>
      <c r="C146" s="199">
        <f>1-C145-C144</f>
        <v>0.24999999999999994</v>
      </c>
      <c r="D146" s="199">
        <f>1-D145-D144</f>
        <v>0.24999999999999994</v>
      </c>
      <c r="E146" s="199">
        <f>1-E145-E144</f>
        <v>0.24999999999999994</v>
      </c>
      <c r="F146" s="199">
        <f>1-F145-F144</f>
        <v>0.24999999999999994</v>
      </c>
      <c r="G146" s="199">
        <f>1-G145-G144</f>
        <v>0.24999999999999994</v>
      </c>
      <c r="H146" s="200"/>
      <c r="I146" s="199">
        <f>1-I145-I144</f>
        <v>0.24999999999999994</v>
      </c>
      <c r="J146" s="199">
        <f>1-J145-J144</f>
        <v>0.24999999999999994</v>
      </c>
      <c r="K146" s="199">
        <f>1-K145-K144</f>
        <v>0.24999999999999994</v>
      </c>
      <c r="L146" s="199">
        <f>1-L145-L144</f>
        <v>0.24999999999999994</v>
      </c>
      <c r="M146" s="199">
        <f>1-M145-M144</f>
        <v>0.24999999999999994</v>
      </c>
      <c r="N146" s="200"/>
      <c r="O146" s="199">
        <f>1-O145-O144</f>
        <v>0.24999999999999994</v>
      </c>
      <c r="P146" s="199">
        <f>1-P145-P144</f>
        <v>0.24999999999999994</v>
      </c>
      <c r="Q146" s="199">
        <f>1-Q145-Q144</f>
        <v>0.24999999999999994</v>
      </c>
      <c r="R146" s="199">
        <f>1-R145-R144</f>
        <v>0.24999999999999994</v>
      </c>
      <c r="S146" s="199">
        <f>1-S145-S144</f>
        <v>0.24999999999999994</v>
      </c>
      <c r="T146" s="200"/>
      <c r="U146" s="199">
        <f>1-U145-U144</f>
        <v>0.24999999999999994</v>
      </c>
      <c r="V146" s="199">
        <f>1-V145-V144</f>
        <v>0.24999999999999994</v>
      </c>
      <c r="W146" s="199">
        <f>1-W145-W144</f>
        <v>0.24999999999999994</v>
      </c>
      <c r="X146" s="199">
        <f>1-X145-X144</f>
        <v>0.24999999999999994</v>
      </c>
      <c r="Y146" s="199">
        <f>1-Y145-Y144</f>
        <v>0.24999999999999994</v>
      </c>
      <c r="Z146" s="200"/>
      <c r="AA146" s="199">
        <f>1-AA145-AA144</f>
        <v>0.24999999999999994</v>
      </c>
      <c r="AB146" s="199">
        <f>1-AB145-AB144</f>
        <v>0.24999999999999994</v>
      </c>
      <c r="AC146" s="199">
        <f>1-AC145-AC144</f>
        <v>0.24999999999999994</v>
      </c>
      <c r="AD146" s="199">
        <f>1-AD145-AD144</f>
        <v>0.19853480680445645</v>
      </c>
      <c r="AE146" s="199">
        <f>AD146</f>
        <v>0.19853480680445645</v>
      </c>
      <c r="AF146" s="200"/>
      <c r="AG146" s="199">
        <f>1-AG145-AG144</f>
        <v>0.24999999999999994</v>
      </c>
      <c r="AH146" s="199">
        <f>1-AH145-AH144</f>
        <v>0.24999999999999994</v>
      </c>
      <c r="AI146" s="199">
        <f>1-AI145-AI144</f>
        <v>0.24999999999999994</v>
      </c>
      <c r="AJ146" s="199">
        <f>1-AJ145-AJ144</f>
        <v>0.24999999999999994</v>
      </c>
      <c r="AK146" s="199">
        <f>1-AK145-AK144</f>
        <v>0.24999999999999994</v>
      </c>
      <c r="AL146" s="200"/>
      <c r="AM146" s="199">
        <f>1-AM144-AM145</f>
        <v>0.25000000000000006</v>
      </c>
      <c r="AN146" s="199">
        <f>1-AN144-AN145</f>
        <v>0.25000000000000006</v>
      </c>
      <c r="AO146" s="199">
        <f>1-AO144-AO145</f>
        <v>0.25000000000000006</v>
      </c>
      <c r="AP146" s="199">
        <f>1-AP144-AP145</f>
        <v>0.25000000000000006</v>
      </c>
      <c r="AQ146" s="199">
        <f>1-AQ144-AQ145</f>
        <v>0.25000000000000006</v>
      </c>
      <c r="AR146" s="200"/>
      <c r="AS146" s="199">
        <f>1-AS144-AS145</f>
        <v>0.25000000000000006</v>
      </c>
      <c r="AT146" s="199">
        <f>1-AT144-AT145</f>
        <v>0.25000000000000006</v>
      </c>
      <c r="AU146" s="199">
        <v>0</v>
      </c>
      <c r="AV146" s="199">
        <f>1-AV144-AV145</f>
        <v>0.25000000000000006</v>
      </c>
      <c r="AW146" s="199">
        <f>1-AW144-AW145</f>
        <v>0.25000000000000006</v>
      </c>
      <c r="AX146" s="199"/>
      <c r="AY146" s="199">
        <f>1-AY144-AY145</f>
        <v>0.25000000000000006</v>
      </c>
      <c r="AZ146" s="199">
        <f>1-AZ144-AZ145</f>
        <v>0.25000000000000006</v>
      </c>
      <c r="BA146" s="199">
        <f>1-BA144-BA145</f>
        <v>0.25000000000000006</v>
      </c>
      <c r="BB146" s="199">
        <f>1-BB144-BB145</f>
        <v>0.25000000000000006</v>
      </c>
      <c r="BC146" s="199">
        <f>1-BC144-BC145</f>
        <v>0.25000000000000006</v>
      </c>
      <c r="BD146" s="200"/>
      <c r="BE146" s="199">
        <f>1-BE144-BE145</f>
        <v>0.25000000000000006</v>
      </c>
      <c r="BF146" s="199">
        <f>1-BF144-BF145</f>
        <v>0.25000000000000006</v>
      </c>
      <c r="BG146" s="199">
        <f>1-BG144-BG145</f>
        <v>0.25000000000000006</v>
      </c>
      <c r="BH146" s="199">
        <f>1-BH144-BH145</f>
        <v>0.25000000000000006</v>
      </c>
      <c r="BI146" s="199">
        <f>1-BI144-BI145</f>
        <v>0.25000000000000006</v>
      </c>
      <c r="BJ146" s="200"/>
      <c r="BK146" s="199">
        <f>1-BK144-BK145</f>
        <v>0.25000000000000006</v>
      </c>
      <c r="BL146" s="199">
        <f>1-BL144-BL145</f>
        <v>0.25000000000000006</v>
      </c>
      <c r="BM146" s="199">
        <f>1-BM144-BM145</f>
        <v>0.25000000000000006</v>
      </c>
      <c r="BN146" s="199">
        <f>1-BN144-BN145</f>
        <v>0.25000000000000006</v>
      </c>
      <c r="BO146" s="199">
        <f>1-BO144-BO145</f>
        <v>0.25000000000000006</v>
      </c>
      <c r="BP146" s="200"/>
      <c r="BQ146" s="199">
        <f>1-BQ144-BQ145</f>
        <v>0.25000000000000006</v>
      </c>
      <c r="BR146" s="199">
        <f>1-BR144-BR145</f>
        <v>0.25000000000000006</v>
      </c>
      <c r="BS146" s="559">
        <f>1-BS144-BS145</f>
        <v>0.25000000000000006</v>
      </c>
      <c r="BT146" s="559">
        <f>1-BT144-BT145</f>
        <v>0.25000000000000006</v>
      </c>
      <c r="BU146" s="559">
        <f>1-BU144-BU145</f>
        <v>0.25000000000000006</v>
      </c>
      <c r="BV146" s="200"/>
      <c r="BW146" s="559">
        <f>1-BW144-BW145</f>
        <v>0.25000000000000006</v>
      </c>
      <c r="BX146" s="559">
        <f>1-BX144-BX145</f>
        <v>0.25000000000000006</v>
      </c>
      <c r="BY146" s="559">
        <f>1-BY144-BY145</f>
        <v>0.25000000000000006</v>
      </c>
      <c r="BZ146" s="559">
        <f>1-BZ144-BZ145</f>
        <v>0.25000000000000006</v>
      </c>
      <c r="CA146" s="559">
        <f>1-CA144-CA145</f>
        <v>0.25000000000000006</v>
      </c>
      <c r="CB146" s="200"/>
      <c r="CC146" s="559">
        <f>1-CC144-CC145</f>
        <v>0.25000000000000006</v>
      </c>
      <c r="CD146" s="559">
        <f>1-CD144-CD145</f>
        <v>0.25000000000000006</v>
      </c>
      <c r="CE146" s="559">
        <f>1-CE144-CE145</f>
        <v>0.25000000000000006</v>
      </c>
      <c r="CF146" s="559">
        <f>1-CF144-CF145</f>
        <v>0.25000000000000006</v>
      </c>
      <c r="CG146" s="559">
        <f>1-CG144-CG145</f>
        <v>0.25000000000000006</v>
      </c>
      <c r="CH146" s="200"/>
      <c r="CI146" s="559">
        <f t="shared" ref="CI146:CM146" si="265">1-CI144-CI145</f>
        <v>0.25000000000000006</v>
      </c>
      <c r="CJ146" s="559">
        <f t="shared" si="265"/>
        <v>0.25000000000000006</v>
      </c>
      <c r="CK146" s="559">
        <f t="shared" si="265"/>
        <v>0.25000000000000006</v>
      </c>
      <c r="CL146" s="559">
        <f t="shared" si="265"/>
        <v>0.25000000000000006</v>
      </c>
      <c r="CM146" s="559">
        <f t="shared" si="265"/>
        <v>0.25000000000000006</v>
      </c>
      <c r="CN146" s="200"/>
      <c r="CO146" s="559">
        <f t="shared" ref="CO146:CS146" si="266">1-CO144-CO145</f>
        <v>0.25000000000000006</v>
      </c>
      <c r="CP146" s="559">
        <f t="shared" si="266"/>
        <v>0.25000000000000006</v>
      </c>
      <c r="CQ146" s="559">
        <f t="shared" si="266"/>
        <v>0.25000000000000006</v>
      </c>
      <c r="CR146" s="559">
        <f t="shared" si="266"/>
        <v>0.25000000000000006</v>
      </c>
      <c r="CS146" s="559">
        <f t="shared" si="266"/>
        <v>0.25000000000000006</v>
      </c>
      <c r="CT146" s="57"/>
      <c r="CU146" s="57"/>
      <c r="CV146" s="57"/>
      <c r="CW146" s="75"/>
      <c r="CX146" s="75"/>
      <c r="CY146" s="75"/>
      <c r="CZ146" s="75"/>
    </row>
    <row r="147" spans="1:104" ht="12.75" customHeight="1" outlineLevel="1" x14ac:dyDescent="0.2">
      <c r="A147" s="28" t="s">
        <v>189</v>
      </c>
      <c r="B147" s="1"/>
      <c r="C147" s="58">
        <f>+SUM(C144:C146)</f>
        <v>1</v>
      </c>
      <c r="D147" s="58">
        <f>+SUM(D144:D146)</f>
        <v>1</v>
      </c>
      <c r="E147" s="58">
        <f>+SUM(E144:E146)</f>
        <v>1</v>
      </c>
      <c r="F147" s="58">
        <f>+SUM(F144:F146)</f>
        <v>1</v>
      </c>
      <c r="G147" s="58">
        <f>+SUM(G144:G146)</f>
        <v>1</v>
      </c>
      <c r="H147" s="1"/>
      <c r="I147" s="58">
        <f>+SUM(I144:I146)</f>
        <v>1</v>
      </c>
      <c r="J147" s="58">
        <f>+SUM(J144:J146)</f>
        <v>1</v>
      </c>
      <c r="K147" s="58">
        <f>+SUM(K144:K146)</f>
        <v>1</v>
      </c>
      <c r="L147" s="58">
        <f>+SUM(L144:L146)</f>
        <v>1</v>
      </c>
      <c r="M147" s="58">
        <f>+SUM(M144:M146)</f>
        <v>1</v>
      </c>
      <c r="N147" s="1"/>
      <c r="O147" s="58">
        <f>+SUM(O144:O146)</f>
        <v>1</v>
      </c>
      <c r="P147" s="58">
        <f>+SUM(P144:P146)</f>
        <v>1</v>
      </c>
      <c r="Q147" s="58">
        <f>+SUM(Q144:Q146)</f>
        <v>1</v>
      </c>
      <c r="R147" s="58">
        <f>+SUM(R144:R146)</f>
        <v>1</v>
      </c>
      <c r="S147" s="58">
        <f>+SUM(S144:S146)</f>
        <v>1</v>
      </c>
      <c r="T147" s="1"/>
      <c r="U147" s="58">
        <f>+SUM(U144:U146)</f>
        <v>1</v>
      </c>
      <c r="V147" s="58">
        <f>+SUM(V144:V146)</f>
        <v>1</v>
      </c>
      <c r="W147" s="58">
        <f>+SUM(W144:W146)</f>
        <v>1</v>
      </c>
      <c r="X147" s="58">
        <f>+SUM(X144:X146)</f>
        <v>1</v>
      </c>
      <c r="Y147" s="58">
        <f>+SUM(Y144:Y146)</f>
        <v>1</v>
      </c>
      <c r="Z147" s="1"/>
      <c r="AA147" s="58">
        <f>+SUM(AA144:AA146)</f>
        <v>1</v>
      </c>
      <c r="AB147" s="58">
        <f>+SUM(AB144:AB146)</f>
        <v>1</v>
      </c>
      <c r="AC147" s="58">
        <f>+SUM(AC144:AC146)</f>
        <v>1</v>
      </c>
      <c r="AD147" s="58">
        <f>+SUM(AD144:AD146)</f>
        <v>1</v>
      </c>
      <c r="AE147" s="58">
        <f>+SUM(AE144:AE146)</f>
        <v>1</v>
      </c>
      <c r="AF147" s="72"/>
      <c r="AG147" s="58">
        <f>+SUM(AG144:AG146)</f>
        <v>1</v>
      </c>
      <c r="AH147" s="188">
        <f>+SUM(AH144:AH146)</f>
        <v>1</v>
      </c>
      <c r="AI147" s="188">
        <f>+SUM(AI144:AI146)</f>
        <v>1</v>
      </c>
      <c r="AJ147" s="188">
        <f>+SUM(AJ144:AJ146)</f>
        <v>1</v>
      </c>
      <c r="AK147" s="188">
        <f>+SUM(AK144:AK146)</f>
        <v>1</v>
      </c>
      <c r="AL147" s="370"/>
      <c r="AM147" s="188">
        <f>+SUM(AM144:AM146)</f>
        <v>1</v>
      </c>
      <c r="AN147" s="188">
        <f>+SUM(AN144:AN146)</f>
        <v>1</v>
      </c>
      <c r="AO147" s="58">
        <f>+SUM(AO144:AO146)</f>
        <v>1</v>
      </c>
      <c r="AP147" s="58">
        <f>+SUM(AP144:AP146)</f>
        <v>1</v>
      </c>
      <c r="AQ147" s="58">
        <f>+SUM(AQ144:AQ146)</f>
        <v>1</v>
      </c>
      <c r="AR147" s="72"/>
      <c r="AS147" s="188">
        <f>+SUM(AS144:AS146)</f>
        <v>1</v>
      </c>
      <c r="AT147" s="188">
        <f>+SUM(AT144:AT146)</f>
        <v>1</v>
      </c>
      <c r="AU147" s="58">
        <f>+SUM(AU144:AU146)</f>
        <v>1</v>
      </c>
      <c r="AV147" s="58">
        <f>+SUM(AV144:AV146)</f>
        <v>1</v>
      </c>
      <c r="AW147" s="58">
        <f>+SUM(AW144:AW146)</f>
        <v>1</v>
      </c>
      <c r="AX147" s="58"/>
      <c r="AY147" s="58">
        <f>+SUM(AY144:AY146)</f>
        <v>1</v>
      </c>
      <c r="AZ147" s="58">
        <f>+SUM(AZ144:AZ146)</f>
        <v>1</v>
      </c>
      <c r="BA147" s="58">
        <f>+SUM(BA144:BA146)</f>
        <v>1</v>
      </c>
      <c r="BB147" s="58">
        <f>+SUM(BB144:BB146)</f>
        <v>1</v>
      </c>
      <c r="BC147" s="58">
        <f>+SUM(BC144:BC146)</f>
        <v>1</v>
      </c>
      <c r="BD147" s="72"/>
      <c r="BE147" s="58">
        <f>+SUM(BE144:BE146)</f>
        <v>1</v>
      </c>
      <c r="BF147" s="58">
        <f>+SUM(BF144:BF146)</f>
        <v>1</v>
      </c>
      <c r="BG147" s="58">
        <f>+SUM(BG144:BG146)</f>
        <v>1</v>
      </c>
      <c r="BH147" s="58">
        <f>+SUM(BH144:BH146)</f>
        <v>1</v>
      </c>
      <c r="BI147" s="58">
        <f>+SUM(BI144:BI146)</f>
        <v>1</v>
      </c>
      <c r="BJ147" s="72"/>
      <c r="BK147" s="58">
        <f>+SUM(BK144:BK146)</f>
        <v>1</v>
      </c>
      <c r="BL147" s="58">
        <f>+SUM(BL144:BL146)</f>
        <v>1</v>
      </c>
      <c r="BM147" s="58">
        <f>+SUM(BM144:BM146)</f>
        <v>1</v>
      </c>
      <c r="BN147" s="58">
        <f>+SUM(BN144:BN146)</f>
        <v>1</v>
      </c>
      <c r="BO147" s="58">
        <f>+SUM(BO144:BO146)</f>
        <v>1</v>
      </c>
      <c r="BP147" s="72"/>
      <c r="BQ147" s="58">
        <f>+SUM(BQ144:BQ146)</f>
        <v>1</v>
      </c>
      <c r="BR147" s="58">
        <f>+SUM(BR144:BR146)</f>
        <v>1</v>
      </c>
      <c r="BS147" s="58">
        <f>+SUM(BS144:BS146)</f>
        <v>1</v>
      </c>
      <c r="BT147" s="58">
        <f>+SUM(BT144:BT146)</f>
        <v>1</v>
      </c>
      <c r="BU147" s="58">
        <f>+SUM(BU144:BU146)</f>
        <v>1</v>
      </c>
      <c r="BV147" s="72"/>
      <c r="BW147" s="58">
        <f>+SUM(BW144:BW146)</f>
        <v>1</v>
      </c>
      <c r="BX147" s="58">
        <f>+SUM(BX144:BX146)</f>
        <v>1</v>
      </c>
      <c r="BY147" s="58">
        <f>+SUM(BY144:BY146)</f>
        <v>1</v>
      </c>
      <c r="BZ147" s="58">
        <f>+SUM(BZ144:BZ146)</f>
        <v>1</v>
      </c>
      <c r="CA147" s="58">
        <f>+SUM(CA144:CA146)</f>
        <v>1</v>
      </c>
      <c r="CB147" s="72"/>
      <c r="CC147" s="58">
        <f>+SUM(CC144:CC146)</f>
        <v>1</v>
      </c>
      <c r="CD147" s="58">
        <f>+SUM(CD144:CD146)</f>
        <v>1</v>
      </c>
      <c r="CE147" s="58">
        <f>+SUM(CE144:CE146)</f>
        <v>1</v>
      </c>
      <c r="CF147" s="58">
        <f>+SUM(CF144:CF146)</f>
        <v>1</v>
      </c>
      <c r="CG147" s="58">
        <f>+SUM(CG144:CG146)</f>
        <v>1</v>
      </c>
      <c r="CH147" s="72"/>
      <c r="CI147" s="58">
        <f t="shared" ref="CI147:CM147" si="267">+SUM(CI144:CI146)</f>
        <v>1</v>
      </c>
      <c r="CJ147" s="58">
        <f t="shared" si="267"/>
        <v>1</v>
      </c>
      <c r="CK147" s="58">
        <f t="shared" si="267"/>
        <v>1</v>
      </c>
      <c r="CL147" s="58">
        <f t="shared" si="267"/>
        <v>1</v>
      </c>
      <c r="CM147" s="58">
        <f t="shared" si="267"/>
        <v>1</v>
      </c>
      <c r="CN147" s="72"/>
      <c r="CO147" s="58">
        <f t="shared" ref="CO147:CS147" si="268">+SUM(CO144:CO146)</f>
        <v>1</v>
      </c>
      <c r="CP147" s="58">
        <f t="shared" si="268"/>
        <v>1</v>
      </c>
      <c r="CQ147" s="58">
        <f t="shared" si="268"/>
        <v>1</v>
      </c>
      <c r="CR147" s="58">
        <f t="shared" si="268"/>
        <v>1</v>
      </c>
      <c r="CS147" s="58">
        <f t="shared" si="268"/>
        <v>1</v>
      </c>
      <c r="CT147" s="58"/>
      <c r="CU147" s="58"/>
      <c r="CV147" s="58"/>
      <c r="CY147" s="43"/>
      <c r="CZ147" s="43"/>
    </row>
    <row r="148" spans="1:104" ht="12.75" customHeight="1" outlineLevel="1" x14ac:dyDescent="0.2">
      <c r="A148" s="28"/>
      <c r="B148" s="1"/>
      <c r="C148" s="58"/>
      <c r="D148" s="58"/>
      <c r="E148" s="58"/>
      <c r="F148" s="58"/>
      <c r="G148" s="58"/>
      <c r="H148" s="1"/>
      <c r="I148" s="58"/>
      <c r="J148" s="58"/>
      <c r="K148" s="58"/>
      <c r="L148" s="58"/>
      <c r="M148" s="58"/>
      <c r="N148" s="1"/>
      <c r="O148" s="58"/>
      <c r="P148" s="58"/>
      <c r="Q148" s="58"/>
      <c r="R148" s="58"/>
      <c r="S148" s="58"/>
      <c r="T148" s="1"/>
      <c r="U148" s="58"/>
      <c r="V148" s="58"/>
      <c r="W148" s="58"/>
      <c r="X148" s="58"/>
      <c r="Y148" s="58"/>
      <c r="Z148" s="1"/>
      <c r="AA148" s="58"/>
      <c r="AB148" s="58"/>
      <c r="AC148" s="58"/>
      <c r="AD148" s="58"/>
      <c r="AE148" s="58"/>
      <c r="AF148" s="72"/>
      <c r="AG148" s="58"/>
      <c r="AH148" s="188"/>
      <c r="AI148" s="188"/>
      <c r="AJ148" s="188"/>
      <c r="AK148" s="188"/>
      <c r="AL148" s="370"/>
      <c r="AM148" s="188"/>
      <c r="AN148" s="188"/>
      <c r="AO148" s="58"/>
      <c r="AP148" s="58"/>
      <c r="AQ148" s="58"/>
      <c r="AR148" s="72"/>
      <c r="AS148" s="188"/>
      <c r="AT148" s="188"/>
      <c r="AU148" s="58"/>
      <c r="AV148" s="58"/>
      <c r="AW148" s="58"/>
      <c r="AX148" s="58"/>
      <c r="AY148" s="58"/>
      <c r="AZ148" s="58"/>
      <c r="BA148" s="58"/>
      <c r="BB148" s="58"/>
      <c r="BC148" s="58"/>
      <c r="BD148" s="72"/>
      <c r="BE148" s="58"/>
      <c r="BF148" s="58"/>
      <c r="BG148" s="58"/>
      <c r="BH148" s="58"/>
      <c r="BI148" s="58"/>
      <c r="BJ148" s="72"/>
      <c r="BK148" s="58"/>
      <c r="BL148" s="58"/>
      <c r="BM148" s="58"/>
      <c r="BN148" s="58"/>
      <c r="BO148" s="58"/>
      <c r="BP148" s="72"/>
      <c r="BQ148" s="58"/>
      <c r="BR148" s="58"/>
      <c r="BS148" s="58"/>
      <c r="BT148" s="58"/>
      <c r="BU148" s="58"/>
      <c r="BV148" s="72"/>
      <c r="BW148" s="58"/>
      <c r="BX148" s="58"/>
      <c r="BY148" s="58"/>
      <c r="BZ148" s="58"/>
      <c r="CA148" s="58"/>
      <c r="CB148" s="72"/>
      <c r="CC148" s="58"/>
      <c r="CD148" s="58"/>
      <c r="CE148" s="58"/>
      <c r="CF148" s="58"/>
      <c r="CG148" s="58"/>
      <c r="CH148" s="72"/>
      <c r="CI148" s="58"/>
      <c r="CJ148" s="58"/>
      <c r="CK148" s="58"/>
      <c r="CL148" s="58"/>
      <c r="CM148" s="58"/>
      <c r="CN148" s="72"/>
      <c r="CO148" s="58"/>
      <c r="CP148" s="58"/>
      <c r="CQ148" s="58"/>
      <c r="CR148" s="58"/>
      <c r="CS148" s="58"/>
      <c r="CT148" s="58"/>
      <c r="CU148" s="58"/>
      <c r="CV148" s="58"/>
      <c r="CY148" s="43"/>
      <c r="CZ148" s="43"/>
    </row>
    <row r="149" spans="1:104" ht="12.75" customHeight="1" outlineLevel="1" x14ac:dyDescent="0.2">
      <c r="A149" s="28" t="s">
        <v>285</v>
      </c>
      <c r="B149" s="1"/>
      <c r="C149" s="460">
        <f>C8+C9+C18+C20</f>
        <v>212.11500000000001</v>
      </c>
      <c r="D149" s="460">
        <f>((D8+C8)/2)+((D9+C9)/2)+((D18+C18)/2)+((D20+C20)/2)</f>
        <v>207.81299999999999</v>
      </c>
      <c r="E149" s="460">
        <f>((E8+D8)/2)+((E9+D9)/2)+((E18+D18)/2)+((E20+D20)/2)</f>
        <v>253.92900000000003</v>
      </c>
      <c r="F149" s="460">
        <f>((F8+E8)/2)+((F9+E9)/2)+((F18+E18)/2)+((F20+E20)/2)</f>
        <v>306.3295</v>
      </c>
      <c r="G149" s="460">
        <f>SUM(G8,G9,G18,G20)</f>
        <v>308.31200000000001</v>
      </c>
      <c r="H149" s="1"/>
      <c r="I149" s="460">
        <f>((I8+G8)/2)+((I9+G9)/2)+((I18+G18)/2)+((I20+G20)/2)</f>
        <v>303.80099999999999</v>
      </c>
      <c r="J149" s="460">
        <f>((J8+I8)/2)+((J9+I9)/2)+((J18+I18)/2)+((J20+I20)/2)</f>
        <v>301.37149999999997</v>
      </c>
      <c r="K149" s="460">
        <f>((K8+J8)/2)+((K9+J9)/2)+((K18+J18)/2)+((K20+J20)/2)</f>
        <v>306.97050000000002</v>
      </c>
      <c r="L149" s="460">
        <f>((L8+K8)/2)+((L9+K9)/2)+((L18+K18)/2)+((L20+K20)/2)</f>
        <v>365.27200000000005</v>
      </c>
      <c r="M149" s="460">
        <f>((M8+G8)/2)+((M9+G9)/2)+((M18+G18)/2)+((M20+G20)/2)</f>
        <v>364.18399999999997</v>
      </c>
      <c r="N149" s="1"/>
      <c r="O149" s="460">
        <f>((O8+M8)/2)+((O9+M9)/2)+((O18+M18)/2)+((O20+M20)/2)</f>
        <v>431.34050000000002</v>
      </c>
      <c r="P149" s="460">
        <f>((P8+O8)/2)+((P9+O9)/2)+((P18+O18)/2)+((P20+O20)/2)</f>
        <v>469.77350000000001</v>
      </c>
      <c r="Q149" s="460">
        <f>((Q8+P8)/2)+((Q9+P9)/2)+((Q18+P18)/2)+((Q20+P20)/2)</f>
        <v>515.88199999999995</v>
      </c>
      <c r="R149" s="460">
        <f>((R8+Q8)/2)+((R9+Q9)/2)+((R18+Q18)/2)+((R20+Q20)/2)</f>
        <v>463.5335</v>
      </c>
      <c r="S149" s="460">
        <f>((S8+M8)/2)+((S9+M9)/2)+((S18+M18)/2)+((S20+M20)/2)</f>
        <v>406.14050000000003</v>
      </c>
      <c r="T149" s="1"/>
      <c r="U149" s="460">
        <f>((U8+S8)/2)+((U9+S9)/2)+((U18+S18)/2)+((U20+S20)/2)</f>
        <v>404.61200000000002</v>
      </c>
      <c r="V149" s="460">
        <f>((V8+U8)/2)+((V9+U9)/2)+((V18+U18)/2)+((V20+U20)/2)</f>
        <v>437.279</v>
      </c>
      <c r="W149" s="460">
        <f>((W8+V8)/2)+((W9+V9)/2)+((W18+V18)/2)+((W20+V20)/2)</f>
        <v>484.37099999999998</v>
      </c>
      <c r="X149" s="460">
        <f>((X8+W8)/2)+((X9+W9)/2)+((X18+W18)/2)+((X20+W20)/2)</f>
        <v>499.78249999999997</v>
      </c>
      <c r="Y149" s="460">
        <f>((Y8+S8)/2)+((Y9+S9)/2)+((Y18+S18)/2)+((Y20+S20)/2)</f>
        <v>440.30349999999999</v>
      </c>
      <c r="Z149" s="1"/>
      <c r="AA149" s="460">
        <f>((AA8+Y8)/2)+((AA9+Y9)/2)+((AA18+Y18)/2)+((AA20+Y20)/2)</f>
        <v>498.392</v>
      </c>
      <c r="AB149" s="460">
        <f>((AB8+AA8)/2)+((AB9+AA9)/2)+((AB18+AA18)/2)+((AB20+AA20)/2)</f>
        <v>501.40349999999995</v>
      </c>
      <c r="AC149" s="460">
        <f>((AC8+AB8)/2)+((AC9+AB9)/2)+((AC18+AB18)/2)+((AC20+AB20)/2)</f>
        <v>472.94799999999998</v>
      </c>
      <c r="AD149" s="460">
        <f>((AD8+AC8)/2)+((AD9+AC9)/2)+((AD18+AC18)/2)+((AD20+AC20)/2)</f>
        <v>434.40250000000003</v>
      </c>
      <c r="AE149" s="460">
        <f>((AE8+Y8)/2)+((AE9+Y9)/2)+((AE18+Y18)/2)+((AE20+Y20)/2)</f>
        <v>452.84799999999996</v>
      </c>
      <c r="AF149" s="72"/>
      <c r="AG149" s="460">
        <f>((AG8+AE8)/2)+((AG9+AE9)/2)+((AG18+AE18)/2)+((AG20+AE20)/2)</f>
        <v>418.00850000000003</v>
      </c>
      <c r="AH149" s="460">
        <f>((AH8+AG8)/2)+((AH9+AG9)/2)+((AH18+AG18)/2)+((AH20+AG20)/2)</f>
        <v>432.31450000000007</v>
      </c>
      <c r="AI149" s="460">
        <f>((AI8+AH8)/2)+((AI9+AH9)/2)+((AI18+AH18)/2)+((AI20+AH20)/2)</f>
        <v>465.48449999999997</v>
      </c>
      <c r="AJ149" s="460">
        <f>((AJ8+AI8)/2)+((AJ9+AI9)/2)+((AJ18+AI18)/2)+((AJ20+AI20)/2)</f>
        <v>479.13349999999997</v>
      </c>
      <c r="AK149" s="460">
        <f>((AK8+AE8)/2)+((AK9+AE9)/2)+((AK18+AE18)/2)+((AK20+AE20)/2)</f>
        <v>445.26900000000001</v>
      </c>
      <c r="AL149" s="370"/>
      <c r="AM149" s="460">
        <f>((AM8+AK8)/2)+((AM9+AK9)/2)+((AM18+AK18)/2)+((AM20+AK20)/2)</f>
        <v>479.59050000000002</v>
      </c>
      <c r="AN149" s="460">
        <f>((AN8+AM8)/2)+((AN9+AM9)/2)+((AN18+AM18)/2)+((AN20+AM20)/2)</f>
        <v>487.27949999999993</v>
      </c>
      <c r="AO149" s="460">
        <f>((AO8+AN8)/2)+((AO9+AN9)/2)+((AO18+AN18)/2)+((AO20+AN20)/2)</f>
        <v>485.93949999999995</v>
      </c>
      <c r="AP149" s="460">
        <f>((AP8+AO8)/2)+((AP9+AO9)/2)+((AP18+AO18)/2)+((AP20+AO20)/2)</f>
        <v>518.00399999999991</v>
      </c>
      <c r="AQ149" s="460">
        <f>((AQ8+AK8)/2)+((AQ9+AK9)/2)+((AQ18+AK18)/2)+((AQ20+AK20)/2)</f>
        <v>512.97749999999996</v>
      </c>
      <c r="AR149" s="72"/>
      <c r="AS149" s="460">
        <f>((AS8+AQ8)/2)+((AS9+AQ9)/2)+((AS18+AQ18)/2)+((AS20+AQ20)/2)</f>
        <v>545.32400000000007</v>
      </c>
      <c r="AT149" s="460">
        <f>((AT8+AS8)/2)+((AT9+AS9)/2)+((AT18+AS18)/2)+((AT20+AS20)/2)</f>
        <v>524.84950000000003</v>
      </c>
      <c r="AU149" s="460">
        <f>((AU8+AT8)/2)+((AU9+AT9)/2)+((AU18+AT18)/2)+((AU20+AT20)/2)</f>
        <v>394.74749999999995</v>
      </c>
      <c r="AV149" s="460">
        <f>((AV8+AU8)/2)+((AV9+AU9)/2)+((AV18+AU18)/2)+((AV20+AU20)/2)</f>
        <v>274.14949999999999</v>
      </c>
      <c r="AW149" s="460">
        <f>((AW8+AQ8)/2)+((AW9+AQ9)/2)+((AW18+AQ18)/2)+((AW20+AQ20)/2)</f>
        <v>411.6585</v>
      </c>
      <c r="AX149" s="460"/>
      <c r="AY149" s="460">
        <f>((AY8+AW8)/2)+((AY9+AW9)/2)+((AY18+AW18)/2)+((AY20+AW20)/2)</f>
        <v>253.47149999999999</v>
      </c>
      <c r="AZ149" s="460">
        <f>((AZ8+AY8)/2)+((AZ9+AY9)/2)+((AZ18+AY18)/2)+((AZ20+AY20)/2)</f>
        <v>232.95500000000001</v>
      </c>
      <c r="BA149" s="460">
        <f>((BA8+AZ8)/2)+((BA9+AZ9)/2)+((BA18+AZ18)/2)+((BA20+AZ20)/2)</f>
        <v>202.59300000000002</v>
      </c>
      <c r="BB149" s="460">
        <f>((BB8+BA8)/2)+((BB9+BA9)/2)+((BB18+BA18)/2)+((BB20+BA20)/2)</f>
        <v>180.52700000000002</v>
      </c>
      <c r="BC149" s="460">
        <f>((BC8+AW8)/2)+((BC9+AW9)/2)+((BC18+AW18)/2)+((BC20+AW20)/2)</f>
        <v>228.0035</v>
      </c>
      <c r="BD149" s="72"/>
      <c r="BE149" s="460">
        <f>((BE8+BC8)/2)+((BE9+BC9)/2)+((BE18+BC18)/2)+((BE20+BC20)/2)</f>
        <v>191.9605</v>
      </c>
      <c r="BF149" s="460">
        <f>((BF8+BE8)/2)+((BF9+BE9)/2)+((BF18+BE18)/2)+((BF20+BE20)/2)</f>
        <v>242</v>
      </c>
      <c r="BG149" s="460">
        <f>((BG8+BF8)/2)+((BG9+BF9)/2)+((BG18+BF18)/2)+((BG20+BF20)/2)</f>
        <v>285.95</v>
      </c>
      <c r="BH149" s="460">
        <f>((BH8+BG8)/2)+((BH9+BG9)/2)+((BH18+BG18)/2)+((BH20+BG20)/2)</f>
        <v>262.64999999999998</v>
      </c>
      <c r="BI149" s="460">
        <f>((BI8+BC8)/2)+((BI9+BC9)/2)+((BI18+BC18)/2)+((BI20+BC20)/2)</f>
        <v>212.16049999999998</v>
      </c>
      <c r="BJ149" s="72"/>
      <c r="BK149" s="460">
        <f>((BK8+BI8)/2)+((BK9+BI9)/2)+((BK18+BI18)/2)+((BK20+BI20)/2)</f>
        <v>219.75</v>
      </c>
      <c r="BL149" s="460">
        <f>((BL8+BK8)/2)+((BL9+BK9)/2)+((BL18+BK18)/2)+((BL20+BK20)/2)</f>
        <v>209.29999999999998</v>
      </c>
      <c r="BM149" s="460">
        <f>((BM8+BL8)/2)+((BM9+BL9)/2)+((BM18+BL18)/2)+((BM20+BL20)/2)</f>
        <v>221.75</v>
      </c>
      <c r="BN149" s="460">
        <f>((BN8+BM8)/2)+((BN9+BM9)/2)+((BN18+BM18)/2)+((BN20+BM20)/2)</f>
        <v>212.34999999999997</v>
      </c>
      <c r="BO149" s="460">
        <f>((BO8+BI8)/2)+((BO9+BI9)/2)+((BO18+BI18)/2)+((BO20+BI20)/2)</f>
        <v>219.05</v>
      </c>
      <c r="BP149" s="72"/>
      <c r="BQ149" s="460">
        <f>((BQ8+BO8)/2)+((BQ9+BO9)/2)+((BQ18+BO18)/2)+((BQ20+BO20)/2)</f>
        <v>198.8</v>
      </c>
      <c r="BR149" s="460">
        <f>((BR8+BQ8)/2)+((BR9+BQ9)/2)+((BR18+BQ18)/2)+((BR20+BQ20)/2)</f>
        <v>200.2</v>
      </c>
      <c r="BS149" s="460">
        <f>((BS8+BR8)/2)+((BS9+BR9)/2)+((BS18+BR18)/2)+((BS20+BR20)/2)</f>
        <v>223.52435795512594</v>
      </c>
      <c r="BT149" s="460">
        <f>((BT8+BS8)/2)+((BT9+BS9)/2)+((BT18+BS18)/2)+((BT20+BS20)/2)</f>
        <v>273.75422788108818</v>
      </c>
      <c r="BU149" s="460">
        <f>((BU8+BO8)/2)+((BU9+BO9)/2)+((BU18+BO18)/2)+((BU20+BO20)/2)</f>
        <v>250.82986992596221</v>
      </c>
      <c r="BV149" s="72"/>
      <c r="BW149" s="460">
        <f>((BW8+BU8)/2)+((BW9+BU9)/2)+((BW18+BU18)/2)+((BW20+BU20)/2)</f>
        <v>322.19512803661047</v>
      </c>
      <c r="BX149" s="460">
        <f>((BX8+BW8)/2)+((BX9+BW9)/2)+((BX18+BW18)/2)+((BX20+BW20)/2)</f>
        <v>364.34326421659739</v>
      </c>
      <c r="BY149" s="460">
        <f>((BY8+BX8)/2)+((BY9+BX9)/2)+((BY18+BX18)/2)+((BY20+BX20)/2)</f>
        <v>413.79268291062886</v>
      </c>
      <c r="BZ149" s="460">
        <f>((BZ8+BY8)/2)+((BZ9+BY9)/2)+((BZ18+BY18)/2)+((BZ20+BY20)/2)</f>
        <v>469.4581585519183</v>
      </c>
      <c r="CA149" s="460">
        <f>((CA8+BU8)/2)+((CA9+BU9)/2)+((CA18+BU18)/2)+((CA20+BU20)/2)</f>
        <v>400.27335167320081</v>
      </c>
      <c r="CB149" s="72"/>
      <c r="CC149" s="460">
        <f>((CC8+CA8)/2)+((CC9+CA9)/2)+((CC18+CA18)/2)+((CC20+CA20)/2)</f>
        <v>519.87667876153682</v>
      </c>
      <c r="CD149" s="460">
        <f>((CD8+CC8)/2)+((CD9+CC9)/2)+((CD18+CC18)/2)+((CD20+CC20)/2)</f>
        <v>565.04779902705195</v>
      </c>
      <c r="CE149" s="460">
        <f>((CE8+CD8)/2)+((CE9+CD9)/2)+((CE18+CD18)/2)+((CE20+CD20)/2)</f>
        <v>617.10046044573335</v>
      </c>
      <c r="CF149" s="460">
        <f>((CF8+CE8)/2)+((CF9+CE9)/2)+((CF18+CE18)/2)+((CF20+CE20)/2)</f>
        <v>675.88925106172042</v>
      </c>
      <c r="CG149" s="460">
        <f>((CG8+CA8)/2)+((CG9+CA9)/2)+((CG18+CA18)/2)+((CG20+CA20)/2)</f>
        <v>602.04687437597931</v>
      </c>
      <c r="CH149" s="72"/>
      <c r="CI149" s="460">
        <f t="shared" ref="CI149" si="269">((CI8+CG8)/2)+((CI9+CG9)/2)+((CI18+CG18)/2)+((CI20+CG20)/2)</f>
        <v>728.03488484955665</v>
      </c>
      <c r="CJ149" s="460">
        <f t="shared" ref="CJ149:CL149" si="270">((CJ8+CI8)/2)+((CJ9+CI9)/2)+((CJ18+CI18)/2)+((CJ20+CI20)/2)</f>
        <v>773.81165067295137</v>
      </c>
      <c r="CK149" s="460">
        <f t="shared" si="270"/>
        <v>827.21328150587783</v>
      </c>
      <c r="CL149" s="460">
        <f t="shared" si="270"/>
        <v>887.57873594389753</v>
      </c>
      <c r="CM149" s="460">
        <f t="shared" ref="CM149" si="271">((CM8+CG8)/2)+((CM9+CG9)/2)+((CM18+CG18)/2)+((CM20+CG20)/2)</f>
        <v>812.14900551889593</v>
      </c>
      <c r="CN149" s="72"/>
      <c r="CO149" s="460">
        <f t="shared" ref="CO149" si="272">((CO8+CM8)/2)+((CO9+CM9)/2)+((CO18+CM18)/2)+((CO20+CM20)/2)</f>
        <v>941.18131102752182</v>
      </c>
      <c r="CP149" s="460">
        <f t="shared" ref="CP149:CR149" si="273">((CP8+CO8)/2)+((CP9+CO9)/2)+((CP18+CO18)/2)+((CP20+CO20)/2)</f>
        <v>988.75543592443523</v>
      </c>
      <c r="CQ149" s="460">
        <f t="shared" si="273"/>
        <v>1045.2464708483135</v>
      </c>
      <c r="CR149" s="460">
        <f t="shared" si="273"/>
        <v>1109.2850786374083</v>
      </c>
      <c r="CS149" s="460">
        <f t="shared" ref="CS149" si="274">((CS8+CM8)/2)+((CS9+CM9)/2)+((CS18+CM18)/2)+((CS20+CM20)/2)</f>
        <v>1029.9039584663187</v>
      </c>
      <c r="CT149" s="58"/>
      <c r="CU149" s="58"/>
      <c r="CV149" s="58"/>
      <c r="CY149" s="43"/>
      <c r="CZ149" s="43"/>
    </row>
    <row r="150" spans="1:104" ht="12.75" customHeight="1" outlineLevel="1" x14ac:dyDescent="0.2">
      <c r="A150" s="28" t="s">
        <v>284</v>
      </c>
      <c r="B150" s="1"/>
      <c r="C150" s="82">
        <f>'P&amp;L'!C29</f>
        <v>2.6019999999999999</v>
      </c>
      <c r="D150" s="82">
        <f>'P&amp;L'!D29</f>
        <v>2.573</v>
      </c>
      <c r="E150" s="82">
        <f>'P&amp;L'!E29</f>
        <v>3.1230000000000002</v>
      </c>
      <c r="F150" s="82">
        <f>'P&amp;L'!F29</f>
        <v>3.8140000000000001</v>
      </c>
      <c r="G150" s="82">
        <f>'P&amp;L'!G29</f>
        <v>12.112</v>
      </c>
      <c r="H150" s="1"/>
      <c r="I150" s="82">
        <f>'P&amp;L'!I29</f>
        <v>3.8570000000000002</v>
      </c>
      <c r="J150" s="82">
        <f>'P&amp;L'!J29</f>
        <v>3.6669999999999998</v>
      </c>
      <c r="K150" s="82">
        <f>'P&amp;L'!K29</f>
        <v>3.25</v>
      </c>
      <c r="L150" s="82">
        <f>'P&amp;L'!L29</f>
        <v>2.9350000000000001</v>
      </c>
      <c r="M150" s="82">
        <f>'P&amp;L'!M29</f>
        <v>13.709000000000001</v>
      </c>
      <c r="N150" s="1"/>
      <c r="O150" s="82">
        <f>'P&amp;L'!O29</f>
        <v>3.4340000000000002</v>
      </c>
      <c r="P150" s="82">
        <f>'P&amp;L'!P29</f>
        <v>3.4369999999999998</v>
      </c>
      <c r="Q150" s="82">
        <f>'P&amp;L'!Q29</f>
        <v>2.9460000000000002</v>
      </c>
      <c r="R150" s="82">
        <f>'P&amp;L'!R29</f>
        <v>2.661</v>
      </c>
      <c r="S150" s="82">
        <f>'P&amp;L'!S29</f>
        <v>12.478</v>
      </c>
      <c r="T150" s="1"/>
      <c r="U150" s="82">
        <f>'P&amp;L'!U29</f>
        <v>1.913</v>
      </c>
      <c r="V150" s="82">
        <f>'P&amp;L'!V29</f>
        <v>1.5309999999999999</v>
      </c>
      <c r="W150" s="82">
        <f>'P&amp;L'!W29</f>
        <v>1.232</v>
      </c>
      <c r="X150" s="82">
        <f>'P&amp;L'!X29</f>
        <v>0.98400000000000021</v>
      </c>
      <c r="Y150" s="82">
        <f>'P&amp;L'!Y29</f>
        <v>5.66</v>
      </c>
      <c r="Z150" s="1"/>
      <c r="AA150" s="82">
        <f>'P&amp;L'!AA29</f>
        <v>0.72099999999999997</v>
      </c>
      <c r="AB150" s="82">
        <f>'P&amp;L'!AB29</f>
        <v>0.54800000000000004</v>
      </c>
      <c r="AC150" s="82">
        <f>'P&amp;L'!AC29</f>
        <v>0.54700000000000004</v>
      </c>
      <c r="AD150" s="82">
        <f>'P&amp;L'!AD29</f>
        <v>0.41</v>
      </c>
      <c r="AE150" s="82">
        <f>'P&amp;L'!AE29</f>
        <v>2.2260000000000004</v>
      </c>
      <c r="AF150" s="72"/>
      <c r="AG150" s="82">
        <f>'P&amp;L'!AG29</f>
        <v>0.47299999999999998</v>
      </c>
      <c r="AH150" s="82">
        <f>'P&amp;L'!AH29</f>
        <v>1.3819999999999999</v>
      </c>
      <c r="AI150" s="82">
        <f>'P&amp;L'!AI29</f>
        <v>1.379</v>
      </c>
      <c r="AJ150" s="82">
        <f>'P&amp;L'!AJ29</f>
        <v>1.395</v>
      </c>
      <c r="AK150" s="82">
        <f>'P&amp;L'!AK29</f>
        <v>4.6289999999999996</v>
      </c>
      <c r="AL150" s="370"/>
      <c r="AM150" s="82">
        <f>'P&amp;L'!AM29</f>
        <v>1.3680000000000001</v>
      </c>
      <c r="AN150" s="82">
        <f>'P&amp;L'!AN29</f>
        <v>1.385</v>
      </c>
      <c r="AO150" s="82">
        <f>'P&amp;L'!AO29</f>
        <v>1.4339999999999999</v>
      </c>
      <c r="AP150" s="82">
        <f>'P&amp;L'!AP29</f>
        <v>1.31</v>
      </c>
      <c r="AQ150" s="82">
        <f>'P&amp;L'!AQ29</f>
        <v>5.4969999999999999</v>
      </c>
      <c r="AR150" s="72"/>
      <c r="AS150" s="82">
        <f>'P&amp;L'!AS29</f>
        <v>1.3620000000000001</v>
      </c>
      <c r="AT150" s="82">
        <f>'P&amp;L'!AT29</f>
        <v>1.33</v>
      </c>
      <c r="AU150" s="82">
        <f>'P&amp;L'!AU29</f>
        <v>2.4980000000000002</v>
      </c>
      <c r="AV150" s="82">
        <f>'P&amp;L'!AV29</f>
        <v>0.20699999999999985</v>
      </c>
      <c r="AW150" s="82">
        <f>SUM(AS150:AV150)</f>
        <v>5.3970000000000002</v>
      </c>
      <c r="AX150" s="82"/>
      <c r="AY150" s="82">
        <f>'P&amp;L'!AY29</f>
        <v>5.5E-2</v>
      </c>
      <c r="AZ150" s="82">
        <f>'P&amp;L'!AZ29</f>
        <v>8.5000000000000006E-2</v>
      </c>
      <c r="BA150" s="82">
        <f>'P&amp;L'!BA29</f>
        <v>0.124</v>
      </c>
      <c r="BB150" s="82">
        <f>'P&amp;L'!BB29</f>
        <v>0.1</v>
      </c>
      <c r="BC150" s="82">
        <f>SUM(AY150:BB150)</f>
        <v>0.36399999999999999</v>
      </c>
      <c r="BD150" s="72"/>
      <c r="BE150" s="82">
        <f>'P&amp;L'!BE29</f>
        <v>0.1</v>
      </c>
      <c r="BF150" s="82">
        <f>'P&amp;L'!BF29</f>
        <v>0.1</v>
      </c>
      <c r="BG150" s="82">
        <f>'P&amp;L'!BG29</f>
        <v>0.3</v>
      </c>
      <c r="BH150" s="82">
        <f>'P&amp;L'!BH29</f>
        <v>0.4</v>
      </c>
      <c r="BI150" s="82">
        <f>SUM(BE150:BH150)</f>
        <v>0.9</v>
      </c>
      <c r="BJ150" s="72"/>
      <c r="BK150" s="82">
        <f>'P&amp;L'!BK29</f>
        <v>0.3</v>
      </c>
      <c r="BL150" s="82">
        <f>'P&amp;L'!BL29</f>
        <v>0.3</v>
      </c>
      <c r="BM150" s="82">
        <f>'P&amp;L'!BM29</f>
        <v>0.3</v>
      </c>
      <c r="BN150" s="82">
        <f>'P&amp;L'!BN29</f>
        <v>0.3</v>
      </c>
      <c r="BO150" s="82">
        <f>SUM(BK150:BN150)</f>
        <v>1.2</v>
      </c>
      <c r="BP150" s="72"/>
      <c r="BQ150" s="82">
        <f>'P&amp;L'!BQ29</f>
        <v>0.4</v>
      </c>
      <c r="BR150" s="82">
        <f>'P&amp;L'!BR29</f>
        <v>0.4</v>
      </c>
      <c r="BS150" s="82">
        <f>BR149*BS151/4</f>
        <v>0.75074999999999992</v>
      </c>
      <c r="BT150" s="82">
        <f>BS149*BT151/4</f>
        <v>0.83821634233172226</v>
      </c>
      <c r="BU150" s="82">
        <f>SUM(BQ150:BT150)</f>
        <v>2.388966342331722</v>
      </c>
      <c r="BV150" s="72"/>
      <c r="BW150" s="82">
        <f>BU149*BW151/4</f>
        <v>0.94061201222235824</v>
      </c>
      <c r="BX150" s="82">
        <f>BW149*BX151/4</f>
        <v>1.2082317301372891</v>
      </c>
      <c r="BY150" s="82">
        <f>BX149*BY151/4</f>
        <v>1.3662872408122402</v>
      </c>
      <c r="BZ150" s="82">
        <f>BY149*BZ151/4</f>
        <v>1.5517225609148582</v>
      </c>
      <c r="CA150" s="82">
        <f>SUM(BW150:BZ150)</f>
        <v>5.0668535440867455</v>
      </c>
      <c r="CB150" s="72"/>
      <c r="CC150" s="82">
        <f>CA149*CC151/4</f>
        <v>1.501025068774503</v>
      </c>
      <c r="CD150" s="82">
        <f>CC149*CD151/4</f>
        <v>1.9495375453557631</v>
      </c>
      <c r="CE150" s="82">
        <f>CD149*CE151/4</f>
        <v>2.1189292463514446</v>
      </c>
      <c r="CF150" s="82">
        <f>CE149*CF151/4</f>
        <v>2.3141267266714998</v>
      </c>
      <c r="CG150" s="82">
        <f>SUM(CC150:CF150)</f>
        <v>7.8836185871532107</v>
      </c>
      <c r="CH150" s="72"/>
      <c r="CI150" s="82">
        <f t="shared" ref="CI150" si="275">CG149*CI151/4</f>
        <v>2.2576757789099222</v>
      </c>
      <c r="CJ150" s="82">
        <f t="shared" ref="CJ150:CL150" si="276">CI149*CJ151/4</f>
        <v>2.7301308181858372</v>
      </c>
      <c r="CK150" s="82">
        <f t="shared" si="276"/>
        <v>2.9017936900235677</v>
      </c>
      <c r="CL150" s="82">
        <f t="shared" si="276"/>
        <v>3.1020498056470416</v>
      </c>
      <c r="CM150" s="82">
        <f t="shared" ref="CM150" si="277">SUM(CI150:CL150)</f>
        <v>10.991650092766369</v>
      </c>
      <c r="CN150" s="72"/>
      <c r="CO150" s="82">
        <f t="shared" ref="CO150" si="278">CM149*CO151/4</f>
        <v>3.0455587706958598</v>
      </c>
      <c r="CP150" s="82">
        <f t="shared" ref="CP150:CR150" si="279">CO149*CP151/4</f>
        <v>3.5294299163532066</v>
      </c>
      <c r="CQ150" s="82">
        <f t="shared" si="279"/>
        <v>3.7078328847166322</v>
      </c>
      <c r="CR150" s="82">
        <f t="shared" si="279"/>
        <v>3.9196742656811754</v>
      </c>
      <c r="CS150" s="82">
        <f t="shared" ref="CS150" si="280">SUM(CO150:CR150)</f>
        <v>14.202495837446873</v>
      </c>
      <c r="CT150" s="58"/>
      <c r="CU150" s="58"/>
      <c r="CV150" s="58"/>
      <c r="CY150" s="43"/>
      <c r="CZ150" s="43"/>
    </row>
    <row r="151" spans="1:104" ht="12.75" customHeight="1" outlineLevel="1" x14ac:dyDescent="0.2">
      <c r="A151" s="28" t="s">
        <v>286</v>
      </c>
      <c r="B151" s="1"/>
      <c r="C151" s="481">
        <f>(C150/C149)*4</f>
        <v>4.9067722697593283E-2</v>
      </c>
      <c r="D151" s="481">
        <f>(D150/D149)*4</f>
        <v>4.9525294375231579E-2</v>
      </c>
      <c r="E151" s="481">
        <f>(E150/E149)*4</f>
        <v>4.9194853679571847E-2</v>
      </c>
      <c r="F151" s="481">
        <f>(F150/F149)*4</f>
        <v>4.9802581860382368E-2</v>
      </c>
      <c r="G151" s="481">
        <f>(G150/G149)</f>
        <v>3.9284880251174131E-2</v>
      </c>
      <c r="H151" s="482"/>
      <c r="I151" s="481">
        <f>(I150/I149)*4</f>
        <v>5.0783242978133719E-2</v>
      </c>
      <c r="J151" s="481">
        <f>(J150/J149)*4</f>
        <v>4.86708265380104E-2</v>
      </c>
      <c r="K151" s="481">
        <f>(K150/K149)*4</f>
        <v>4.2349346272687438E-2</v>
      </c>
      <c r="L151" s="481">
        <f>(L150/L149)*4</f>
        <v>3.2140432335355566E-2</v>
      </c>
      <c r="M151" s="481">
        <f>(M150/M149)</f>
        <v>3.7643059552314222E-2</v>
      </c>
      <c r="N151" s="482"/>
      <c r="O151" s="481">
        <f>(O150/O149)*4</f>
        <v>3.1844911386711888E-2</v>
      </c>
      <c r="P151" s="481">
        <f>(P150/P149)*4</f>
        <v>2.9265167149700864E-2</v>
      </c>
      <c r="Q151" s="481">
        <f>(Q150/Q149)*4</f>
        <v>2.2842432959475231E-2</v>
      </c>
      <c r="R151" s="481">
        <f>(R150/R149)*4</f>
        <v>2.2962741635717807E-2</v>
      </c>
      <c r="S151" s="481">
        <f>(S150/S149)</f>
        <v>3.0723358049738941E-2</v>
      </c>
      <c r="T151" s="482"/>
      <c r="U151" s="481">
        <f>(U150/U149)*4</f>
        <v>1.891194527102508E-2</v>
      </c>
      <c r="V151" s="481">
        <f>(V150/V149)*4</f>
        <v>1.4004788704694257E-2</v>
      </c>
      <c r="W151" s="481">
        <f>(W150/W149)*4</f>
        <v>1.01740195015804E-2</v>
      </c>
      <c r="X151" s="481">
        <f>(X150/X149)*4</f>
        <v>7.8754258102274512E-3</v>
      </c>
      <c r="Y151" s="481">
        <f>(Y150/Y149)</f>
        <v>1.2854769494223872E-2</v>
      </c>
      <c r="Z151" s="482"/>
      <c r="AA151" s="481">
        <f>(AA150/AA149)*4</f>
        <v>5.7866097369139152E-3</v>
      </c>
      <c r="AB151" s="481">
        <f>(AB150/AB149)*4</f>
        <v>4.3717285579378696E-3</v>
      </c>
      <c r="AC151" s="481">
        <f>(AC150/AC149)*4</f>
        <v>4.6263014115716745E-3</v>
      </c>
      <c r="AD151" s="481">
        <f>(AD150/AD149)*4</f>
        <v>3.7753005565115297E-3</v>
      </c>
      <c r="AE151" s="481">
        <f>(AE150/AE149)</f>
        <v>4.9155566547715804E-3</v>
      </c>
      <c r="AF151" s="483"/>
      <c r="AG151" s="481">
        <f>(AG150/AG149)*4</f>
        <v>4.5262237490385953E-3</v>
      </c>
      <c r="AH151" s="481">
        <f>(AH150/AH149)*4</f>
        <v>1.2786987251179405E-2</v>
      </c>
      <c r="AI151" s="481">
        <f>(AI150/AI149)*4</f>
        <v>1.1850018636495954E-2</v>
      </c>
      <c r="AJ151" s="481">
        <f>(AJ150/AJ149)*4</f>
        <v>1.1646023498669996E-2</v>
      </c>
      <c r="AK151" s="481">
        <f>(AK150/AK149)</f>
        <v>1.0395962889848608E-2</v>
      </c>
      <c r="AL151" s="484"/>
      <c r="AM151" s="481">
        <f>(AM150/AM149)*4</f>
        <v>1.1409733929258399E-2</v>
      </c>
      <c r="AN151" s="481">
        <f>(AN150/AN149)*4</f>
        <v>1.1369244961054181E-2</v>
      </c>
      <c r="AO151" s="481">
        <f>(AO150/AO149)*4</f>
        <v>1.1803938556137133E-2</v>
      </c>
      <c r="AP151" s="481">
        <f>(AP150/AP149)*4</f>
        <v>1.0115752001915045E-2</v>
      </c>
      <c r="AQ151" s="481">
        <f>(AQ150/AQ149)</f>
        <v>1.0715869604417349E-2</v>
      </c>
      <c r="AR151" s="483"/>
      <c r="AS151" s="481">
        <f>(AS150/AS149)*4</f>
        <v>9.990391033587372E-3</v>
      </c>
      <c r="AT151" s="481">
        <f>(AT150/AT149)*4</f>
        <v>1.0136239055195822E-2</v>
      </c>
      <c r="AU151" s="481">
        <f>(AU150/AU149)*4</f>
        <v>2.5312383232319401E-2</v>
      </c>
      <c r="AV151" s="481">
        <f>(AV150/AV149)*4</f>
        <v>3.0202499001457214E-3</v>
      </c>
      <c r="AW151" s="481">
        <f>(AW150/AW149)</f>
        <v>1.3110381541982007E-2</v>
      </c>
      <c r="AX151" s="481"/>
      <c r="AY151" s="481">
        <f>(AY150/AY149)*4</f>
        <v>8.6794767853585119E-4</v>
      </c>
      <c r="AZ151" s="481">
        <f>(AZ150/AZ149)*4</f>
        <v>1.4595093472988345E-3</v>
      </c>
      <c r="BA151" s="481">
        <f>(BA150/BA149)*4</f>
        <v>2.4482583307419308E-3</v>
      </c>
      <c r="BB151" s="481">
        <f>(BB150/BB149)*4</f>
        <v>2.2157350424036291E-3</v>
      </c>
      <c r="BC151" s="58">
        <f>(BC150/BC149)</f>
        <v>1.5964667209056001E-3</v>
      </c>
      <c r="BD151" s="72"/>
      <c r="BE151" s="481">
        <f>(BE150/BE149)*4</f>
        <v>2.0837620239580541E-3</v>
      </c>
      <c r="BF151" s="481">
        <f>(BF150/BF149)*4</f>
        <v>1.6528925619834713E-3</v>
      </c>
      <c r="BG151" s="481">
        <f>(BG150/BG149)*4</f>
        <v>4.1965378562685788E-3</v>
      </c>
      <c r="BH151" s="481">
        <f>(BH150/BH149)*4</f>
        <v>6.0917570911859899E-3</v>
      </c>
      <c r="BI151" s="58">
        <f>(BI150/BI149)</f>
        <v>4.2420714506234674E-3</v>
      </c>
      <c r="BJ151" s="72"/>
      <c r="BK151" s="481">
        <f>(BK150/BK149)*4</f>
        <v>5.4607508532423209E-3</v>
      </c>
      <c r="BL151" s="481">
        <f>(BL150/BL149)*4</f>
        <v>5.733397037744864E-3</v>
      </c>
      <c r="BM151" s="481">
        <f>(BM150/BM149)*4</f>
        <v>5.4114994363021422E-3</v>
      </c>
      <c r="BN151" s="481">
        <f>(BN150/BN149)*4</f>
        <v>5.6510477984459623E-3</v>
      </c>
      <c r="BO151" s="58">
        <f>(BO150/BO149)</f>
        <v>5.4782013238986529E-3</v>
      </c>
      <c r="BP151" s="72"/>
      <c r="BQ151" s="481">
        <f>(BQ150/BQ149)*4</f>
        <v>8.0482897384305842E-3</v>
      </c>
      <c r="BR151" s="481">
        <f>(BR150/BR149)*4</f>
        <v>7.9920079920079937E-3</v>
      </c>
      <c r="BS151" s="894">
        <v>1.4999999999999999E-2</v>
      </c>
      <c r="BT151" s="558">
        <f>BS151</f>
        <v>1.4999999999999999E-2</v>
      </c>
      <c r="BU151" s="58">
        <f>(BU150/BU149)</f>
        <v>9.5242498153703791E-3</v>
      </c>
      <c r="BV151" s="72"/>
      <c r="BW151" s="558">
        <f>BT151</f>
        <v>1.4999999999999999E-2</v>
      </c>
      <c r="BX151" s="558">
        <f>BW151</f>
        <v>1.4999999999999999E-2</v>
      </c>
      <c r="BY151" s="558">
        <f>BX151</f>
        <v>1.4999999999999999E-2</v>
      </c>
      <c r="BZ151" s="558">
        <f>BY151</f>
        <v>1.4999999999999999E-2</v>
      </c>
      <c r="CA151" s="58">
        <f>(CA150/CA149)</f>
        <v>1.2658483316230174E-2</v>
      </c>
      <c r="CB151" s="72"/>
      <c r="CC151" s="558">
        <v>1.4999999999999999E-2</v>
      </c>
      <c r="CD151" s="558">
        <f>CC151</f>
        <v>1.4999999999999999E-2</v>
      </c>
      <c r="CE151" s="558">
        <f>CD151</f>
        <v>1.4999999999999999E-2</v>
      </c>
      <c r="CF151" s="558">
        <f>CE151</f>
        <v>1.4999999999999999E-2</v>
      </c>
      <c r="CG151" s="58">
        <f>(CG150/CG149)</f>
        <v>1.3094692328275219E-2</v>
      </c>
      <c r="CH151" s="72"/>
      <c r="CI151" s="558">
        <v>1.4999999999999999E-2</v>
      </c>
      <c r="CJ151" s="558">
        <f t="shared" ref="CJ151:CL151" si="281">CI151</f>
        <v>1.4999999999999999E-2</v>
      </c>
      <c r="CK151" s="558">
        <f t="shared" si="281"/>
        <v>1.4999999999999999E-2</v>
      </c>
      <c r="CL151" s="558">
        <f t="shared" si="281"/>
        <v>1.4999999999999999E-2</v>
      </c>
      <c r="CM151" s="58">
        <f t="shared" ref="CM151" si="282">(CM150/CM149)</f>
        <v>1.3534031339167392E-2</v>
      </c>
      <c r="CN151" s="72"/>
      <c r="CO151" s="558">
        <v>1.4999999999999999E-2</v>
      </c>
      <c r="CP151" s="558">
        <f t="shared" ref="CP151:CR151" si="283">CO151</f>
        <v>1.4999999999999999E-2</v>
      </c>
      <c r="CQ151" s="558">
        <f t="shared" si="283"/>
        <v>1.4999999999999999E-2</v>
      </c>
      <c r="CR151" s="558">
        <f t="shared" si="283"/>
        <v>1.4999999999999999E-2</v>
      </c>
      <c r="CS151" s="58">
        <f t="shared" ref="CS151" si="284">(CS150/CS149)</f>
        <v>1.3790116758650503E-2</v>
      </c>
      <c r="CT151" s="58"/>
      <c r="CU151" s="58"/>
      <c r="CV151" s="58"/>
      <c r="CY151" s="43"/>
      <c r="CZ151" s="43"/>
    </row>
    <row r="152" spans="1:104" x14ac:dyDescent="0.2">
      <c r="B152" s="1"/>
      <c r="C152" s="10"/>
      <c r="D152" s="10"/>
      <c r="E152" s="10"/>
      <c r="F152" s="10"/>
      <c r="G152" s="10"/>
      <c r="H152" s="1"/>
      <c r="I152" s="10"/>
      <c r="J152" s="10"/>
      <c r="K152" s="10"/>
      <c r="L152" s="10"/>
      <c r="M152" s="10"/>
      <c r="N152" s="1"/>
      <c r="O152" s="10"/>
      <c r="P152" s="10"/>
      <c r="Q152" s="10"/>
      <c r="R152" s="10"/>
      <c r="T152" s="1"/>
      <c r="U152" s="10"/>
      <c r="V152" s="10"/>
      <c r="W152" s="10"/>
      <c r="X152" s="10"/>
      <c r="Z152" s="1"/>
      <c r="AF152" s="24"/>
      <c r="AH152" s="43"/>
      <c r="AI152" s="43"/>
      <c r="AJ152" s="43"/>
      <c r="AK152" s="43"/>
      <c r="AL152" s="31"/>
      <c r="AM152" s="43"/>
      <c r="AR152" s="24"/>
      <c r="AS152" s="43"/>
      <c r="AX152" s="24"/>
      <c r="BD152" s="24"/>
      <c r="BJ152" s="24"/>
      <c r="BP152" s="24"/>
      <c r="BV152" s="24"/>
      <c r="CB152" s="24"/>
      <c r="CH152" s="24"/>
      <c r="CN152" s="24"/>
      <c r="CY152" s="43"/>
      <c r="CZ152" s="43"/>
    </row>
    <row r="153" spans="1:104" x14ac:dyDescent="0.2">
      <c r="A153" s="89" t="s">
        <v>405</v>
      </c>
      <c r="B153" s="24"/>
      <c r="H153" s="24"/>
      <c r="N153" s="24"/>
      <c r="T153" s="24"/>
      <c r="Z153" s="24"/>
      <c r="AF153" s="24"/>
      <c r="AL153" s="24"/>
      <c r="AR153" s="24"/>
      <c r="AX153" s="24"/>
      <c r="BD153" s="24"/>
      <c r="BJ153" s="24"/>
      <c r="BP153" s="24"/>
      <c r="BV153" s="24"/>
      <c r="CB153" s="24"/>
      <c r="CH153" s="24"/>
      <c r="CN153" s="24"/>
      <c r="CY153" s="43"/>
      <c r="CZ153" s="43"/>
    </row>
    <row r="154" spans="1:104" x14ac:dyDescent="0.2">
      <c r="A154" s="75" t="s">
        <v>360</v>
      </c>
      <c r="B154" s="24"/>
      <c r="H154" s="24"/>
      <c r="N154" s="24"/>
      <c r="O154" s="82">
        <f>+L157</f>
        <v>0</v>
      </c>
      <c r="P154" s="82">
        <f>+O157</f>
        <v>0</v>
      </c>
      <c r="Q154" s="82">
        <f>+P157</f>
        <v>0</v>
      </c>
      <c r="R154" s="82">
        <f>+Q157</f>
        <v>0</v>
      </c>
      <c r="S154" s="82">
        <f>+O154</f>
        <v>0</v>
      </c>
      <c r="T154" s="24"/>
      <c r="U154" s="82">
        <f>+R157</f>
        <v>0</v>
      </c>
      <c r="V154" s="82">
        <f>+U157</f>
        <v>0</v>
      </c>
      <c r="W154" s="82">
        <f>+V157</f>
        <v>0</v>
      </c>
      <c r="X154" s="82">
        <f>+W157</f>
        <v>0</v>
      </c>
      <c r="Y154" s="82">
        <f>+U154</f>
        <v>0</v>
      </c>
      <c r="Z154" s="24"/>
      <c r="AA154" s="82">
        <f>+X157</f>
        <v>0</v>
      </c>
      <c r="AB154" s="82">
        <f>+AA157</f>
        <v>0</v>
      </c>
      <c r="AC154" s="82">
        <f>+AB157</f>
        <v>0</v>
      </c>
      <c r="AD154" s="82">
        <f>+AC157</f>
        <v>0</v>
      </c>
      <c r="AE154" s="82">
        <f>+AA154</f>
        <v>0</v>
      </c>
      <c r="AF154" s="24"/>
      <c r="AG154" s="82">
        <f>+AD157</f>
        <v>0</v>
      </c>
      <c r="AH154" s="82">
        <f>+AG157</f>
        <v>0</v>
      </c>
      <c r="AI154" s="82">
        <f>+AH157</f>
        <v>0</v>
      </c>
      <c r="AJ154" s="82">
        <f>+AI157</f>
        <v>0</v>
      </c>
      <c r="AK154" s="82">
        <f>+AG154</f>
        <v>0</v>
      </c>
      <c r="AL154" s="24"/>
      <c r="AM154" s="82">
        <f>+AJ157</f>
        <v>0</v>
      </c>
      <c r="AN154" s="82">
        <f>+AM157</f>
        <v>0</v>
      </c>
      <c r="AO154" s="82">
        <f>+AN157</f>
        <v>0</v>
      </c>
      <c r="AP154" s="82">
        <f>+AO157</f>
        <v>0</v>
      </c>
      <c r="AQ154" s="82">
        <f>+AM154</f>
        <v>0</v>
      </c>
      <c r="AR154" s="24"/>
      <c r="AS154" s="82">
        <f>+AP157</f>
        <v>0</v>
      </c>
      <c r="AT154" s="82">
        <f>+AS157</f>
        <v>0</v>
      </c>
      <c r="AU154" s="82">
        <f>+AT157</f>
        <v>0</v>
      </c>
      <c r="AV154" s="82">
        <f>+AU157</f>
        <v>0</v>
      </c>
      <c r="AW154" s="82">
        <f>+AS154</f>
        <v>0</v>
      </c>
      <c r="AX154" s="24"/>
      <c r="AY154" s="82">
        <f>+AV157</f>
        <v>0</v>
      </c>
      <c r="AZ154" s="82">
        <f>+AY157</f>
        <v>0</v>
      </c>
      <c r="BA154" s="82">
        <f>+AZ157</f>
        <v>0</v>
      </c>
      <c r="BB154" s="82">
        <f>+BA157</f>
        <v>0</v>
      </c>
      <c r="BC154" s="82">
        <f>+AY154</f>
        <v>0</v>
      </c>
      <c r="BD154" s="24"/>
      <c r="BE154" s="82">
        <f>+BB157</f>
        <v>0</v>
      </c>
      <c r="BF154" s="82">
        <f>+BE157</f>
        <v>0</v>
      </c>
      <c r="BG154" s="82">
        <f>+BF157</f>
        <v>0</v>
      </c>
      <c r="BH154" s="82">
        <f>+BG157</f>
        <v>0</v>
      </c>
      <c r="BI154" s="82">
        <f>+BE154</f>
        <v>0</v>
      </c>
      <c r="BJ154" s="24"/>
      <c r="BK154" s="82">
        <f>+BH157</f>
        <v>0</v>
      </c>
      <c r="BL154" s="82">
        <f>+BK157</f>
        <v>199.2</v>
      </c>
      <c r="BM154" s="82">
        <f>+BL157</f>
        <v>204</v>
      </c>
      <c r="BN154" s="82">
        <f>+BM157</f>
        <v>167.1</v>
      </c>
      <c r="BO154" s="82">
        <f>+BK154</f>
        <v>0</v>
      </c>
      <c r="BP154" s="24"/>
      <c r="BQ154" s="82">
        <f>+BN157</f>
        <v>99.1</v>
      </c>
      <c r="BR154" s="82">
        <f>+BQ157</f>
        <v>74.2</v>
      </c>
      <c r="BS154" s="82">
        <f>+BR157</f>
        <v>43.2</v>
      </c>
      <c r="BT154" s="82">
        <f>+BS157</f>
        <v>18.425000000000004</v>
      </c>
      <c r="BU154" s="82">
        <f>+BQ154</f>
        <v>99.1</v>
      </c>
      <c r="BV154" s="24"/>
      <c r="BW154" s="82">
        <f>+BT157</f>
        <v>18.425000000000004</v>
      </c>
      <c r="BX154" s="82">
        <f>+BW157</f>
        <v>18.425000000000004</v>
      </c>
      <c r="BY154" s="82">
        <f>+BX157</f>
        <v>18.425000000000004</v>
      </c>
      <c r="BZ154" s="82">
        <f>+BY157</f>
        <v>18.425000000000004</v>
      </c>
      <c r="CA154" s="82">
        <f>+BW154</f>
        <v>18.425000000000004</v>
      </c>
      <c r="CB154" s="24"/>
      <c r="CC154" s="82">
        <f>+BZ157</f>
        <v>18.425000000000004</v>
      </c>
      <c r="CD154" s="82">
        <f>+CC157</f>
        <v>18.425000000000004</v>
      </c>
      <c r="CE154" s="82">
        <f>+CD157</f>
        <v>18.425000000000004</v>
      </c>
      <c r="CF154" s="82">
        <f>+CE157</f>
        <v>18.425000000000004</v>
      </c>
      <c r="CG154" s="82">
        <f>+CC154</f>
        <v>18.425000000000004</v>
      </c>
      <c r="CH154" s="24"/>
      <c r="CI154" s="82">
        <f t="shared" ref="CI154" si="285">+CF157</f>
        <v>18.425000000000004</v>
      </c>
      <c r="CJ154" s="82">
        <f t="shared" ref="CJ154:CL154" si="286">+CI157</f>
        <v>18.425000000000004</v>
      </c>
      <c r="CK154" s="82">
        <f t="shared" si="286"/>
        <v>18.425000000000004</v>
      </c>
      <c r="CL154" s="82">
        <f t="shared" si="286"/>
        <v>18.425000000000004</v>
      </c>
      <c r="CM154" s="82">
        <f t="shared" ref="CM154" si="287">+CI154</f>
        <v>18.425000000000004</v>
      </c>
      <c r="CN154" s="24"/>
      <c r="CO154" s="82">
        <f t="shared" ref="CO154" si="288">+CL157</f>
        <v>18.425000000000004</v>
      </c>
      <c r="CP154" s="82">
        <f t="shared" ref="CP154:CR154" si="289">+CO157</f>
        <v>18.425000000000004</v>
      </c>
      <c r="CQ154" s="82">
        <f t="shared" si="289"/>
        <v>18.425000000000004</v>
      </c>
      <c r="CR154" s="82">
        <f t="shared" si="289"/>
        <v>18.425000000000004</v>
      </c>
      <c r="CS154" s="82">
        <f t="shared" ref="CS154" si="290">+CO154</f>
        <v>18.425000000000004</v>
      </c>
      <c r="CY154" s="43"/>
      <c r="CZ154" s="43"/>
    </row>
    <row r="155" spans="1:104" x14ac:dyDescent="0.2">
      <c r="A155" s="127" t="s">
        <v>361</v>
      </c>
      <c r="B155" s="24"/>
      <c r="H155" s="24"/>
      <c r="N155" s="24"/>
      <c r="O155" s="550">
        <v>0</v>
      </c>
      <c r="P155" s="550">
        <v>0</v>
      </c>
      <c r="Q155" s="550">
        <v>0</v>
      </c>
      <c r="R155" s="550">
        <v>0</v>
      </c>
      <c r="S155" s="82">
        <f>+SUM(O155:R155)</f>
        <v>0</v>
      </c>
      <c r="T155" s="24"/>
      <c r="U155" s="550">
        <v>0</v>
      </c>
      <c r="V155" s="550">
        <v>0</v>
      </c>
      <c r="W155" s="550">
        <v>0</v>
      </c>
      <c r="X155" s="550">
        <v>0</v>
      </c>
      <c r="Y155" s="82">
        <f>+SUM(U155:X155)</f>
        <v>0</v>
      </c>
      <c r="Z155" s="24"/>
      <c r="AA155" s="550">
        <v>0</v>
      </c>
      <c r="AB155" s="550">
        <v>0</v>
      </c>
      <c r="AC155" s="550">
        <v>0</v>
      </c>
      <c r="AD155" s="550">
        <v>0</v>
      </c>
      <c r="AE155" s="82">
        <f>+SUM(AA155:AD155)</f>
        <v>0</v>
      </c>
      <c r="AF155" s="24"/>
      <c r="AG155" s="550">
        <v>0</v>
      </c>
      <c r="AH155" s="550">
        <v>0</v>
      </c>
      <c r="AI155" s="550">
        <v>0</v>
      </c>
      <c r="AJ155" s="550">
        <v>0</v>
      </c>
      <c r="AK155" s="82">
        <f>+SUM(AG155:AJ155)</f>
        <v>0</v>
      </c>
      <c r="AL155" s="24"/>
      <c r="AM155" s="550">
        <v>0</v>
      </c>
      <c r="AN155" s="550">
        <v>0</v>
      </c>
      <c r="AO155" s="550">
        <v>0</v>
      </c>
      <c r="AP155" s="550">
        <v>0</v>
      </c>
      <c r="AQ155" s="82">
        <f>+SUM(AM155:AP155)</f>
        <v>0</v>
      </c>
      <c r="AR155" s="24"/>
      <c r="AS155" s="550">
        <v>0</v>
      </c>
      <c r="AT155" s="550">
        <v>0</v>
      </c>
      <c r="AU155" s="550">
        <v>0</v>
      </c>
      <c r="AV155" s="550">
        <v>0</v>
      </c>
      <c r="AW155" s="82">
        <f>+SUM(AS155:AV155)</f>
        <v>0</v>
      </c>
      <c r="AX155" s="24"/>
      <c r="AY155" s="550">
        <v>0</v>
      </c>
      <c r="AZ155" s="550">
        <v>0</v>
      </c>
      <c r="BA155" s="550">
        <v>0</v>
      </c>
      <c r="BB155" s="550">
        <v>0</v>
      </c>
      <c r="BC155" s="82">
        <f>+SUM(AY155:BB155)</f>
        <v>0</v>
      </c>
      <c r="BD155" s="24"/>
      <c r="BE155" s="550">
        <v>0</v>
      </c>
      <c r="BF155" s="550">
        <v>0</v>
      </c>
      <c r="BG155" s="550">
        <v>0</v>
      </c>
      <c r="BH155" s="550">
        <v>0</v>
      </c>
      <c r="BI155" s="82">
        <f>+SUM(BE155:BH155)</f>
        <v>0</v>
      </c>
      <c r="BJ155" s="24"/>
      <c r="BK155" s="550">
        <f>+BK29</f>
        <v>199.2</v>
      </c>
      <c r="BL155" s="550">
        <v>204</v>
      </c>
      <c r="BM155" s="550">
        <v>0</v>
      </c>
      <c r="BN155" s="550">
        <f>204+199-SUM(BK155:BM155)</f>
        <v>-0.19999999999998863</v>
      </c>
      <c r="BO155" s="82">
        <f>+SUM(BK155:BN155)</f>
        <v>403</v>
      </c>
      <c r="BP155" s="24"/>
      <c r="BQ155" s="550">
        <v>0</v>
      </c>
      <c r="BR155" s="550">
        <v>0</v>
      </c>
      <c r="BS155" s="550">
        <v>0</v>
      </c>
      <c r="BT155" s="550">
        <v>0</v>
      </c>
      <c r="BU155" s="82">
        <f>+SUM(BQ155:BT155)</f>
        <v>0</v>
      </c>
      <c r="BV155" s="24"/>
      <c r="BW155" s="550">
        <v>0</v>
      </c>
      <c r="BX155" s="550">
        <v>0</v>
      </c>
      <c r="BY155" s="550">
        <v>0</v>
      </c>
      <c r="BZ155" s="550">
        <v>0</v>
      </c>
      <c r="CA155" s="82">
        <f>+SUM(BW155:BZ155)</f>
        <v>0</v>
      </c>
      <c r="CB155" s="24"/>
      <c r="CC155" s="550">
        <v>0</v>
      </c>
      <c r="CD155" s="550">
        <v>0</v>
      </c>
      <c r="CE155" s="550">
        <v>0</v>
      </c>
      <c r="CF155" s="550">
        <v>0</v>
      </c>
      <c r="CG155" s="82">
        <f>+SUM(CC155:CF155)</f>
        <v>0</v>
      </c>
      <c r="CH155" s="24"/>
      <c r="CI155" s="550">
        <v>0</v>
      </c>
      <c r="CJ155" s="550">
        <v>0</v>
      </c>
      <c r="CK155" s="550">
        <v>0</v>
      </c>
      <c r="CL155" s="550">
        <v>0</v>
      </c>
      <c r="CM155" s="82">
        <f t="shared" ref="CM155:CM156" si="291">+SUM(CI155:CL155)</f>
        <v>0</v>
      </c>
      <c r="CN155" s="24"/>
      <c r="CO155" s="550">
        <v>0</v>
      </c>
      <c r="CP155" s="550">
        <v>0</v>
      </c>
      <c r="CQ155" s="550">
        <v>0</v>
      </c>
      <c r="CR155" s="550">
        <v>0</v>
      </c>
      <c r="CS155" s="82">
        <f t="shared" ref="CS155:CS156" si="292">+SUM(CO155:CR155)</f>
        <v>0</v>
      </c>
      <c r="CY155" s="43"/>
      <c r="CZ155" s="43"/>
    </row>
    <row r="156" spans="1:104" x14ac:dyDescent="0.2">
      <c r="A156" s="127" t="s">
        <v>362</v>
      </c>
      <c r="B156" s="24"/>
      <c r="H156" s="24"/>
      <c r="N156" s="24"/>
      <c r="O156" s="551">
        <v>0</v>
      </c>
      <c r="P156" s="551">
        <v>0</v>
      </c>
      <c r="Q156" s="551">
        <v>0</v>
      </c>
      <c r="R156" s="551">
        <v>0</v>
      </c>
      <c r="S156" s="196">
        <f>+SUM(O156:R156)</f>
        <v>0</v>
      </c>
      <c r="T156" s="24"/>
      <c r="U156" s="551">
        <v>0</v>
      </c>
      <c r="V156" s="551">
        <v>0</v>
      </c>
      <c r="W156" s="551">
        <v>0</v>
      </c>
      <c r="X156" s="551">
        <v>0</v>
      </c>
      <c r="Y156" s="196">
        <f>+SUM(U156:X156)</f>
        <v>0</v>
      </c>
      <c r="Z156" s="24"/>
      <c r="AA156" s="551">
        <v>0</v>
      </c>
      <c r="AB156" s="551">
        <v>0</v>
      </c>
      <c r="AC156" s="551">
        <v>0</v>
      </c>
      <c r="AD156" s="551">
        <v>0</v>
      </c>
      <c r="AE156" s="196">
        <f>+SUM(AA156:AD156)</f>
        <v>0</v>
      </c>
      <c r="AF156" s="24"/>
      <c r="AG156" s="551">
        <v>0</v>
      </c>
      <c r="AH156" s="551">
        <v>0</v>
      </c>
      <c r="AI156" s="551">
        <v>0</v>
      </c>
      <c r="AJ156" s="551">
        <v>0</v>
      </c>
      <c r="AK156" s="196">
        <f>+SUM(AG156:AJ156)</f>
        <v>0</v>
      </c>
      <c r="AL156" s="24"/>
      <c r="AM156" s="551">
        <v>0</v>
      </c>
      <c r="AN156" s="551">
        <v>0</v>
      </c>
      <c r="AO156" s="551">
        <v>0</v>
      </c>
      <c r="AP156" s="551">
        <v>0</v>
      </c>
      <c r="AQ156" s="196">
        <f>+SUM(AM156:AP156)</f>
        <v>0</v>
      </c>
      <c r="AR156" s="24"/>
      <c r="AS156" s="551">
        <v>0</v>
      </c>
      <c r="AT156" s="551">
        <v>0</v>
      </c>
      <c r="AU156" s="551">
        <v>0</v>
      </c>
      <c r="AV156" s="551">
        <v>0</v>
      </c>
      <c r="AW156" s="196">
        <f>+SUM(AS156:AV156)</f>
        <v>0</v>
      </c>
      <c r="AX156" s="24"/>
      <c r="AY156" s="551">
        <v>0</v>
      </c>
      <c r="AZ156" s="551">
        <v>0</v>
      </c>
      <c r="BA156" s="551">
        <v>0</v>
      </c>
      <c r="BB156" s="551">
        <v>0</v>
      </c>
      <c r="BC156" s="196">
        <f>+SUM(AY156:BB156)</f>
        <v>0</v>
      </c>
      <c r="BD156" s="24"/>
      <c r="BE156" s="551">
        <v>0</v>
      </c>
      <c r="BF156" s="551">
        <v>0</v>
      </c>
      <c r="BG156" s="551">
        <v>0</v>
      </c>
      <c r="BH156" s="551">
        <v>0</v>
      </c>
      <c r="BI156" s="196">
        <f>+SUM(BE156:BH156)</f>
        <v>0</v>
      </c>
      <c r="BJ156" s="24"/>
      <c r="BK156" s="551">
        <v>0</v>
      </c>
      <c r="BL156" s="551">
        <v>-199.2</v>
      </c>
      <c r="BM156" s="196">
        <f>BM157-BM155-BM154</f>
        <v>-36.900000000000006</v>
      </c>
      <c r="BN156" s="196">
        <f>BN157-BN155-BN154</f>
        <v>-67.800000000000011</v>
      </c>
      <c r="BO156" s="196">
        <f>+SUM(BK156:BN156)</f>
        <v>-303.89999999999998</v>
      </c>
      <c r="BP156" s="24"/>
      <c r="BQ156" s="551">
        <f>BQ35-BN35</f>
        <v>-24.899999999999991</v>
      </c>
      <c r="BR156" s="196">
        <f>BR157-BR155-BR154</f>
        <v>-31</v>
      </c>
      <c r="BS156" s="551">
        <f>-BO157/4</f>
        <v>-24.774999999999999</v>
      </c>
      <c r="BT156" s="551">
        <v>0</v>
      </c>
      <c r="BU156" s="196">
        <f>+SUM(BQ156:BT156)</f>
        <v>-80.674999999999983</v>
      </c>
      <c r="BV156" s="24"/>
      <c r="BW156" s="551"/>
      <c r="BX156" s="551">
        <v>0</v>
      </c>
      <c r="BY156" s="551">
        <v>0</v>
      </c>
      <c r="BZ156" s="551">
        <v>0</v>
      </c>
      <c r="CA156" s="196">
        <f>+SUM(BW156:BZ156)</f>
        <v>0</v>
      </c>
      <c r="CB156" s="24"/>
      <c r="CC156" s="551"/>
      <c r="CD156" s="551">
        <v>0</v>
      </c>
      <c r="CE156" s="551">
        <v>0</v>
      </c>
      <c r="CF156" s="551">
        <v>0</v>
      </c>
      <c r="CG156" s="196">
        <f>+SUM(CC156:CF156)</f>
        <v>0</v>
      </c>
      <c r="CH156" s="24"/>
      <c r="CI156" s="551"/>
      <c r="CJ156" s="551">
        <v>0</v>
      </c>
      <c r="CK156" s="551">
        <v>0</v>
      </c>
      <c r="CL156" s="551">
        <v>0</v>
      </c>
      <c r="CM156" s="196">
        <f t="shared" si="291"/>
        <v>0</v>
      </c>
      <c r="CN156" s="24"/>
      <c r="CO156" s="551"/>
      <c r="CP156" s="551">
        <v>0</v>
      </c>
      <c r="CQ156" s="551">
        <v>0</v>
      </c>
      <c r="CR156" s="551">
        <v>0</v>
      </c>
      <c r="CS156" s="196">
        <f t="shared" si="292"/>
        <v>0</v>
      </c>
      <c r="CY156" s="43"/>
      <c r="CZ156" s="43"/>
    </row>
    <row r="157" spans="1:104" x14ac:dyDescent="0.2">
      <c r="A157" s="75" t="s">
        <v>363</v>
      </c>
      <c r="B157" s="4"/>
      <c r="C157" s="10"/>
      <c r="D157" s="10"/>
      <c r="E157" s="10"/>
      <c r="F157" s="10"/>
      <c r="G157" s="10"/>
      <c r="H157" s="4"/>
      <c r="I157" s="10"/>
      <c r="J157" s="10"/>
      <c r="K157" s="10"/>
      <c r="L157" s="10"/>
      <c r="M157" s="10"/>
      <c r="N157" s="4"/>
      <c r="O157" s="82">
        <f>+O35</f>
        <v>0</v>
      </c>
      <c r="P157" s="82">
        <f>+P35</f>
        <v>0</v>
      </c>
      <c r="Q157" s="82">
        <f>+Q35</f>
        <v>0</v>
      </c>
      <c r="R157" s="82">
        <f>+R35</f>
        <v>0</v>
      </c>
      <c r="S157" s="82">
        <f>+S156+S155+S154</f>
        <v>0</v>
      </c>
      <c r="T157" s="4"/>
      <c r="U157" s="82">
        <f>+U35</f>
        <v>0</v>
      </c>
      <c r="V157" s="82">
        <f>+V35</f>
        <v>0</v>
      </c>
      <c r="W157" s="82">
        <f>+W35</f>
        <v>0</v>
      </c>
      <c r="X157" s="82">
        <f>+X35</f>
        <v>0</v>
      </c>
      <c r="Y157" s="82">
        <f>+Y156+Y155+Y154</f>
        <v>0</v>
      </c>
      <c r="Z157" s="4"/>
      <c r="AA157" s="82">
        <f>+AA35</f>
        <v>0</v>
      </c>
      <c r="AB157" s="82">
        <f>+AB35</f>
        <v>0</v>
      </c>
      <c r="AC157" s="82">
        <f>+AC35</f>
        <v>0</v>
      </c>
      <c r="AD157" s="82">
        <f>+AD35</f>
        <v>0</v>
      </c>
      <c r="AE157" s="82">
        <f>+AE156+AE155+AE154</f>
        <v>0</v>
      </c>
      <c r="AF157" s="24"/>
      <c r="AG157" s="82">
        <f>+AG35</f>
        <v>0</v>
      </c>
      <c r="AH157" s="82">
        <f>+AH35</f>
        <v>0</v>
      </c>
      <c r="AI157" s="82">
        <f>+AI35</f>
        <v>0</v>
      </c>
      <c r="AJ157" s="82">
        <f>+AJ35</f>
        <v>0</v>
      </c>
      <c r="AK157" s="82">
        <f>+AK156+AK155+AK154</f>
        <v>0</v>
      </c>
      <c r="AL157" s="24"/>
      <c r="AM157" s="82">
        <f>+AM35</f>
        <v>0</v>
      </c>
      <c r="AN157" s="82">
        <f>+AN35</f>
        <v>0</v>
      </c>
      <c r="AO157" s="82">
        <f>+AO35</f>
        <v>0</v>
      </c>
      <c r="AP157" s="82">
        <f>+AP35</f>
        <v>0</v>
      </c>
      <c r="AQ157" s="82">
        <f>+AQ156+AQ155+AQ154</f>
        <v>0</v>
      </c>
      <c r="AR157" s="24"/>
      <c r="AS157" s="82">
        <f>+AS35</f>
        <v>0</v>
      </c>
      <c r="AT157" s="82">
        <f>+AT35</f>
        <v>0</v>
      </c>
      <c r="AU157" s="82">
        <f>+AU35</f>
        <v>0</v>
      </c>
      <c r="AV157" s="82">
        <f>+AV35</f>
        <v>0</v>
      </c>
      <c r="AW157" s="82">
        <f>+AW156+AW155+AW154</f>
        <v>0</v>
      </c>
      <c r="AX157" s="24"/>
      <c r="AY157" s="82">
        <f>+AY35</f>
        <v>0</v>
      </c>
      <c r="AZ157" s="82">
        <f>+AZ35</f>
        <v>0</v>
      </c>
      <c r="BA157" s="82">
        <f>+BA35</f>
        <v>0</v>
      </c>
      <c r="BB157" s="82">
        <f>+BB35</f>
        <v>0</v>
      </c>
      <c r="BC157" s="82">
        <f>+BC156+BC155+BC154</f>
        <v>0</v>
      </c>
      <c r="BD157" s="24"/>
      <c r="BE157" s="82">
        <f>+BE35</f>
        <v>0</v>
      </c>
      <c r="BF157" s="82">
        <f>+BF35</f>
        <v>0</v>
      </c>
      <c r="BG157" s="82">
        <f>+BG35</f>
        <v>0</v>
      </c>
      <c r="BH157" s="82">
        <f>+BH35</f>
        <v>0</v>
      </c>
      <c r="BI157" s="82">
        <f>+BI156+BI155+BI154</f>
        <v>0</v>
      </c>
      <c r="BJ157" s="24"/>
      <c r="BK157" s="82">
        <f>+BK156+BK155+BK154</f>
        <v>199.2</v>
      </c>
      <c r="BL157" s="82">
        <f>+BL156+BL155+BL154</f>
        <v>204</v>
      </c>
      <c r="BM157" s="82">
        <f>BM35</f>
        <v>167.1</v>
      </c>
      <c r="BN157" s="82">
        <f>BN35</f>
        <v>99.1</v>
      </c>
      <c r="BO157" s="82">
        <f>+BN157</f>
        <v>99.1</v>
      </c>
      <c r="BP157" s="24"/>
      <c r="BQ157" s="82">
        <f>+BQ156+BQ155+BQ154</f>
        <v>74.2</v>
      </c>
      <c r="BR157" s="82">
        <f>BR35</f>
        <v>43.2</v>
      </c>
      <c r="BS157" s="82">
        <f>+BS156+BS155+BS154</f>
        <v>18.425000000000004</v>
      </c>
      <c r="BT157" s="82">
        <f>+BT156+BT155+BT154</f>
        <v>18.425000000000004</v>
      </c>
      <c r="BU157" s="82">
        <f>+BU156+BU155+BU154</f>
        <v>18.425000000000011</v>
      </c>
      <c r="BV157" s="24"/>
      <c r="BW157" s="82">
        <f>+BW156+BW155+BW154</f>
        <v>18.425000000000004</v>
      </c>
      <c r="BX157" s="82">
        <f>+BX156+BX155+BX154</f>
        <v>18.425000000000004</v>
      </c>
      <c r="BY157" s="82">
        <f>+BY156+BY155+BY154</f>
        <v>18.425000000000004</v>
      </c>
      <c r="BZ157" s="82">
        <f>+BZ156+BZ155+BZ154</f>
        <v>18.425000000000004</v>
      </c>
      <c r="CA157" s="82">
        <f>+CA156+CA155+CA154</f>
        <v>18.425000000000004</v>
      </c>
      <c r="CB157" s="24"/>
      <c r="CC157" s="82">
        <f>+CC156+CC155+CC154</f>
        <v>18.425000000000004</v>
      </c>
      <c r="CD157" s="82">
        <f>+CD156+CD155+CD154</f>
        <v>18.425000000000004</v>
      </c>
      <c r="CE157" s="82">
        <f>+CE156+CE155+CE154</f>
        <v>18.425000000000004</v>
      </c>
      <c r="CF157" s="82">
        <f>+CF156+CF155+CF154</f>
        <v>18.425000000000004</v>
      </c>
      <c r="CG157" s="82">
        <f>+CG156+CG155+CG154</f>
        <v>18.425000000000004</v>
      </c>
      <c r="CH157" s="24"/>
      <c r="CI157" s="82">
        <f t="shared" ref="CI157:CM157" si="293">+CI156+CI155+CI154</f>
        <v>18.425000000000004</v>
      </c>
      <c r="CJ157" s="82">
        <f t="shared" si="293"/>
        <v>18.425000000000004</v>
      </c>
      <c r="CK157" s="82">
        <f t="shared" si="293"/>
        <v>18.425000000000004</v>
      </c>
      <c r="CL157" s="82">
        <f t="shared" si="293"/>
        <v>18.425000000000004</v>
      </c>
      <c r="CM157" s="82">
        <f t="shared" si="293"/>
        <v>18.425000000000004</v>
      </c>
      <c r="CN157" s="24"/>
      <c r="CO157" s="82">
        <f t="shared" ref="CO157:CS157" si="294">+CO156+CO155+CO154</f>
        <v>18.425000000000004</v>
      </c>
      <c r="CP157" s="82">
        <f t="shared" si="294"/>
        <v>18.425000000000004</v>
      </c>
      <c r="CQ157" s="82">
        <f t="shared" si="294"/>
        <v>18.425000000000004</v>
      </c>
      <c r="CR157" s="82">
        <f t="shared" si="294"/>
        <v>18.425000000000004</v>
      </c>
      <c r="CS157" s="82">
        <f t="shared" si="294"/>
        <v>18.425000000000004</v>
      </c>
      <c r="CY157" s="43"/>
      <c r="CZ157" s="43"/>
    </row>
    <row r="158" spans="1:104" x14ac:dyDescent="0.2">
      <c r="A158" s="28" t="s">
        <v>364</v>
      </c>
      <c r="B158" s="4"/>
      <c r="C158" s="10"/>
      <c r="D158" s="10"/>
      <c r="E158" s="10"/>
      <c r="F158" s="10"/>
      <c r="G158" s="10"/>
      <c r="H158" s="4"/>
      <c r="I158" s="10"/>
      <c r="J158" s="10"/>
      <c r="K158" s="10"/>
      <c r="L158" s="10"/>
      <c r="M158" s="10"/>
      <c r="N158" s="4"/>
      <c r="O158" s="10"/>
      <c r="P158" s="10"/>
      <c r="Q158" s="10"/>
      <c r="R158" s="10"/>
      <c r="T158" s="4"/>
      <c r="U158" s="10"/>
      <c r="V158" s="10"/>
      <c r="W158" s="10"/>
      <c r="X158" s="10"/>
      <c r="Z158" s="4"/>
      <c r="AF158" s="24"/>
      <c r="AL158" s="24"/>
      <c r="AR158" s="24"/>
      <c r="AX158" s="24"/>
      <c r="BD158" s="24"/>
      <c r="BJ158" s="24"/>
      <c r="BK158" s="82">
        <f>BI157*BK159/4</f>
        <v>0</v>
      </c>
      <c r="BL158" s="82">
        <f>BK157*BL159/4</f>
        <v>1.7430000000000001</v>
      </c>
      <c r="BM158" s="82">
        <f>BL157*BM159/4</f>
        <v>1.53</v>
      </c>
      <c r="BN158" s="82">
        <f>BM157*BN159/4</f>
        <v>1.25325</v>
      </c>
      <c r="BO158" s="82">
        <f>+SUM(BK158:BN158)</f>
        <v>4.5262500000000001</v>
      </c>
      <c r="BP158" s="24"/>
      <c r="BQ158" s="82">
        <f>(BO157+BO29)*(BQ159/4)</f>
        <v>1.1319999999999999</v>
      </c>
      <c r="BR158" s="82">
        <f>BQ157*BR159/4</f>
        <v>0.55649999999999999</v>
      </c>
      <c r="BS158" s="82">
        <f>(BR157+BR29)*(BS159/4)</f>
        <v>0.56600000000000006</v>
      </c>
      <c r="BT158" s="82">
        <f>(BS157+BS29)*(BT159/4)</f>
        <v>0.44212500000000005</v>
      </c>
      <c r="BU158" s="82">
        <f>+SUM(BQ158:BT158)</f>
        <v>2.696625</v>
      </c>
      <c r="BV158" s="24"/>
      <c r="BW158" s="82">
        <f t="shared" ref="BW158" si="295">(BU157+BU29)*(BW159/4)</f>
        <v>0.44212500000000005</v>
      </c>
      <c r="BX158" s="82">
        <f t="shared" ref="BX158:BZ158" si="296">(BW157+BW29)*(BX159/4)</f>
        <v>0.44212500000000005</v>
      </c>
      <c r="BY158" s="82">
        <f t="shared" si="296"/>
        <v>0.44212500000000005</v>
      </c>
      <c r="BZ158" s="82">
        <f t="shared" si="296"/>
        <v>0.44212500000000005</v>
      </c>
      <c r="CA158" s="82">
        <f t="shared" ref="CA158" si="297">+SUM(BW158:BZ158)</f>
        <v>1.7685000000000002</v>
      </c>
      <c r="CB158" s="24"/>
      <c r="CC158" s="82">
        <f t="shared" ref="CC158" si="298">(CA157+CA29)*(CC159/4)</f>
        <v>0.44212500000000005</v>
      </c>
      <c r="CD158" s="82">
        <f t="shared" ref="CD158:CF158" si="299">(CC157+CC29)*(CD159/4)</f>
        <v>0.44212500000000005</v>
      </c>
      <c r="CE158" s="82">
        <f t="shared" si="299"/>
        <v>0.44212500000000005</v>
      </c>
      <c r="CF158" s="82">
        <f t="shared" si="299"/>
        <v>0.44212500000000005</v>
      </c>
      <c r="CG158" s="82">
        <f t="shared" ref="CG158" si="300">+SUM(CC158:CF158)</f>
        <v>1.7685000000000002</v>
      </c>
      <c r="CH158" s="24"/>
      <c r="CI158" s="82">
        <f t="shared" ref="CI158" si="301">(CG157+CG29)*(CI159/4)</f>
        <v>0.44212500000000005</v>
      </c>
      <c r="CJ158" s="82">
        <f t="shared" ref="CJ158" si="302">(CI157+CI29)*(CJ159/4)</f>
        <v>0.44212500000000005</v>
      </c>
      <c r="CK158" s="82">
        <f t="shared" ref="CK158" si="303">(CJ157+CJ29)*(CK159/4)</f>
        <v>0.44212500000000005</v>
      </c>
      <c r="CL158" s="82">
        <f t="shared" ref="CL158" si="304">(CK157+CK29)*(CL159/4)</f>
        <v>0.44212500000000005</v>
      </c>
      <c r="CM158" s="82">
        <f t="shared" ref="CM158" si="305">+SUM(CI158:CL158)</f>
        <v>1.7685000000000002</v>
      </c>
      <c r="CN158" s="24"/>
      <c r="CO158" s="82">
        <f t="shared" ref="CO158" si="306">(CM157+CM29)*(CO159/4)</f>
        <v>0.44212500000000005</v>
      </c>
      <c r="CP158" s="82">
        <f t="shared" ref="CP158" si="307">(CO157+CO29)*(CP159/4)</f>
        <v>0.44212500000000005</v>
      </c>
      <c r="CQ158" s="82">
        <f t="shared" ref="CQ158" si="308">(CP157+CP29)*(CQ159/4)</f>
        <v>0.44212500000000005</v>
      </c>
      <c r="CR158" s="82">
        <f t="shared" ref="CR158" si="309">(CQ157+CQ29)*(CR159/4)</f>
        <v>0.44212500000000005</v>
      </c>
      <c r="CS158" s="82">
        <f t="shared" ref="CS158" si="310">+SUM(CO158:CR158)</f>
        <v>1.7685000000000002</v>
      </c>
      <c r="CY158" s="43"/>
      <c r="CZ158" s="43"/>
    </row>
    <row r="159" spans="1:104" x14ac:dyDescent="0.2">
      <c r="A159" s="28" t="s">
        <v>286</v>
      </c>
      <c r="B159" s="4"/>
      <c r="C159" s="10"/>
      <c r="D159" s="10"/>
      <c r="E159" s="10"/>
      <c r="F159" s="10"/>
      <c r="G159" s="10"/>
      <c r="H159" s="4"/>
      <c r="I159" s="10"/>
      <c r="J159" s="10"/>
      <c r="K159" s="10"/>
      <c r="L159" s="10"/>
      <c r="M159" s="10"/>
      <c r="N159" s="4"/>
      <c r="O159" s="10"/>
      <c r="P159" s="10"/>
      <c r="Q159" s="10"/>
      <c r="R159" s="10"/>
      <c r="T159" s="4"/>
      <c r="U159" s="10"/>
      <c r="V159" s="10"/>
      <c r="W159" s="10"/>
      <c r="X159" s="10"/>
      <c r="Z159" s="4"/>
      <c r="AF159" s="24"/>
      <c r="AL159" s="24"/>
      <c r="AR159" s="24"/>
      <c r="AX159" s="24"/>
      <c r="BD159" s="24"/>
      <c r="BJ159" s="24"/>
      <c r="BK159" s="558">
        <v>0.04</v>
      </c>
      <c r="BL159" s="558">
        <f>2%+1.5%</f>
        <v>3.5000000000000003E-2</v>
      </c>
      <c r="BM159" s="558">
        <v>0.03</v>
      </c>
      <c r="BN159" s="558">
        <v>0.03</v>
      </c>
      <c r="BO159" s="743">
        <f>(BO158/BO157)</f>
        <v>4.5673562058526747E-2</v>
      </c>
      <c r="BP159" s="72"/>
      <c r="BQ159" s="558">
        <v>0.02</v>
      </c>
      <c r="BR159" s="558">
        <v>0.03</v>
      </c>
      <c r="BS159" s="897">
        <v>0.02</v>
      </c>
      <c r="BT159" s="558">
        <f>BS159</f>
        <v>0.02</v>
      </c>
      <c r="BU159" s="743"/>
      <c r="BV159" s="72"/>
      <c r="BW159" s="558">
        <f>+BT159</f>
        <v>0.02</v>
      </c>
      <c r="BX159" s="558">
        <f>BW159</f>
        <v>0.02</v>
      </c>
      <c r="BY159" s="558">
        <f>BX159</f>
        <v>0.02</v>
      </c>
      <c r="BZ159" s="558">
        <f>BY159</f>
        <v>0.02</v>
      </c>
      <c r="CA159" s="743">
        <v>0</v>
      </c>
      <c r="CB159" s="72"/>
      <c r="CC159" s="558">
        <f>BZ159</f>
        <v>0.02</v>
      </c>
      <c r="CD159" s="558">
        <f>CC159</f>
        <v>0.02</v>
      </c>
      <c r="CE159" s="558">
        <f>CD159</f>
        <v>0.02</v>
      </c>
      <c r="CF159" s="558">
        <f>CE159</f>
        <v>0.02</v>
      </c>
      <c r="CG159" s="743">
        <v>0</v>
      </c>
      <c r="CH159" s="72"/>
      <c r="CI159" s="558">
        <f t="shared" ref="CI159" si="311">CF159</f>
        <v>0.02</v>
      </c>
      <c r="CJ159" s="558">
        <f t="shared" ref="CJ159:CL159" si="312">CI159</f>
        <v>0.02</v>
      </c>
      <c r="CK159" s="558">
        <f t="shared" si="312"/>
        <v>0.02</v>
      </c>
      <c r="CL159" s="558">
        <f t="shared" si="312"/>
        <v>0.02</v>
      </c>
      <c r="CM159" s="743">
        <v>0</v>
      </c>
      <c r="CN159" s="72"/>
      <c r="CO159" s="558">
        <f t="shared" ref="CO159" si="313">CL159</f>
        <v>0.02</v>
      </c>
      <c r="CP159" s="558">
        <f t="shared" ref="CP159:CR159" si="314">CO159</f>
        <v>0.02</v>
      </c>
      <c r="CQ159" s="558">
        <f t="shared" si="314"/>
        <v>0.02</v>
      </c>
      <c r="CR159" s="558">
        <f t="shared" si="314"/>
        <v>0.02</v>
      </c>
      <c r="CS159" s="743">
        <v>0</v>
      </c>
      <c r="CY159" s="43"/>
      <c r="CZ159" s="43"/>
    </row>
    <row r="160" spans="1:104" x14ac:dyDescent="0.2">
      <c r="A160" s="28"/>
      <c r="B160" s="4"/>
      <c r="C160" s="10"/>
      <c r="D160" s="10"/>
      <c r="E160" s="10"/>
      <c r="F160" s="10"/>
      <c r="G160" s="10"/>
      <c r="H160" s="4"/>
      <c r="I160" s="10"/>
      <c r="J160" s="10"/>
      <c r="K160" s="10"/>
      <c r="L160" s="10"/>
      <c r="M160" s="10"/>
      <c r="N160" s="4"/>
      <c r="O160" s="10"/>
      <c r="P160" s="10"/>
      <c r="Q160" s="10"/>
      <c r="R160" s="10"/>
      <c r="T160" s="4"/>
      <c r="U160" s="10"/>
      <c r="V160" s="10"/>
      <c r="W160" s="10"/>
      <c r="X160" s="10"/>
      <c r="Z160" s="4"/>
      <c r="AF160" s="24"/>
      <c r="AL160" s="24"/>
      <c r="AR160" s="24"/>
      <c r="AX160" s="24"/>
      <c r="BD160" s="24"/>
      <c r="BJ160" s="24"/>
      <c r="BK160" s="558"/>
      <c r="BL160" s="558"/>
      <c r="BM160" s="558"/>
      <c r="BN160" s="558"/>
      <c r="BO160" s="743"/>
      <c r="BP160" s="72"/>
      <c r="BQ160" s="558"/>
      <c r="BR160" s="558"/>
      <c r="BS160" s="558"/>
      <c r="BT160" s="558"/>
      <c r="BU160" s="743"/>
      <c r="BV160" s="72"/>
      <c r="BW160" s="558"/>
      <c r="BX160" s="558"/>
      <c r="BY160" s="558"/>
      <c r="BZ160" s="558"/>
      <c r="CA160" s="743"/>
      <c r="CB160" s="72"/>
      <c r="CC160" s="558"/>
      <c r="CD160" s="558"/>
      <c r="CE160" s="558"/>
      <c r="CF160" s="558"/>
      <c r="CG160" s="743"/>
      <c r="CH160" s="72"/>
      <c r="CI160" s="558"/>
      <c r="CJ160" s="558"/>
      <c r="CK160" s="558"/>
      <c r="CL160" s="558"/>
      <c r="CM160" s="743"/>
      <c r="CN160" s="72"/>
      <c r="CO160" s="558"/>
      <c r="CP160" s="558"/>
      <c r="CQ160" s="558"/>
      <c r="CR160" s="558"/>
      <c r="CS160" s="743"/>
      <c r="CY160" s="43"/>
      <c r="CZ160" s="43"/>
    </row>
    <row r="161" spans="1:104" x14ac:dyDescent="0.2">
      <c r="A161" s="859" t="s">
        <v>127</v>
      </c>
      <c r="B161" s="860"/>
      <c r="C161" s="861"/>
      <c r="D161" s="861"/>
      <c r="E161" s="861"/>
      <c r="F161" s="861"/>
      <c r="G161" s="860"/>
      <c r="H161" s="860"/>
      <c r="I161" s="861"/>
      <c r="J161" s="861"/>
      <c r="K161" s="861"/>
      <c r="L161" s="861"/>
      <c r="M161" s="860"/>
      <c r="N161" s="860"/>
      <c r="O161" s="861"/>
      <c r="P161" s="861"/>
      <c r="Q161" s="861"/>
      <c r="R161" s="861"/>
      <c r="S161" s="860"/>
      <c r="T161" s="860"/>
      <c r="U161" s="861"/>
      <c r="V161" s="861"/>
      <c r="W161" s="861"/>
      <c r="X161" s="861"/>
      <c r="Y161" s="860"/>
      <c r="Z161" s="860"/>
      <c r="AA161" s="861"/>
      <c r="AB161" s="861"/>
      <c r="AC161" s="861"/>
      <c r="AD161" s="861"/>
      <c r="AE161" s="860"/>
      <c r="AF161" s="860"/>
      <c r="AG161" s="861"/>
      <c r="AH161" s="861"/>
      <c r="AI161" s="861"/>
      <c r="AJ161" s="861"/>
      <c r="AK161" s="860"/>
      <c r="AL161" s="860"/>
      <c r="AM161" s="861"/>
      <c r="AN161" s="861"/>
      <c r="AO161" s="861"/>
      <c r="AP161" s="861"/>
      <c r="AQ161" s="860"/>
      <c r="AR161" s="860"/>
      <c r="AS161" s="861"/>
      <c r="AT161" s="861"/>
      <c r="AU161" s="861"/>
      <c r="AV161" s="861"/>
      <c r="AW161" s="860"/>
      <c r="AX161" s="860"/>
      <c r="AY161" s="861"/>
      <c r="AZ161" s="861"/>
      <c r="BA161" s="861"/>
      <c r="BB161" s="861"/>
      <c r="BC161" s="860"/>
      <c r="BD161" s="860"/>
      <c r="BE161" s="861"/>
      <c r="BF161" s="861"/>
      <c r="BG161" s="861"/>
      <c r="BH161" s="861"/>
      <c r="BI161" s="860"/>
      <c r="BJ161" s="860"/>
      <c r="BK161" s="861"/>
      <c r="BL161" s="861"/>
      <c r="BM161" s="861"/>
      <c r="BN161" s="861"/>
      <c r="BO161" s="860"/>
      <c r="BP161" s="860"/>
      <c r="BQ161" s="861"/>
      <c r="BR161" s="861"/>
      <c r="BS161" s="861"/>
      <c r="BT161" s="861"/>
      <c r="BU161" s="860"/>
      <c r="BV161" s="860"/>
      <c r="BW161" s="861"/>
      <c r="BX161" s="861"/>
      <c r="BY161" s="861"/>
      <c r="BZ161" s="861"/>
      <c r="CA161" s="860"/>
      <c r="CB161" s="860"/>
      <c r="CC161" s="861"/>
      <c r="CD161" s="861"/>
      <c r="CE161" s="861"/>
      <c r="CF161" s="861"/>
      <c r="CG161" s="860"/>
      <c r="CH161" s="860"/>
      <c r="CI161" s="861"/>
      <c r="CJ161" s="861"/>
      <c r="CK161" s="861"/>
      <c r="CL161" s="861"/>
      <c r="CM161" s="860"/>
      <c r="CN161" s="860"/>
      <c r="CO161" s="861"/>
      <c r="CP161" s="861"/>
      <c r="CQ161" s="861"/>
      <c r="CR161" s="861"/>
      <c r="CS161" s="860"/>
      <c r="CY161" s="43"/>
      <c r="CZ161" s="43"/>
    </row>
    <row r="162" spans="1:104" x14ac:dyDescent="0.2">
      <c r="A162" s="862" t="s">
        <v>222</v>
      </c>
      <c r="B162" s="863"/>
      <c r="C162" s="864">
        <f>+'P&amp;L'!C8</f>
        <v>33.542999999999999</v>
      </c>
      <c r="D162" s="864">
        <f>+'P&amp;L'!D8</f>
        <v>37.134999999999998</v>
      </c>
      <c r="E162" s="864">
        <f>+'P&amp;L'!E8</f>
        <v>40.97</v>
      </c>
      <c r="F162" s="864">
        <f>+'P&amp;L'!F8</f>
        <v>45.478000000000002</v>
      </c>
      <c r="G162" s="864">
        <f>+'P&amp;L'!G8</f>
        <v>157.126</v>
      </c>
      <c r="H162" s="863"/>
      <c r="I162" s="864">
        <f>+'P&amp;L'!I8</f>
        <v>48.265999999999998</v>
      </c>
      <c r="J162" s="864">
        <f>+'P&amp;L'!J8</f>
        <v>56.741999999999997</v>
      </c>
      <c r="K162" s="864">
        <f>+'P&amp;L'!K8</f>
        <v>61.765000000000001</v>
      </c>
      <c r="L162" s="864">
        <f>+'P&amp;L'!L8</f>
        <v>64.677999999999997</v>
      </c>
      <c r="M162" s="864">
        <f>+'P&amp;L'!M8</f>
        <v>231.45099999999999</v>
      </c>
      <c r="N162" s="863"/>
      <c r="O162" s="864">
        <f>+'P&amp;L'!O8</f>
        <v>69.965000000000003</v>
      </c>
      <c r="P162" s="864">
        <f>+'P&amp;L'!P8</f>
        <v>83.951999999999998</v>
      </c>
      <c r="Q162" s="864">
        <f>+'P&amp;L'!Q8</f>
        <v>86.531000000000006</v>
      </c>
      <c r="R162" s="864">
        <f>+'P&amp;L'!R8</f>
        <v>86.078999999999994</v>
      </c>
      <c r="S162" s="864">
        <f>+'P&amp;L'!S8</f>
        <v>326.52699999999999</v>
      </c>
      <c r="T162" s="863"/>
      <c r="U162" s="864">
        <f>+'P&amp;L'!U8</f>
        <v>85.122</v>
      </c>
      <c r="V162" s="864">
        <f>+'P&amp;L'!V8</f>
        <v>92.768000000000001</v>
      </c>
      <c r="W162" s="864">
        <f>+'P&amp;L'!W8</f>
        <v>90.83</v>
      </c>
      <c r="X162" s="864">
        <f>+'P&amp;L'!X8</f>
        <v>93.92800000000004</v>
      </c>
      <c r="Y162" s="864">
        <f>+'P&amp;L'!Y8</f>
        <v>362.64800000000002</v>
      </c>
      <c r="Z162" s="863"/>
      <c r="AA162" s="864">
        <f>+'P&amp;L'!AA8</f>
        <v>91.858000000000004</v>
      </c>
      <c r="AB162" s="864">
        <f>+'P&amp;L'!AB8</f>
        <v>100.44</v>
      </c>
      <c r="AC162" s="864">
        <f>+'P&amp;L'!AC8</f>
        <v>102.374</v>
      </c>
      <c r="AD162" s="864">
        <f>+'P&amp;L'!AD8</f>
        <v>107.41200000000001</v>
      </c>
      <c r="AE162" s="864">
        <f>+'P&amp;L'!AE8</f>
        <v>402.08400000000006</v>
      </c>
      <c r="AF162" s="863"/>
      <c r="AG162" s="864">
        <f>+'P&amp;L'!AG8</f>
        <v>110.452</v>
      </c>
      <c r="AH162" s="864">
        <f>+'P&amp;L'!AH8</f>
        <v>122.81100000000001</v>
      </c>
      <c r="AI162" s="864">
        <f>+'P&amp;L'!AI8</f>
        <v>129.77699999999999</v>
      </c>
      <c r="AJ162" s="864">
        <f>+'P&amp;L'!AJ8</f>
        <v>132.965</v>
      </c>
      <c r="AK162" s="864">
        <f>+'P&amp;L'!AK8</f>
        <v>496.005</v>
      </c>
      <c r="AL162" s="863"/>
      <c r="AM162" s="864">
        <f>+'P&amp;L'!AM8</f>
        <v>133.43700000000001</v>
      </c>
      <c r="AN162" s="864">
        <f>+'P&amp;L'!AN8</f>
        <v>149.13999999999999</v>
      </c>
      <c r="AO162" s="864">
        <f>+'P&amp;L'!AO8</f>
        <v>156.47200000000001</v>
      </c>
      <c r="AP162" s="864">
        <f>+'P&amp;L'!AP8</f>
        <v>174.11600000000001</v>
      </c>
      <c r="AQ162" s="864">
        <f>+'P&amp;L'!AQ8</f>
        <v>613.16499999999996</v>
      </c>
      <c r="AR162" s="863"/>
      <c r="AS162" s="864">
        <f>+'P&amp;L'!AS8</f>
        <v>202.46700000000001</v>
      </c>
      <c r="AT162" s="864">
        <f>+'P&amp;L'!AT8</f>
        <v>204.06</v>
      </c>
      <c r="AU162" s="864">
        <f>+'P&amp;L'!AU8</f>
        <v>182.92400000000001</v>
      </c>
      <c r="AV162" s="864">
        <f>+'P&amp;L'!AV8</f>
        <v>188.76500000000001</v>
      </c>
      <c r="AW162" s="864">
        <f>+'P&amp;L'!AW8</f>
        <v>778.21600000000001</v>
      </c>
      <c r="AX162" s="863"/>
      <c r="AY162" s="864">
        <f>+'P&amp;L'!AY8</f>
        <v>168.83699999999999</v>
      </c>
      <c r="AZ162" s="864">
        <f>+'P&amp;L'!AZ8</f>
        <v>184.393</v>
      </c>
      <c r="BA162" s="864">
        <f>+'P&amp;L'!BA8</f>
        <v>179.98500000000001</v>
      </c>
      <c r="BB162" s="864">
        <f>+'P&amp;L'!BB8</f>
        <v>189.87392621898078</v>
      </c>
      <c r="BC162" s="864">
        <f>+'P&amp;L'!BC8</f>
        <v>723.08892621898076</v>
      </c>
      <c r="BD162" s="863"/>
      <c r="BE162" s="864">
        <f>+'P&amp;L'!BE8</f>
        <v>183.53138383668679</v>
      </c>
      <c r="BF162" s="864">
        <f>+'P&amp;L'!BF8</f>
        <v>193.28922202800135</v>
      </c>
      <c r="BG162" s="864">
        <f>+'P&amp;L'!BG8</f>
        <v>190.51802062257497</v>
      </c>
      <c r="BH162" s="864">
        <f>+'P&amp;L'!BH8</f>
        <v>186.50000000000003</v>
      </c>
      <c r="BI162" s="864">
        <f>+'P&amp;L'!BI8</f>
        <v>753.83862648726313</v>
      </c>
      <c r="BJ162" s="863"/>
      <c r="BK162" s="864">
        <f>+'P&amp;L'!BK8</f>
        <v>177.50619851575016</v>
      </c>
      <c r="BL162" s="864">
        <f>+'P&amp;L'!BL8</f>
        <v>196.54935285011936</v>
      </c>
      <c r="BM162" s="864">
        <f>+'P&amp;L'!BM8</f>
        <v>196.91112509441612</v>
      </c>
      <c r="BN162" s="864">
        <f>+'P&amp;L'!BN8</f>
        <v>200.45994435047371</v>
      </c>
      <c r="BO162" s="864">
        <f>+'P&amp;L'!BO8</f>
        <v>771.42662081075935</v>
      </c>
      <c r="BP162" s="863"/>
      <c r="BQ162" s="864">
        <f>+'P&amp;L'!BQ8</f>
        <v>190.173636020087</v>
      </c>
      <c r="BR162" s="864">
        <f>+'P&amp;L'!BR8</f>
        <v>193.97538465031678</v>
      </c>
      <c r="BS162" s="864">
        <f>+'P&amp;L'!BS8</f>
        <v>189.85889196979974</v>
      </c>
      <c r="BT162" s="864">
        <f>+'P&amp;L'!BT8</f>
        <v>197.19507616368108</v>
      </c>
      <c r="BU162" s="864">
        <f>+'P&amp;L'!BU8</f>
        <v>771.20298880388464</v>
      </c>
      <c r="BV162" s="863"/>
      <c r="BW162" s="864">
        <f>+'P&amp;L'!BW8</f>
        <v>190.41465770273575</v>
      </c>
      <c r="BX162" s="864">
        <f>+'P&amp;L'!BX8</f>
        <v>199.81071397288588</v>
      </c>
      <c r="BY162" s="864">
        <f>+'P&amp;L'!BY8</f>
        <v>198.78737440761927</v>
      </c>
      <c r="BZ162" s="864">
        <f>+'P&amp;L'!BZ8</f>
        <v>208.62928831825337</v>
      </c>
      <c r="CA162" s="864">
        <f>+'P&amp;L'!CA8</f>
        <v>797.64203440149436</v>
      </c>
      <c r="CB162" s="863"/>
      <c r="CC162" s="864">
        <f>+'P&amp;L'!CC8</f>
        <v>199.51417065909573</v>
      </c>
      <c r="CD162" s="864">
        <f>+'P&amp;L'!CD8</f>
        <v>211.65539421935887</v>
      </c>
      <c r="CE162" s="864">
        <f>+'P&amp;L'!CE8</f>
        <v>210.70810960585868</v>
      </c>
      <c r="CF162" s="864">
        <f>+'P&amp;L'!CF8</f>
        <v>222.07057963374058</v>
      </c>
      <c r="CG162" s="864">
        <f>+'P&amp;L'!CG8</f>
        <v>843.94825411805391</v>
      </c>
      <c r="CH162" s="863"/>
      <c r="CI162" s="864">
        <f>+'P&amp;L'!CI8</f>
        <v>213.89925352054405</v>
      </c>
      <c r="CJ162" s="864">
        <f>+'P&amp;L'!CJ8</f>
        <v>227.67798658586975</v>
      </c>
      <c r="CK162" s="864">
        <f>+'P&amp;L'!CK8</f>
        <v>225.46297191259288</v>
      </c>
      <c r="CL162" s="864">
        <f>+'P&amp;L'!CL8</f>
        <v>237.59924857107131</v>
      </c>
      <c r="CM162" s="864">
        <f>+'P&amp;L'!CM8</f>
        <v>904.63946059007799</v>
      </c>
      <c r="CN162" s="863"/>
      <c r="CO162" s="864">
        <f>+'P&amp;L'!CO8</f>
        <v>229.27341600141693</v>
      </c>
      <c r="CP162" s="864">
        <f>+'P&amp;L'!CP8</f>
        <v>245.97773219765872</v>
      </c>
      <c r="CQ162" s="864">
        <f>+'P&amp;L'!CQ8</f>
        <v>241.06622992696046</v>
      </c>
      <c r="CR162" s="864">
        <f>+'P&amp;L'!CR8</f>
        <v>255.3603613644226</v>
      </c>
      <c r="CS162" s="864">
        <f>+'P&amp;L'!CS8</f>
        <v>971.67773949045875</v>
      </c>
      <c r="CY162" s="43"/>
      <c r="CZ162" s="43"/>
    </row>
    <row r="163" spans="1:104" x14ac:dyDescent="0.2">
      <c r="A163" s="862" t="s">
        <v>384</v>
      </c>
      <c r="B163" s="863"/>
      <c r="C163" s="864">
        <f>+'P&amp;L'!C24</f>
        <v>-15.000000000000004</v>
      </c>
      <c r="D163" s="864">
        <f>+'P&amp;L'!D24</f>
        <v>-11.369000000000003</v>
      </c>
      <c r="E163" s="864">
        <f>+'P&amp;L'!E24</f>
        <v>-9.0919999999999987</v>
      </c>
      <c r="F163" s="864">
        <f>+'P&amp;L'!F24</f>
        <v>-12.265999999999991</v>
      </c>
      <c r="G163" s="864">
        <f>+'P&amp;L'!G24</f>
        <v>-47.727000000000018</v>
      </c>
      <c r="H163" s="863"/>
      <c r="I163" s="864">
        <f>+'P&amp;L'!I24</f>
        <v>-11.582000000000001</v>
      </c>
      <c r="J163" s="864">
        <f>+'P&amp;L'!J24</f>
        <v>-8.7359999999999971</v>
      </c>
      <c r="K163" s="864">
        <f>+'P&amp;L'!K24</f>
        <v>-7.8159999999999954</v>
      </c>
      <c r="L163" s="864">
        <f>+'P&amp;L'!L24</f>
        <v>19.166999999999994</v>
      </c>
      <c r="M163" s="864">
        <f>+'P&amp;L'!M24</f>
        <v>-8.967000000000013</v>
      </c>
      <c r="N163" s="863"/>
      <c r="O163" s="864">
        <f>+'P&amp;L'!O24</f>
        <v>23.389000000000003</v>
      </c>
      <c r="P163" s="864">
        <f>+'P&amp;L'!P24</f>
        <v>33.316999999999993</v>
      </c>
      <c r="Q163" s="864">
        <f>+'P&amp;L'!Q24</f>
        <v>35.260000000000005</v>
      </c>
      <c r="R163" s="864">
        <f>+'P&amp;L'!R24</f>
        <v>34.495999999999988</v>
      </c>
      <c r="S163" s="864">
        <f>+'P&amp;L'!S24</f>
        <v>126.46199999999999</v>
      </c>
      <c r="T163" s="863"/>
      <c r="U163" s="864">
        <f>+'P&amp;L'!U24</f>
        <v>29.712000000000003</v>
      </c>
      <c r="V163" s="864">
        <f>+'P&amp;L'!V24</f>
        <v>34.522000000000006</v>
      </c>
      <c r="W163" s="864">
        <f>+'P&amp;L'!W24</f>
        <v>33.225000000000001</v>
      </c>
      <c r="X163" s="864">
        <f>+'P&amp;L'!X24</f>
        <v>37.616000000000042</v>
      </c>
      <c r="Y163" s="864">
        <f>+'P&amp;L'!Y24</f>
        <v>135.07500000000005</v>
      </c>
      <c r="Z163" s="863"/>
      <c r="AA163" s="864">
        <f>+'P&amp;L'!AA24</f>
        <v>35.591000000000008</v>
      </c>
      <c r="AB163" s="864">
        <f>+'P&amp;L'!AB24</f>
        <v>38.586000000000006</v>
      </c>
      <c r="AC163" s="864">
        <f>+'P&amp;L'!AC24</f>
        <v>41.823999999999998</v>
      </c>
      <c r="AD163" s="864">
        <f>+'P&amp;L'!AD24</f>
        <v>41.777000000000001</v>
      </c>
      <c r="AE163" s="864">
        <f>+'P&amp;L'!AE24</f>
        <v>157.77800000000005</v>
      </c>
      <c r="AF163" s="863"/>
      <c r="AG163" s="864">
        <f>+'P&amp;L'!AG24</f>
        <v>41.471999999999994</v>
      </c>
      <c r="AH163" s="864">
        <f>+'P&amp;L'!AH24</f>
        <v>45.465000000000003</v>
      </c>
      <c r="AI163" s="864">
        <f>+'P&amp;L'!AI24</f>
        <v>46.095999999999975</v>
      </c>
      <c r="AJ163" s="864">
        <f>+'P&amp;L'!AJ24</f>
        <v>47.284999999999997</v>
      </c>
      <c r="AK163" s="864">
        <f>+'P&amp;L'!AK24</f>
        <v>180.31799999999998</v>
      </c>
      <c r="AL163" s="863"/>
      <c r="AM163" s="864">
        <f>+'P&amp;L'!AM24</f>
        <v>48.582000000000008</v>
      </c>
      <c r="AN163" s="864">
        <f>+'P&amp;L'!AN24</f>
        <v>55.58599999999997</v>
      </c>
      <c r="AO163" s="864">
        <f>+'P&amp;L'!AO24</f>
        <v>58.111999999999995</v>
      </c>
      <c r="AP163" s="864">
        <f>+'P&amp;L'!AP24</f>
        <v>65.915999999999997</v>
      </c>
      <c r="AQ163" s="864">
        <f>+'P&amp;L'!AQ24</f>
        <v>228.19600000000003</v>
      </c>
      <c r="AR163" s="863"/>
      <c r="AS163" s="864">
        <f>+'P&amp;L'!AS24</f>
        <v>82.904000000000025</v>
      </c>
      <c r="AT163" s="864">
        <f>+'P&amp;L'!AT24</f>
        <v>83.489000000000004</v>
      </c>
      <c r="AU163" s="864">
        <f>+'P&amp;L'!AU24</f>
        <v>69.055999999999983</v>
      </c>
      <c r="AV163" s="864">
        <f>+'P&amp;L'!AV24</f>
        <v>56.235000000000042</v>
      </c>
      <c r="AW163" s="864">
        <f>+'P&amp;L'!AW24</f>
        <v>291.68399999999997</v>
      </c>
      <c r="AX163" s="863"/>
      <c r="AY163" s="864">
        <f>+'P&amp;L'!AY24</f>
        <v>29.269999999999982</v>
      </c>
      <c r="AZ163" s="864">
        <f>+'P&amp;L'!AZ24</f>
        <v>43.789000000000001</v>
      </c>
      <c r="BA163" s="864">
        <f>+'P&amp;L'!BA24</f>
        <v>46.239000000000004</v>
      </c>
      <c r="BB163" s="864">
        <f>+'P&amp;L'!BB24</f>
        <v>48.173926218980782</v>
      </c>
      <c r="BC163" s="864">
        <f>+'P&amp;L'!BC24</f>
        <v>167.4719262189808</v>
      </c>
      <c r="BD163" s="863"/>
      <c r="BE163" s="864">
        <f>+'P&amp;L'!BE24</f>
        <v>46.431383836686777</v>
      </c>
      <c r="BF163" s="864">
        <f>+'P&amp;L'!BF24</f>
        <v>48.389222028001342</v>
      </c>
      <c r="BG163" s="864">
        <f>+'P&amp;L'!BG24</f>
        <v>45.818020622574977</v>
      </c>
      <c r="BH163" s="864">
        <f>+'P&amp;L'!BH24</f>
        <v>39.000000000000028</v>
      </c>
      <c r="BI163" s="864">
        <f>+'P&amp;L'!BI24</f>
        <v>179.6386264872632</v>
      </c>
      <c r="BJ163" s="863"/>
      <c r="BK163" s="864">
        <f>+'P&amp;L'!BK24</f>
        <v>21.606198515750151</v>
      </c>
      <c r="BL163" s="864">
        <f>+'P&amp;L'!BL24</f>
        <v>23.649352850119357</v>
      </c>
      <c r="BM163" s="864">
        <f>+'P&amp;L'!BM24</f>
        <v>24.011125094416144</v>
      </c>
      <c r="BN163" s="864">
        <f>+'P&amp;L'!BN24</f>
        <v>27.959944350473705</v>
      </c>
      <c r="BO163" s="864">
        <f>+'P&amp;L'!BO24</f>
        <v>97.226620810759471</v>
      </c>
      <c r="BP163" s="863"/>
      <c r="BQ163" s="864">
        <f>+'P&amp;L'!BQ24</f>
        <v>24.673636020087002</v>
      </c>
      <c r="BR163" s="864">
        <f>+'P&amp;L'!BR24</f>
        <v>28.175384650316772</v>
      </c>
      <c r="BS163" s="864">
        <f>+'P&amp;L'!BS24</f>
        <v>25.195119915382492</v>
      </c>
      <c r="BT163" s="864">
        <f>+'P&amp;L'!BT24</f>
        <v>27.123014938294943</v>
      </c>
      <c r="BU163" s="864">
        <f>+'P&amp;L'!BU24</f>
        <v>105.16715552408129</v>
      </c>
      <c r="BV163" s="863"/>
      <c r="BW163" s="864">
        <f>+'P&amp;L'!BW24</f>
        <v>26.14258009217788</v>
      </c>
      <c r="BX163" s="864">
        <f>+'P&amp;L'!BX24</f>
        <v>30.339034553599888</v>
      </c>
      <c r="BY163" s="864">
        <f>+'P&amp;L'!BY24</f>
        <v>29.321135778923562</v>
      </c>
      <c r="BZ163" s="864">
        <f>+'P&amp;L'!BZ24</f>
        <v>32.370647343962503</v>
      </c>
      <c r="CA163" s="864">
        <f>+'P&amp;L'!CA24</f>
        <v>118.17339776866396</v>
      </c>
      <c r="CB163" s="863"/>
      <c r="CC163" s="864">
        <f>+'P&amp;L'!CC24</f>
        <v>29.061162047363666</v>
      </c>
      <c r="CD163" s="864">
        <f>+'P&amp;L'!CD24</f>
        <v>33.636406621096171</v>
      </c>
      <c r="CE163" s="864">
        <f>+'P&amp;L'!CE24</f>
        <v>32.163137509463667</v>
      </c>
      <c r="CF163" s="864">
        <f>+'P&amp;L'!CF24</f>
        <v>35.253474934512298</v>
      </c>
      <c r="CG163" s="864">
        <f>+'P&amp;L'!CG24</f>
        <v>130.11418111243586</v>
      </c>
      <c r="CH163" s="863"/>
      <c r="CI163" s="864">
        <f>+'P&amp;L'!CI24</f>
        <v>32.228970863858535</v>
      </c>
      <c r="CJ163" s="864">
        <f>+'P&amp;L'!CJ24</f>
        <v>37.209387944651809</v>
      </c>
      <c r="CK163" s="864">
        <f>+'P&amp;L'!CK24</f>
        <v>35.249186475186804</v>
      </c>
      <c r="CL163" s="864">
        <f>+'P&amp;L'!CL24</f>
        <v>38.285328979863635</v>
      </c>
      <c r="CM163" s="864">
        <f>+'P&amp;L'!CM24</f>
        <v>142.97287426356093</v>
      </c>
      <c r="CN163" s="863"/>
      <c r="CO163" s="864">
        <f>+'P&amp;L'!CO24</f>
        <v>35.479743065628725</v>
      </c>
      <c r="CP163" s="864">
        <f>+'P&amp;L'!CP24</f>
        <v>41.248558732020484</v>
      </c>
      <c r="CQ163" s="864">
        <f>+'P&amp;L'!CQ24</f>
        <v>38.867220494783425</v>
      </c>
      <c r="CR163" s="864">
        <f>+'P&amp;L'!CR24</f>
        <v>42.212441573028883</v>
      </c>
      <c r="CS163" s="864">
        <f>+'P&amp;L'!CS24</f>
        <v>157.80796386546149</v>
      </c>
      <c r="CY163" s="43"/>
      <c r="CZ163" s="43"/>
    </row>
    <row r="164" spans="1:104" x14ac:dyDescent="0.2">
      <c r="A164" s="862" t="s">
        <v>16</v>
      </c>
      <c r="B164" s="865"/>
      <c r="C164" s="866">
        <f>+'P&amp;L'!C36</f>
        <v>0</v>
      </c>
      <c r="D164" s="866">
        <f>+'P&amp;L'!D36</f>
        <v>0</v>
      </c>
      <c r="E164" s="866">
        <f>+'P&amp;L'!E36</f>
        <v>0</v>
      </c>
      <c r="F164" s="866">
        <f>+'P&amp;L'!F36</f>
        <v>0</v>
      </c>
      <c r="G164" s="866">
        <f>+'P&amp;L'!G36</f>
        <v>0</v>
      </c>
      <c r="H164" s="865"/>
      <c r="I164" s="866">
        <f>+'P&amp;L'!I36</f>
        <v>0</v>
      </c>
      <c r="J164" s="866">
        <f>+'P&amp;L'!J36</f>
        <v>0</v>
      </c>
      <c r="K164" s="866">
        <f>+'P&amp;L'!K36</f>
        <v>0</v>
      </c>
      <c r="L164" s="866">
        <f>+'P&amp;L'!L36</f>
        <v>2.7508822730974582E-2</v>
      </c>
      <c r="M164" s="866">
        <f>+'P&amp;L'!M36</f>
        <v>0.13802497162315586</v>
      </c>
      <c r="N164" s="865"/>
      <c r="O164" s="866">
        <f>+'P&amp;L'!O36</f>
        <v>1.1564187283423318E-2</v>
      </c>
      <c r="P164" s="866">
        <f>+'P&amp;L'!P36</f>
        <v>0</v>
      </c>
      <c r="Q164" s="866">
        <f>+'P&amp;L'!Q36</f>
        <v>-2.4624734760170801E-3</v>
      </c>
      <c r="R164" s="866">
        <f>+'P&amp;L'!R36</f>
        <v>0</v>
      </c>
      <c r="S164" s="866">
        <f>+'P&amp;L'!S36</f>
        <v>1.4144686215160464E-3</v>
      </c>
      <c r="T164" s="865"/>
      <c r="U164" s="866">
        <f>+'P&amp;L'!U36</f>
        <v>3.0818210760904165E-2</v>
      </c>
      <c r="V164" s="866">
        <f>+'P&amp;L'!V36</f>
        <v>2.6968271003604938E-2</v>
      </c>
      <c r="W164" s="866">
        <f>+'P&amp;L'!W36</f>
        <v>3.5643851508120647E-2</v>
      </c>
      <c r="X164" s="866">
        <f>+'P&amp;L'!X36</f>
        <v>-0.37938090920865136</v>
      </c>
      <c r="Y164" s="866">
        <f>+'P&amp;L'!Y36</f>
        <v>-8.1436300893250185E-2</v>
      </c>
      <c r="Z164" s="865"/>
      <c r="AA164" s="866">
        <f>+'P&amp;L'!AA36</f>
        <v>0.3770247111504228</v>
      </c>
      <c r="AB164" s="866">
        <f>+'P&amp;L'!AB36</f>
        <v>0.38057561325344386</v>
      </c>
      <c r="AC164" s="866">
        <f>+'P&amp;L'!AC36</f>
        <v>0.33966723388164116</v>
      </c>
      <c r="AD164" s="866">
        <f>+'P&amp;L'!AD36</f>
        <v>0.38155176098985916</v>
      </c>
      <c r="AE164" s="866">
        <f>+'P&amp;L'!AE36</f>
        <v>0.36918653813630975</v>
      </c>
      <c r="AF164" s="865"/>
      <c r="AG164" s="866">
        <f>+'P&amp;L'!AG36</f>
        <v>0.39961727066140418</v>
      </c>
      <c r="AH164" s="866">
        <f>+'P&amp;L'!AH36</f>
        <v>0.39516491033067563</v>
      </c>
      <c r="AI164" s="866">
        <f>+'P&amp;L'!AI36</f>
        <v>0.37627682652008193</v>
      </c>
      <c r="AJ164" s="866">
        <f>+'P&amp;L'!AJ36</f>
        <v>0.39879515586639436</v>
      </c>
      <c r="AK164" s="866">
        <f>+'P&amp;L'!AK36</f>
        <v>0.39226725913081173</v>
      </c>
      <c r="AL164" s="865"/>
      <c r="AM164" s="866">
        <f>+'P&amp;L'!AM36</f>
        <v>0.39512665087712245</v>
      </c>
      <c r="AN164" s="866">
        <f>+'P&amp;L'!AN36</f>
        <v>0.38517153636922019</v>
      </c>
      <c r="AO164" s="866">
        <f>+'P&amp;L'!AO36</f>
        <v>0.35919912509464125</v>
      </c>
      <c r="AP164" s="866">
        <f>+'P&amp;L'!AP36</f>
        <v>0.3443951924793241</v>
      </c>
      <c r="AQ164" s="866">
        <f>+'P&amp;L'!AQ36</f>
        <v>0.36894247654944956</v>
      </c>
      <c r="AR164" s="865"/>
      <c r="AS164" s="866">
        <f>+'P&amp;L'!AS36</f>
        <v>0.33833967576079294</v>
      </c>
      <c r="AT164" s="866">
        <f>+'P&amp;L'!AT36</f>
        <v>0.3991776354656521</v>
      </c>
      <c r="AU164" s="866">
        <f>+'P&amp;L'!AU36</f>
        <v>0.35029249634379578</v>
      </c>
      <c r="AV164" s="866">
        <f>+'P&amp;L'!AV36</f>
        <v>0.34097767048883498</v>
      </c>
      <c r="AW164" s="866">
        <f>+'P&amp;L'!AW36</f>
        <v>0.35911473382199383</v>
      </c>
      <c r="AX164" s="865"/>
      <c r="AY164" s="866">
        <f>+'P&amp;L'!AY36</f>
        <v>0.33855681390495107</v>
      </c>
      <c r="AZ164" s="866">
        <f>+'P&amp;L'!AZ36</f>
        <v>0.34128715270892546</v>
      </c>
      <c r="BA164" s="866">
        <f>+'P&amp;L'!BA36</f>
        <v>0.36478888527081293</v>
      </c>
      <c r="BB164" s="866">
        <f>+'P&amp;L'!BB36</f>
        <v>0.38514732734463009</v>
      </c>
      <c r="BC164" s="866">
        <f>+'P&amp;L'!BC36</f>
        <v>0.35967911843358052</v>
      </c>
      <c r="BD164" s="865"/>
      <c r="BE164" s="866">
        <f>+'P&amp;L'!BE36</f>
        <v>0.36241686627159647</v>
      </c>
      <c r="BF164" s="866">
        <f>+'P&amp;L'!BF36</f>
        <v>0.30504746458571713</v>
      </c>
      <c r="BG164" s="866">
        <f>+'P&amp;L'!BG36</f>
        <v>0.35623283936183686</v>
      </c>
      <c r="BH164" s="866">
        <f>+'P&amp;L'!BH36</f>
        <v>0.34975369458128058</v>
      </c>
      <c r="BI164" s="866">
        <f>+'P&amp;L'!BI36</f>
        <v>0.34279999361812152</v>
      </c>
      <c r="BJ164" s="865"/>
      <c r="BK164" s="866">
        <f>+'P&amp;L'!BK36</f>
        <v>0.17520175305021979</v>
      </c>
      <c r="BL164" s="866">
        <f>+'P&amp;L'!BL36</f>
        <v>0.20768101132016656</v>
      </c>
      <c r="BM164" s="866">
        <f>+'P&amp;L'!BM36</f>
        <v>0.25195029046406664</v>
      </c>
      <c r="BN164" s="866">
        <f>+'P&amp;L'!BN36</f>
        <v>0.2373892140429269</v>
      </c>
      <c r="BO164" s="866">
        <f>+'P&amp;L'!BO36</f>
        <v>0.22107998566924264</v>
      </c>
      <c r="BP164" s="865"/>
      <c r="BQ164" s="866">
        <f>+'P&amp;L'!BQ36</f>
        <v>0.23875709570188994</v>
      </c>
      <c r="BR164" s="866">
        <f>+'P&amp;L'!BR36</f>
        <v>0.18926031668641444</v>
      </c>
      <c r="BS164" s="866">
        <f>+'P&amp;L'!BS36</f>
        <v>0.19</v>
      </c>
      <c r="BT164" s="866">
        <f>+'P&amp;L'!BT36</f>
        <v>0.19</v>
      </c>
      <c r="BU164" s="866">
        <f>+'P&amp;L'!BU36</f>
        <v>0.20105566185201401</v>
      </c>
      <c r="BV164" s="865"/>
      <c r="BW164" s="866">
        <f>+'P&amp;L'!BW36</f>
        <v>0.17</v>
      </c>
      <c r="BX164" s="866">
        <f>+'P&amp;L'!BX36</f>
        <v>0.17</v>
      </c>
      <c r="BY164" s="866">
        <f>+'P&amp;L'!BY36</f>
        <v>0.17</v>
      </c>
      <c r="BZ164" s="866">
        <f>+'P&amp;L'!BZ36</f>
        <v>0.17</v>
      </c>
      <c r="CA164" s="866">
        <f>+'P&amp;L'!CA36</f>
        <v>0.16999999999999985</v>
      </c>
      <c r="CB164" s="865"/>
      <c r="CC164" s="866">
        <f>+'P&amp;L'!CC36</f>
        <v>0.19</v>
      </c>
      <c r="CD164" s="866">
        <f>+'P&amp;L'!CD36</f>
        <v>0.19</v>
      </c>
      <c r="CE164" s="866">
        <f>+'P&amp;L'!CE36</f>
        <v>0.19</v>
      </c>
      <c r="CF164" s="866">
        <f>+'P&amp;L'!CF36</f>
        <v>0.19</v>
      </c>
      <c r="CG164" s="866">
        <f>+'P&amp;L'!CG36</f>
        <v>0.18999999999999995</v>
      </c>
      <c r="CH164" s="865"/>
      <c r="CI164" s="866">
        <f>+'P&amp;L'!CI36</f>
        <v>0.21</v>
      </c>
      <c r="CJ164" s="866">
        <f>+'P&amp;L'!CJ36</f>
        <v>0.21</v>
      </c>
      <c r="CK164" s="866">
        <f>+'P&amp;L'!CK36</f>
        <v>0.21</v>
      </c>
      <c r="CL164" s="866">
        <f>+'P&amp;L'!CL36</f>
        <v>0.21</v>
      </c>
      <c r="CM164" s="866">
        <f>+'P&amp;L'!CM36</f>
        <v>0.2099999999999998</v>
      </c>
      <c r="CN164" s="865"/>
      <c r="CO164" s="866">
        <f>+'P&amp;L'!CO36</f>
        <v>0.23</v>
      </c>
      <c r="CP164" s="866">
        <f>+'P&amp;L'!CP36</f>
        <v>0.23</v>
      </c>
      <c r="CQ164" s="866">
        <f>+'P&amp;L'!CQ36</f>
        <v>0.23</v>
      </c>
      <c r="CR164" s="866">
        <f>+'P&amp;L'!CR36</f>
        <v>0.23</v>
      </c>
      <c r="CS164" s="866">
        <f>+'P&amp;L'!CS36</f>
        <v>0.23000000000000004</v>
      </c>
      <c r="CY164" s="43"/>
      <c r="CZ164" s="43"/>
    </row>
    <row r="165" spans="1:104" x14ac:dyDescent="0.2">
      <c r="A165" s="862" t="s">
        <v>385</v>
      </c>
      <c r="B165" s="865"/>
      <c r="C165" s="867">
        <f>C163*C164</f>
        <v>0</v>
      </c>
      <c r="D165" s="868">
        <f t="shared" ref="D165:G165" si="315">D163*D164</f>
        <v>0</v>
      </c>
      <c r="E165" s="868">
        <f t="shared" si="315"/>
        <v>0</v>
      </c>
      <c r="F165" s="868">
        <f t="shared" si="315"/>
        <v>0</v>
      </c>
      <c r="G165" s="869">
        <f t="shared" si="315"/>
        <v>0</v>
      </c>
      <c r="H165" s="865"/>
      <c r="I165" s="867">
        <f t="shared" ref="I165:M165" si="316">I163*I164</f>
        <v>0</v>
      </c>
      <c r="J165" s="868">
        <f t="shared" si="316"/>
        <v>0</v>
      </c>
      <c r="K165" s="868">
        <f t="shared" si="316"/>
        <v>0</v>
      </c>
      <c r="L165" s="868">
        <f t="shared" si="316"/>
        <v>0.52726160528458965</v>
      </c>
      <c r="M165" s="869">
        <f t="shared" si="316"/>
        <v>-1.2376699205448403</v>
      </c>
      <c r="N165" s="865"/>
      <c r="O165" s="867">
        <f t="shared" ref="O165:S165" si="317">O163*O164</f>
        <v>0.27047477637198802</v>
      </c>
      <c r="P165" s="868">
        <f t="shared" si="317"/>
        <v>0</v>
      </c>
      <c r="Q165" s="868">
        <f t="shared" si="317"/>
        <v>-8.6826814764362256E-2</v>
      </c>
      <c r="R165" s="868">
        <f t="shared" si="317"/>
        <v>0</v>
      </c>
      <c r="S165" s="869">
        <f t="shared" si="317"/>
        <v>0.17887653081416224</v>
      </c>
      <c r="T165" s="865"/>
      <c r="U165" s="867">
        <f t="shared" ref="U165:Y165" si="318">U163*U164</f>
        <v>0.91567067812798464</v>
      </c>
      <c r="V165" s="868">
        <f t="shared" si="318"/>
        <v>0.93099865158644979</v>
      </c>
      <c r="W165" s="868">
        <f t="shared" si="318"/>
        <v>1.1842669663573084</v>
      </c>
      <c r="X165" s="868">
        <f t="shared" si="318"/>
        <v>-14.270792280792646</v>
      </c>
      <c r="Y165" s="869">
        <f t="shared" si="318"/>
        <v>-11.000008343155773</v>
      </c>
      <c r="Z165" s="865"/>
      <c r="AA165" s="867">
        <f t="shared" ref="AA165:AE165" si="319">AA163*AA164</f>
        <v>13.4186864945547</v>
      </c>
      <c r="AB165" s="868">
        <f t="shared" si="319"/>
        <v>14.684890612997387</v>
      </c>
      <c r="AC165" s="868">
        <f t="shared" si="319"/>
        <v>14.206242389865759</v>
      </c>
      <c r="AD165" s="868">
        <f t="shared" si="319"/>
        <v>15.940087918873346</v>
      </c>
      <c r="AE165" s="869">
        <f t="shared" si="319"/>
        <v>58.2495136140707</v>
      </c>
      <c r="AF165" s="865"/>
      <c r="AG165" s="867">
        <f t="shared" ref="AG165:AK165" si="320">AG163*AG164</f>
        <v>16.572927448869752</v>
      </c>
      <c r="AH165" s="868">
        <f t="shared" si="320"/>
        <v>17.96617264818417</v>
      </c>
      <c r="AI165" s="868">
        <f t="shared" si="320"/>
        <v>17.344856595269686</v>
      </c>
      <c r="AJ165" s="868">
        <f t="shared" si="320"/>
        <v>18.857028945142456</v>
      </c>
      <c r="AK165" s="869">
        <f t="shared" si="320"/>
        <v>70.73284763194971</v>
      </c>
      <c r="AL165" s="865"/>
      <c r="AM165" s="867">
        <f t="shared" ref="AM165:AQ165" si="321">AM163*AM164</f>
        <v>19.196042952912364</v>
      </c>
      <c r="AN165" s="868">
        <f t="shared" si="321"/>
        <v>21.410145020619463</v>
      </c>
      <c r="AO165" s="868">
        <f t="shared" si="321"/>
        <v>20.873779557499791</v>
      </c>
      <c r="AP165" s="868">
        <f t="shared" si="321"/>
        <v>22.701153507467126</v>
      </c>
      <c r="AQ165" s="869">
        <f t="shared" si="321"/>
        <v>84.191197378678197</v>
      </c>
      <c r="AR165" s="865"/>
      <c r="AS165" s="867">
        <f t="shared" ref="AS165:AW165" si="322">AS163*AS164</f>
        <v>28.049712479272785</v>
      </c>
      <c r="AT165" s="868">
        <f t="shared" si="322"/>
        <v>33.326941607391831</v>
      </c>
      <c r="AU165" s="868">
        <f t="shared" si="322"/>
        <v>24.189798627517156</v>
      </c>
      <c r="AV165" s="868">
        <f t="shared" si="322"/>
        <v>19.174879299939651</v>
      </c>
      <c r="AW165" s="869">
        <f t="shared" si="322"/>
        <v>104.74802202013444</v>
      </c>
      <c r="AX165" s="865"/>
      <c r="AY165" s="867">
        <f t="shared" ref="AY165:BC165" si="323">AY163*AY164</f>
        <v>9.9095579429979121</v>
      </c>
      <c r="AZ165" s="868">
        <f t="shared" si="323"/>
        <v>14.944623129971138</v>
      </c>
      <c r="BA165" s="868">
        <f t="shared" si="323"/>
        <v>16.86747326603712</v>
      </c>
      <c r="BB165" s="868">
        <f t="shared" si="323"/>
        <v>18.554058930937849</v>
      </c>
      <c r="BC165" s="869">
        <f t="shared" si="323"/>
        <v>60.236154784816655</v>
      </c>
      <c r="BD165" s="865"/>
      <c r="BE165" s="867">
        <f t="shared" ref="BE165:BI165" si="324">BE163*BE164</f>
        <v>16.827516626745677</v>
      </c>
      <c r="BF165" s="868">
        <f t="shared" si="324"/>
        <v>14.761009492917143</v>
      </c>
      <c r="BG165" s="868">
        <f t="shared" si="324"/>
        <v>16.321883580319081</v>
      </c>
      <c r="BH165" s="868">
        <f t="shared" si="324"/>
        <v>13.640394088669952</v>
      </c>
      <c r="BI165" s="869">
        <f t="shared" si="324"/>
        <v>61.580120013401938</v>
      </c>
      <c r="BJ165" s="865"/>
      <c r="BK165" s="867">
        <f t="shared" ref="BK165:BO165" si="325">BK163*BK164</f>
        <v>3.7854438567104833</v>
      </c>
      <c r="BL165" s="868">
        <f t="shared" si="325"/>
        <v>4.9115215169802511</v>
      </c>
      <c r="BM165" s="868">
        <f t="shared" si="325"/>
        <v>6.0496099419071871</v>
      </c>
      <c r="BN165" s="868">
        <f t="shared" si="325"/>
        <v>6.6373892140429271</v>
      </c>
      <c r="BO165" s="869">
        <f t="shared" si="325"/>
        <v>21.494859935511592</v>
      </c>
      <c r="BP165" s="865"/>
      <c r="BQ165" s="867">
        <f t="shared" ref="BQ165:BU165" si="326">BQ163*BQ164</f>
        <v>5.8910056765615115</v>
      </c>
      <c r="BR165" s="868">
        <f t="shared" si="326"/>
        <v>5.3324822216804924</v>
      </c>
      <c r="BS165" s="868">
        <f t="shared" si="326"/>
        <v>4.7870727839226737</v>
      </c>
      <c r="BT165" s="868">
        <f t="shared" si="326"/>
        <v>5.1533728382760398</v>
      </c>
      <c r="BU165" s="869">
        <f t="shared" si="326"/>
        <v>21.144452058987856</v>
      </c>
      <c r="BV165" s="865"/>
      <c r="BW165" s="867">
        <f t="shared" ref="BW165:CA165" si="327">BW163*BW164</f>
        <v>4.4442386156702396</v>
      </c>
      <c r="BX165" s="868">
        <f t="shared" si="327"/>
        <v>5.157635874111981</v>
      </c>
      <c r="BY165" s="868">
        <f t="shared" si="327"/>
        <v>4.9845930824170059</v>
      </c>
      <c r="BZ165" s="868">
        <f t="shared" si="327"/>
        <v>5.5030100484736257</v>
      </c>
      <c r="CA165" s="869">
        <f t="shared" si="327"/>
        <v>20.089477620672856</v>
      </c>
      <c r="CB165" s="865"/>
      <c r="CC165" s="867">
        <f t="shared" ref="CC165:CG165" si="328">CC163*CC164</f>
        <v>5.5216207889990967</v>
      </c>
      <c r="CD165" s="868">
        <f t="shared" si="328"/>
        <v>6.3909172580082725</v>
      </c>
      <c r="CE165" s="868">
        <f t="shared" si="328"/>
        <v>6.1109961267980966</v>
      </c>
      <c r="CF165" s="868">
        <f t="shared" si="328"/>
        <v>6.698160237557337</v>
      </c>
      <c r="CG165" s="869">
        <f t="shared" si="328"/>
        <v>24.721694411362805</v>
      </c>
      <c r="CH165" s="865"/>
      <c r="CI165" s="867">
        <f t="shared" ref="CI165:CM165" si="329">CI163*CI164</f>
        <v>6.7680838814102922</v>
      </c>
      <c r="CJ165" s="868">
        <f t="shared" si="329"/>
        <v>7.8139714683768799</v>
      </c>
      <c r="CK165" s="868">
        <f t="shared" si="329"/>
        <v>7.4023291597892289</v>
      </c>
      <c r="CL165" s="868">
        <f t="shared" si="329"/>
        <v>8.0399190857713627</v>
      </c>
      <c r="CM165" s="869">
        <f t="shared" si="329"/>
        <v>30.024303595347764</v>
      </c>
      <c r="CN165" s="865"/>
      <c r="CO165" s="867">
        <f t="shared" ref="CO165:CS165" si="330">CO163*CO164</f>
        <v>8.160340905094607</v>
      </c>
      <c r="CP165" s="868">
        <f t="shared" si="330"/>
        <v>9.4871685083647126</v>
      </c>
      <c r="CQ165" s="868">
        <f t="shared" si="330"/>
        <v>8.9394607138001874</v>
      </c>
      <c r="CR165" s="868">
        <f t="shared" si="330"/>
        <v>9.7088615617966436</v>
      </c>
      <c r="CS165" s="869">
        <f t="shared" si="330"/>
        <v>36.295831689056151</v>
      </c>
      <c r="CY165" s="43"/>
      <c r="CZ165" s="43"/>
    </row>
    <row r="166" spans="1:104" x14ac:dyDescent="0.2">
      <c r="A166" s="870" t="s">
        <v>386</v>
      </c>
      <c r="B166" s="871"/>
      <c r="C166" s="872">
        <f>C163-C165</f>
        <v>-15.000000000000004</v>
      </c>
      <c r="D166" s="873">
        <f t="shared" ref="D166:G166" si="331">D163-D165</f>
        <v>-11.369000000000003</v>
      </c>
      <c r="E166" s="873">
        <f t="shared" si="331"/>
        <v>-9.0919999999999987</v>
      </c>
      <c r="F166" s="873">
        <f t="shared" si="331"/>
        <v>-12.265999999999991</v>
      </c>
      <c r="G166" s="874">
        <f t="shared" si="331"/>
        <v>-47.727000000000018</v>
      </c>
      <c r="H166" s="871"/>
      <c r="I166" s="872">
        <f t="shared" ref="I166:M166" si="332">I163-I165</f>
        <v>-11.582000000000001</v>
      </c>
      <c r="J166" s="873">
        <f t="shared" si="332"/>
        <v>-8.7359999999999971</v>
      </c>
      <c r="K166" s="873">
        <f t="shared" si="332"/>
        <v>-7.8159999999999954</v>
      </c>
      <c r="L166" s="873">
        <f t="shared" si="332"/>
        <v>18.639738394715405</v>
      </c>
      <c r="M166" s="874">
        <f t="shared" si="332"/>
        <v>-7.7293300794551723</v>
      </c>
      <c r="N166" s="871"/>
      <c r="O166" s="872">
        <f t="shared" ref="O166:S166" si="333">O163-O165</f>
        <v>23.118525223628016</v>
      </c>
      <c r="P166" s="873">
        <f t="shared" si="333"/>
        <v>33.316999999999993</v>
      </c>
      <c r="Q166" s="873">
        <f t="shared" si="333"/>
        <v>35.34682681476437</v>
      </c>
      <c r="R166" s="873">
        <f t="shared" si="333"/>
        <v>34.495999999999988</v>
      </c>
      <c r="S166" s="874">
        <f t="shared" si="333"/>
        <v>126.28312346918582</v>
      </c>
      <c r="T166" s="871"/>
      <c r="U166" s="872">
        <f t="shared" ref="U166:Y166" si="334">U163-U165</f>
        <v>28.796329321872019</v>
      </c>
      <c r="V166" s="873">
        <f t="shared" si="334"/>
        <v>33.591001348413556</v>
      </c>
      <c r="W166" s="873">
        <f t="shared" si="334"/>
        <v>32.040733033642695</v>
      </c>
      <c r="X166" s="873">
        <f t="shared" si="334"/>
        <v>51.88679228079269</v>
      </c>
      <c r="Y166" s="874">
        <f t="shared" si="334"/>
        <v>146.07500834315582</v>
      </c>
      <c r="Z166" s="871"/>
      <c r="AA166" s="872">
        <f t="shared" ref="AA166:AE166" si="335">AA163-AA165</f>
        <v>22.17231350544531</v>
      </c>
      <c r="AB166" s="873">
        <f t="shared" si="335"/>
        <v>23.90110938700262</v>
      </c>
      <c r="AC166" s="873">
        <f t="shared" si="335"/>
        <v>27.617757610134241</v>
      </c>
      <c r="AD166" s="873">
        <f t="shared" si="335"/>
        <v>25.836912081126655</v>
      </c>
      <c r="AE166" s="874">
        <f t="shared" si="335"/>
        <v>99.528486385929341</v>
      </c>
      <c r="AF166" s="871"/>
      <c r="AG166" s="872">
        <f t="shared" ref="AG166:AK166" si="336">AG163-AG165</f>
        <v>24.899072551130242</v>
      </c>
      <c r="AH166" s="873">
        <f t="shared" si="336"/>
        <v>27.498827351815834</v>
      </c>
      <c r="AI166" s="873">
        <f t="shared" si="336"/>
        <v>28.751143404730289</v>
      </c>
      <c r="AJ166" s="873">
        <f t="shared" si="336"/>
        <v>28.42797105485754</v>
      </c>
      <c r="AK166" s="874">
        <f t="shared" si="336"/>
        <v>109.58515236805027</v>
      </c>
      <c r="AL166" s="871"/>
      <c r="AM166" s="872">
        <f t="shared" ref="AM166:AQ166" si="337">AM163-AM165</f>
        <v>29.385957047087643</v>
      </c>
      <c r="AN166" s="873">
        <f t="shared" si="337"/>
        <v>34.175854979380503</v>
      </c>
      <c r="AO166" s="873">
        <f t="shared" si="337"/>
        <v>37.238220442500207</v>
      </c>
      <c r="AP166" s="873">
        <f t="shared" si="337"/>
        <v>43.214846492532871</v>
      </c>
      <c r="AQ166" s="874">
        <f t="shared" si="337"/>
        <v>144.00480262132183</v>
      </c>
      <c r="AR166" s="871"/>
      <c r="AS166" s="872">
        <f t="shared" ref="AS166:AW166" si="338">AS163-AS165</f>
        <v>54.85428752072724</v>
      </c>
      <c r="AT166" s="873">
        <f t="shared" si="338"/>
        <v>50.162058392608174</v>
      </c>
      <c r="AU166" s="873">
        <f t="shared" si="338"/>
        <v>44.866201372482827</v>
      </c>
      <c r="AV166" s="873">
        <f t="shared" si="338"/>
        <v>37.060120700060395</v>
      </c>
      <c r="AW166" s="874">
        <f t="shared" si="338"/>
        <v>186.93597797986553</v>
      </c>
      <c r="AX166" s="871"/>
      <c r="AY166" s="872">
        <f t="shared" ref="AY166:BC166" si="339">AY163-AY165</f>
        <v>19.360442057002068</v>
      </c>
      <c r="AZ166" s="873">
        <f t="shared" si="339"/>
        <v>28.844376870028864</v>
      </c>
      <c r="BA166" s="873">
        <f t="shared" si="339"/>
        <v>29.371526733962884</v>
      </c>
      <c r="BB166" s="873">
        <f t="shared" si="339"/>
        <v>29.619867288042933</v>
      </c>
      <c r="BC166" s="874">
        <f t="shared" si="339"/>
        <v>107.23577143416415</v>
      </c>
      <c r="BD166" s="871"/>
      <c r="BE166" s="872">
        <f t="shared" ref="BE166:BI166" si="340">BE163-BE165</f>
        <v>29.6038672099411</v>
      </c>
      <c r="BF166" s="873">
        <f t="shared" si="340"/>
        <v>33.628212535084202</v>
      </c>
      <c r="BG166" s="873">
        <f t="shared" si="340"/>
        <v>29.496137042255896</v>
      </c>
      <c r="BH166" s="873">
        <f t="shared" si="340"/>
        <v>25.359605911330078</v>
      </c>
      <c r="BI166" s="874">
        <f t="shared" si="340"/>
        <v>118.05850647386126</v>
      </c>
      <c r="BJ166" s="871"/>
      <c r="BK166" s="872">
        <f t="shared" ref="BK166:BO166" si="341">BK163-BK165</f>
        <v>17.820754659039668</v>
      </c>
      <c r="BL166" s="873">
        <f t="shared" si="341"/>
        <v>18.737831333139106</v>
      </c>
      <c r="BM166" s="873">
        <f t="shared" si="341"/>
        <v>17.961515152508959</v>
      </c>
      <c r="BN166" s="873">
        <f t="shared" si="341"/>
        <v>21.322555136430779</v>
      </c>
      <c r="BO166" s="874">
        <f t="shared" si="341"/>
        <v>75.731760875247886</v>
      </c>
      <c r="BP166" s="871"/>
      <c r="BQ166" s="872">
        <f t="shared" ref="BQ166:BU166" si="342">BQ163-BQ165</f>
        <v>18.78263034352549</v>
      </c>
      <c r="BR166" s="873">
        <f t="shared" si="342"/>
        <v>22.842902428636279</v>
      </c>
      <c r="BS166" s="873">
        <f t="shared" si="342"/>
        <v>20.408047131459817</v>
      </c>
      <c r="BT166" s="873">
        <f t="shared" si="342"/>
        <v>21.969642100018902</v>
      </c>
      <c r="BU166" s="874">
        <f t="shared" si="342"/>
        <v>84.022703465093443</v>
      </c>
      <c r="BV166" s="871"/>
      <c r="BW166" s="872">
        <f t="shared" ref="BW166:CA166" si="343">BW163-BW165</f>
        <v>21.69834147650764</v>
      </c>
      <c r="BX166" s="873">
        <f t="shared" si="343"/>
        <v>25.181398679487906</v>
      </c>
      <c r="BY166" s="873">
        <f t="shared" si="343"/>
        <v>24.336542696506555</v>
      </c>
      <c r="BZ166" s="873">
        <f t="shared" si="343"/>
        <v>26.867637295488876</v>
      </c>
      <c r="CA166" s="874">
        <f t="shared" si="343"/>
        <v>98.083920147991108</v>
      </c>
      <c r="CB166" s="871"/>
      <c r="CC166" s="872">
        <f t="shared" ref="CC166:CG166" si="344">CC163-CC165</f>
        <v>23.539541258364569</v>
      </c>
      <c r="CD166" s="873">
        <f t="shared" si="344"/>
        <v>27.245489363087898</v>
      </c>
      <c r="CE166" s="873">
        <f t="shared" si="344"/>
        <v>26.052141382665571</v>
      </c>
      <c r="CF166" s="873">
        <f t="shared" si="344"/>
        <v>28.555314696954959</v>
      </c>
      <c r="CG166" s="874">
        <f t="shared" si="344"/>
        <v>105.39248670107305</v>
      </c>
      <c r="CH166" s="871"/>
      <c r="CI166" s="872">
        <f t="shared" ref="CI166:CM166" si="345">CI163-CI165</f>
        <v>25.460886982448244</v>
      </c>
      <c r="CJ166" s="873">
        <f t="shared" si="345"/>
        <v>29.395416476274928</v>
      </c>
      <c r="CK166" s="873">
        <f t="shared" si="345"/>
        <v>27.846857315397575</v>
      </c>
      <c r="CL166" s="873">
        <f t="shared" si="345"/>
        <v>30.245409894092273</v>
      </c>
      <c r="CM166" s="874">
        <f t="shared" si="345"/>
        <v>112.94857066821316</v>
      </c>
      <c r="CN166" s="871"/>
      <c r="CO166" s="872">
        <f t="shared" ref="CO166:CS166" si="346">CO163-CO165</f>
        <v>27.319402160534118</v>
      </c>
      <c r="CP166" s="873">
        <f t="shared" si="346"/>
        <v>31.761390223655773</v>
      </c>
      <c r="CQ166" s="873">
        <f t="shared" si="346"/>
        <v>29.927759780983237</v>
      </c>
      <c r="CR166" s="873">
        <f t="shared" si="346"/>
        <v>32.503580011232238</v>
      </c>
      <c r="CS166" s="874">
        <f t="shared" si="346"/>
        <v>121.51213217640534</v>
      </c>
      <c r="CY166" s="43"/>
      <c r="CZ166" s="43"/>
    </row>
    <row r="167" spans="1:104" x14ac:dyDescent="0.2">
      <c r="A167" s="870" t="s">
        <v>387</v>
      </c>
      <c r="B167" s="875"/>
      <c r="C167" s="876">
        <f>C166/C162</f>
        <v>-0.44718719255880524</v>
      </c>
      <c r="D167" s="877">
        <f t="shared" ref="D167:G167" si="347">D166/D162</f>
        <v>-0.30615322472061407</v>
      </c>
      <c r="E167" s="877">
        <f t="shared" si="347"/>
        <v>-0.22191847693434219</v>
      </c>
      <c r="F167" s="877">
        <f t="shared" si="347"/>
        <v>-0.26971282818065856</v>
      </c>
      <c r="G167" s="871">
        <f t="shared" si="347"/>
        <v>-0.30374985680282079</v>
      </c>
      <c r="H167" s="875"/>
      <c r="I167" s="876">
        <f t="shared" ref="I167:M167" si="348">I166/I162</f>
        <v>-0.23996187792649071</v>
      </c>
      <c r="J167" s="877">
        <f t="shared" si="348"/>
        <v>-0.15396002960769795</v>
      </c>
      <c r="K167" s="877">
        <f t="shared" si="348"/>
        <v>-0.126544159313527</v>
      </c>
      <c r="L167" s="877">
        <f t="shared" si="348"/>
        <v>0.28819286920924281</v>
      </c>
      <c r="M167" s="871">
        <f t="shared" si="348"/>
        <v>-3.3395103410463436E-2</v>
      </c>
      <c r="N167" s="875"/>
      <c r="O167" s="876">
        <f t="shared" ref="O167:S167" si="349">O166/O162</f>
        <v>0.33042986098231991</v>
      </c>
      <c r="P167" s="877">
        <f t="shared" si="349"/>
        <v>0.39685772822565268</v>
      </c>
      <c r="Q167" s="877">
        <f t="shared" si="349"/>
        <v>0.40848744166558076</v>
      </c>
      <c r="R167" s="877">
        <f t="shared" si="349"/>
        <v>0.40074814995527352</v>
      </c>
      <c r="S167" s="871">
        <f t="shared" si="349"/>
        <v>0.38674634400581215</v>
      </c>
      <c r="T167" s="875"/>
      <c r="U167" s="876">
        <f t="shared" ref="U167:Y167" si="350">U166/U162</f>
        <v>0.33829479243758392</v>
      </c>
      <c r="V167" s="877">
        <f t="shared" si="350"/>
        <v>0.36209685827455107</v>
      </c>
      <c r="W167" s="877">
        <f t="shared" si="350"/>
        <v>0.35275496018543095</v>
      </c>
      <c r="X167" s="877">
        <f t="shared" si="350"/>
        <v>0.55241027468691628</v>
      </c>
      <c r="Y167" s="871">
        <f t="shared" si="350"/>
        <v>0.40280108629623163</v>
      </c>
      <c r="Z167" s="875"/>
      <c r="AA167" s="876">
        <f t="shared" ref="AA167:AE167" si="351">AA166/AA162</f>
        <v>0.2413759662244476</v>
      </c>
      <c r="AB167" s="877">
        <f t="shared" si="351"/>
        <v>0.23796405204104559</v>
      </c>
      <c r="AC167" s="877">
        <f t="shared" si="351"/>
        <v>0.26977316125319167</v>
      </c>
      <c r="AD167" s="877">
        <f t="shared" si="351"/>
        <v>0.24054027558491281</v>
      </c>
      <c r="AE167" s="871">
        <f t="shared" si="351"/>
        <v>0.24753157645151094</v>
      </c>
      <c r="AF167" s="875"/>
      <c r="AG167" s="876">
        <f t="shared" ref="AG167:AK167" si="352">AG166/AG162</f>
        <v>0.22542889717823347</v>
      </c>
      <c r="AH167" s="877">
        <f t="shared" si="352"/>
        <v>0.22391176158337472</v>
      </c>
      <c r="AI167" s="877">
        <f t="shared" si="352"/>
        <v>0.22154267246684922</v>
      </c>
      <c r="AJ167" s="877">
        <f t="shared" si="352"/>
        <v>0.21380040653448307</v>
      </c>
      <c r="AK167" s="871">
        <f t="shared" si="352"/>
        <v>0.22093558002046407</v>
      </c>
      <c r="AL167" s="875"/>
      <c r="AM167" s="876">
        <f t="shared" ref="AM167:AQ167" si="353">AM166/AM162</f>
        <v>0.22022345411758087</v>
      </c>
      <c r="AN167" s="877">
        <f t="shared" si="353"/>
        <v>0.2291528428280844</v>
      </c>
      <c r="AO167" s="877">
        <f t="shared" si="353"/>
        <v>0.23798647964172634</v>
      </c>
      <c r="AP167" s="877">
        <f t="shared" si="353"/>
        <v>0.24819572292341235</v>
      </c>
      <c r="AQ167" s="871">
        <f t="shared" si="353"/>
        <v>0.23485489651451377</v>
      </c>
      <c r="AR167" s="875"/>
      <c r="AS167" s="876">
        <f t="shared" ref="AS167:AW167" si="354">AS166/AS162</f>
        <v>0.27092952195037828</v>
      </c>
      <c r="AT167" s="877">
        <f t="shared" si="354"/>
        <v>0.24582014305894428</v>
      </c>
      <c r="AU167" s="877">
        <f t="shared" si="354"/>
        <v>0.24527236104875699</v>
      </c>
      <c r="AV167" s="877">
        <f t="shared" si="354"/>
        <v>0.19632940799438664</v>
      </c>
      <c r="AW167" s="871">
        <f t="shared" si="354"/>
        <v>0.24021091570960443</v>
      </c>
      <c r="AX167" s="875"/>
      <c r="AY167" s="876">
        <f t="shared" ref="AY167:BC167" si="355">AY166/AY162</f>
        <v>0.11466942706280063</v>
      </c>
      <c r="AZ167" s="877">
        <f t="shared" si="355"/>
        <v>0.15642880624551292</v>
      </c>
      <c r="BA167" s="877">
        <f t="shared" si="355"/>
        <v>0.1631887475843147</v>
      </c>
      <c r="BB167" s="877">
        <f t="shared" si="355"/>
        <v>0.15599754994207296</v>
      </c>
      <c r="BC167" s="871">
        <f t="shared" si="355"/>
        <v>0.14830232844927954</v>
      </c>
      <c r="BD167" s="875"/>
      <c r="BE167" s="876">
        <f t="shared" ref="BE167:BI167" si="356">BE166/BE162</f>
        <v>0.16130138939225647</v>
      </c>
      <c r="BF167" s="877">
        <f t="shared" si="356"/>
        <v>0.17397872567469161</v>
      </c>
      <c r="BG167" s="877">
        <f t="shared" si="356"/>
        <v>0.15482071956168972</v>
      </c>
      <c r="BH167" s="877">
        <f t="shared" si="356"/>
        <v>0.13597643920284222</v>
      </c>
      <c r="BI167" s="871">
        <f t="shared" si="356"/>
        <v>0.15660978666480679</v>
      </c>
      <c r="BJ167" s="875"/>
      <c r="BK167" s="876">
        <f t="shared" ref="BK167:BO167" si="357">BK166/BK162</f>
        <v>0.10039511187807015</v>
      </c>
      <c r="BL167" s="877">
        <f t="shared" si="357"/>
        <v>9.5333976232563955E-2</v>
      </c>
      <c r="BM167" s="877">
        <f t="shared" si="357"/>
        <v>9.1216355317134387E-2</v>
      </c>
      <c r="BN167" s="877">
        <f t="shared" si="357"/>
        <v>0.10636815851425926</v>
      </c>
      <c r="BO167" s="871">
        <f t="shared" si="357"/>
        <v>9.8171049367799607E-2</v>
      </c>
      <c r="BP167" s="875"/>
      <c r="BQ167" s="876">
        <f t="shared" ref="BQ167:BU167" si="358">BQ166/BQ162</f>
        <v>9.8765689801196127E-2</v>
      </c>
      <c r="BR167" s="877">
        <f t="shared" si="358"/>
        <v>0.11776186174248668</v>
      </c>
      <c r="BS167" s="877">
        <f t="shared" si="358"/>
        <v>0.10749060483670189</v>
      </c>
      <c r="BT167" s="877">
        <f t="shared" si="358"/>
        <v>0.11141070318501806</v>
      </c>
      <c r="BU167" s="871">
        <f t="shared" si="358"/>
        <v>0.10895017872714734</v>
      </c>
      <c r="BV167" s="875"/>
      <c r="BW167" s="876">
        <f t="shared" ref="BW167:CA167" si="359">BW166/BW162</f>
        <v>0.11395310496727529</v>
      </c>
      <c r="BX167" s="877">
        <f t="shared" si="359"/>
        <v>0.12602626845577958</v>
      </c>
      <c r="BY167" s="877">
        <f t="shared" si="359"/>
        <v>0.12242499187399986</v>
      </c>
      <c r="BZ167" s="877">
        <f t="shared" si="359"/>
        <v>0.12878171378557196</v>
      </c>
      <c r="CA167" s="871">
        <f t="shared" si="359"/>
        <v>0.12296734113515941</v>
      </c>
      <c r="CB167" s="875"/>
      <c r="CC167" s="876">
        <f t="shared" ref="CC167:CG167" si="360">CC166/CC162</f>
        <v>0.1179843074835317</v>
      </c>
      <c r="CD167" s="877">
        <f t="shared" si="360"/>
        <v>0.12872570275648526</v>
      </c>
      <c r="CE167" s="877">
        <f t="shared" si="360"/>
        <v>0.12364090509566794</v>
      </c>
      <c r="CF167" s="877">
        <f t="shared" si="360"/>
        <v>0.12858666260092191</v>
      </c>
      <c r="CG167" s="871">
        <f t="shared" si="360"/>
        <v>0.12488027101994627</v>
      </c>
      <c r="CH167" s="875"/>
      <c r="CI167" s="876">
        <f t="shared" ref="CI167:CM167" si="361">CI166/CI162</f>
        <v>0.11903214510284787</v>
      </c>
      <c r="CJ167" s="877">
        <f t="shared" si="361"/>
        <v>0.12910961185607778</v>
      </c>
      <c r="CK167" s="877">
        <f t="shared" si="361"/>
        <v>0.12350967025393952</v>
      </c>
      <c r="CL167" s="877">
        <f t="shared" si="361"/>
        <v>0.12729589877067807</v>
      </c>
      <c r="CM167" s="871">
        <f t="shared" si="361"/>
        <v>0.1248547908738572</v>
      </c>
      <c r="CN167" s="875"/>
      <c r="CO167" s="876">
        <f t="shared" ref="CO167:CS167" si="362">CO166/CO162</f>
        <v>0.11915643181399313</v>
      </c>
      <c r="CP167" s="877">
        <f t="shared" si="362"/>
        <v>0.12912303052754986</v>
      </c>
      <c r="CQ167" s="877">
        <f t="shared" si="362"/>
        <v>0.12414745852229452</v>
      </c>
      <c r="CR167" s="877">
        <f t="shared" si="362"/>
        <v>0.12728514260224849</v>
      </c>
      <c r="CS167" s="871">
        <f t="shared" si="362"/>
        <v>0.12505394251403298</v>
      </c>
      <c r="CY167" s="43"/>
      <c r="CZ167" s="43"/>
    </row>
    <row r="168" spans="1:104" x14ac:dyDescent="0.2">
      <c r="A168" s="870"/>
      <c r="B168" s="875"/>
      <c r="C168" s="876"/>
      <c r="D168" s="877"/>
      <c r="E168" s="877"/>
      <c r="F168" s="877"/>
      <c r="G168" s="871"/>
      <c r="H168" s="875"/>
      <c r="I168" s="876"/>
      <c r="J168" s="877"/>
      <c r="K168" s="877"/>
      <c r="L168" s="877"/>
      <c r="M168" s="871"/>
      <c r="N168" s="875"/>
      <c r="O168" s="876"/>
      <c r="P168" s="877"/>
      <c r="Q168" s="877"/>
      <c r="R168" s="877"/>
      <c r="S168" s="871"/>
      <c r="T168" s="875"/>
      <c r="U168" s="876"/>
      <c r="V168" s="877"/>
      <c r="W168" s="877"/>
      <c r="X168" s="877"/>
      <c r="Y168" s="871"/>
      <c r="Z168" s="875"/>
      <c r="AA168" s="876"/>
      <c r="AB168" s="877"/>
      <c r="AC168" s="877"/>
      <c r="AD168" s="877"/>
      <c r="AE168" s="871"/>
      <c r="AF168" s="875"/>
      <c r="AG168" s="876"/>
      <c r="AH168" s="877"/>
      <c r="AI168" s="877"/>
      <c r="AJ168" s="877"/>
      <c r="AK168" s="871"/>
      <c r="AL168" s="875"/>
      <c r="AM168" s="876"/>
      <c r="AN168" s="877"/>
      <c r="AO168" s="877"/>
      <c r="AP168" s="877"/>
      <c r="AQ168" s="871"/>
      <c r="AR168" s="875"/>
      <c r="AS168" s="876"/>
      <c r="AT168" s="877"/>
      <c r="AU168" s="877"/>
      <c r="AV168" s="877"/>
      <c r="AW168" s="871"/>
      <c r="AX168" s="875"/>
      <c r="AY168" s="876"/>
      <c r="AZ168" s="877"/>
      <c r="BA168" s="877"/>
      <c r="BB168" s="877"/>
      <c r="BC168" s="871"/>
      <c r="BD168" s="875"/>
      <c r="BE168" s="876"/>
      <c r="BF168" s="877"/>
      <c r="BG168" s="877"/>
      <c r="BH168" s="877"/>
      <c r="BI168" s="871"/>
      <c r="BJ168" s="875"/>
      <c r="BK168" s="876"/>
      <c r="BL168" s="877"/>
      <c r="BM168" s="877"/>
      <c r="BN168" s="877"/>
      <c r="BO168" s="871"/>
      <c r="BP168" s="875"/>
      <c r="BQ168" s="876"/>
      <c r="BR168" s="877"/>
      <c r="BS168" s="877"/>
      <c r="BT168" s="877"/>
      <c r="BU168" s="871"/>
      <c r="BV168" s="875"/>
      <c r="BW168" s="876"/>
      <c r="BX168" s="877"/>
      <c r="BY168" s="877"/>
      <c r="BZ168" s="877"/>
      <c r="CA168" s="871"/>
      <c r="CB168" s="875"/>
      <c r="CC168" s="876"/>
      <c r="CD168" s="877"/>
      <c r="CE168" s="877"/>
      <c r="CF168" s="877"/>
      <c r="CG168" s="871"/>
      <c r="CH168" s="875"/>
      <c r="CI168" s="876"/>
      <c r="CJ168" s="877"/>
      <c r="CK168" s="877"/>
      <c r="CL168" s="877"/>
      <c r="CM168" s="871"/>
      <c r="CN168" s="875"/>
      <c r="CO168" s="876"/>
      <c r="CP168" s="877"/>
      <c r="CQ168" s="877"/>
      <c r="CR168" s="877"/>
      <c r="CS168" s="871"/>
      <c r="CY168" s="43"/>
      <c r="CZ168" s="43"/>
    </row>
    <row r="169" spans="1:104" x14ac:dyDescent="0.2">
      <c r="A169" s="870" t="s">
        <v>358</v>
      </c>
      <c r="B169" s="878"/>
      <c r="C169" s="879"/>
      <c r="D169" s="880"/>
      <c r="E169" s="880"/>
      <c r="F169" s="880"/>
      <c r="G169" s="878"/>
      <c r="H169" s="878"/>
      <c r="I169" s="880"/>
      <c r="J169" s="880"/>
      <c r="K169" s="880"/>
      <c r="L169" s="880"/>
      <c r="M169" s="878"/>
      <c r="N169" s="878"/>
      <c r="O169" s="880"/>
      <c r="P169" s="880"/>
      <c r="Q169" s="880"/>
      <c r="R169" s="880"/>
      <c r="S169" s="878"/>
      <c r="T169" s="878"/>
      <c r="U169" s="880"/>
      <c r="V169" s="880"/>
      <c r="W169" s="880"/>
      <c r="X169" s="880"/>
      <c r="Y169" s="878"/>
      <c r="Z169" s="878"/>
      <c r="AA169" s="880"/>
      <c r="AB169" s="880"/>
      <c r="AC169" s="880"/>
      <c r="AD169" s="880"/>
      <c r="AE169" s="878"/>
      <c r="AF169" s="878"/>
      <c r="AG169" s="880"/>
      <c r="AH169" s="880"/>
      <c r="AI169" s="880"/>
      <c r="AJ169" s="880"/>
      <c r="AK169" s="878"/>
      <c r="AL169" s="878"/>
      <c r="AM169" s="880"/>
      <c r="AN169" s="880"/>
      <c r="AO169" s="880"/>
      <c r="AP169" s="880"/>
      <c r="AQ169" s="878"/>
      <c r="AR169" s="878"/>
      <c r="AS169" s="880"/>
      <c r="AT169" s="880"/>
      <c r="AU169" s="880"/>
      <c r="AV169" s="880"/>
      <c r="AW169" s="878"/>
      <c r="AX169" s="878"/>
      <c r="AY169" s="880"/>
      <c r="AZ169" s="880"/>
      <c r="BA169" s="880"/>
      <c r="BB169" s="880"/>
      <c r="BC169" s="878"/>
      <c r="BD169" s="878"/>
      <c r="BE169" s="880"/>
      <c r="BF169" s="880"/>
      <c r="BG169" s="880"/>
      <c r="BH169" s="880"/>
      <c r="BI169" s="878"/>
      <c r="BJ169" s="878"/>
      <c r="BK169" s="880"/>
      <c r="BL169" s="880"/>
      <c r="BM169" s="880"/>
      <c r="BN169" s="880"/>
      <c r="BO169" s="878"/>
      <c r="BP169" s="878"/>
      <c r="BQ169" s="880"/>
      <c r="BR169" s="880"/>
      <c r="BS169" s="880"/>
      <c r="BT169" s="880"/>
      <c r="BU169" s="878"/>
      <c r="BV169" s="878"/>
      <c r="BW169" s="880"/>
      <c r="BX169" s="880"/>
      <c r="BY169" s="880"/>
      <c r="BZ169" s="880"/>
      <c r="CA169" s="878"/>
      <c r="CB169" s="878"/>
      <c r="CC169" s="880"/>
      <c r="CD169" s="880"/>
      <c r="CE169" s="880"/>
      <c r="CF169" s="880"/>
      <c r="CG169" s="878"/>
      <c r="CH169" s="878"/>
      <c r="CI169" s="880"/>
      <c r="CJ169" s="880"/>
      <c r="CK169" s="880"/>
      <c r="CL169" s="880"/>
      <c r="CM169" s="878"/>
      <c r="CN169" s="878"/>
      <c r="CO169" s="880"/>
      <c r="CP169" s="880"/>
      <c r="CQ169" s="880"/>
      <c r="CR169" s="880"/>
      <c r="CS169" s="878"/>
      <c r="CY169" s="43"/>
      <c r="CZ169" s="43"/>
    </row>
    <row r="170" spans="1:104" x14ac:dyDescent="0.2">
      <c r="A170" s="862" t="s">
        <v>123</v>
      </c>
      <c r="B170" s="878"/>
      <c r="C170" s="881">
        <f>+C29+C35</f>
        <v>0</v>
      </c>
      <c r="D170" s="881">
        <f t="shared" ref="D170:G170" si="363">+D29+D35</f>
        <v>0</v>
      </c>
      <c r="E170" s="881">
        <f t="shared" si="363"/>
        <v>0</v>
      </c>
      <c r="F170" s="881">
        <f t="shared" si="363"/>
        <v>0</v>
      </c>
      <c r="G170" s="881">
        <f t="shared" si="363"/>
        <v>0</v>
      </c>
      <c r="H170" s="878"/>
      <c r="I170" s="881">
        <f>+I29+I35</f>
        <v>0</v>
      </c>
      <c r="J170" s="881">
        <f t="shared" ref="J170:M170" si="364">+J29+J35</f>
        <v>0</v>
      </c>
      <c r="K170" s="881">
        <f t="shared" si="364"/>
        <v>0</v>
      </c>
      <c r="L170" s="881">
        <f t="shared" si="364"/>
        <v>0</v>
      </c>
      <c r="M170" s="881">
        <f t="shared" si="364"/>
        <v>0</v>
      </c>
      <c r="N170" s="878"/>
      <c r="O170" s="881">
        <f t="shared" ref="O170:S170" si="365">+O29+O35</f>
        <v>0</v>
      </c>
      <c r="P170" s="881">
        <f t="shared" si="365"/>
        <v>0</v>
      </c>
      <c r="Q170" s="881">
        <f t="shared" si="365"/>
        <v>0</v>
      </c>
      <c r="R170" s="881">
        <f t="shared" si="365"/>
        <v>0</v>
      </c>
      <c r="S170" s="881">
        <f t="shared" si="365"/>
        <v>0</v>
      </c>
      <c r="T170" s="878"/>
      <c r="U170" s="881">
        <f t="shared" ref="U170:Y170" si="366">+U29+U35</f>
        <v>0</v>
      </c>
      <c r="V170" s="881">
        <f t="shared" si="366"/>
        <v>0</v>
      </c>
      <c r="W170" s="881">
        <f t="shared" si="366"/>
        <v>0</v>
      </c>
      <c r="X170" s="881">
        <f t="shared" si="366"/>
        <v>0</v>
      </c>
      <c r="Y170" s="881">
        <f t="shared" si="366"/>
        <v>0</v>
      </c>
      <c r="Z170" s="878"/>
      <c r="AA170" s="881">
        <f t="shared" ref="AA170:AE170" si="367">+AA29+AA35</f>
        <v>0</v>
      </c>
      <c r="AB170" s="881">
        <f t="shared" si="367"/>
        <v>0</v>
      </c>
      <c r="AC170" s="881">
        <f t="shared" si="367"/>
        <v>0</v>
      </c>
      <c r="AD170" s="881">
        <f t="shared" si="367"/>
        <v>0</v>
      </c>
      <c r="AE170" s="881">
        <f t="shared" si="367"/>
        <v>0</v>
      </c>
      <c r="AF170" s="878"/>
      <c r="AG170" s="881">
        <f t="shared" ref="AG170:AK170" si="368">+AG29+AG35</f>
        <v>0</v>
      </c>
      <c r="AH170" s="881">
        <f t="shared" si="368"/>
        <v>0</v>
      </c>
      <c r="AI170" s="881">
        <f t="shared" si="368"/>
        <v>0</v>
      </c>
      <c r="AJ170" s="881">
        <f t="shared" si="368"/>
        <v>0</v>
      </c>
      <c r="AK170" s="881">
        <f t="shared" si="368"/>
        <v>0</v>
      </c>
      <c r="AL170" s="878"/>
      <c r="AM170" s="881">
        <f t="shared" ref="AM170:AQ170" si="369">+AM29+AM35</f>
        <v>0</v>
      </c>
      <c r="AN170" s="881">
        <f t="shared" si="369"/>
        <v>0</v>
      </c>
      <c r="AO170" s="881">
        <f t="shared" si="369"/>
        <v>0</v>
      </c>
      <c r="AP170" s="881">
        <f t="shared" si="369"/>
        <v>0</v>
      </c>
      <c r="AQ170" s="881">
        <f t="shared" si="369"/>
        <v>0</v>
      </c>
      <c r="AR170" s="878"/>
      <c r="AS170" s="881">
        <f t="shared" ref="AS170:AW170" si="370">+AS29+AS35</f>
        <v>0</v>
      </c>
      <c r="AT170" s="881">
        <f t="shared" si="370"/>
        <v>0</v>
      </c>
      <c r="AU170" s="881">
        <f t="shared" si="370"/>
        <v>0</v>
      </c>
      <c r="AV170" s="881">
        <f t="shared" si="370"/>
        <v>0</v>
      </c>
      <c r="AW170" s="881">
        <f t="shared" si="370"/>
        <v>0</v>
      </c>
      <c r="AX170" s="878"/>
      <c r="AY170" s="881">
        <f t="shared" ref="AY170:BC170" si="371">+AY29+AY35</f>
        <v>0</v>
      </c>
      <c r="AZ170" s="881">
        <f t="shared" si="371"/>
        <v>0</v>
      </c>
      <c r="BA170" s="881">
        <f t="shared" si="371"/>
        <v>0</v>
      </c>
      <c r="BB170" s="881">
        <f t="shared" si="371"/>
        <v>0</v>
      </c>
      <c r="BC170" s="881">
        <f t="shared" si="371"/>
        <v>0</v>
      </c>
      <c r="BD170" s="878"/>
      <c r="BE170" s="881">
        <f t="shared" ref="BE170:BI170" si="372">+BE29+BE35</f>
        <v>0</v>
      </c>
      <c r="BF170" s="881">
        <f t="shared" si="372"/>
        <v>0</v>
      </c>
      <c r="BG170" s="881">
        <f t="shared" si="372"/>
        <v>0</v>
      </c>
      <c r="BH170" s="881">
        <f t="shared" si="372"/>
        <v>0</v>
      </c>
      <c r="BI170" s="881">
        <f t="shared" si="372"/>
        <v>0</v>
      </c>
      <c r="BJ170" s="878"/>
      <c r="BK170" s="881">
        <f t="shared" ref="BK170:BO170" si="373">+BK29+BK35</f>
        <v>199.2</v>
      </c>
      <c r="BL170" s="881">
        <f t="shared" si="373"/>
        <v>204</v>
      </c>
      <c r="BM170" s="881">
        <f t="shared" si="373"/>
        <v>295.29999999999995</v>
      </c>
      <c r="BN170" s="881">
        <f t="shared" si="373"/>
        <v>226.39999999999998</v>
      </c>
      <c r="BO170" s="881">
        <f t="shared" si="373"/>
        <v>226.39999999999998</v>
      </c>
      <c r="BP170" s="878"/>
      <c r="BQ170" s="881">
        <f t="shared" ref="BQ170:BU170" si="374">+BQ29+BQ35</f>
        <v>128.19999999999999</v>
      </c>
      <c r="BR170" s="881">
        <f t="shared" si="374"/>
        <v>113.2</v>
      </c>
      <c r="BS170" s="881">
        <f t="shared" si="374"/>
        <v>88.425000000000011</v>
      </c>
      <c r="BT170" s="881">
        <f t="shared" si="374"/>
        <v>88.425000000000011</v>
      </c>
      <c r="BU170" s="881">
        <f t="shared" si="374"/>
        <v>88.425000000000011</v>
      </c>
      <c r="BV170" s="878"/>
      <c r="BW170" s="881">
        <f t="shared" ref="BW170:CA170" si="375">+BW29+BW35</f>
        <v>88.425000000000011</v>
      </c>
      <c r="BX170" s="881">
        <f t="shared" si="375"/>
        <v>88.425000000000011</v>
      </c>
      <c r="BY170" s="881">
        <f t="shared" si="375"/>
        <v>88.425000000000011</v>
      </c>
      <c r="BZ170" s="881">
        <f t="shared" si="375"/>
        <v>88.425000000000011</v>
      </c>
      <c r="CA170" s="881">
        <f t="shared" si="375"/>
        <v>88.425000000000011</v>
      </c>
      <c r="CB170" s="878"/>
      <c r="CC170" s="881">
        <f t="shared" ref="CC170:CG170" si="376">+CC29+CC35</f>
        <v>88.425000000000011</v>
      </c>
      <c r="CD170" s="881">
        <f t="shared" si="376"/>
        <v>88.425000000000011</v>
      </c>
      <c r="CE170" s="881">
        <f t="shared" si="376"/>
        <v>88.425000000000011</v>
      </c>
      <c r="CF170" s="881">
        <f t="shared" si="376"/>
        <v>88.425000000000011</v>
      </c>
      <c r="CG170" s="881">
        <f t="shared" si="376"/>
        <v>88.425000000000011</v>
      </c>
      <c r="CH170" s="878"/>
      <c r="CI170" s="881">
        <f t="shared" ref="CI170:CM170" si="377">+CI29+CI35</f>
        <v>88.425000000000011</v>
      </c>
      <c r="CJ170" s="881">
        <f t="shared" si="377"/>
        <v>88.425000000000011</v>
      </c>
      <c r="CK170" s="881">
        <f t="shared" si="377"/>
        <v>88.425000000000011</v>
      </c>
      <c r="CL170" s="881">
        <f t="shared" si="377"/>
        <v>88.425000000000011</v>
      </c>
      <c r="CM170" s="881">
        <f t="shared" si="377"/>
        <v>88.425000000000011</v>
      </c>
      <c r="CN170" s="878"/>
      <c r="CO170" s="881">
        <f t="shared" ref="CO170:CS170" si="378">+CO29+CO35</f>
        <v>88.425000000000011</v>
      </c>
      <c r="CP170" s="881">
        <f t="shared" si="378"/>
        <v>88.425000000000011</v>
      </c>
      <c r="CQ170" s="881">
        <f t="shared" si="378"/>
        <v>88.425000000000011</v>
      </c>
      <c r="CR170" s="881">
        <f t="shared" si="378"/>
        <v>88.425000000000011</v>
      </c>
      <c r="CS170" s="881">
        <f t="shared" si="378"/>
        <v>88.425000000000011</v>
      </c>
      <c r="CY170" s="43"/>
      <c r="CZ170" s="43"/>
    </row>
    <row r="171" spans="1:104" x14ac:dyDescent="0.2">
      <c r="A171" s="862" t="s">
        <v>388</v>
      </c>
      <c r="B171" s="878"/>
      <c r="C171" s="881">
        <f>+C34+C33-C13-C19</f>
        <v>0</v>
      </c>
      <c r="D171" s="881">
        <f t="shared" ref="D171:G171" si="379">+D34+D33-D13-D19</f>
        <v>0</v>
      </c>
      <c r="E171" s="881">
        <f t="shared" si="379"/>
        <v>0</v>
      </c>
      <c r="F171" s="881">
        <f t="shared" si="379"/>
        <v>0</v>
      </c>
      <c r="G171" s="881">
        <f t="shared" si="379"/>
        <v>0</v>
      </c>
      <c r="H171" s="878"/>
      <c r="I171" s="881">
        <f>+I34+I33-I13-I19</f>
        <v>0</v>
      </c>
      <c r="J171" s="881">
        <f t="shared" ref="J171:M171" si="380">+J34+J33-J13-J19</f>
        <v>0</v>
      </c>
      <c r="K171" s="881">
        <f t="shared" si="380"/>
        <v>0</v>
      </c>
      <c r="L171" s="881">
        <f t="shared" si="380"/>
        <v>0</v>
      </c>
      <c r="M171" s="881">
        <f t="shared" si="380"/>
        <v>0</v>
      </c>
      <c r="N171" s="878"/>
      <c r="O171" s="881">
        <f t="shared" ref="O171:S171" si="381">+O34+O33-O13-O19</f>
        <v>0</v>
      </c>
      <c r="P171" s="881">
        <f t="shared" si="381"/>
        <v>0</v>
      </c>
      <c r="Q171" s="881">
        <f t="shared" si="381"/>
        <v>0</v>
      </c>
      <c r="R171" s="881">
        <f t="shared" si="381"/>
        <v>0</v>
      </c>
      <c r="S171" s="881">
        <f t="shared" si="381"/>
        <v>0</v>
      </c>
      <c r="T171" s="878"/>
      <c r="U171" s="881">
        <f t="shared" ref="U171:Y171" si="382">+U34+U33-U13-U19</f>
        <v>0</v>
      </c>
      <c r="V171" s="881">
        <f t="shared" si="382"/>
        <v>0</v>
      </c>
      <c r="W171" s="881">
        <f t="shared" si="382"/>
        <v>0</v>
      </c>
      <c r="X171" s="881">
        <f t="shared" si="382"/>
        <v>-19.163999999999998</v>
      </c>
      <c r="Y171" s="881">
        <f t="shared" si="382"/>
        <v>-19.163999999999998</v>
      </c>
      <c r="Z171" s="878"/>
      <c r="AA171" s="881">
        <f t="shared" ref="AA171:AE171" si="383">+AA34+AA33-AA13-AA19</f>
        <v>-18.908999999999999</v>
      </c>
      <c r="AB171" s="881">
        <f t="shared" si="383"/>
        <v>-20.999000000000002</v>
      </c>
      <c r="AC171" s="881">
        <f t="shared" si="383"/>
        <v>-23.131999999999998</v>
      </c>
      <c r="AD171" s="881">
        <f t="shared" si="383"/>
        <v>-26.004999999999999</v>
      </c>
      <c r="AE171" s="881">
        <f t="shared" si="383"/>
        <v>-26.004999999999999</v>
      </c>
      <c r="AF171" s="878"/>
      <c r="AG171" s="881">
        <f t="shared" ref="AG171:AK171" si="384">+AG34+AG33-AG13-AG19</f>
        <v>-28.545999999999999</v>
      </c>
      <c r="AH171" s="881">
        <f t="shared" si="384"/>
        <v>-26.418999999999997</v>
      </c>
      <c r="AI171" s="881">
        <f t="shared" si="384"/>
        <v>-23.641999999999999</v>
      </c>
      <c r="AJ171" s="881">
        <f t="shared" si="384"/>
        <v>-26.212</v>
      </c>
      <c r="AK171" s="881">
        <f t="shared" si="384"/>
        <v>-26.212</v>
      </c>
      <c r="AL171" s="878"/>
      <c r="AM171" s="881">
        <f t="shared" ref="AM171:AQ171" si="385">+AM34+AM33-AM13-AM19</f>
        <v>-24.320999999999998</v>
      </c>
      <c r="AN171" s="881">
        <f t="shared" si="385"/>
        <v>-23.805999999999997</v>
      </c>
      <c r="AO171" s="881">
        <f t="shared" si="385"/>
        <v>-25.986999999999998</v>
      </c>
      <c r="AP171" s="881">
        <f t="shared" si="385"/>
        <v>-25.920999999999999</v>
      </c>
      <c r="AQ171" s="881">
        <f t="shared" si="385"/>
        <v>-25.920999999999999</v>
      </c>
      <c r="AR171" s="878"/>
      <c r="AS171" s="881">
        <f t="shared" ref="AS171:AW171" si="386">+AS34+AS33-AS13-AS19</f>
        <v>-24.884999999999998</v>
      </c>
      <c r="AT171" s="881">
        <f t="shared" si="386"/>
        <v>-25.739000000000001</v>
      </c>
      <c r="AU171" s="881">
        <f t="shared" si="386"/>
        <v>15.498999999999999</v>
      </c>
      <c r="AV171" s="881">
        <f t="shared" si="386"/>
        <v>14.613</v>
      </c>
      <c r="AW171" s="881">
        <f t="shared" si="386"/>
        <v>14.613</v>
      </c>
      <c r="AX171" s="878"/>
      <c r="AY171" s="881">
        <f t="shared" ref="AY171:BC171" si="387">+AY34+AY33-AY13-AY19</f>
        <v>15.902000000000001</v>
      </c>
      <c r="AZ171" s="881">
        <f t="shared" si="387"/>
        <v>14.962999999999999</v>
      </c>
      <c r="BA171" s="881">
        <f t="shared" si="387"/>
        <v>29.111000000000001</v>
      </c>
      <c r="BB171" s="881">
        <f t="shared" si="387"/>
        <v>21.9</v>
      </c>
      <c r="BC171" s="881">
        <f t="shared" si="387"/>
        <v>21.9</v>
      </c>
      <c r="BD171" s="878"/>
      <c r="BE171" s="881">
        <f t="shared" ref="BE171:BI171" si="388">+BE34+BE33-BE13-BE19</f>
        <v>27.4</v>
      </c>
      <c r="BF171" s="881">
        <f t="shared" si="388"/>
        <v>35</v>
      </c>
      <c r="BG171" s="881">
        <f t="shared" si="388"/>
        <v>31.9</v>
      </c>
      <c r="BH171" s="881">
        <f t="shared" si="388"/>
        <v>60.099999999999994</v>
      </c>
      <c r="BI171" s="881">
        <f t="shared" si="388"/>
        <v>60.099999999999994</v>
      </c>
      <c r="BJ171" s="878"/>
      <c r="BK171" s="881">
        <f t="shared" ref="BK171:BO171" si="389">+BK34+BK33-BK13-BK19</f>
        <v>260.7</v>
      </c>
      <c r="BL171" s="881">
        <f t="shared" si="389"/>
        <v>256.60000000000002</v>
      </c>
      <c r="BM171" s="881">
        <f t="shared" si="389"/>
        <v>131.1</v>
      </c>
      <c r="BN171" s="881">
        <f t="shared" si="389"/>
        <v>130</v>
      </c>
      <c r="BO171" s="881">
        <f t="shared" si="389"/>
        <v>130</v>
      </c>
      <c r="BP171" s="878"/>
      <c r="BQ171" s="881">
        <f t="shared" ref="BQ171:BU171" si="390">+BQ34+BQ33-BQ13-BQ19</f>
        <v>144.30000000000001</v>
      </c>
      <c r="BR171" s="881">
        <f t="shared" si="390"/>
        <v>111.80000000000001</v>
      </c>
      <c r="BS171" s="881">
        <f t="shared" si="390"/>
        <v>111.80000000000001</v>
      </c>
      <c r="BT171" s="881">
        <f t="shared" si="390"/>
        <v>111.80000000000001</v>
      </c>
      <c r="BU171" s="881">
        <f t="shared" si="390"/>
        <v>111.80000000000001</v>
      </c>
      <c r="BV171" s="878"/>
      <c r="BW171" s="881">
        <f t="shared" ref="BW171:CA171" si="391">+BW34+BW33-BW13-BW19</f>
        <v>111.80000000000001</v>
      </c>
      <c r="BX171" s="881">
        <f t="shared" si="391"/>
        <v>111.80000000000001</v>
      </c>
      <c r="BY171" s="881">
        <f t="shared" si="391"/>
        <v>111.80000000000001</v>
      </c>
      <c r="BZ171" s="881">
        <f t="shared" si="391"/>
        <v>111.80000000000001</v>
      </c>
      <c r="CA171" s="881">
        <f t="shared" si="391"/>
        <v>111.80000000000001</v>
      </c>
      <c r="CB171" s="878"/>
      <c r="CC171" s="881">
        <f t="shared" ref="CC171:CG171" si="392">+CC34+CC33-CC13-CC19</f>
        <v>111.80000000000001</v>
      </c>
      <c r="CD171" s="881">
        <f t="shared" si="392"/>
        <v>111.80000000000001</v>
      </c>
      <c r="CE171" s="881">
        <f t="shared" si="392"/>
        <v>111.80000000000001</v>
      </c>
      <c r="CF171" s="881">
        <f t="shared" si="392"/>
        <v>111.80000000000001</v>
      </c>
      <c r="CG171" s="881">
        <f t="shared" si="392"/>
        <v>111.80000000000001</v>
      </c>
      <c r="CH171" s="878"/>
      <c r="CI171" s="881">
        <f t="shared" ref="CI171:CM171" si="393">+CI34+CI33-CI13-CI19</f>
        <v>111.80000000000001</v>
      </c>
      <c r="CJ171" s="881">
        <f t="shared" si="393"/>
        <v>111.80000000000001</v>
      </c>
      <c r="CK171" s="881">
        <f t="shared" si="393"/>
        <v>111.80000000000001</v>
      </c>
      <c r="CL171" s="881">
        <f t="shared" si="393"/>
        <v>111.80000000000001</v>
      </c>
      <c r="CM171" s="881">
        <f t="shared" si="393"/>
        <v>111.80000000000001</v>
      </c>
      <c r="CN171" s="878"/>
      <c r="CO171" s="881">
        <f t="shared" ref="CO171:CS171" si="394">+CO34+CO33-CO13-CO19</f>
        <v>111.80000000000001</v>
      </c>
      <c r="CP171" s="881">
        <f t="shared" si="394"/>
        <v>111.80000000000001</v>
      </c>
      <c r="CQ171" s="881">
        <f t="shared" si="394"/>
        <v>111.80000000000001</v>
      </c>
      <c r="CR171" s="881">
        <f t="shared" si="394"/>
        <v>111.80000000000001</v>
      </c>
      <c r="CS171" s="881">
        <f t="shared" si="394"/>
        <v>111.80000000000001</v>
      </c>
      <c r="CY171" s="43"/>
      <c r="CZ171" s="43"/>
    </row>
    <row r="172" spans="1:104" x14ac:dyDescent="0.2">
      <c r="A172" s="862" t="s">
        <v>389</v>
      </c>
      <c r="B172" s="878"/>
      <c r="C172" s="881">
        <v>0</v>
      </c>
      <c r="D172" s="881">
        <v>0</v>
      </c>
      <c r="E172" s="881">
        <v>0</v>
      </c>
      <c r="F172" s="881">
        <v>0</v>
      </c>
      <c r="G172" s="881">
        <v>0</v>
      </c>
      <c r="H172" s="878"/>
      <c r="I172" s="881">
        <v>0</v>
      </c>
      <c r="J172" s="881">
        <v>0</v>
      </c>
      <c r="K172" s="881">
        <v>0</v>
      </c>
      <c r="L172" s="881">
        <v>0</v>
      </c>
      <c r="M172" s="881">
        <v>0</v>
      </c>
      <c r="N172" s="878"/>
      <c r="O172" s="881">
        <v>0</v>
      </c>
      <c r="P172" s="881">
        <v>0</v>
      </c>
      <c r="Q172" s="881">
        <v>0</v>
      </c>
      <c r="R172" s="881">
        <v>0</v>
      </c>
      <c r="S172" s="881">
        <v>0</v>
      </c>
      <c r="T172" s="878"/>
      <c r="U172" s="881">
        <v>0</v>
      </c>
      <c r="V172" s="881">
        <v>0</v>
      </c>
      <c r="W172" s="881">
        <v>0</v>
      </c>
      <c r="X172" s="881">
        <v>0</v>
      </c>
      <c r="Y172" s="881">
        <v>0</v>
      </c>
      <c r="Z172" s="878"/>
      <c r="AA172" s="881">
        <v>0</v>
      </c>
      <c r="AB172" s="881">
        <v>0</v>
      </c>
      <c r="AC172" s="881">
        <v>0</v>
      </c>
      <c r="AD172" s="881">
        <v>0</v>
      </c>
      <c r="AE172" s="881">
        <v>0</v>
      </c>
      <c r="AF172" s="878"/>
      <c r="AG172" s="881">
        <v>0</v>
      </c>
      <c r="AH172" s="881">
        <v>0</v>
      </c>
      <c r="AI172" s="881">
        <v>0</v>
      </c>
      <c r="AJ172" s="881">
        <v>0</v>
      </c>
      <c r="AK172" s="881">
        <v>0</v>
      </c>
      <c r="AL172" s="878"/>
      <c r="AM172" s="881">
        <v>0</v>
      </c>
      <c r="AN172" s="881">
        <v>0</v>
      </c>
      <c r="AO172" s="881">
        <v>0</v>
      </c>
      <c r="AP172" s="881">
        <v>0</v>
      </c>
      <c r="AQ172" s="881">
        <v>0</v>
      </c>
      <c r="AR172" s="878"/>
      <c r="AS172" s="881">
        <v>0</v>
      </c>
      <c r="AT172" s="881">
        <v>0</v>
      </c>
      <c r="AU172" s="881">
        <v>0</v>
      </c>
      <c r="AV172" s="881">
        <v>0</v>
      </c>
      <c r="AW172" s="881">
        <v>0</v>
      </c>
      <c r="AX172" s="878"/>
      <c r="AY172" s="881">
        <v>0</v>
      </c>
      <c r="AZ172" s="881">
        <v>0</v>
      </c>
      <c r="BA172" s="881">
        <v>0</v>
      </c>
      <c r="BB172" s="881">
        <v>0</v>
      </c>
      <c r="BC172" s="881">
        <v>0</v>
      </c>
      <c r="BD172" s="878"/>
      <c r="BE172" s="881">
        <v>0</v>
      </c>
      <c r="BF172" s="881">
        <v>0</v>
      </c>
      <c r="BG172" s="881">
        <v>0</v>
      </c>
      <c r="BH172" s="881">
        <v>0</v>
      </c>
      <c r="BI172" s="881">
        <v>0</v>
      </c>
      <c r="BJ172" s="878"/>
      <c r="BK172" s="881">
        <v>0</v>
      </c>
      <c r="BL172" s="881">
        <v>0</v>
      </c>
      <c r="BM172" s="881">
        <v>0</v>
      </c>
      <c r="BN172" s="881">
        <v>0</v>
      </c>
      <c r="BO172" s="881">
        <v>0</v>
      </c>
      <c r="BP172" s="878"/>
      <c r="BQ172" s="881">
        <v>0</v>
      </c>
      <c r="BR172" s="881">
        <v>0</v>
      </c>
      <c r="BS172" s="881">
        <v>0</v>
      </c>
      <c r="BT172" s="881">
        <v>0</v>
      </c>
      <c r="BU172" s="881">
        <v>0</v>
      </c>
      <c r="BV172" s="878"/>
      <c r="BW172" s="881">
        <v>0</v>
      </c>
      <c r="BX172" s="881">
        <v>0</v>
      </c>
      <c r="BY172" s="881">
        <v>0</v>
      </c>
      <c r="BZ172" s="881">
        <v>0</v>
      </c>
      <c r="CA172" s="881">
        <v>0</v>
      </c>
      <c r="CB172" s="878"/>
      <c r="CC172" s="881">
        <v>0</v>
      </c>
      <c r="CD172" s="881">
        <v>0</v>
      </c>
      <c r="CE172" s="881">
        <v>0</v>
      </c>
      <c r="CF172" s="881">
        <v>0</v>
      </c>
      <c r="CG172" s="881">
        <v>0</v>
      </c>
      <c r="CH172" s="878"/>
      <c r="CI172" s="881">
        <v>0</v>
      </c>
      <c r="CJ172" s="881">
        <v>0</v>
      </c>
      <c r="CK172" s="881">
        <v>0</v>
      </c>
      <c r="CL172" s="881">
        <v>0</v>
      </c>
      <c r="CM172" s="881">
        <v>0</v>
      </c>
      <c r="CN172" s="878"/>
      <c r="CO172" s="881">
        <v>0</v>
      </c>
      <c r="CP172" s="881">
        <v>0</v>
      </c>
      <c r="CQ172" s="881">
        <v>0</v>
      </c>
      <c r="CR172" s="881">
        <v>0</v>
      </c>
      <c r="CS172" s="881">
        <v>0</v>
      </c>
      <c r="CY172" s="43"/>
      <c r="CZ172" s="43"/>
    </row>
    <row r="173" spans="1:104" x14ac:dyDescent="0.2">
      <c r="A173" s="882" t="s">
        <v>390</v>
      </c>
      <c r="B173" s="878"/>
      <c r="C173" s="881"/>
      <c r="D173" s="881"/>
      <c r="E173" s="881"/>
      <c r="F173" s="881"/>
      <c r="G173" s="881"/>
      <c r="H173" s="878"/>
      <c r="I173" s="881"/>
      <c r="J173" s="881"/>
      <c r="K173" s="881"/>
      <c r="L173" s="881"/>
      <c r="M173" s="881"/>
      <c r="N173" s="878"/>
      <c r="O173" s="881"/>
      <c r="P173" s="881"/>
      <c r="Q173" s="881"/>
      <c r="R173" s="881"/>
      <c r="S173" s="881"/>
      <c r="T173" s="878"/>
      <c r="U173" s="881"/>
      <c r="V173" s="881"/>
      <c r="W173" s="881"/>
      <c r="X173" s="881"/>
      <c r="Y173" s="881"/>
      <c r="Z173" s="878"/>
      <c r="AA173" s="881"/>
      <c r="AB173" s="881"/>
      <c r="AC173" s="881"/>
      <c r="AD173" s="881"/>
      <c r="AE173" s="881"/>
      <c r="AF173" s="878"/>
      <c r="AG173" s="881"/>
      <c r="AH173" s="881"/>
      <c r="AI173" s="881"/>
      <c r="AJ173" s="881"/>
      <c r="AK173" s="881"/>
      <c r="AL173" s="878"/>
      <c r="AM173" s="881"/>
      <c r="AN173" s="881"/>
      <c r="AO173" s="881"/>
      <c r="AP173" s="881"/>
      <c r="AQ173" s="881"/>
      <c r="AR173" s="878"/>
      <c r="AS173" s="881"/>
      <c r="AT173" s="881"/>
      <c r="AU173" s="881"/>
      <c r="AV173" s="881"/>
      <c r="AW173" s="881"/>
      <c r="AX173" s="878"/>
      <c r="AY173" s="881"/>
      <c r="AZ173" s="881"/>
      <c r="BA173" s="881"/>
      <c r="BB173" s="881"/>
      <c r="BC173" s="881"/>
      <c r="BD173" s="878"/>
      <c r="BE173" s="881"/>
      <c r="BF173" s="881"/>
      <c r="BG173" s="881"/>
      <c r="BH173" s="881"/>
      <c r="BI173" s="881"/>
      <c r="BJ173" s="878"/>
      <c r="BK173" s="881"/>
      <c r="BL173" s="881"/>
      <c r="BM173" s="881"/>
      <c r="BN173" s="881"/>
      <c r="BO173" s="881"/>
      <c r="BP173" s="878"/>
      <c r="BQ173" s="881"/>
      <c r="BR173" s="881"/>
      <c r="BS173" s="881"/>
      <c r="BT173" s="881"/>
      <c r="BU173" s="881"/>
      <c r="BV173" s="878"/>
      <c r="BW173" s="881"/>
      <c r="BX173" s="881"/>
      <c r="BY173" s="881"/>
      <c r="BZ173" s="881"/>
      <c r="CA173" s="881"/>
      <c r="CB173" s="878"/>
      <c r="CC173" s="881"/>
      <c r="CD173" s="881"/>
      <c r="CE173" s="881"/>
      <c r="CF173" s="881"/>
      <c r="CG173" s="881"/>
      <c r="CH173" s="878"/>
      <c r="CI173" s="881"/>
      <c r="CJ173" s="881"/>
      <c r="CK173" s="881"/>
      <c r="CL173" s="881"/>
      <c r="CM173" s="881"/>
      <c r="CN173" s="878"/>
      <c r="CO173" s="881"/>
      <c r="CP173" s="881"/>
      <c r="CQ173" s="881"/>
      <c r="CR173" s="881"/>
      <c r="CS173" s="881"/>
      <c r="CY173" s="43"/>
      <c r="CZ173" s="43"/>
    </row>
    <row r="174" spans="1:104" x14ac:dyDescent="0.2">
      <c r="A174" s="870" t="s">
        <v>391</v>
      </c>
      <c r="B174" s="878"/>
      <c r="C174" s="881"/>
      <c r="D174" s="881"/>
      <c r="E174" s="881"/>
      <c r="F174" s="881"/>
      <c r="G174" s="881"/>
      <c r="H174" s="878"/>
      <c r="I174" s="881"/>
      <c r="J174" s="881"/>
      <c r="K174" s="881"/>
      <c r="L174" s="881"/>
      <c r="M174" s="881"/>
      <c r="N174" s="878"/>
      <c r="O174" s="881"/>
      <c r="P174" s="881"/>
      <c r="Q174" s="881"/>
      <c r="R174" s="881"/>
      <c r="S174" s="881"/>
      <c r="T174" s="878"/>
      <c r="U174" s="881"/>
      <c r="V174" s="881"/>
      <c r="W174" s="881"/>
      <c r="X174" s="881"/>
      <c r="Y174" s="881"/>
      <c r="Z174" s="878"/>
      <c r="AA174" s="881"/>
      <c r="AB174" s="881"/>
      <c r="AC174" s="881"/>
      <c r="AD174" s="881"/>
      <c r="AE174" s="881"/>
      <c r="AF174" s="878"/>
      <c r="AG174" s="881"/>
      <c r="AH174" s="881"/>
      <c r="AI174" s="881"/>
      <c r="AJ174" s="881"/>
      <c r="AK174" s="881"/>
      <c r="AL174" s="878"/>
      <c r="AM174" s="881"/>
      <c r="AN174" s="881"/>
      <c r="AO174" s="881"/>
      <c r="AP174" s="881"/>
      <c r="AQ174" s="881"/>
      <c r="AR174" s="878"/>
      <c r="AS174" s="881"/>
      <c r="AT174" s="881"/>
      <c r="AU174" s="881"/>
      <c r="AV174" s="881"/>
      <c r="AW174" s="881"/>
      <c r="AX174" s="878"/>
      <c r="AY174" s="881"/>
      <c r="AZ174" s="881"/>
      <c r="BA174" s="881"/>
      <c r="BB174" s="881"/>
      <c r="BC174" s="881"/>
      <c r="BD174" s="878"/>
      <c r="BE174" s="881"/>
      <c r="BF174" s="881"/>
      <c r="BG174" s="881"/>
      <c r="BH174" s="881"/>
      <c r="BI174" s="881"/>
      <c r="BJ174" s="878"/>
      <c r="BK174" s="881"/>
      <c r="BL174" s="881"/>
      <c r="BM174" s="881"/>
      <c r="BN174" s="881"/>
      <c r="BO174" s="881"/>
      <c r="BP174" s="878"/>
      <c r="BQ174" s="881"/>
      <c r="BR174" s="881"/>
      <c r="BS174" s="881"/>
      <c r="BT174" s="881"/>
      <c r="BU174" s="881"/>
      <c r="BV174" s="878"/>
      <c r="BW174" s="881"/>
      <c r="BX174" s="881"/>
      <c r="BY174" s="881"/>
      <c r="BZ174" s="881"/>
      <c r="CA174" s="881"/>
      <c r="CB174" s="878"/>
      <c r="CC174" s="881"/>
      <c r="CD174" s="881"/>
      <c r="CE174" s="881"/>
      <c r="CF174" s="881"/>
      <c r="CG174" s="881"/>
      <c r="CH174" s="878"/>
      <c r="CI174" s="881"/>
      <c r="CJ174" s="881"/>
      <c r="CK174" s="881"/>
      <c r="CL174" s="881"/>
      <c r="CM174" s="881"/>
      <c r="CN174" s="878"/>
      <c r="CO174" s="881"/>
      <c r="CP174" s="881"/>
      <c r="CQ174" s="881"/>
      <c r="CR174" s="881"/>
      <c r="CS174" s="881"/>
      <c r="CY174" s="43"/>
      <c r="CZ174" s="43"/>
    </row>
    <row r="175" spans="1:104" x14ac:dyDescent="0.2">
      <c r="A175" s="862" t="s">
        <v>392</v>
      </c>
      <c r="B175" s="878"/>
      <c r="C175" s="881">
        <v>0</v>
      </c>
      <c r="D175" s="881">
        <v>0</v>
      </c>
      <c r="E175" s="881">
        <v>0</v>
      </c>
      <c r="F175" s="881">
        <v>0</v>
      </c>
      <c r="G175" s="881">
        <v>0</v>
      </c>
      <c r="H175" s="878"/>
      <c r="I175" s="881">
        <v>0</v>
      </c>
      <c r="J175" s="881">
        <v>0</v>
      </c>
      <c r="K175" s="881">
        <v>0</v>
      </c>
      <c r="L175" s="881">
        <v>0</v>
      </c>
      <c r="M175" s="881">
        <v>0</v>
      </c>
      <c r="N175" s="878"/>
      <c r="O175" s="881">
        <v>0</v>
      </c>
      <c r="P175" s="881">
        <v>0</v>
      </c>
      <c r="Q175" s="881">
        <v>0</v>
      </c>
      <c r="R175" s="881">
        <v>0</v>
      </c>
      <c r="S175" s="881">
        <v>0</v>
      </c>
      <c r="T175" s="878"/>
      <c r="U175" s="881">
        <v>0</v>
      </c>
      <c r="V175" s="881">
        <v>0</v>
      </c>
      <c r="W175" s="881">
        <v>0</v>
      </c>
      <c r="X175" s="881">
        <v>0</v>
      </c>
      <c r="Y175" s="881">
        <v>0</v>
      </c>
      <c r="Z175" s="878"/>
      <c r="AA175" s="881">
        <v>0</v>
      </c>
      <c r="AB175" s="881">
        <v>0</v>
      </c>
      <c r="AC175" s="881">
        <v>0</v>
      </c>
      <c r="AD175" s="881">
        <v>0</v>
      </c>
      <c r="AE175" s="881">
        <v>0</v>
      </c>
      <c r="AF175" s="878"/>
      <c r="AG175" s="881">
        <v>0</v>
      </c>
      <c r="AH175" s="881">
        <v>0</v>
      </c>
      <c r="AI175" s="881">
        <v>0</v>
      </c>
      <c r="AJ175" s="881">
        <v>0</v>
      </c>
      <c r="AK175" s="881">
        <v>0</v>
      </c>
      <c r="AL175" s="878"/>
      <c r="AM175" s="881">
        <v>0</v>
      </c>
      <c r="AN175" s="881">
        <v>0</v>
      </c>
      <c r="AO175" s="881">
        <v>0</v>
      </c>
      <c r="AP175" s="881">
        <v>0</v>
      </c>
      <c r="AQ175" s="881">
        <v>0</v>
      </c>
      <c r="AR175" s="878"/>
      <c r="AS175" s="881">
        <v>0</v>
      </c>
      <c r="AT175" s="881">
        <v>0</v>
      </c>
      <c r="AU175" s="881">
        <v>0</v>
      </c>
      <c r="AV175" s="881">
        <v>0</v>
      </c>
      <c r="AW175" s="881">
        <v>0</v>
      </c>
      <c r="AX175" s="878"/>
      <c r="AY175" s="881">
        <v>0</v>
      </c>
      <c r="AZ175" s="881">
        <v>0</v>
      </c>
      <c r="BA175" s="881">
        <v>0</v>
      </c>
      <c r="BB175" s="881">
        <v>0</v>
      </c>
      <c r="BC175" s="881">
        <v>0</v>
      </c>
      <c r="BD175" s="878"/>
      <c r="BE175" s="881">
        <v>0</v>
      </c>
      <c r="BF175" s="881">
        <v>0</v>
      </c>
      <c r="BG175" s="881">
        <v>0</v>
      </c>
      <c r="BH175" s="881">
        <v>0</v>
      </c>
      <c r="BI175" s="881">
        <v>0</v>
      </c>
      <c r="BJ175" s="878"/>
      <c r="BK175" s="881">
        <v>0</v>
      </c>
      <c r="BL175" s="881">
        <v>0</v>
      </c>
      <c r="BM175" s="881">
        <v>0</v>
      </c>
      <c r="BN175" s="881">
        <v>0</v>
      </c>
      <c r="BO175" s="881">
        <v>0</v>
      </c>
      <c r="BP175" s="878"/>
      <c r="BQ175" s="881">
        <v>0</v>
      </c>
      <c r="BR175" s="881">
        <v>0</v>
      </c>
      <c r="BS175" s="881">
        <v>0</v>
      </c>
      <c r="BT175" s="881">
        <v>0</v>
      </c>
      <c r="BU175" s="881">
        <v>0</v>
      </c>
      <c r="BV175" s="878"/>
      <c r="BW175" s="881">
        <v>0</v>
      </c>
      <c r="BX175" s="881">
        <v>0</v>
      </c>
      <c r="BY175" s="881">
        <v>0</v>
      </c>
      <c r="BZ175" s="881">
        <v>0</v>
      </c>
      <c r="CA175" s="881">
        <v>0</v>
      </c>
      <c r="CB175" s="878"/>
      <c r="CC175" s="881">
        <v>0</v>
      </c>
      <c r="CD175" s="881">
        <v>0</v>
      </c>
      <c r="CE175" s="881">
        <v>0</v>
      </c>
      <c r="CF175" s="881">
        <v>0</v>
      </c>
      <c r="CG175" s="881">
        <v>0</v>
      </c>
      <c r="CH175" s="878"/>
      <c r="CI175" s="881">
        <v>0</v>
      </c>
      <c r="CJ175" s="881">
        <v>0</v>
      </c>
      <c r="CK175" s="881">
        <v>0</v>
      </c>
      <c r="CL175" s="881">
        <v>0</v>
      </c>
      <c r="CM175" s="881">
        <v>0</v>
      </c>
      <c r="CN175" s="878"/>
      <c r="CO175" s="881">
        <v>0</v>
      </c>
      <c r="CP175" s="881">
        <v>0</v>
      </c>
      <c r="CQ175" s="881">
        <v>0</v>
      </c>
      <c r="CR175" s="881">
        <v>0</v>
      </c>
      <c r="CS175" s="881">
        <v>0</v>
      </c>
      <c r="CY175" s="43"/>
      <c r="CZ175" s="43"/>
    </row>
    <row r="176" spans="1:104" x14ac:dyDescent="0.2">
      <c r="A176" s="862" t="s">
        <v>393</v>
      </c>
      <c r="B176" s="878"/>
      <c r="C176" s="881">
        <v>0</v>
      </c>
      <c r="D176" s="881">
        <v>0</v>
      </c>
      <c r="E176" s="881">
        <v>0</v>
      </c>
      <c r="F176" s="881">
        <v>0</v>
      </c>
      <c r="G176" s="881">
        <v>0</v>
      </c>
      <c r="H176" s="878"/>
      <c r="I176" s="881">
        <v>0</v>
      </c>
      <c r="J176" s="881">
        <v>0</v>
      </c>
      <c r="K176" s="881">
        <v>0</v>
      </c>
      <c r="L176" s="881">
        <v>0</v>
      </c>
      <c r="M176" s="881">
        <v>0</v>
      </c>
      <c r="N176" s="878"/>
      <c r="O176" s="881">
        <v>0</v>
      </c>
      <c r="P176" s="881">
        <v>0</v>
      </c>
      <c r="Q176" s="881">
        <v>0</v>
      </c>
      <c r="R176" s="881">
        <v>0</v>
      </c>
      <c r="S176" s="881">
        <v>0</v>
      </c>
      <c r="T176" s="878"/>
      <c r="U176" s="881">
        <v>0</v>
      </c>
      <c r="V176" s="881">
        <v>0</v>
      </c>
      <c r="W176" s="881">
        <v>0</v>
      </c>
      <c r="X176" s="881">
        <v>0</v>
      </c>
      <c r="Y176" s="881">
        <v>0</v>
      </c>
      <c r="Z176" s="878"/>
      <c r="AA176" s="881">
        <v>0</v>
      </c>
      <c r="AB176" s="881">
        <v>0</v>
      </c>
      <c r="AC176" s="881">
        <v>0</v>
      </c>
      <c r="AD176" s="881">
        <v>0</v>
      </c>
      <c r="AE176" s="881">
        <v>0</v>
      </c>
      <c r="AF176" s="878"/>
      <c r="AG176" s="881">
        <v>0</v>
      </c>
      <c r="AH176" s="881">
        <v>0</v>
      </c>
      <c r="AI176" s="881">
        <v>0</v>
      </c>
      <c r="AJ176" s="881">
        <v>0</v>
      </c>
      <c r="AK176" s="881">
        <v>0</v>
      </c>
      <c r="AL176" s="878"/>
      <c r="AM176" s="881">
        <v>0</v>
      </c>
      <c r="AN176" s="881">
        <v>0</v>
      </c>
      <c r="AO176" s="881">
        <v>0</v>
      </c>
      <c r="AP176" s="881">
        <v>0</v>
      </c>
      <c r="AQ176" s="881">
        <v>0</v>
      </c>
      <c r="AR176" s="878"/>
      <c r="AS176" s="881">
        <v>0</v>
      </c>
      <c r="AT176" s="881">
        <v>0</v>
      </c>
      <c r="AU176" s="881">
        <v>0</v>
      </c>
      <c r="AV176" s="881">
        <v>0</v>
      </c>
      <c r="AW176" s="881">
        <v>0</v>
      </c>
      <c r="AX176" s="878"/>
      <c r="AY176" s="881">
        <v>0</v>
      </c>
      <c r="AZ176" s="881">
        <v>0</v>
      </c>
      <c r="BA176" s="881">
        <v>0</v>
      </c>
      <c r="BB176" s="881">
        <v>0</v>
      </c>
      <c r="BC176" s="881">
        <v>0</v>
      </c>
      <c r="BD176" s="878"/>
      <c r="BE176" s="881">
        <v>0</v>
      </c>
      <c r="BF176" s="881">
        <v>0</v>
      </c>
      <c r="BG176" s="881">
        <v>0</v>
      </c>
      <c r="BH176" s="881">
        <v>0</v>
      </c>
      <c r="BI176" s="881">
        <v>0</v>
      </c>
      <c r="BJ176" s="878"/>
      <c r="BK176" s="881">
        <v>0</v>
      </c>
      <c r="BL176" s="881">
        <v>0</v>
      </c>
      <c r="BM176" s="881">
        <v>0</v>
      </c>
      <c r="BN176" s="881">
        <v>0</v>
      </c>
      <c r="BO176" s="881">
        <v>0</v>
      </c>
      <c r="BP176" s="878"/>
      <c r="BQ176" s="881">
        <v>0</v>
      </c>
      <c r="BR176" s="881">
        <v>0</v>
      </c>
      <c r="BS176" s="881">
        <v>0</v>
      </c>
      <c r="BT176" s="881">
        <v>0</v>
      </c>
      <c r="BU176" s="881">
        <v>0</v>
      </c>
      <c r="BV176" s="878"/>
      <c r="BW176" s="881">
        <v>0</v>
      </c>
      <c r="BX176" s="881">
        <v>0</v>
      </c>
      <c r="BY176" s="881">
        <v>0</v>
      </c>
      <c r="BZ176" s="881">
        <v>0</v>
      </c>
      <c r="CA176" s="881">
        <v>0</v>
      </c>
      <c r="CB176" s="878"/>
      <c r="CC176" s="881">
        <v>0</v>
      </c>
      <c r="CD176" s="881">
        <v>0</v>
      </c>
      <c r="CE176" s="881">
        <v>0</v>
      </c>
      <c r="CF176" s="881">
        <v>0</v>
      </c>
      <c r="CG176" s="881">
        <v>0</v>
      </c>
      <c r="CH176" s="878"/>
      <c r="CI176" s="881">
        <v>0</v>
      </c>
      <c r="CJ176" s="881">
        <v>0</v>
      </c>
      <c r="CK176" s="881">
        <v>0</v>
      </c>
      <c r="CL176" s="881">
        <v>0</v>
      </c>
      <c r="CM176" s="881">
        <v>0</v>
      </c>
      <c r="CN176" s="878"/>
      <c r="CO176" s="881">
        <v>0</v>
      </c>
      <c r="CP176" s="881">
        <v>0</v>
      </c>
      <c r="CQ176" s="881">
        <v>0</v>
      </c>
      <c r="CR176" s="881">
        <v>0</v>
      </c>
      <c r="CS176" s="881">
        <v>0</v>
      </c>
      <c r="CY176" s="43"/>
      <c r="CZ176" s="43"/>
    </row>
    <row r="177" spans="1:104" x14ac:dyDescent="0.2">
      <c r="A177" s="862" t="s">
        <v>394</v>
      </c>
      <c r="B177" s="878"/>
      <c r="C177" s="881">
        <f>+C44</f>
        <v>239.86899999999997</v>
      </c>
      <c r="D177" s="881">
        <f t="shared" ref="D177:G177" si="395">+D44</f>
        <v>235.85000000000002</v>
      </c>
      <c r="E177" s="881">
        <f t="shared" si="395"/>
        <v>339.18899999999996</v>
      </c>
      <c r="F177" s="881">
        <f t="shared" si="395"/>
        <v>340.36299999999994</v>
      </c>
      <c r="G177" s="881">
        <f t="shared" si="395"/>
        <v>340.36299999999994</v>
      </c>
      <c r="H177" s="878"/>
      <c r="I177" s="881">
        <f>+I44</f>
        <v>341.74799999999993</v>
      </c>
      <c r="J177" s="881">
        <f t="shared" ref="J177:M177" si="396">+J44</f>
        <v>349.4679999999999</v>
      </c>
      <c r="K177" s="881">
        <f t="shared" si="396"/>
        <v>353.29600000000005</v>
      </c>
      <c r="L177" s="881">
        <f t="shared" si="396"/>
        <v>425.65500000000003</v>
      </c>
      <c r="M177" s="881">
        <f t="shared" si="396"/>
        <v>425.65500000000003</v>
      </c>
      <c r="N177" s="878"/>
      <c r="O177" s="881">
        <f t="shared" ref="O177:S177" si="397">+O44</f>
        <v>477.04399999999998</v>
      </c>
      <c r="P177" s="881">
        <f t="shared" si="397"/>
        <v>519.74599999999998</v>
      </c>
      <c r="Q177" s="881">
        <f t="shared" si="397"/>
        <v>583.92699999999991</v>
      </c>
      <c r="R177" s="881">
        <f t="shared" si="397"/>
        <v>434.21899999999999</v>
      </c>
      <c r="S177" s="881">
        <f t="shared" si="397"/>
        <v>434.21899999999999</v>
      </c>
      <c r="T177" s="878"/>
      <c r="U177" s="881">
        <f t="shared" ref="U177:Y177" si="398">+U44</f>
        <v>473.13600000000002</v>
      </c>
      <c r="V177" s="881">
        <f t="shared" si="398"/>
        <v>517.32600000000002</v>
      </c>
      <c r="W177" s="881">
        <f t="shared" si="398"/>
        <v>567.346</v>
      </c>
      <c r="X177" s="881">
        <f t="shared" si="398"/>
        <v>557.58100000000002</v>
      </c>
      <c r="Y177" s="881">
        <f t="shared" si="398"/>
        <v>557.58100000000002</v>
      </c>
      <c r="Z177" s="878"/>
      <c r="AA177" s="881">
        <f t="shared" ref="AA177:AE177" si="399">+AA44</f>
        <v>571.11099999999988</v>
      </c>
      <c r="AB177" s="881">
        <f t="shared" si="399"/>
        <v>561.10099999999989</v>
      </c>
      <c r="AC177" s="881">
        <f t="shared" si="399"/>
        <v>524.46</v>
      </c>
      <c r="AD177" s="881">
        <f t="shared" si="399"/>
        <v>566.79199999999992</v>
      </c>
      <c r="AE177" s="881">
        <f t="shared" si="399"/>
        <v>566.79199999999992</v>
      </c>
      <c r="AF177" s="878"/>
      <c r="AG177" s="881">
        <f t="shared" ref="AG177:AK177" si="400">+AG44</f>
        <v>578.99399999999991</v>
      </c>
      <c r="AH177" s="881">
        <f t="shared" si="400"/>
        <v>616.76400000000001</v>
      </c>
      <c r="AI177" s="881">
        <f t="shared" si="400"/>
        <v>652.19299999999998</v>
      </c>
      <c r="AJ177" s="881">
        <f t="shared" si="400"/>
        <v>635.66</v>
      </c>
      <c r="AK177" s="881">
        <f t="shared" si="400"/>
        <v>635.66</v>
      </c>
      <c r="AL177" s="878"/>
      <c r="AM177" s="881">
        <f t="shared" ref="AM177:AQ177" si="401">+AM44</f>
        <v>635.56700000000001</v>
      </c>
      <c r="AN177" s="881">
        <f t="shared" si="401"/>
        <v>662.11999999999989</v>
      </c>
      <c r="AO177" s="881">
        <f t="shared" si="401"/>
        <v>664.92900000000009</v>
      </c>
      <c r="AP177" s="881">
        <f t="shared" si="401"/>
        <v>728.59400000000005</v>
      </c>
      <c r="AQ177" s="881">
        <f t="shared" si="401"/>
        <v>728.59400000000005</v>
      </c>
      <c r="AR177" s="878"/>
      <c r="AS177" s="881">
        <f t="shared" ref="AS177:AW177" si="402">+AS44</f>
        <v>690.27200000000005</v>
      </c>
      <c r="AT177" s="881">
        <f t="shared" si="402"/>
        <v>675.97099999999989</v>
      </c>
      <c r="AU177" s="881">
        <f t="shared" si="402"/>
        <v>722.24200000000008</v>
      </c>
      <c r="AV177" s="881">
        <f t="shared" si="402"/>
        <v>718.99800000000005</v>
      </c>
      <c r="AW177" s="881">
        <f t="shared" si="402"/>
        <v>718.99800000000005</v>
      </c>
      <c r="AX177" s="878"/>
      <c r="AY177" s="881">
        <f t="shared" ref="AY177:BC177" si="403">+AY44</f>
        <v>712.15000000000009</v>
      </c>
      <c r="AZ177" s="881">
        <f t="shared" si="403"/>
        <v>694.24099999999999</v>
      </c>
      <c r="BA177" s="881">
        <f t="shared" si="403"/>
        <v>668.89800000000002</v>
      </c>
      <c r="BB177" s="881">
        <f t="shared" si="403"/>
        <v>662.12100000000009</v>
      </c>
      <c r="BC177" s="881">
        <f t="shared" si="403"/>
        <v>662.12100000000009</v>
      </c>
      <c r="BD177" s="878"/>
      <c r="BE177" s="881">
        <f t="shared" ref="BE177:BI177" si="404">+BE44</f>
        <v>687.1</v>
      </c>
      <c r="BF177" s="881">
        <f t="shared" si="404"/>
        <v>770.8</v>
      </c>
      <c r="BG177" s="881">
        <f t="shared" si="404"/>
        <v>770.2</v>
      </c>
      <c r="BH177" s="881">
        <f t="shared" si="404"/>
        <v>748.1</v>
      </c>
      <c r="BI177" s="881">
        <f t="shared" si="404"/>
        <v>748.1</v>
      </c>
      <c r="BJ177" s="878"/>
      <c r="BK177" s="881">
        <f t="shared" ref="BK177:BO177" si="405">+BK44</f>
        <v>735.30000000000007</v>
      </c>
      <c r="BL177" s="881">
        <f t="shared" si="405"/>
        <v>732.69999999999993</v>
      </c>
      <c r="BM177" s="881">
        <f t="shared" si="405"/>
        <v>747.90000000000009</v>
      </c>
      <c r="BN177" s="881">
        <f t="shared" si="405"/>
        <v>777.80000000000007</v>
      </c>
      <c r="BO177" s="881">
        <f t="shared" si="405"/>
        <v>777.80000000000007</v>
      </c>
      <c r="BP177" s="878"/>
      <c r="BQ177" s="881">
        <f t="shared" ref="BQ177:BU177" si="406">+BQ44</f>
        <v>870.6</v>
      </c>
      <c r="BR177" s="881">
        <f t="shared" si="406"/>
        <v>914.2</v>
      </c>
      <c r="BS177" s="881">
        <f t="shared" si="406"/>
        <v>955.03320513284075</v>
      </c>
      <c r="BT177" s="881">
        <f t="shared" si="406"/>
        <v>998.08866699188331</v>
      </c>
      <c r="BU177" s="881">
        <f t="shared" si="406"/>
        <v>998.08866699188331</v>
      </c>
      <c r="BV177" s="878"/>
      <c r="BW177" s="881">
        <f t="shared" ref="BW177:CA177" si="407">+BW44</f>
        <v>1035.318386387082</v>
      </c>
      <c r="BX177" s="881">
        <f t="shared" si="407"/>
        <v>1076.512677581296</v>
      </c>
      <c r="BY177" s="881">
        <f t="shared" si="407"/>
        <v>1115.2198643926361</v>
      </c>
      <c r="BZ177" s="881">
        <f t="shared" si="407"/>
        <v>1157.1554548495506</v>
      </c>
      <c r="CA177" s="881">
        <f t="shared" si="407"/>
        <v>1157.1554548495506</v>
      </c>
      <c r="CB177" s="878"/>
      <c r="CC177" s="881">
        <f t="shared" ref="CC177:CG177" si="408">+CC44</f>
        <v>1196.6970831769252</v>
      </c>
      <c r="CD177" s="881">
        <f t="shared" si="408"/>
        <v>1240.6857049568441</v>
      </c>
      <c r="CE177" s="881">
        <f t="shared" si="408"/>
        <v>1281.9950309068975</v>
      </c>
      <c r="CF177" s="881">
        <f t="shared" si="408"/>
        <v>1326.5688074375578</v>
      </c>
      <c r="CG177" s="881">
        <f t="shared" si="408"/>
        <v>1326.5688074375578</v>
      </c>
      <c r="CH177" s="878"/>
      <c r="CI177" s="881">
        <f t="shared" ref="CI177:CM177" si="409">+CI44</f>
        <v>1367.4728873931408</v>
      </c>
      <c r="CJ177" s="881">
        <f t="shared" si="409"/>
        <v>1412.7509022158758</v>
      </c>
      <c r="CK177" s="881">
        <f t="shared" si="409"/>
        <v>1454.9332402155621</v>
      </c>
      <c r="CL177" s="881">
        <f t="shared" si="409"/>
        <v>1500.1454731141148</v>
      </c>
      <c r="CM177" s="881">
        <f t="shared" si="409"/>
        <v>1500.1454731141148</v>
      </c>
      <c r="CN177" s="878"/>
      <c r="CO177" s="881">
        <f t="shared" ref="CO177:CS177" si="410">+CO44</f>
        <v>1543.2710294883882</v>
      </c>
      <c r="CP177" s="881">
        <f t="shared" si="410"/>
        <v>1591.3848741372171</v>
      </c>
      <c r="CQ177" s="881">
        <f t="shared" si="410"/>
        <v>1636.1112518975881</v>
      </c>
      <c r="CR177" s="881">
        <f t="shared" si="410"/>
        <v>1684.1249286260445</v>
      </c>
      <c r="CS177" s="881">
        <f t="shared" si="410"/>
        <v>1684.1249286260445</v>
      </c>
      <c r="CY177" s="43"/>
      <c r="CZ177" s="43"/>
    </row>
    <row r="178" spans="1:104" x14ac:dyDescent="0.2">
      <c r="A178" s="882" t="s">
        <v>395</v>
      </c>
      <c r="B178" s="878"/>
      <c r="C178" s="881"/>
      <c r="D178" s="881"/>
      <c r="E178" s="881"/>
      <c r="F178" s="881"/>
      <c r="G178" s="881"/>
      <c r="H178" s="878"/>
      <c r="I178" s="881"/>
      <c r="J178" s="881"/>
      <c r="K178" s="881"/>
      <c r="L178" s="881"/>
      <c r="M178" s="881"/>
      <c r="N178" s="878"/>
      <c r="O178" s="881"/>
      <c r="P178" s="881"/>
      <c r="Q178" s="881"/>
      <c r="R178" s="881"/>
      <c r="S178" s="881"/>
      <c r="T178" s="878"/>
      <c r="U178" s="881"/>
      <c r="V178" s="881"/>
      <c r="W178" s="881"/>
      <c r="X178" s="881"/>
      <c r="Y178" s="881"/>
      <c r="Z178" s="878"/>
      <c r="AA178" s="881"/>
      <c r="AB178" s="881"/>
      <c r="AC178" s="881"/>
      <c r="AD178" s="881"/>
      <c r="AE178" s="881"/>
      <c r="AF178" s="878"/>
      <c r="AG178" s="881"/>
      <c r="AH178" s="881"/>
      <c r="AI178" s="881"/>
      <c r="AJ178" s="881"/>
      <c r="AK178" s="881"/>
      <c r="AL178" s="878"/>
      <c r="AM178" s="881"/>
      <c r="AN178" s="881"/>
      <c r="AO178" s="881"/>
      <c r="AP178" s="881"/>
      <c r="AQ178" s="881"/>
      <c r="AR178" s="878"/>
      <c r="AS178" s="881"/>
      <c r="AT178" s="881"/>
      <c r="AU178" s="881"/>
      <c r="AV178" s="881"/>
      <c r="AW178" s="881"/>
      <c r="AX178" s="878"/>
      <c r="AY178" s="881"/>
      <c r="AZ178" s="881"/>
      <c r="BA178" s="881"/>
      <c r="BB178" s="881"/>
      <c r="BC178" s="881"/>
      <c r="BD178" s="878"/>
      <c r="BE178" s="881"/>
      <c r="BF178" s="881"/>
      <c r="BG178" s="881"/>
      <c r="BH178" s="881"/>
      <c r="BI178" s="881"/>
      <c r="BJ178" s="878"/>
      <c r="BK178" s="881"/>
      <c r="BL178" s="881"/>
      <c r="BM178" s="881"/>
      <c r="BN178" s="881"/>
      <c r="BO178" s="881"/>
      <c r="BP178" s="878"/>
      <c r="BQ178" s="881"/>
      <c r="BR178" s="881"/>
      <c r="BS178" s="881"/>
      <c r="BT178" s="881"/>
      <c r="BU178" s="881"/>
      <c r="BV178" s="878"/>
      <c r="BW178" s="881"/>
      <c r="BX178" s="881"/>
      <c r="BY178" s="881"/>
      <c r="BZ178" s="881"/>
      <c r="CA178" s="881"/>
      <c r="CB178" s="878"/>
      <c r="CC178" s="881"/>
      <c r="CD178" s="881"/>
      <c r="CE178" s="881"/>
      <c r="CF178" s="881"/>
      <c r="CG178" s="881"/>
      <c r="CH178" s="878"/>
      <c r="CI178" s="881"/>
      <c r="CJ178" s="881"/>
      <c r="CK178" s="881"/>
      <c r="CL178" s="881"/>
      <c r="CM178" s="881"/>
      <c r="CN178" s="878"/>
      <c r="CO178" s="881"/>
      <c r="CP178" s="881"/>
      <c r="CQ178" s="881"/>
      <c r="CR178" s="881"/>
      <c r="CS178" s="881"/>
      <c r="CY178" s="43"/>
      <c r="CZ178" s="43"/>
    </row>
    <row r="179" spans="1:104" x14ac:dyDescent="0.2">
      <c r="A179" s="870" t="s">
        <v>396</v>
      </c>
      <c r="B179" s="878"/>
      <c r="C179" s="881"/>
      <c r="D179" s="881"/>
      <c r="E179" s="881"/>
      <c r="F179" s="881"/>
      <c r="G179" s="881"/>
      <c r="H179" s="878"/>
      <c r="I179" s="881"/>
      <c r="J179" s="881"/>
      <c r="K179" s="881"/>
      <c r="L179" s="881"/>
      <c r="M179" s="881"/>
      <c r="N179" s="878"/>
      <c r="O179" s="881"/>
      <c r="P179" s="881"/>
      <c r="Q179" s="881"/>
      <c r="R179" s="881"/>
      <c r="S179" s="881"/>
      <c r="T179" s="878"/>
      <c r="U179" s="881"/>
      <c r="V179" s="881"/>
      <c r="W179" s="881"/>
      <c r="X179" s="881"/>
      <c r="Y179" s="881"/>
      <c r="Z179" s="878"/>
      <c r="AA179" s="881"/>
      <c r="AB179" s="881"/>
      <c r="AC179" s="881"/>
      <c r="AD179" s="881"/>
      <c r="AE179" s="881"/>
      <c r="AF179" s="878"/>
      <c r="AG179" s="881"/>
      <c r="AH179" s="881"/>
      <c r="AI179" s="881"/>
      <c r="AJ179" s="881"/>
      <c r="AK179" s="881"/>
      <c r="AL179" s="878"/>
      <c r="AM179" s="881"/>
      <c r="AN179" s="881"/>
      <c r="AO179" s="881"/>
      <c r="AP179" s="881"/>
      <c r="AQ179" s="881"/>
      <c r="AR179" s="878"/>
      <c r="AS179" s="881"/>
      <c r="AT179" s="881"/>
      <c r="AU179" s="881"/>
      <c r="AV179" s="881"/>
      <c r="AW179" s="881"/>
      <c r="AX179" s="878"/>
      <c r="AY179" s="881"/>
      <c r="AZ179" s="881"/>
      <c r="BA179" s="881"/>
      <c r="BB179" s="881"/>
      <c r="BC179" s="881"/>
      <c r="BD179" s="878"/>
      <c r="BE179" s="881"/>
      <c r="BF179" s="881"/>
      <c r="BG179" s="881"/>
      <c r="BH179" s="881"/>
      <c r="BI179" s="881"/>
      <c r="BJ179" s="878"/>
      <c r="BK179" s="881"/>
      <c r="BL179" s="881"/>
      <c r="BM179" s="881"/>
      <c r="BN179" s="881"/>
      <c r="BO179" s="881"/>
      <c r="BP179" s="878"/>
      <c r="BQ179" s="881"/>
      <c r="BR179" s="881"/>
      <c r="BS179" s="881"/>
      <c r="BT179" s="881"/>
      <c r="BU179" s="881"/>
      <c r="BV179" s="878"/>
      <c r="BW179" s="881"/>
      <c r="BX179" s="881"/>
      <c r="BY179" s="881"/>
      <c r="BZ179" s="881"/>
      <c r="CA179" s="881"/>
      <c r="CB179" s="878"/>
      <c r="CC179" s="881"/>
      <c r="CD179" s="881"/>
      <c r="CE179" s="881"/>
      <c r="CF179" s="881"/>
      <c r="CG179" s="881"/>
      <c r="CH179" s="878"/>
      <c r="CI179" s="881"/>
      <c r="CJ179" s="881"/>
      <c r="CK179" s="881"/>
      <c r="CL179" s="881"/>
      <c r="CM179" s="881"/>
      <c r="CN179" s="878"/>
      <c r="CO179" s="881"/>
      <c r="CP179" s="881"/>
      <c r="CQ179" s="881"/>
      <c r="CR179" s="881"/>
      <c r="CS179" s="881"/>
      <c r="CY179" s="43"/>
      <c r="CZ179" s="43"/>
    </row>
    <row r="180" spans="1:104" x14ac:dyDescent="0.2">
      <c r="A180" s="862" t="s">
        <v>397</v>
      </c>
      <c r="B180" s="878"/>
      <c r="C180" s="881">
        <f>-C8</f>
        <v>-88.625</v>
      </c>
      <c r="D180" s="881">
        <f t="shared" ref="D180:G180" si="411">-D8</f>
        <v>-85.867999999999995</v>
      </c>
      <c r="E180" s="881">
        <f t="shared" si="411"/>
        <v>-194.87100000000001</v>
      </c>
      <c r="F180" s="881">
        <f t="shared" si="411"/>
        <v>-143.43199999999999</v>
      </c>
      <c r="G180" s="881">
        <f t="shared" si="411"/>
        <v>-143.43199999999999</v>
      </c>
      <c r="H180" s="878"/>
      <c r="I180" s="881">
        <f>-I8</f>
        <v>-107.21599999999999</v>
      </c>
      <c r="J180" s="881">
        <f t="shared" ref="J180:M180" si="412">-J8</f>
        <v>-114.575</v>
      </c>
      <c r="K180" s="881">
        <f t="shared" si="412"/>
        <v>-142.392</v>
      </c>
      <c r="L180" s="881">
        <f t="shared" si="412"/>
        <v>-237.73400000000001</v>
      </c>
      <c r="M180" s="881">
        <f t="shared" si="412"/>
        <v>-237.73400000000001</v>
      </c>
      <c r="N180" s="878"/>
      <c r="O180" s="881">
        <f t="shared" ref="O180:S180" si="413">-O8</f>
        <v>-230.233</v>
      </c>
      <c r="P180" s="881">
        <f t="shared" si="413"/>
        <v>-178.98500000000001</v>
      </c>
      <c r="Q180" s="881">
        <f t="shared" si="413"/>
        <v>-200.685</v>
      </c>
      <c r="R180" s="881">
        <f t="shared" si="413"/>
        <v>-63.51</v>
      </c>
      <c r="S180" s="881">
        <f t="shared" si="413"/>
        <v>-63.51</v>
      </c>
      <c r="T180" s="878"/>
      <c r="U180" s="881">
        <f t="shared" ref="U180:Y180" si="414">-U8</f>
        <v>-91.195999999999998</v>
      </c>
      <c r="V180" s="881">
        <f t="shared" si="414"/>
        <v>-60.430999999999997</v>
      </c>
      <c r="W180" s="881">
        <f t="shared" si="414"/>
        <v>-102.149</v>
      </c>
      <c r="X180" s="881">
        <f t="shared" si="414"/>
        <v>-92.84</v>
      </c>
      <c r="Y180" s="881">
        <f t="shared" si="414"/>
        <v>-92.84</v>
      </c>
      <c r="Z180" s="878"/>
      <c r="AA180" s="881">
        <f t="shared" ref="AA180:AE180" si="415">-AA8</f>
        <v>-123.30500000000001</v>
      </c>
      <c r="AB180" s="881">
        <f t="shared" si="415"/>
        <v>-67.668999999999997</v>
      </c>
      <c r="AC180" s="881">
        <f t="shared" si="415"/>
        <v>-67.378</v>
      </c>
      <c r="AD180" s="881">
        <f t="shared" si="415"/>
        <v>-52.680999999999997</v>
      </c>
      <c r="AE180" s="881">
        <f t="shared" si="415"/>
        <v>-52.680999999999997</v>
      </c>
      <c r="AF180" s="878"/>
      <c r="AG180" s="881">
        <f t="shared" ref="AG180:AK180" si="416">-AG8</f>
        <v>-62.676000000000002</v>
      </c>
      <c r="AH180" s="881">
        <f t="shared" si="416"/>
        <v>-108.848</v>
      </c>
      <c r="AI180" s="881">
        <f t="shared" si="416"/>
        <v>-104.852</v>
      </c>
      <c r="AJ180" s="881">
        <f t="shared" si="416"/>
        <v>-86.352000000000004</v>
      </c>
      <c r="AK180" s="881">
        <f t="shared" si="416"/>
        <v>-86.352000000000004</v>
      </c>
      <c r="AL180" s="878"/>
      <c r="AM180" s="881">
        <f t="shared" ref="AM180:AQ180" si="417">-AM8</f>
        <v>-95.582999999999998</v>
      </c>
      <c r="AN180" s="881">
        <f t="shared" si="417"/>
        <v>-68.423000000000002</v>
      </c>
      <c r="AO180" s="881">
        <f t="shared" si="417"/>
        <v>-112.32299999999999</v>
      </c>
      <c r="AP180" s="881">
        <f t="shared" si="417"/>
        <v>-104.07299999999999</v>
      </c>
      <c r="AQ180" s="881">
        <f t="shared" si="417"/>
        <v>-104.07299999999999</v>
      </c>
      <c r="AR180" s="878"/>
      <c r="AS180" s="881">
        <f t="shared" ref="AS180:AW180" si="418">-AS8</f>
        <v>-84.986999999999995</v>
      </c>
      <c r="AT180" s="881">
        <f t="shared" si="418"/>
        <v>-71.599000000000004</v>
      </c>
      <c r="AU180" s="881">
        <f t="shared" si="418"/>
        <v>-85.798000000000002</v>
      </c>
      <c r="AV180" s="881">
        <f t="shared" si="418"/>
        <v>-64.820999999999998</v>
      </c>
      <c r="AW180" s="881">
        <f t="shared" si="418"/>
        <v>-64.820999999999998</v>
      </c>
      <c r="AX180" s="878"/>
      <c r="AY180" s="881">
        <f t="shared" ref="AY180:BC180" si="419">-AY8</f>
        <v>-69.802999999999997</v>
      </c>
      <c r="AZ180" s="881">
        <f t="shared" si="419"/>
        <v>-59.709000000000003</v>
      </c>
      <c r="BA180" s="881">
        <f t="shared" si="419"/>
        <v>-55.209000000000003</v>
      </c>
      <c r="BB180" s="881">
        <f t="shared" si="419"/>
        <v>-64.120999999999995</v>
      </c>
      <c r="BC180" s="881">
        <f t="shared" si="419"/>
        <v>-64.120999999999995</v>
      </c>
      <c r="BD180" s="878"/>
      <c r="BE180" s="881">
        <f t="shared" ref="BE180:BI180" si="420">-BE8</f>
        <v>-87.4</v>
      </c>
      <c r="BF180" s="881">
        <f t="shared" si="420"/>
        <v>-134.69999999999999</v>
      </c>
      <c r="BG180" s="881">
        <f t="shared" si="420"/>
        <v>-120.5</v>
      </c>
      <c r="BH180" s="881">
        <f t="shared" si="420"/>
        <v>-68.5</v>
      </c>
      <c r="BI180" s="881">
        <f t="shared" si="420"/>
        <v>-68.5</v>
      </c>
      <c r="BJ180" s="878"/>
      <c r="BK180" s="881">
        <f t="shared" ref="BK180:BO180" si="421">-BK8</f>
        <v>-86.9</v>
      </c>
      <c r="BL180" s="881">
        <f t="shared" si="421"/>
        <v>-108.1</v>
      </c>
      <c r="BM180" s="881">
        <f t="shared" si="421"/>
        <v>-123.8</v>
      </c>
      <c r="BN180" s="881">
        <f t="shared" si="421"/>
        <v>-102.4</v>
      </c>
      <c r="BO180" s="881">
        <f t="shared" si="421"/>
        <v>-102.4</v>
      </c>
      <c r="BP180" s="878"/>
      <c r="BQ180" s="881">
        <f t="shared" ref="BQ180:BU180" si="422">-BQ8</f>
        <v>-87.9</v>
      </c>
      <c r="BR180" s="881">
        <f t="shared" si="422"/>
        <v>-88.7</v>
      </c>
      <c r="BS180" s="881">
        <f t="shared" si="422"/>
        <v>-131.74871591025189</v>
      </c>
      <c r="BT180" s="881">
        <f t="shared" si="422"/>
        <v>-189.15973985192443</v>
      </c>
      <c r="BU180" s="881">
        <f t="shared" si="422"/>
        <v>-189.15973985192443</v>
      </c>
      <c r="BV180" s="878"/>
      <c r="BW180" s="881">
        <f t="shared" ref="BW180:CA180" si="423">-BW8</f>
        <v>-228.63051622129646</v>
      </c>
      <c r="BX180" s="881">
        <f t="shared" si="423"/>
        <v>-273.45601221189827</v>
      </c>
      <c r="BY180" s="881">
        <f t="shared" si="423"/>
        <v>-327.52935360935942</v>
      </c>
      <c r="BZ180" s="881">
        <f t="shared" si="423"/>
        <v>-384.78696349447722</v>
      </c>
      <c r="CA180" s="881">
        <f t="shared" si="423"/>
        <v>-384.78696349447722</v>
      </c>
      <c r="CB180" s="878"/>
      <c r="CC180" s="881">
        <f t="shared" ref="CC180:CG180" si="424">-CC8</f>
        <v>-428.36639402859652</v>
      </c>
      <c r="CD180" s="881">
        <f t="shared" si="424"/>
        <v>-475.12920402550742</v>
      </c>
      <c r="CE180" s="881">
        <f t="shared" si="424"/>
        <v>-532.47171686595937</v>
      </c>
      <c r="CF180" s="881">
        <f t="shared" si="424"/>
        <v>-592.70678525748144</v>
      </c>
      <c r="CG180" s="881">
        <f t="shared" si="424"/>
        <v>-592.70678525748144</v>
      </c>
      <c r="CH180" s="878"/>
      <c r="CI180" s="881">
        <f t="shared" ref="CI180:CM180" si="425">-CI8</f>
        <v>-636.76298444163183</v>
      </c>
      <c r="CJ180" s="881">
        <f t="shared" si="425"/>
        <v>-684.26031690427101</v>
      </c>
      <c r="CK180" s="881">
        <f t="shared" si="425"/>
        <v>-743.56624610748474</v>
      </c>
      <c r="CL180" s="881">
        <f t="shared" si="425"/>
        <v>-804.99122578031051</v>
      </c>
      <c r="CM180" s="881">
        <f t="shared" si="425"/>
        <v>-804.99122578031051</v>
      </c>
      <c r="CN180" s="878"/>
      <c r="CO180" s="881">
        <f t="shared" ref="CO180:CS180" si="426">-CO8</f>
        <v>-850.77139627473332</v>
      </c>
      <c r="CP180" s="881">
        <f t="shared" si="426"/>
        <v>-900.13947557413724</v>
      </c>
      <c r="CQ180" s="881">
        <f t="shared" si="426"/>
        <v>-963.75346612248961</v>
      </c>
      <c r="CR180" s="881">
        <f t="shared" si="426"/>
        <v>-1028.2166911523273</v>
      </c>
      <c r="CS180" s="881">
        <f t="shared" si="426"/>
        <v>-1028.2166911523273</v>
      </c>
      <c r="CY180" s="43"/>
      <c r="CZ180" s="43"/>
    </row>
    <row r="181" spans="1:104" x14ac:dyDescent="0.2">
      <c r="A181" s="862" t="s">
        <v>398</v>
      </c>
      <c r="B181" s="878"/>
      <c r="C181" s="881">
        <f>-C9-C18</f>
        <v>-123.49</v>
      </c>
      <c r="D181" s="881">
        <f t="shared" ref="D181:G181" si="427">-D9-D18</f>
        <v>-117.643</v>
      </c>
      <c r="E181" s="881">
        <f t="shared" si="427"/>
        <v>-109.476</v>
      </c>
      <c r="F181" s="881">
        <f t="shared" si="427"/>
        <v>-164.88</v>
      </c>
      <c r="G181" s="881">
        <f t="shared" si="427"/>
        <v>-164.88</v>
      </c>
      <c r="H181" s="878"/>
      <c r="I181" s="881">
        <f>-I9-I18</f>
        <v>-192.07400000000001</v>
      </c>
      <c r="J181" s="881">
        <f t="shared" ref="J181:M181" si="428">-J9-J18</f>
        <v>-188.87799999999999</v>
      </c>
      <c r="K181" s="881">
        <f t="shared" si="428"/>
        <v>-168.096</v>
      </c>
      <c r="L181" s="881">
        <f t="shared" si="428"/>
        <v>-182.322</v>
      </c>
      <c r="M181" s="881">
        <f t="shared" si="428"/>
        <v>-182.322</v>
      </c>
      <c r="N181" s="878"/>
      <c r="O181" s="881">
        <f t="shared" ref="O181:S181" si="429">-O9-O18</f>
        <v>-212.392</v>
      </c>
      <c r="P181" s="881">
        <f t="shared" si="429"/>
        <v>-317.93700000000001</v>
      </c>
      <c r="Q181" s="881">
        <f t="shared" si="429"/>
        <v>-334.15700000000004</v>
      </c>
      <c r="R181" s="881">
        <f t="shared" si="429"/>
        <v>-328.71500000000003</v>
      </c>
      <c r="S181" s="881">
        <f t="shared" si="429"/>
        <v>-328.71500000000003</v>
      </c>
      <c r="T181" s="878"/>
      <c r="U181" s="881">
        <f t="shared" ref="U181:Y181" si="430">-U9-U18</f>
        <v>-325.803</v>
      </c>
      <c r="V181" s="881">
        <f t="shared" si="430"/>
        <v>-397.12800000000004</v>
      </c>
      <c r="W181" s="881">
        <f t="shared" si="430"/>
        <v>-409.03399999999999</v>
      </c>
      <c r="X181" s="881">
        <f t="shared" si="430"/>
        <v>-395.54199999999997</v>
      </c>
      <c r="Y181" s="881">
        <f t="shared" si="430"/>
        <v>-395.54199999999997</v>
      </c>
      <c r="Z181" s="878"/>
      <c r="AA181" s="881">
        <f t="shared" ref="AA181:AE181" si="431">-AA9-AA18</f>
        <v>-385.09699999999998</v>
      </c>
      <c r="AB181" s="881">
        <f t="shared" si="431"/>
        <v>-426.73599999999999</v>
      </c>
      <c r="AC181" s="881">
        <f t="shared" si="431"/>
        <v>-384.113</v>
      </c>
      <c r="AD181" s="881">
        <f t="shared" si="431"/>
        <v>-364.63300000000004</v>
      </c>
      <c r="AE181" s="881">
        <f t="shared" si="431"/>
        <v>-364.63300000000004</v>
      </c>
      <c r="AF181" s="878"/>
      <c r="AG181" s="881">
        <f t="shared" ref="AG181:AK181" si="432">-AG9-AG18</f>
        <v>-339.02700000000004</v>
      </c>
      <c r="AH181" s="881">
        <f t="shared" si="432"/>
        <v>-319.411</v>
      </c>
      <c r="AI181" s="881">
        <f t="shared" si="432"/>
        <v>-361.858</v>
      </c>
      <c r="AJ181" s="881">
        <f t="shared" si="432"/>
        <v>-367.87200000000001</v>
      </c>
      <c r="AK181" s="881">
        <f t="shared" si="432"/>
        <v>-367.87200000000001</v>
      </c>
      <c r="AL181" s="878"/>
      <c r="AM181" s="881">
        <f t="shared" ref="AM181:AQ181" si="433">-AM9-AM18</f>
        <v>-370.70699999999999</v>
      </c>
      <c r="AN181" s="881">
        <f t="shared" si="433"/>
        <v>-399.846</v>
      </c>
      <c r="AO181" s="881">
        <f t="shared" si="433"/>
        <v>-349.95400000000001</v>
      </c>
      <c r="AP181" s="881">
        <f t="shared" si="433"/>
        <v>-426.99099999999999</v>
      </c>
      <c r="AQ181" s="881">
        <f t="shared" si="433"/>
        <v>-426.99099999999999</v>
      </c>
      <c r="AR181" s="878"/>
      <c r="AS181" s="881">
        <f t="shared" ref="AS181:AW181" si="434">-AS9-AS18</f>
        <v>-430.59699999999998</v>
      </c>
      <c r="AT181" s="881">
        <f t="shared" si="434"/>
        <v>-417.18299999999999</v>
      </c>
      <c r="AU181" s="881">
        <f t="shared" si="434"/>
        <v>-191.91500000000002</v>
      </c>
      <c r="AV181" s="881">
        <f t="shared" si="434"/>
        <v>-205.76499999999999</v>
      </c>
      <c r="AW181" s="881">
        <f t="shared" si="434"/>
        <v>-205.76499999999999</v>
      </c>
      <c r="AX181" s="878"/>
      <c r="AY181" s="881">
        <f t="shared" ref="AY181:BC181" si="435">-AY9-AY18</f>
        <v>-166.554</v>
      </c>
      <c r="AZ181" s="881">
        <f t="shared" si="435"/>
        <v>-169.84399999999999</v>
      </c>
      <c r="BA181" s="881">
        <f t="shared" si="435"/>
        <v>-120.42400000000001</v>
      </c>
      <c r="BB181" s="881">
        <f t="shared" si="435"/>
        <v>-121.30000000000001</v>
      </c>
      <c r="BC181" s="881">
        <f t="shared" si="435"/>
        <v>-121.30000000000001</v>
      </c>
      <c r="BD181" s="878"/>
      <c r="BE181" s="881">
        <f t="shared" ref="BE181:BI181" si="436">-BE9-BE18</f>
        <v>-111.1</v>
      </c>
      <c r="BF181" s="881">
        <f t="shared" si="436"/>
        <v>-150.80000000000001</v>
      </c>
      <c r="BG181" s="881">
        <f t="shared" si="436"/>
        <v>-165.9</v>
      </c>
      <c r="BH181" s="881">
        <f t="shared" si="436"/>
        <v>-170.4</v>
      </c>
      <c r="BI181" s="881">
        <f t="shared" si="436"/>
        <v>-170.4</v>
      </c>
      <c r="BJ181" s="878"/>
      <c r="BK181" s="881">
        <f t="shared" ref="BK181:BO181" si="437">-BK9-BK18</f>
        <v>-113.7</v>
      </c>
      <c r="BL181" s="881">
        <f t="shared" si="437"/>
        <v>-109.9</v>
      </c>
      <c r="BM181" s="881">
        <f t="shared" si="437"/>
        <v>-101.69999999999999</v>
      </c>
      <c r="BN181" s="881">
        <f t="shared" si="437"/>
        <v>-96.8</v>
      </c>
      <c r="BO181" s="881">
        <f t="shared" si="437"/>
        <v>-96.8</v>
      </c>
      <c r="BP181" s="878"/>
      <c r="BQ181" s="881">
        <f t="shared" ref="BQ181:BU181" si="438">-BQ9-BQ18</f>
        <v>-110.5</v>
      </c>
      <c r="BR181" s="881">
        <f t="shared" si="438"/>
        <v>-113.3</v>
      </c>
      <c r="BS181" s="881">
        <f t="shared" si="438"/>
        <v>-113.3</v>
      </c>
      <c r="BT181" s="881">
        <f t="shared" si="438"/>
        <v>-113.3</v>
      </c>
      <c r="BU181" s="881">
        <f t="shared" si="438"/>
        <v>-113.3</v>
      </c>
      <c r="BV181" s="878"/>
      <c r="BW181" s="881">
        <f t="shared" ref="BW181:CA181" si="439">-BW9-BW18</f>
        <v>-113.3</v>
      </c>
      <c r="BX181" s="881">
        <f t="shared" si="439"/>
        <v>-113.3</v>
      </c>
      <c r="BY181" s="881">
        <f t="shared" si="439"/>
        <v>-113.3</v>
      </c>
      <c r="BZ181" s="881">
        <f t="shared" si="439"/>
        <v>-113.3</v>
      </c>
      <c r="CA181" s="881">
        <f t="shared" si="439"/>
        <v>-113.3</v>
      </c>
      <c r="CB181" s="878"/>
      <c r="CC181" s="881">
        <f t="shared" ref="CC181:CG181" si="440">-CC9-CC18</f>
        <v>-113.3</v>
      </c>
      <c r="CD181" s="881">
        <f t="shared" si="440"/>
        <v>-113.3</v>
      </c>
      <c r="CE181" s="881">
        <f t="shared" si="440"/>
        <v>-113.3</v>
      </c>
      <c r="CF181" s="881">
        <f t="shared" si="440"/>
        <v>-113.3</v>
      </c>
      <c r="CG181" s="881">
        <f t="shared" si="440"/>
        <v>-113.3</v>
      </c>
      <c r="CH181" s="878"/>
      <c r="CI181" s="881">
        <f t="shared" ref="CI181:CM181" si="441">-CI9-CI18</f>
        <v>-113.3</v>
      </c>
      <c r="CJ181" s="881">
        <f t="shared" si="441"/>
        <v>-113.3</v>
      </c>
      <c r="CK181" s="881">
        <f t="shared" si="441"/>
        <v>-113.3</v>
      </c>
      <c r="CL181" s="881">
        <f t="shared" si="441"/>
        <v>-113.3</v>
      </c>
      <c r="CM181" s="881">
        <f t="shared" si="441"/>
        <v>-113.3</v>
      </c>
      <c r="CN181" s="878"/>
      <c r="CO181" s="881">
        <f t="shared" ref="CO181:CS181" si="442">-CO9-CO18</f>
        <v>-113.3</v>
      </c>
      <c r="CP181" s="881">
        <f t="shared" si="442"/>
        <v>-113.3</v>
      </c>
      <c r="CQ181" s="881">
        <f t="shared" si="442"/>
        <v>-113.3</v>
      </c>
      <c r="CR181" s="881">
        <f t="shared" si="442"/>
        <v>-113.3</v>
      </c>
      <c r="CS181" s="881">
        <f t="shared" si="442"/>
        <v>-113.3</v>
      </c>
      <c r="CY181" s="43"/>
      <c r="CZ181" s="43"/>
    </row>
    <row r="182" spans="1:104" x14ac:dyDescent="0.2">
      <c r="A182" s="862" t="s">
        <v>399</v>
      </c>
      <c r="B182" s="878"/>
      <c r="C182" s="881">
        <f>-C23</f>
        <v>0</v>
      </c>
      <c r="D182" s="881">
        <f t="shared" ref="D182:G182" si="443">-D23</f>
        <v>0</v>
      </c>
      <c r="E182" s="881">
        <f t="shared" si="443"/>
        <v>0</v>
      </c>
      <c r="F182" s="881">
        <f t="shared" si="443"/>
        <v>0</v>
      </c>
      <c r="G182" s="881">
        <f t="shared" si="443"/>
        <v>0</v>
      </c>
      <c r="H182" s="878"/>
      <c r="I182" s="881">
        <f>-I23</f>
        <v>0</v>
      </c>
      <c r="J182" s="881">
        <f t="shared" ref="J182:M182" si="444">-J23</f>
        <v>0</v>
      </c>
      <c r="K182" s="881">
        <f t="shared" si="444"/>
        <v>0</v>
      </c>
      <c r="L182" s="881">
        <f t="shared" si="444"/>
        <v>0</v>
      </c>
      <c r="M182" s="881">
        <f t="shared" si="444"/>
        <v>0</v>
      </c>
      <c r="N182" s="878"/>
      <c r="O182" s="881">
        <f t="shared" ref="O182:S182" si="445">-O23</f>
        <v>0</v>
      </c>
      <c r="P182" s="881">
        <f t="shared" si="445"/>
        <v>0</v>
      </c>
      <c r="Q182" s="881">
        <f t="shared" si="445"/>
        <v>0</v>
      </c>
      <c r="R182" s="881">
        <f t="shared" si="445"/>
        <v>0</v>
      </c>
      <c r="S182" s="881">
        <f t="shared" si="445"/>
        <v>0</v>
      </c>
      <c r="T182" s="878"/>
      <c r="U182" s="881">
        <f t="shared" ref="U182:Y182" si="446">-U23</f>
        <v>0</v>
      </c>
      <c r="V182" s="881">
        <f t="shared" si="446"/>
        <v>0</v>
      </c>
      <c r="W182" s="881">
        <f t="shared" si="446"/>
        <v>0</v>
      </c>
      <c r="X182" s="881">
        <f t="shared" si="446"/>
        <v>0</v>
      </c>
      <c r="Y182" s="881">
        <f t="shared" si="446"/>
        <v>0</v>
      </c>
      <c r="Z182" s="878"/>
      <c r="AA182" s="881">
        <f t="shared" ref="AA182:AE182" si="447">-AA23</f>
        <v>0</v>
      </c>
      <c r="AB182" s="881">
        <f t="shared" si="447"/>
        <v>0</v>
      </c>
      <c r="AC182" s="881">
        <f t="shared" si="447"/>
        <v>0</v>
      </c>
      <c r="AD182" s="881">
        <f t="shared" si="447"/>
        <v>-56.051000000000002</v>
      </c>
      <c r="AE182" s="881">
        <f t="shared" si="447"/>
        <v>-56.051000000000002</v>
      </c>
      <c r="AF182" s="878"/>
      <c r="AG182" s="881">
        <f t="shared" ref="AG182:AK182" si="448">-AG23</f>
        <v>-56.85</v>
      </c>
      <c r="AH182" s="881">
        <f t="shared" si="448"/>
        <v>-56.85</v>
      </c>
      <c r="AI182" s="881">
        <f t="shared" si="448"/>
        <v>-56.85</v>
      </c>
      <c r="AJ182" s="881">
        <f t="shared" si="448"/>
        <v>-56.85</v>
      </c>
      <c r="AK182" s="881">
        <f t="shared" si="448"/>
        <v>-56.85</v>
      </c>
      <c r="AL182" s="878"/>
      <c r="AM182" s="881">
        <f t="shared" ref="AM182:AQ182" si="449">-AM23</f>
        <v>-56.85</v>
      </c>
      <c r="AN182" s="881">
        <f t="shared" si="449"/>
        <v>-56.85</v>
      </c>
      <c r="AO182" s="881">
        <f t="shared" si="449"/>
        <v>-56.85</v>
      </c>
      <c r="AP182" s="881">
        <f t="shared" si="449"/>
        <v>-56.85</v>
      </c>
      <c r="AQ182" s="881">
        <f t="shared" si="449"/>
        <v>-56.85</v>
      </c>
      <c r="AR182" s="878"/>
      <c r="AS182" s="881">
        <f t="shared" ref="AS182:AW182" si="450">-AS23</f>
        <v>-56.85</v>
      </c>
      <c r="AT182" s="881">
        <f t="shared" si="450"/>
        <v>-56.85</v>
      </c>
      <c r="AU182" s="881">
        <f t="shared" si="450"/>
        <v>-166.74600000000001</v>
      </c>
      <c r="AV182" s="881">
        <f t="shared" si="450"/>
        <v>-169.18100000000001</v>
      </c>
      <c r="AW182" s="881">
        <f t="shared" si="450"/>
        <v>-169.18100000000001</v>
      </c>
      <c r="AX182" s="878"/>
      <c r="AY182" s="881">
        <f t="shared" ref="AY182:BC182" si="451">-AY23</f>
        <v>-169.18100000000001</v>
      </c>
      <c r="AZ182" s="881">
        <f t="shared" si="451"/>
        <v>-169.18100000000001</v>
      </c>
      <c r="BA182" s="881">
        <f t="shared" si="451"/>
        <v>-185.22800000000001</v>
      </c>
      <c r="BB182" s="881">
        <f t="shared" si="451"/>
        <v>-177.2</v>
      </c>
      <c r="BC182" s="881">
        <f t="shared" si="451"/>
        <v>-177.2</v>
      </c>
      <c r="BD182" s="878"/>
      <c r="BE182" s="881">
        <f t="shared" ref="BE182:BI182" si="452">-BE23</f>
        <v>-177.3</v>
      </c>
      <c r="BF182" s="881">
        <f t="shared" si="452"/>
        <v>-177</v>
      </c>
      <c r="BG182" s="881">
        <f t="shared" si="452"/>
        <v>-177.9</v>
      </c>
      <c r="BH182" s="881">
        <f t="shared" si="452"/>
        <v>-195.3</v>
      </c>
      <c r="BI182" s="881">
        <f t="shared" si="452"/>
        <v>-195.3</v>
      </c>
      <c r="BJ182" s="878"/>
      <c r="BK182" s="881">
        <f t="shared" ref="BK182:BO182" si="453">-BK23</f>
        <v>-312.8</v>
      </c>
      <c r="BL182" s="881">
        <f t="shared" si="453"/>
        <v>-315.39999999999998</v>
      </c>
      <c r="BM182" s="881">
        <f t="shared" si="453"/>
        <v>-315</v>
      </c>
      <c r="BN182" s="881">
        <f t="shared" si="453"/>
        <v>-316.10000000000002</v>
      </c>
      <c r="BO182" s="881">
        <f t="shared" si="453"/>
        <v>-316.10000000000002</v>
      </c>
      <c r="BP182" s="878"/>
      <c r="BQ182" s="881">
        <f t="shared" ref="BQ182:BU182" si="454">-BQ23</f>
        <v>-319</v>
      </c>
      <c r="BR182" s="881">
        <f t="shared" si="454"/>
        <v>-319.39999999999998</v>
      </c>
      <c r="BS182" s="881">
        <f t="shared" si="454"/>
        <v>-319.39999999999998</v>
      </c>
      <c r="BT182" s="881">
        <f t="shared" si="454"/>
        <v>-319.39999999999998</v>
      </c>
      <c r="BU182" s="881">
        <f t="shared" si="454"/>
        <v>-319.39999999999998</v>
      </c>
      <c r="BV182" s="878"/>
      <c r="BW182" s="881">
        <f t="shared" ref="BW182:CA182" si="455">-BW23</f>
        <v>-319.39999999999998</v>
      </c>
      <c r="BX182" s="881">
        <f t="shared" si="455"/>
        <v>-319.39999999999998</v>
      </c>
      <c r="BY182" s="881">
        <f t="shared" si="455"/>
        <v>-319.39999999999998</v>
      </c>
      <c r="BZ182" s="881">
        <f t="shared" si="455"/>
        <v>-319.39999999999998</v>
      </c>
      <c r="CA182" s="881">
        <f t="shared" si="455"/>
        <v>-319.39999999999998</v>
      </c>
      <c r="CB182" s="878"/>
      <c r="CC182" s="881">
        <f t="shared" ref="CC182:CG182" si="456">-CC23</f>
        <v>-319.39999999999998</v>
      </c>
      <c r="CD182" s="881">
        <f t="shared" si="456"/>
        <v>-319.39999999999998</v>
      </c>
      <c r="CE182" s="881">
        <f t="shared" si="456"/>
        <v>-319.39999999999998</v>
      </c>
      <c r="CF182" s="881">
        <f t="shared" si="456"/>
        <v>-319.39999999999998</v>
      </c>
      <c r="CG182" s="881">
        <f t="shared" si="456"/>
        <v>-319.39999999999998</v>
      </c>
      <c r="CH182" s="878"/>
      <c r="CI182" s="881">
        <f t="shared" ref="CI182:CM182" si="457">-CI23</f>
        <v>-319.39999999999998</v>
      </c>
      <c r="CJ182" s="881">
        <f t="shared" si="457"/>
        <v>-319.39999999999998</v>
      </c>
      <c r="CK182" s="881">
        <f t="shared" si="457"/>
        <v>-319.39999999999998</v>
      </c>
      <c r="CL182" s="881">
        <f t="shared" si="457"/>
        <v>-319.39999999999998</v>
      </c>
      <c r="CM182" s="881">
        <f t="shared" si="457"/>
        <v>-319.39999999999998</v>
      </c>
      <c r="CN182" s="878"/>
      <c r="CO182" s="881">
        <f t="shared" ref="CO182:CS182" si="458">-CO23</f>
        <v>-319.39999999999998</v>
      </c>
      <c r="CP182" s="881">
        <f t="shared" si="458"/>
        <v>-319.39999999999998</v>
      </c>
      <c r="CQ182" s="881">
        <f t="shared" si="458"/>
        <v>-319.39999999999998</v>
      </c>
      <c r="CR182" s="881">
        <f t="shared" si="458"/>
        <v>-319.39999999999998</v>
      </c>
      <c r="CS182" s="881">
        <f t="shared" si="458"/>
        <v>-319.39999999999998</v>
      </c>
      <c r="CY182" s="43"/>
      <c r="CZ182" s="43"/>
    </row>
    <row r="183" spans="1:104" x14ac:dyDescent="0.2">
      <c r="A183" s="870" t="s">
        <v>400</v>
      </c>
      <c r="B183" s="878"/>
      <c r="C183" s="883">
        <f>+SUM(C169:C181)</f>
        <v>27.753999999999976</v>
      </c>
      <c r="D183" s="884">
        <f t="shared" ref="D183:F184" si="459">+SUM(D169:D181)</f>
        <v>32.339000000000027</v>
      </c>
      <c r="E183" s="884">
        <f t="shared" si="459"/>
        <v>34.841999999999956</v>
      </c>
      <c r="F183" s="884">
        <f t="shared" si="459"/>
        <v>32.050999999999959</v>
      </c>
      <c r="G183" s="885">
        <f>+F183</f>
        <v>32.050999999999959</v>
      </c>
      <c r="H183" s="878"/>
      <c r="I183" s="883">
        <f t="shared" ref="I183:L184" si="460">+SUM(I169:I181)</f>
        <v>42.457999999999913</v>
      </c>
      <c r="J183" s="884">
        <f t="shared" si="460"/>
        <v>46.01499999999993</v>
      </c>
      <c r="K183" s="884">
        <f t="shared" si="460"/>
        <v>42.80800000000005</v>
      </c>
      <c r="L183" s="884">
        <f t="shared" si="460"/>
        <v>5.599000000000018</v>
      </c>
      <c r="M183" s="885">
        <f t="shared" ref="M183:Y184" si="461">+L183</f>
        <v>5.599000000000018</v>
      </c>
      <c r="N183" s="878"/>
      <c r="O183" s="883">
        <f t="shared" ref="O183:R184" si="462">+SUM(O169:O181)</f>
        <v>34.418999999999983</v>
      </c>
      <c r="P183" s="884">
        <f t="shared" si="462"/>
        <v>22.823999999999955</v>
      </c>
      <c r="Q183" s="884">
        <f t="shared" si="462"/>
        <v>49.084999999999866</v>
      </c>
      <c r="R183" s="884">
        <f t="shared" si="462"/>
        <v>41.993999999999971</v>
      </c>
      <c r="S183" s="885">
        <f t="shared" si="461"/>
        <v>41.993999999999971</v>
      </c>
      <c r="T183" s="878"/>
      <c r="U183" s="883">
        <f t="shared" ref="U183:X184" si="463">+SUM(U169:U181)</f>
        <v>56.137000000000057</v>
      </c>
      <c r="V183" s="884">
        <f t="shared" si="463"/>
        <v>59.766999999999996</v>
      </c>
      <c r="W183" s="884">
        <f t="shared" si="463"/>
        <v>56.163000000000011</v>
      </c>
      <c r="X183" s="884">
        <f t="shared" si="463"/>
        <v>50.035000000000025</v>
      </c>
      <c r="Y183" s="885">
        <f t="shared" si="461"/>
        <v>50.035000000000025</v>
      </c>
      <c r="Z183" s="878"/>
      <c r="AA183" s="883">
        <f t="shared" ref="AA183:AD184" si="464">+SUM(AA169:AA181)</f>
        <v>43.799999999999898</v>
      </c>
      <c r="AB183" s="884">
        <f t="shared" si="464"/>
        <v>45.696999999999889</v>
      </c>
      <c r="AC183" s="884">
        <f t="shared" si="464"/>
        <v>49.837000000000046</v>
      </c>
      <c r="AD183" s="884">
        <f t="shared" si="464"/>
        <v>123.4729999999999</v>
      </c>
      <c r="AE183" s="885">
        <f t="shared" ref="AE183:AQ184" si="465">+AD183</f>
        <v>123.4729999999999</v>
      </c>
      <c r="AF183" s="878"/>
      <c r="AG183" s="883">
        <f t="shared" ref="AG183:AJ184" si="466">+SUM(AG169:AG181)</f>
        <v>148.74499999999983</v>
      </c>
      <c r="AH183" s="884">
        <f t="shared" si="466"/>
        <v>162.08600000000001</v>
      </c>
      <c r="AI183" s="884">
        <f t="shared" si="466"/>
        <v>161.84099999999995</v>
      </c>
      <c r="AJ183" s="884">
        <f t="shared" si="466"/>
        <v>155.22399999999999</v>
      </c>
      <c r="AK183" s="885">
        <f t="shared" si="465"/>
        <v>155.22399999999999</v>
      </c>
      <c r="AL183" s="878"/>
      <c r="AM183" s="883">
        <f t="shared" ref="AM183:AP184" si="467">+SUM(AM169:AM181)</f>
        <v>144.95600000000002</v>
      </c>
      <c r="AN183" s="884">
        <f t="shared" si="467"/>
        <v>170.04499999999985</v>
      </c>
      <c r="AO183" s="884">
        <f t="shared" si="467"/>
        <v>176.66500000000013</v>
      </c>
      <c r="AP183" s="884">
        <f t="shared" si="467"/>
        <v>171.60900000000004</v>
      </c>
      <c r="AQ183" s="885">
        <f t="shared" si="465"/>
        <v>171.60900000000004</v>
      </c>
      <c r="AR183" s="878"/>
      <c r="AS183" s="883">
        <f t="shared" ref="AS183:AV184" si="468">+SUM(AS169:AS181)</f>
        <v>149.80300000000011</v>
      </c>
      <c r="AT183" s="884">
        <f t="shared" si="468"/>
        <v>161.44999999999982</v>
      </c>
      <c r="AU183" s="884">
        <f t="shared" si="468"/>
        <v>460.02800000000008</v>
      </c>
      <c r="AV183" s="884">
        <f t="shared" si="468"/>
        <v>463.02500000000009</v>
      </c>
      <c r="AW183" s="885">
        <f t="shared" ref="AW183:BI184" si="469">+AV183</f>
        <v>463.02500000000009</v>
      </c>
      <c r="AX183" s="878"/>
      <c r="AY183" s="883">
        <f t="shared" ref="AY183:BB184" si="470">+SUM(AY169:AY181)</f>
        <v>491.69500000000016</v>
      </c>
      <c r="AZ183" s="884">
        <f t="shared" si="470"/>
        <v>479.6509999999999</v>
      </c>
      <c r="BA183" s="884">
        <f t="shared" si="470"/>
        <v>522.37599999999998</v>
      </c>
      <c r="BB183" s="884">
        <f t="shared" si="470"/>
        <v>498.60000000000008</v>
      </c>
      <c r="BC183" s="885">
        <f t="shared" si="469"/>
        <v>498.60000000000008</v>
      </c>
      <c r="BD183" s="878"/>
      <c r="BE183" s="886">
        <f t="shared" ref="BE183:BH184" si="471">+SUM(BE169:BE181)</f>
        <v>516</v>
      </c>
      <c r="BF183" s="887">
        <f t="shared" si="471"/>
        <v>520.29999999999995</v>
      </c>
      <c r="BG183" s="887">
        <f t="shared" si="471"/>
        <v>515.70000000000005</v>
      </c>
      <c r="BH183" s="887">
        <f t="shared" si="471"/>
        <v>569.30000000000007</v>
      </c>
      <c r="BI183" s="888">
        <f t="shared" si="469"/>
        <v>569.30000000000007</v>
      </c>
      <c r="BJ183" s="889"/>
      <c r="BK183" s="886">
        <f t="shared" ref="BK183:BN184" si="472">+SUM(BK169:BK181)</f>
        <v>994.59999999999991</v>
      </c>
      <c r="BL183" s="887">
        <f t="shared" si="472"/>
        <v>975.30000000000007</v>
      </c>
      <c r="BM183" s="887">
        <f t="shared" si="472"/>
        <v>948.80000000000018</v>
      </c>
      <c r="BN183" s="887">
        <f t="shared" si="472"/>
        <v>935</v>
      </c>
      <c r="BO183" s="888">
        <f t="shared" ref="BO183:BU184" si="473">+BN183</f>
        <v>935</v>
      </c>
      <c r="BP183" s="889"/>
      <c r="BQ183" s="886">
        <f t="shared" ref="BQ183:BT184" si="474">+SUM(BQ169:BQ181)</f>
        <v>944.69999999999982</v>
      </c>
      <c r="BR183" s="887">
        <f t="shared" si="474"/>
        <v>937.2</v>
      </c>
      <c r="BS183" s="887">
        <f t="shared" si="474"/>
        <v>910.20948922258901</v>
      </c>
      <c r="BT183" s="887">
        <f t="shared" si="474"/>
        <v>895.85392713995896</v>
      </c>
      <c r="BU183" s="888">
        <f t="shared" si="473"/>
        <v>895.85392713995896</v>
      </c>
      <c r="BV183" s="889"/>
      <c r="BW183" s="886">
        <f t="shared" ref="BW183:BZ184" si="475">+SUM(BW169:BW181)</f>
        <v>893.61287016578569</v>
      </c>
      <c r="BX183" s="887">
        <f t="shared" si="475"/>
        <v>889.98166536939766</v>
      </c>
      <c r="BY183" s="887">
        <f t="shared" si="475"/>
        <v>874.61551078327682</v>
      </c>
      <c r="BZ183" s="887">
        <f t="shared" si="475"/>
        <v>859.29349135507323</v>
      </c>
      <c r="CA183" s="888">
        <f t="shared" ref="CA183:CG184" si="476">+BZ183</f>
        <v>859.29349135507323</v>
      </c>
      <c r="CB183" s="889"/>
      <c r="CC183" s="886">
        <f t="shared" ref="CC183:CF184" si="477">+SUM(CC169:CC181)</f>
        <v>855.25568914832888</v>
      </c>
      <c r="CD183" s="887">
        <f t="shared" si="477"/>
        <v>852.48150093133688</v>
      </c>
      <c r="CE183" s="887">
        <f t="shared" si="477"/>
        <v>836.44831404093827</v>
      </c>
      <c r="CF183" s="887">
        <f t="shared" si="477"/>
        <v>820.78702218007652</v>
      </c>
      <c r="CG183" s="888">
        <f t="shared" si="476"/>
        <v>820.78702218007652</v>
      </c>
      <c r="CH183" s="889"/>
      <c r="CI183" s="886">
        <f t="shared" ref="CI183:CL183" si="478">+SUM(CI169:CI181)</f>
        <v>817.63490295150893</v>
      </c>
      <c r="CJ183" s="887">
        <f t="shared" si="478"/>
        <v>815.41558531160501</v>
      </c>
      <c r="CK183" s="887">
        <f t="shared" si="478"/>
        <v>798.29199410807757</v>
      </c>
      <c r="CL183" s="887">
        <f t="shared" si="478"/>
        <v>782.07924733380423</v>
      </c>
      <c r="CM183" s="888">
        <f t="shared" ref="CM183:CM184" si="479">+CL183</f>
        <v>782.07924733380423</v>
      </c>
      <c r="CN183" s="889"/>
      <c r="CO183" s="886">
        <f t="shared" ref="CO183:CR183" si="480">+SUM(CO169:CO181)</f>
        <v>779.42463321365483</v>
      </c>
      <c r="CP183" s="887">
        <f t="shared" si="480"/>
        <v>778.17039856307986</v>
      </c>
      <c r="CQ183" s="887">
        <f t="shared" si="480"/>
        <v>759.28278577509866</v>
      </c>
      <c r="CR183" s="887">
        <f t="shared" si="480"/>
        <v>742.83323747371719</v>
      </c>
      <c r="CS183" s="888">
        <f t="shared" ref="CS183:CS184" si="481">+CR183</f>
        <v>742.83323747371719</v>
      </c>
      <c r="CY183" s="43"/>
      <c r="CZ183" s="43"/>
    </row>
    <row r="184" spans="1:104" x14ac:dyDescent="0.2">
      <c r="A184" s="870" t="s">
        <v>401</v>
      </c>
      <c r="B184" s="878"/>
      <c r="C184" s="883">
        <f>+SUM(C170:C182)</f>
        <v>27.753999999999976</v>
      </c>
      <c r="D184" s="884">
        <f t="shared" si="459"/>
        <v>32.339000000000027</v>
      </c>
      <c r="E184" s="884">
        <f t="shared" si="459"/>
        <v>34.841999999999956</v>
      </c>
      <c r="F184" s="884">
        <f t="shared" si="459"/>
        <v>32.050999999999959</v>
      </c>
      <c r="G184" s="885">
        <f>+F184</f>
        <v>32.050999999999959</v>
      </c>
      <c r="H184" s="878"/>
      <c r="I184" s="883">
        <f t="shared" si="460"/>
        <v>42.457999999999913</v>
      </c>
      <c r="J184" s="884">
        <f t="shared" si="460"/>
        <v>46.01499999999993</v>
      </c>
      <c r="K184" s="884">
        <f t="shared" si="460"/>
        <v>42.80800000000005</v>
      </c>
      <c r="L184" s="884">
        <f t="shared" si="460"/>
        <v>5.599000000000018</v>
      </c>
      <c r="M184" s="885">
        <f t="shared" si="461"/>
        <v>5.599000000000018</v>
      </c>
      <c r="N184" s="878"/>
      <c r="O184" s="883">
        <f t="shared" si="462"/>
        <v>34.418999999999983</v>
      </c>
      <c r="P184" s="884">
        <f t="shared" si="462"/>
        <v>22.823999999999955</v>
      </c>
      <c r="Q184" s="884">
        <f t="shared" si="462"/>
        <v>49.084999999999866</v>
      </c>
      <c r="R184" s="884">
        <f t="shared" si="462"/>
        <v>41.993999999999971</v>
      </c>
      <c r="S184" s="885">
        <f t="shared" si="461"/>
        <v>41.993999999999971</v>
      </c>
      <c r="T184" s="878"/>
      <c r="U184" s="883">
        <f t="shared" si="463"/>
        <v>56.137000000000057</v>
      </c>
      <c r="V184" s="884">
        <f t="shared" si="463"/>
        <v>59.766999999999996</v>
      </c>
      <c r="W184" s="884">
        <f t="shared" si="463"/>
        <v>56.163000000000011</v>
      </c>
      <c r="X184" s="884">
        <f t="shared" si="463"/>
        <v>50.035000000000025</v>
      </c>
      <c r="Y184" s="885">
        <f t="shared" si="461"/>
        <v>50.035000000000025</v>
      </c>
      <c r="Z184" s="878"/>
      <c r="AA184" s="883">
        <f t="shared" si="464"/>
        <v>43.799999999999898</v>
      </c>
      <c r="AB184" s="884">
        <f t="shared" si="464"/>
        <v>45.696999999999889</v>
      </c>
      <c r="AC184" s="884">
        <f t="shared" si="464"/>
        <v>49.837000000000046</v>
      </c>
      <c r="AD184" s="884">
        <f t="shared" si="464"/>
        <v>67.421999999999898</v>
      </c>
      <c r="AE184" s="885">
        <f t="shared" si="465"/>
        <v>67.421999999999898</v>
      </c>
      <c r="AF184" s="878"/>
      <c r="AG184" s="883">
        <f t="shared" si="466"/>
        <v>91.89499999999984</v>
      </c>
      <c r="AH184" s="884">
        <f t="shared" si="466"/>
        <v>105.23600000000002</v>
      </c>
      <c r="AI184" s="884">
        <f t="shared" si="466"/>
        <v>104.99099999999996</v>
      </c>
      <c r="AJ184" s="884">
        <f t="shared" si="466"/>
        <v>98.373999999999995</v>
      </c>
      <c r="AK184" s="885">
        <f t="shared" si="465"/>
        <v>98.373999999999995</v>
      </c>
      <c r="AL184" s="878"/>
      <c r="AM184" s="883">
        <f t="shared" si="467"/>
        <v>88.106000000000023</v>
      </c>
      <c r="AN184" s="884">
        <f t="shared" si="467"/>
        <v>113.19499999999985</v>
      </c>
      <c r="AO184" s="884">
        <f t="shared" si="467"/>
        <v>119.81500000000014</v>
      </c>
      <c r="AP184" s="884">
        <f t="shared" si="467"/>
        <v>114.75900000000004</v>
      </c>
      <c r="AQ184" s="885">
        <f t="shared" si="465"/>
        <v>114.75900000000004</v>
      </c>
      <c r="AR184" s="878"/>
      <c r="AS184" s="883">
        <f t="shared" si="468"/>
        <v>92.953000000000117</v>
      </c>
      <c r="AT184" s="884">
        <f t="shared" si="468"/>
        <v>104.59999999999982</v>
      </c>
      <c r="AU184" s="884">
        <f t="shared" si="468"/>
        <v>293.28200000000004</v>
      </c>
      <c r="AV184" s="884">
        <f t="shared" si="468"/>
        <v>293.84400000000005</v>
      </c>
      <c r="AW184" s="885">
        <f t="shared" si="469"/>
        <v>293.84400000000005</v>
      </c>
      <c r="AX184" s="878"/>
      <c r="AY184" s="883">
        <f t="shared" si="470"/>
        <v>322.51400000000012</v>
      </c>
      <c r="AZ184" s="884">
        <f t="shared" si="470"/>
        <v>310.46999999999991</v>
      </c>
      <c r="BA184" s="884">
        <f t="shared" si="470"/>
        <v>337.14799999999997</v>
      </c>
      <c r="BB184" s="884">
        <f t="shared" si="470"/>
        <v>321.40000000000009</v>
      </c>
      <c r="BC184" s="885">
        <f t="shared" si="469"/>
        <v>321.40000000000009</v>
      </c>
      <c r="BD184" s="878"/>
      <c r="BE184" s="886">
        <f t="shared" si="471"/>
        <v>338.7</v>
      </c>
      <c r="BF184" s="887">
        <f t="shared" si="471"/>
        <v>343.29999999999995</v>
      </c>
      <c r="BG184" s="887">
        <f t="shared" si="471"/>
        <v>337.80000000000007</v>
      </c>
      <c r="BH184" s="887">
        <f t="shared" si="471"/>
        <v>374.00000000000006</v>
      </c>
      <c r="BI184" s="888">
        <f t="shared" si="469"/>
        <v>374.00000000000006</v>
      </c>
      <c r="BJ184" s="889"/>
      <c r="BK184" s="886">
        <f t="shared" si="472"/>
        <v>681.8</v>
      </c>
      <c r="BL184" s="887">
        <f t="shared" si="472"/>
        <v>659.90000000000009</v>
      </c>
      <c r="BM184" s="887">
        <f t="shared" si="472"/>
        <v>633.80000000000018</v>
      </c>
      <c r="BN184" s="887">
        <f t="shared" si="472"/>
        <v>618.9</v>
      </c>
      <c r="BO184" s="888">
        <f t="shared" si="473"/>
        <v>618.9</v>
      </c>
      <c r="BP184" s="889"/>
      <c r="BQ184" s="886">
        <f t="shared" si="474"/>
        <v>625.69999999999982</v>
      </c>
      <c r="BR184" s="887">
        <f t="shared" si="474"/>
        <v>617.80000000000007</v>
      </c>
      <c r="BS184" s="887">
        <f t="shared" si="474"/>
        <v>590.80948922258904</v>
      </c>
      <c r="BT184" s="887">
        <f t="shared" si="474"/>
        <v>576.45392713995898</v>
      </c>
      <c r="BU184" s="888">
        <f t="shared" si="473"/>
        <v>576.45392713995898</v>
      </c>
      <c r="BV184" s="889"/>
      <c r="BW184" s="886">
        <f t="shared" si="475"/>
        <v>574.21287016578572</v>
      </c>
      <c r="BX184" s="887">
        <f t="shared" si="475"/>
        <v>570.58166536939768</v>
      </c>
      <c r="BY184" s="887">
        <f t="shared" si="475"/>
        <v>555.21551078327684</v>
      </c>
      <c r="BZ184" s="887">
        <f t="shared" si="475"/>
        <v>539.89349135507325</v>
      </c>
      <c r="CA184" s="888">
        <f t="shared" si="476"/>
        <v>539.89349135507325</v>
      </c>
      <c r="CB184" s="889"/>
      <c r="CC184" s="886">
        <f t="shared" si="477"/>
        <v>535.85568914832891</v>
      </c>
      <c r="CD184" s="887">
        <f t="shared" si="477"/>
        <v>533.0815009313369</v>
      </c>
      <c r="CE184" s="887">
        <f t="shared" si="477"/>
        <v>517.04831404093829</v>
      </c>
      <c r="CF184" s="887">
        <f t="shared" si="477"/>
        <v>501.38702218007654</v>
      </c>
      <c r="CG184" s="888">
        <f t="shared" si="476"/>
        <v>501.38702218007654</v>
      </c>
      <c r="CH184" s="889"/>
      <c r="CI184" s="886">
        <f t="shared" ref="CI184:CL184" si="482">+SUM(CI170:CI182)</f>
        <v>498.23490295150896</v>
      </c>
      <c r="CJ184" s="887">
        <f t="shared" si="482"/>
        <v>496.01558531160504</v>
      </c>
      <c r="CK184" s="887">
        <f t="shared" si="482"/>
        <v>478.8919941080776</v>
      </c>
      <c r="CL184" s="887">
        <f t="shared" si="482"/>
        <v>462.67924733380426</v>
      </c>
      <c r="CM184" s="888">
        <f t="shared" si="479"/>
        <v>462.67924733380426</v>
      </c>
      <c r="CN184" s="889"/>
      <c r="CO184" s="886">
        <f t="shared" ref="CO184:CR184" si="483">+SUM(CO170:CO182)</f>
        <v>460.02463321365485</v>
      </c>
      <c r="CP184" s="887">
        <f t="shared" si="483"/>
        <v>458.77039856307988</v>
      </c>
      <c r="CQ184" s="887">
        <f t="shared" si="483"/>
        <v>439.88278577509868</v>
      </c>
      <c r="CR184" s="887">
        <f t="shared" si="483"/>
        <v>423.43323747371721</v>
      </c>
      <c r="CS184" s="888">
        <f t="shared" si="481"/>
        <v>423.43323747371721</v>
      </c>
      <c r="CY184" s="43"/>
      <c r="CZ184" s="43"/>
    </row>
    <row r="185" spans="1:104" x14ac:dyDescent="0.2">
      <c r="A185" s="862"/>
      <c r="B185" s="890"/>
      <c r="C185" s="891"/>
      <c r="D185" s="891"/>
      <c r="E185" s="891"/>
      <c r="F185" s="891"/>
      <c r="G185" s="890"/>
      <c r="H185" s="890"/>
      <c r="I185" s="891"/>
      <c r="J185" s="891"/>
      <c r="K185" s="891"/>
      <c r="L185" s="891"/>
      <c r="M185" s="890"/>
      <c r="N185" s="890"/>
      <c r="O185" s="891"/>
      <c r="P185" s="891"/>
      <c r="Q185" s="891"/>
      <c r="R185" s="891"/>
      <c r="S185" s="890"/>
      <c r="T185" s="890"/>
      <c r="U185" s="891"/>
      <c r="V185" s="891"/>
      <c r="W185" s="891"/>
      <c r="X185" s="891"/>
      <c r="Y185" s="890"/>
      <c r="Z185" s="890"/>
      <c r="AA185" s="891"/>
      <c r="AB185" s="891"/>
      <c r="AC185" s="891"/>
      <c r="AD185" s="891"/>
      <c r="AE185" s="890"/>
      <c r="AF185" s="890"/>
      <c r="AG185" s="891"/>
      <c r="AH185" s="891"/>
      <c r="AI185" s="891"/>
      <c r="AJ185" s="891"/>
      <c r="AK185" s="890"/>
      <c r="AL185" s="890"/>
      <c r="AM185" s="891"/>
      <c r="AN185" s="891"/>
      <c r="AO185" s="891"/>
      <c r="AP185" s="891"/>
      <c r="AQ185" s="890"/>
      <c r="AR185" s="890"/>
      <c r="AS185" s="891"/>
      <c r="AT185" s="891"/>
      <c r="AU185" s="891"/>
      <c r="AV185" s="891"/>
      <c r="AW185" s="890"/>
      <c r="AX185" s="890"/>
      <c r="AY185" s="891"/>
      <c r="AZ185" s="891"/>
      <c r="BA185" s="891"/>
      <c r="BB185" s="891"/>
      <c r="BC185" s="890"/>
      <c r="BD185" s="890"/>
      <c r="BE185" s="891"/>
      <c r="BF185" s="891"/>
      <c r="BG185" s="891"/>
      <c r="BH185" s="891"/>
      <c r="BI185" s="890"/>
      <c r="BJ185" s="890"/>
      <c r="BK185" s="891"/>
      <c r="BL185" s="891"/>
      <c r="BM185" s="891"/>
      <c r="BN185" s="891"/>
      <c r="BO185" s="890"/>
      <c r="BP185" s="890"/>
      <c r="BQ185" s="891"/>
      <c r="BR185" s="891"/>
      <c r="BS185" s="891"/>
      <c r="BT185" s="891"/>
      <c r="BU185" s="890"/>
      <c r="BV185" s="890"/>
      <c r="BW185" s="891"/>
      <c r="BX185" s="891"/>
      <c r="BY185" s="891"/>
      <c r="BZ185" s="891"/>
      <c r="CA185" s="890"/>
      <c r="CB185" s="890"/>
      <c r="CC185" s="891"/>
      <c r="CD185" s="891"/>
      <c r="CE185" s="891"/>
      <c r="CF185" s="891"/>
      <c r="CG185" s="890"/>
      <c r="CH185" s="890"/>
      <c r="CI185" s="891"/>
      <c r="CJ185" s="891"/>
      <c r="CK185" s="891"/>
      <c r="CL185" s="891"/>
      <c r="CM185" s="890"/>
      <c r="CN185" s="890"/>
      <c r="CO185" s="891"/>
      <c r="CP185" s="891"/>
      <c r="CQ185" s="891"/>
      <c r="CR185" s="891"/>
      <c r="CS185" s="890"/>
      <c r="CY185" s="43"/>
      <c r="CZ185" s="43"/>
    </row>
    <row r="186" spans="1:104" x14ac:dyDescent="0.2">
      <c r="A186" s="870" t="s">
        <v>402</v>
      </c>
      <c r="B186" s="890"/>
      <c r="C186" s="877">
        <f>+C166*4/C183</f>
        <v>-2.1618505440657225</v>
      </c>
      <c r="D186" s="877">
        <f t="shared" ref="D186:F186" si="484">+D166*4/D183</f>
        <v>-1.4062277745137441</v>
      </c>
      <c r="E186" s="877">
        <f t="shared" si="484"/>
        <v>-1.0437977154009541</v>
      </c>
      <c r="F186" s="877">
        <f t="shared" si="484"/>
        <v>-1.5308102711303868</v>
      </c>
      <c r="G186" s="871">
        <f>+G166/AVERAGE(C183:F183)</f>
        <v>-1.5033783251697053</v>
      </c>
      <c r="H186" s="890"/>
      <c r="I186" s="877">
        <f t="shared" ref="I186:L186" si="485">+I166*4/I183</f>
        <v>-1.0911489000895025</v>
      </c>
      <c r="J186" s="877">
        <f t="shared" si="485"/>
        <v>-0.75940454199717577</v>
      </c>
      <c r="K186" s="877">
        <f t="shared" si="485"/>
        <v>-0.73033077929358869</v>
      </c>
      <c r="L186" s="877">
        <f t="shared" si="485"/>
        <v>13.316476795653042</v>
      </c>
      <c r="M186" s="871">
        <f t="shared" ref="M186" si="486">+M166/AVERAGE(I183:L183)</f>
        <v>-0.2258717147707533</v>
      </c>
      <c r="N186" s="890"/>
      <c r="O186" s="877">
        <f t="shared" ref="O186:R186" si="487">+O166*4/O183</f>
        <v>2.6867166650545369</v>
      </c>
      <c r="P186" s="877">
        <f t="shared" si="487"/>
        <v>5.8389414651244405</v>
      </c>
      <c r="Q186" s="877">
        <f t="shared" si="487"/>
        <v>2.8804585363972266</v>
      </c>
      <c r="R186" s="877">
        <f t="shared" si="487"/>
        <v>3.2858027337238664</v>
      </c>
      <c r="S186" s="871">
        <f t="shared" ref="S186" si="488">+S166/AVERAGE(O183:R183)</f>
        <v>3.4056478059677193</v>
      </c>
      <c r="T186" s="890"/>
      <c r="U186" s="877">
        <f t="shared" ref="U186:X186" si="489">+U166*4/U183</f>
        <v>2.0518609346329151</v>
      </c>
      <c r="V186" s="877">
        <f t="shared" si="489"/>
        <v>2.2481303293398405</v>
      </c>
      <c r="W186" s="877">
        <f t="shared" si="489"/>
        <v>2.2819815916986408</v>
      </c>
      <c r="X186" s="877">
        <f t="shared" si="489"/>
        <v>4.1480397546351684</v>
      </c>
      <c r="Y186" s="871">
        <f t="shared" ref="Y186" si="490">+Y166/AVERAGE(U183:X183)</f>
        <v>2.6307733985854385</v>
      </c>
      <c r="Z186" s="890"/>
      <c r="AA186" s="877">
        <f t="shared" ref="AA186:AD186" si="491">+AA166*4/AA183</f>
        <v>2.0248688132826813</v>
      </c>
      <c r="AB186" s="877">
        <f t="shared" si="491"/>
        <v>2.0921381611049021</v>
      </c>
      <c r="AC186" s="877">
        <f t="shared" si="491"/>
        <v>2.2166468776318169</v>
      </c>
      <c r="AD186" s="877">
        <f t="shared" si="491"/>
        <v>0.83700605253380667</v>
      </c>
      <c r="AE186" s="871">
        <f t="shared" ref="AE186" si="492">+AE166/AVERAGE(AA183:AD183)</f>
        <v>1.5148528979202143</v>
      </c>
      <c r="AF186" s="890"/>
      <c r="AG186" s="877">
        <f t="shared" ref="AG186:AJ186" si="493">+AG166*4/AG183</f>
        <v>0.6695773989345597</v>
      </c>
      <c r="AH186" s="877">
        <f t="shared" si="493"/>
        <v>0.67862313467704383</v>
      </c>
      <c r="AI186" s="877">
        <f t="shared" si="493"/>
        <v>0.71060221834344317</v>
      </c>
      <c r="AJ186" s="877">
        <f t="shared" si="493"/>
        <v>0.73256638290103449</v>
      </c>
      <c r="AK186" s="871">
        <f t="shared" ref="AK186" si="494">+AK166/AVERAGE(AG183:AJ183)</f>
        <v>0.6981102116786877</v>
      </c>
      <c r="AL186" s="890"/>
      <c r="AM186" s="877">
        <f t="shared" ref="AM186:AP186" si="495">+AM166*4/AM183</f>
        <v>0.81089315508396043</v>
      </c>
      <c r="AN186" s="877">
        <f t="shared" si="495"/>
        <v>0.80392496055468932</v>
      </c>
      <c r="AO186" s="877">
        <f t="shared" si="495"/>
        <v>0.84313747357994351</v>
      </c>
      <c r="AP186" s="877">
        <f t="shared" si="495"/>
        <v>1.0072862493816259</v>
      </c>
      <c r="AQ186" s="871">
        <f t="shared" ref="AQ186" si="496">+AQ166/AVERAGE(AM183:AP183)</f>
        <v>0.86844704004415552</v>
      </c>
      <c r="AR186" s="890"/>
      <c r="AS186" s="877">
        <f t="shared" ref="AS186:AV186" si="497">+AS166*4/AS183</f>
        <v>1.4647046459877893</v>
      </c>
      <c r="AT186" s="877">
        <f t="shared" si="497"/>
        <v>1.2427886873362213</v>
      </c>
      <c r="AU186" s="877">
        <f t="shared" si="497"/>
        <v>0.39011713523944475</v>
      </c>
      <c r="AV186" s="877">
        <f t="shared" si="497"/>
        <v>0.32015654187191089</v>
      </c>
      <c r="AW186" s="871">
        <f t="shared" ref="AW186" si="498">+AW166/AVERAGE(AS183:AV183)</f>
        <v>0.60580108329657478</v>
      </c>
      <c r="AX186" s="890"/>
      <c r="AY186" s="877">
        <f t="shared" ref="AY186:BB186" si="499">+AY166*4/AY183</f>
        <v>0.15749960489329409</v>
      </c>
      <c r="AZ186" s="877">
        <f t="shared" si="499"/>
        <v>0.24054470329492794</v>
      </c>
      <c r="BA186" s="877">
        <f t="shared" si="499"/>
        <v>0.22490716827697205</v>
      </c>
      <c r="BB186" s="877">
        <f t="shared" si="499"/>
        <v>0.23762428630600022</v>
      </c>
      <c r="BC186" s="871">
        <f t="shared" ref="BC186" si="500">+BC166/AVERAGE(AY183:BB183)</f>
        <v>0.21529807216737887</v>
      </c>
      <c r="BD186" s="890"/>
      <c r="BE186" s="877">
        <f t="shared" ref="BE186:BH186" si="501">+BE166*4/BE183</f>
        <v>0.2294873427127217</v>
      </c>
      <c r="BF186" s="877">
        <f t="shared" si="501"/>
        <v>0.25852940638158145</v>
      </c>
      <c r="BG186" s="877">
        <f t="shared" si="501"/>
        <v>0.22878523980807364</v>
      </c>
      <c r="BH186" s="877">
        <f t="shared" si="501"/>
        <v>0.17818096547570753</v>
      </c>
      <c r="BI186" s="871">
        <f t="shared" ref="BI186" si="502">+BI166/AVERAGE(BE183:BH183)</f>
        <v>0.22261538957028473</v>
      </c>
      <c r="BJ186" s="890"/>
      <c r="BK186" s="877">
        <f t="shared" ref="BK186:BN186" si="503">+BK166*4/BK183</f>
        <v>7.1670036835068049E-2</v>
      </c>
      <c r="BL186" s="877">
        <f t="shared" si="503"/>
        <v>7.6849508184718973E-2</v>
      </c>
      <c r="BM186" s="877">
        <f t="shared" si="503"/>
        <v>7.5723082430476207E-2</v>
      </c>
      <c r="BN186" s="877">
        <f t="shared" si="503"/>
        <v>9.1219487214677125E-2</v>
      </c>
      <c r="BO186" s="871">
        <f t="shared" ref="BO186" si="504">+BO166/AVERAGE(BK183:BN183)</f>
        <v>7.8606804759320012E-2</v>
      </c>
      <c r="BP186" s="890"/>
      <c r="BQ186" s="877">
        <f t="shared" ref="BQ186:BT186" si="505">+BQ166*4/BQ183</f>
        <v>7.952844434646128E-2</v>
      </c>
      <c r="BR186" s="877">
        <f t="shared" si="505"/>
        <v>9.7494248521708404E-2</v>
      </c>
      <c r="BS186" s="877">
        <f t="shared" si="505"/>
        <v>8.9685055465156066E-2</v>
      </c>
      <c r="BT186" s="877">
        <f t="shared" si="505"/>
        <v>9.8094751541281541E-2</v>
      </c>
      <c r="BU186" s="871">
        <f t="shared" ref="BU186" si="506">+BU166/AVERAGE(BQ183:BT183)</f>
        <v>9.1131818816104576E-2</v>
      </c>
      <c r="BV186" s="890"/>
      <c r="BW186" s="877">
        <f t="shared" ref="BW186:BZ186" si="507">+BW166*4/BW183</f>
        <v>9.7126360646449056E-2</v>
      </c>
      <c r="BX186" s="877">
        <f t="shared" si="507"/>
        <v>0.11317715705541445</v>
      </c>
      <c r="BY186" s="877">
        <f t="shared" si="507"/>
        <v>0.11130167437671692</v>
      </c>
      <c r="BZ186" s="877">
        <f t="shared" si="507"/>
        <v>0.12506850134809996</v>
      </c>
      <c r="CA186" s="871">
        <f t="shared" ref="CA186" si="508">+CA166/AVERAGE(BW183:BZ183)</f>
        <v>0.11153810547450199</v>
      </c>
      <c r="CB186" s="890"/>
      <c r="CC186" s="877">
        <f t="shared" ref="CC186:CF186" si="509">+CC166*4/CC183</f>
        <v>0.11009358514436987</v>
      </c>
      <c r="CD186" s="877">
        <f t="shared" si="509"/>
        <v>0.12784084737708526</v>
      </c>
      <c r="CE186" s="877">
        <f t="shared" si="509"/>
        <v>0.12458458434475607</v>
      </c>
      <c r="CF186" s="877">
        <f t="shared" si="509"/>
        <v>0.13916065398358635</v>
      </c>
      <c r="CG186" s="871">
        <f t="shared" ref="CG186" si="510">+CG166/AVERAGE(CC183:CF183)</f>
        <v>0.12528183915597962</v>
      </c>
      <c r="CH186" s="890"/>
      <c r="CI186" s="877">
        <f t="shared" ref="CI186:CL186" si="511">+CI166*4/CI183</f>
        <v>0.12455870898142538</v>
      </c>
      <c r="CJ186" s="877">
        <f t="shared" si="511"/>
        <v>0.14419845294000205</v>
      </c>
      <c r="CK186" s="877">
        <f t="shared" si="511"/>
        <v>0.13953218882777621</v>
      </c>
      <c r="CL186" s="877">
        <f t="shared" si="511"/>
        <v>0.15469230258801656</v>
      </c>
      <c r="CM186" s="871">
        <f t="shared" ref="CM186" si="512">+CM166/AVERAGE(CI183:CL183)</f>
        <v>0.14059601280978737</v>
      </c>
      <c r="CN186" s="890"/>
      <c r="CO186" s="877">
        <f t="shared" ref="CO186:CR186" si="513">+CO166*4/CO183</f>
        <v>0.14020291890387487</v>
      </c>
      <c r="CP186" s="877">
        <f t="shared" si="513"/>
        <v>0.16326187828426444</v>
      </c>
      <c r="CQ186" s="877">
        <f t="shared" si="513"/>
        <v>0.15766331249262858</v>
      </c>
      <c r="CR186" s="877">
        <f t="shared" si="513"/>
        <v>0.17502490934182127</v>
      </c>
      <c r="CS186" s="871">
        <f t="shared" ref="CS186" si="514">+CS166/AVERAGE(CO183:CR183)</f>
        <v>0.1588543885238087</v>
      </c>
      <c r="CY186" s="43"/>
      <c r="CZ186" s="43"/>
    </row>
    <row r="187" spans="1:104" x14ac:dyDescent="0.2">
      <c r="A187" s="870" t="s">
        <v>403</v>
      </c>
      <c r="B187" s="890"/>
      <c r="C187" s="877">
        <f>+C166*4/C184</f>
        <v>-2.1618505440657225</v>
      </c>
      <c r="D187" s="877">
        <f>+D166*4/D184</f>
        <v>-1.4062277745137441</v>
      </c>
      <c r="E187" s="877">
        <f>+E166*4/E184</f>
        <v>-1.0437977154009541</v>
      </c>
      <c r="F187" s="877">
        <f>+F166*4/F184</f>
        <v>-1.5308102711303868</v>
      </c>
      <c r="G187" s="871">
        <f>+G166/AVERAGE(C184:F184)</f>
        <v>-1.5033783251697053</v>
      </c>
      <c r="H187" s="890"/>
      <c r="I187" s="877">
        <f t="shared" ref="I187:L187" si="515">+I166*4/I184</f>
        <v>-1.0911489000895025</v>
      </c>
      <c r="J187" s="877">
        <f t="shared" si="515"/>
        <v>-0.75940454199717577</v>
      </c>
      <c r="K187" s="877">
        <f t="shared" si="515"/>
        <v>-0.73033077929358869</v>
      </c>
      <c r="L187" s="877">
        <f t="shared" si="515"/>
        <v>13.316476795653042</v>
      </c>
      <c r="M187" s="871">
        <f t="shared" ref="M187" si="516">+M166/AVERAGE(I184:L184)</f>
        <v>-0.2258717147707533</v>
      </c>
      <c r="N187" s="890"/>
      <c r="O187" s="877">
        <f t="shared" ref="O187:R187" si="517">+O166*4/O184</f>
        <v>2.6867166650545369</v>
      </c>
      <c r="P187" s="877">
        <f t="shared" si="517"/>
        <v>5.8389414651244405</v>
      </c>
      <c r="Q187" s="877">
        <f t="shared" si="517"/>
        <v>2.8804585363972266</v>
      </c>
      <c r="R187" s="877">
        <f t="shared" si="517"/>
        <v>3.2858027337238664</v>
      </c>
      <c r="S187" s="871">
        <f t="shared" ref="S187" si="518">+S166/AVERAGE(O184:R184)</f>
        <v>3.4056478059677193</v>
      </c>
      <c r="T187" s="890"/>
      <c r="U187" s="877">
        <f t="shared" ref="U187:X187" si="519">+U166*4/U184</f>
        <v>2.0518609346329151</v>
      </c>
      <c r="V187" s="877">
        <f t="shared" si="519"/>
        <v>2.2481303293398405</v>
      </c>
      <c r="W187" s="877">
        <f t="shared" si="519"/>
        <v>2.2819815916986408</v>
      </c>
      <c r="X187" s="877">
        <f t="shared" si="519"/>
        <v>4.1480397546351684</v>
      </c>
      <c r="Y187" s="871">
        <f t="shared" ref="Y187" si="520">+Y166/AVERAGE(U184:X184)</f>
        <v>2.6307733985854385</v>
      </c>
      <c r="Z187" s="890"/>
      <c r="AA187" s="877">
        <f t="shared" ref="AA187:AD187" si="521">+AA166*4/AA184</f>
        <v>2.0248688132826813</v>
      </c>
      <c r="AB187" s="877">
        <f t="shared" si="521"/>
        <v>2.0921381611049021</v>
      </c>
      <c r="AC187" s="877">
        <f t="shared" si="521"/>
        <v>2.2166468776318169</v>
      </c>
      <c r="AD187" s="877">
        <f t="shared" si="521"/>
        <v>1.5328475619902522</v>
      </c>
      <c r="AE187" s="871">
        <f t="shared" ref="AE187" si="522">+AE166/AVERAGE(AA184:AD184)</f>
        <v>1.9255254771020809</v>
      </c>
      <c r="AF187" s="890"/>
      <c r="AG187" s="877">
        <f t="shared" ref="AG187:AJ187" si="523">+AG166*4/AG184</f>
        <v>1.0838053235161993</v>
      </c>
      <c r="AH187" s="877">
        <f t="shared" si="523"/>
        <v>1.0452251074467227</v>
      </c>
      <c r="AI187" s="877">
        <f t="shared" si="523"/>
        <v>1.0953755428457792</v>
      </c>
      <c r="AJ187" s="877">
        <f t="shared" si="523"/>
        <v>1.1559140038976778</v>
      </c>
      <c r="AK187" s="871">
        <f t="shared" ref="AK187" si="524">+AK166/AVERAGE(AG184:AJ184)</f>
        <v>1.0944943506856528</v>
      </c>
      <c r="AL187" s="890"/>
      <c r="AM187" s="877">
        <f t="shared" ref="AM187:AP187" si="525">+AM166*4/AM184</f>
        <v>1.3341183141710047</v>
      </c>
      <c r="AN187" s="877">
        <f t="shared" si="525"/>
        <v>1.2076807272187127</v>
      </c>
      <c r="AO187" s="877">
        <f t="shared" si="525"/>
        <v>1.2431906002587376</v>
      </c>
      <c r="AP187" s="877">
        <f t="shared" si="525"/>
        <v>1.5062817379911939</v>
      </c>
      <c r="AQ187" s="871">
        <f t="shared" ref="AQ187" si="526">+AQ166/AVERAGE(AM184:AP184)</f>
        <v>1.3215238554293944</v>
      </c>
      <c r="AR187" s="890"/>
      <c r="AS187" s="877">
        <f t="shared" ref="AS187:AV187" si="527">+AS166*4/AS184</f>
        <v>2.3605171439642474</v>
      </c>
      <c r="AT187" s="877">
        <f t="shared" si="527"/>
        <v>1.9182431507689583</v>
      </c>
      <c r="AU187" s="877">
        <f t="shared" si="527"/>
        <v>0.61191892270896708</v>
      </c>
      <c r="AV187" s="877">
        <f t="shared" si="527"/>
        <v>0.50448701624073167</v>
      </c>
      <c r="AW187" s="871">
        <f t="shared" ref="AW187" si="528">+AW166/AVERAGE(AS184:AV184)</f>
        <v>0.95292968451999105</v>
      </c>
      <c r="AX187" s="890"/>
      <c r="AY187" s="877">
        <f t="shared" ref="AY187:BB187" si="529">+AY166*4/AY184</f>
        <v>0.24011909011084245</v>
      </c>
      <c r="AZ187" s="877">
        <f t="shared" si="529"/>
        <v>0.3716220809743791</v>
      </c>
      <c r="BA187" s="877">
        <f t="shared" si="529"/>
        <v>0.34847042526086924</v>
      </c>
      <c r="BB187" s="877">
        <f t="shared" si="529"/>
        <v>0.36863556052324736</v>
      </c>
      <c r="BC187" s="871">
        <f t="shared" ref="BC187" si="530">+BC166/AVERAGE(AY184:BB184)</f>
        <v>0.33211959574881345</v>
      </c>
      <c r="BD187" s="890"/>
      <c r="BE187" s="877">
        <f t="shared" ref="BE187:BH187" si="531">+BE166*4/BE184</f>
        <v>0.34961756374303044</v>
      </c>
      <c r="BF187" s="877">
        <f t="shared" si="531"/>
        <v>0.39182304148073643</v>
      </c>
      <c r="BG187" s="877">
        <f t="shared" si="531"/>
        <v>0.34927338119900403</v>
      </c>
      <c r="BH187" s="877">
        <f t="shared" si="531"/>
        <v>0.27122573167197939</v>
      </c>
      <c r="BI187" s="871">
        <f t="shared" ref="BI187" si="532">+BI166/AVERAGE(BE184:BH184)</f>
        <v>0.33881046484104244</v>
      </c>
      <c r="BJ187" s="890"/>
      <c r="BK187" s="877">
        <f t="shared" ref="BK187:BN187" si="533">+BK166*4/BK184</f>
        <v>0.10455121536544247</v>
      </c>
      <c r="BL187" s="877">
        <f t="shared" si="533"/>
        <v>0.11357982320435886</v>
      </c>
      <c r="BM187" s="877">
        <f t="shared" si="533"/>
        <v>0.11335762166304168</v>
      </c>
      <c r="BN187" s="877">
        <f t="shared" si="533"/>
        <v>0.13780937234726631</v>
      </c>
      <c r="BO187" s="871">
        <f t="shared" ref="BO187" si="534">+BO166/AVERAGE(BK184:BN184)</f>
        <v>0.11676188849097731</v>
      </c>
      <c r="BP187" s="890"/>
      <c r="BQ187" s="877">
        <f t="shared" ref="BQ187:BT187" si="535">+BQ166*4/BQ184</f>
        <v>0.12007435092552658</v>
      </c>
      <c r="BR187" s="877">
        <f t="shared" si="535"/>
        <v>0.14789836470466997</v>
      </c>
      <c r="BS187" s="877">
        <f t="shared" si="535"/>
        <v>0.13817007007327217</v>
      </c>
      <c r="BT187" s="877">
        <f t="shared" si="535"/>
        <v>0.15244682057433415</v>
      </c>
      <c r="BU187" s="871">
        <f t="shared" ref="BU187" si="536">+BU166/AVERAGE(BQ184:BT184)</f>
        <v>0.13941260746667561</v>
      </c>
      <c r="BV187" s="890"/>
      <c r="BW187" s="877">
        <f t="shared" ref="BW187:BZ187" si="537">+BW166*4/BW184</f>
        <v>0.1511518992616305</v>
      </c>
      <c r="BX187" s="877">
        <f t="shared" si="537"/>
        <v>0.17653142544063577</v>
      </c>
      <c r="BY187" s="877">
        <f t="shared" si="537"/>
        <v>0.1753304237640875</v>
      </c>
      <c r="BZ187" s="877">
        <f t="shared" si="537"/>
        <v>0.19905879752729794</v>
      </c>
      <c r="CA187" s="871">
        <f t="shared" ref="CA187" si="538">+CA166/AVERAGE(BW184:BZ184)</f>
        <v>0.17515740030459626</v>
      </c>
      <c r="CB187" s="890"/>
      <c r="CC187" s="877">
        <f t="shared" ref="CC187:CF187" si="539">+CC166*4/CC184</f>
        <v>0.17571552740834032</v>
      </c>
      <c r="CD187" s="877">
        <f t="shared" si="539"/>
        <v>0.20443770279394655</v>
      </c>
      <c r="CE187" s="877">
        <f t="shared" si="539"/>
        <v>0.20154512199494642</v>
      </c>
      <c r="CF187" s="877">
        <f t="shared" si="539"/>
        <v>0.22781056097378702</v>
      </c>
      <c r="CG187" s="871">
        <f t="shared" ref="CG187" si="540">+CG166/AVERAGE(CC184:CF184)</f>
        <v>0.20196200797536323</v>
      </c>
      <c r="CH187" s="890"/>
      <c r="CI187" s="877">
        <f t="shared" ref="CI187:CL187" si="541">+CI166*4/CI184</f>
        <v>0.20440869823948277</v>
      </c>
      <c r="CJ187" s="877">
        <f t="shared" si="541"/>
        <v>0.23705236163342125</v>
      </c>
      <c r="CK187" s="877">
        <f t="shared" si="541"/>
        <v>0.23259405175283029</v>
      </c>
      <c r="CL187" s="877">
        <f t="shared" si="541"/>
        <v>0.26148058352201337</v>
      </c>
      <c r="CM187" s="871">
        <f t="shared" ref="CM187" si="542">+CM166/AVERAGE(CI184:CL184)</f>
        <v>0.23338630605293523</v>
      </c>
      <c r="CN187" s="890"/>
      <c r="CO187" s="877">
        <f t="shared" ref="CO187:CR187" si="543">+CO166*4/CO184</f>
        <v>0.23754729801911137</v>
      </c>
      <c r="CP187" s="877">
        <f t="shared" si="543"/>
        <v>0.27692623868615757</v>
      </c>
      <c r="CQ187" s="877">
        <f t="shared" si="543"/>
        <v>0.27214304127176797</v>
      </c>
      <c r="CR187" s="877">
        <f t="shared" si="543"/>
        <v>0.30704797956017571</v>
      </c>
      <c r="CS187" s="871">
        <f t="shared" ref="CS187" si="544">+CS166/AVERAGE(CO184:CR184)</f>
        <v>0.27273750832472826</v>
      </c>
      <c r="CY187" s="43"/>
      <c r="CZ187" s="43"/>
    </row>
    <row r="188" spans="1:104" x14ac:dyDescent="0.2">
      <c r="A188" s="28"/>
      <c r="B188" s="4"/>
      <c r="C188" s="10"/>
      <c r="D188" s="10"/>
      <c r="E188" s="10"/>
      <c r="F188" s="10"/>
      <c r="G188" s="10"/>
      <c r="H188" s="4"/>
      <c r="I188" s="10"/>
      <c r="J188" s="10"/>
      <c r="K188" s="10"/>
      <c r="L188" s="10"/>
      <c r="M188" s="10"/>
      <c r="N188" s="4"/>
      <c r="O188" s="10"/>
      <c r="P188" s="10"/>
      <c r="Q188" s="10"/>
      <c r="R188" s="10"/>
      <c r="T188" s="4"/>
      <c r="U188" s="10"/>
      <c r="V188" s="10"/>
      <c r="W188" s="10"/>
      <c r="X188" s="10"/>
      <c r="Z188" s="4"/>
      <c r="AF188" s="24"/>
      <c r="AL188" s="24"/>
      <c r="AR188" s="24"/>
      <c r="AX188" s="24"/>
      <c r="BD188" s="24"/>
      <c r="BJ188" s="24"/>
      <c r="BK188" s="558"/>
      <c r="BL188" s="558"/>
      <c r="BM188" s="558"/>
      <c r="BN188" s="558"/>
      <c r="BO188" s="743"/>
      <c r="BP188" s="72"/>
      <c r="BQ188" s="558"/>
      <c r="BR188" s="558"/>
      <c r="BS188" s="558"/>
      <c r="BT188" s="558"/>
      <c r="BU188" s="743"/>
      <c r="BV188" s="72"/>
      <c r="BW188" s="558"/>
      <c r="BX188" s="558"/>
      <c r="BY188" s="558"/>
      <c r="BZ188" s="558"/>
      <c r="CA188" s="743"/>
      <c r="CB188" s="72"/>
      <c r="CC188" s="558"/>
      <c r="CD188" s="558"/>
      <c r="CE188" s="558"/>
      <c r="CF188" s="558"/>
      <c r="CG188" s="743"/>
      <c r="CH188" s="72"/>
      <c r="CI188" s="558"/>
      <c r="CJ188" s="558"/>
      <c r="CK188" s="558"/>
      <c r="CL188" s="558"/>
      <c r="CM188" s="743"/>
      <c r="CN188" s="72"/>
      <c r="CO188" s="558"/>
      <c r="CP188" s="558"/>
      <c r="CQ188" s="558"/>
      <c r="CR188" s="558"/>
      <c r="CS188" s="743"/>
      <c r="CY188" s="43"/>
      <c r="CZ188" s="43"/>
    </row>
    <row r="189" spans="1:104" x14ac:dyDescent="0.2">
      <c r="A189" s="28"/>
      <c r="B189" s="4"/>
      <c r="C189" s="10"/>
      <c r="D189" s="10"/>
      <c r="E189" s="10"/>
      <c r="F189" s="10"/>
      <c r="G189" s="10"/>
      <c r="H189" s="4"/>
      <c r="I189" s="10"/>
      <c r="J189" s="10"/>
      <c r="K189" s="10"/>
      <c r="L189" s="10"/>
      <c r="M189" s="10"/>
      <c r="N189" s="4"/>
      <c r="O189" s="10"/>
      <c r="P189" s="10"/>
      <c r="Q189" s="10"/>
      <c r="R189" s="10"/>
      <c r="T189" s="4"/>
      <c r="U189" s="10"/>
      <c r="V189" s="10"/>
      <c r="W189" s="10"/>
      <c r="X189" s="10"/>
      <c r="Z189" s="4"/>
      <c r="AF189" s="24"/>
      <c r="AL189" s="24"/>
      <c r="AR189" s="24"/>
      <c r="AX189" s="24"/>
      <c r="BD189" s="24"/>
      <c r="BJ189" s="24"/>
      <c r="BK189" s="558"/>
      <c r="BL189" s="558"/>
      <c r="BM189" s="558"/>
      <c r="BN189" s="558"/>
      <c r="BO189" s="743"/>
      <c r="BP189" s="72"/>
      <c r="BQ189" s="558"/>
      <c r="BR189" s="558"/>
      <c r="BS189" s="558"/>
      <c r="BT189" s="558"/>
      <c r="BU189" s="743"/>
      <c r="BV189" s="72"/>
      <c r="BW189" s="558"/>
      <c r="BX189" s="558"/>
      <c r="BY189" s="558"/>
      <c r="BZ189" s="558"/>
      <c r="CA189" s="743"/>
      <c r="CB189" s="72"/>
      <c r="CC189" s="558"/>
      <c r="CD189" s="558"/>
      <c r="CE189" s="558"/>
      <c r="CF189" s="558"/>
      <c r="CG189" s="743"/>
      <c r="CH189" s="72"/>
      <c r="CI189" s="558"/>
      <c r="CJ189" s="558"/>
      <c r="CK189" s="558"/>
      <c r="CL189" s="558"/>
      <c r="CM189" s="743"/>
      <c r="CN189" s="72"/>
      <c r="CO189" s="558"/>
      <c r="CP189" s="558"/>
      <c r="CQ189" s="558"/>
      <c r="CR189" s="558"/>
      <c r="CS189" s="743"/>
      <c r="CY189" s="43"/>
      <c r="CZ189" s="43"/>
    </row>
    <row r="190" spans="1:104" x14ac:dyDescent="0.2">
      <c r="A190" s="28"/>
      <c r="B190" s="4"/>
      <c r="C190" s="10"/>
      <c r="D190" s="10"/>
      <c r="E190" s="10"/>
      <c r="F190" s="10"/>
      <c r="G190" s="10"/>
      <c r="H190" s="4"/>
      <c r="I190" s="10"/>
      <c r="J190" s="10"/>
      <c r="K190" s="10"/>
      <c r="L190" s="10"/>
      <c r="M190" s="10"/>
      <c r="N190" s="4"/>
      <c r="O190" s="10"/>
      <c r="P190" s="10"/>
      <c r="Q190" s="10"/>
      <c r="R190" s="10"/>
      <c r="T190" s="4"/>
      <c r="U190" s="10"/>
      <c r="V190" s="10"/>
      <c r="W190" s="10"/>
      <c r="X190" s="10"/>
      <c r="Z190" s="4"/>
      <c r="AF190" s="24"/>
      <c r="AL190" s="24"/>
      <c r="AR190" s="24"/>
      <c r="AX190" s="24"/>
      <c r="BD190" s="24"/>
      <c r="BJ190" s="24"/>
      <c r="BK190" s="558"/>
      <c r="BL190" s="558"/>
      <c r="BM190" s="558"/>
      <c r="BN190" s="558"/>
      <c r="BO190" s="743"/>
      <c r="BP190" s="72"/>
      <c r="BQ190" s="558"/>
      <c r="BR190" s="558"/>
      <c r="BS190" s="558"/>
      <c r="BT190" s="558"/>
      <c r="BU190" s="743"/>
      <c r="BV190" s="72"/>
      <c r="BW190" s="558"/>
      <c r="BX190" s="558"/>
      <c r="BY190" s="558"/>
      <c r="BZ190" s="558"/>
      <c r="CA190" s="743"/>
      <c r="CB190" s="72"/>
      <c r="CC190" s="558"/>
      <c r="CD190" s="558"/>
      <c r="CE190" s="558"/>
      <c r="CF190" s="558"/>
      <c r="CG190" s="743"/>
      <c r="CH190" s="72"/>
      <c r="CI190" s="558"/>
      <c r="CJ190" s="558"/>
      <c r="CK190" s="558"/>
      <c r="CL190" s="558"/>
      <c r="CM190" s="743"/>
      <c r="CN190" s="72"/>
      <c r="CO190" s="558"/>
      <c r="CP190" s="558"/>
      <c r="CQ190" s="558"/>
      <c r="CR190" s="558"/>
      <c r="CS190" s="743"/>
      <c r="CY190" s="43"/>
      <c r="CZ190" s="43"/>
    </row>
    <row r="191" spans="1:104" x14ac:dyDescent="0.2">
      <c r="A191" s="28"/>
      <c r="B191" s="4"/>
      <c r="C191" s="10"/>
      <c r="D191" s="10"/>
      <c r="E191" s="10"/>
      <c r="F191" s="10"/>
      <c r="G191" s="10"/>
      <c r="H191" s="4"/>
      <c r="I191" s="10"/>
      <c r="J191" s="10"/>
      <c r="K191" s="10"/>
      <c r="L191" s="10"/>
      <c r="M191" s="10"/>
      <c r="N191" s="4"/>
      <c r="O191" s="10"/>
      <c r="P191" s="10"/>
      <c r="Q191" s="10"/>
      <c r="R191" s="10"/>
      <c r="T191" s="4"/>
      <c r="U191" s="10"/>
      <c r="V191" s="10"/>
      <c r="W191" s="10"/>
      <c r="X191" s="10"/>
      <c r="Z191" s="4"/>
      <c r="AF191" s="24"/>
      <c r="AL191" s="24"/>
      <c r="AR191" s="24"/>
      <c r="AX191" s="24"/>
      <c r="BD191" s="24"/>
      <c r="BJ191" s="24"/>
      <c r="BK191" s="558"/>
      <c r="BL191" s="558"/>
      <c r="BM191" s="558"/>
      <c r="BN191" s="558"/>
      <c r="BO191" s="743"/>
      <c r="BP191" s="72"/>
      <c r="BQ191" s="558"/>
      <c r="BR191" s="558"/>
      <c r="BS191" s="558"/>
      <c r="BT191" s="558"/>
      <c r="BU191" s="743"/>
      <c r="BV191" s="72"/>
      <c r="BW191" s="558"/>
      <c r="BX191" s="558"/>
      <c r="BY191" s="558"/>
      <c r="BZ191" s="558"/>
      <c r="CA191" s="743"/>
      <c r="CB191" s="72"/>
      <c r="CC191" s="558"/>
      <c r="CD191" s="558"/>
      <c r="CE191" s="558"/>
      <c r="CF191" s="558"/>
      <c r="CG191" s="743"/>
      <c r="CH191" s="72"/>
      <c r="CI191" s="558"/>
      <c r="CJ191" s="558"/>
      <c r="CK191" s="558"/>
      <c r="CL191" s="558"/>
      <c r="CM191" s="743"/>
      <c r="CN191" s="72"/>
      <c r="CO191" s="558"/>
      <c r="CP191" s="558"/>
      <c r="CQ191" s="558"/>
      <c r="CR191" s="558"/>
      <c r="CS191" s="743"/>
      <c r="CY191" s="43"/>
      <c r="CZ191" s="43"/>
    </row>
    <row r="192" spans="1:104" x14ac:dyDescent="0.2">
      <c r="A192" s="28"/>
      <c r="B192" s="4"/>
      <c r="C192" s="10"/>
      <c r="D192" s="10"/>
      <c r="E192" s="10"/>
      <c r="F192" s="10"/>
      <c r="G192" s="10"/>
      <c r="H192" s="4"/>
      <c r="I192" s="10"/>
      <c r="J192" s="10"/>
      <c r="K192" s="10"/>
      <c r="L192" s="10"/>
      <c r="M192" s="10"/>
      <c r="N192" s="4"/>
      <c r="O192" s="10"/>
      <c r="P192" s="10"/>
      <c r="Q192" s="10"/>
      <c r="R192" s="10"/>
      <c r="T192" s="4"/>
      <c r="U192" s="10"/>
      <c r="V192" s="10"/>
      <c r="W192" s="10"/>
      <c r="X192" s="10"/>
      <c r="Z192" s="4"/>
      <c r="AF192" s="24"/>
      <c r="AL192" s="24"/>
      <c r="AR192" s="24"/>
      <c r="AX192" s="24"/>
      <c r="BD192" s="24"/>
      <c r="BJ192" s="24"/>
      <c r="BK192" s="558"/>
      <c r="BL192" s="558"/>
      <c r="BM192" s="558"/>
      <c r="BN192" s="558"/>
      <c r="BO192" s="743"/>
      <c r="BP192" s="72"/>
      <c r="BQ192" s="558"/>
      <c r="BR192" s="558"/>
      <c r="BS192" s="558"/>
      <c r="BT192" s="558"/>
      <c r="BU192" s="743"/>
      <c r="BV192" s="72"/>
      <c r="BW192" s="558"/>
      <c r="BX192" s="558"/>
      <c r="BY192" s="558"/>
      <c r="BZ192" s="558"/>
      <c r="CA192" s="743"/>
      <c r="CB192" s="72"/>
      <c r="CC192" s="558"/>
      <c r="CD192" s="558"/>
      <c r="CE192" s="558"/>
      <c r="CF192" s="558"/>
      <c r="CG192" s="743"/>
      <c r="CH192" s="72"/>
      <c r="CI192" s="558"/>
      <c r="CJ192" s="558"/>
      <c r="CK192" s="558"/>
      <c r="CL192" s="558"/>
      <c r="CM192" s="743"/>
      <c r="CN192" s="72"/>
      <c r="CO192" s="558"/>
      <c r="CP192" s="558"/>
      <c r="CQ192" s="558"/>
      <c r="CR192" s="558"/>
      <c r="CS192" s="743"/>
      <c r="CY192" s="43"/>
      <c r="CZ192" s="43"/>
    </row>
    <row r="193" spans="1:104" x14ac:dyDescent="0.2">
      <c r="A193" s="24"/>
      <c r="B193" s="24"/>
      <c r="C193" s="10"/>
      <c r="D193" s="10"/>
      <c r="E193" s="10"/>
      <c r="F193" s="10"/>
      <c r="G193" s="10"/>
      <c r="H193" s="24"/>
      <c r="I193" s="10"/>
      <c r="J193" s="10"/>
      <c r="K193" s="10"/>
      <c r="L193" s="10"/>
      <c r="M193" s="10"/>
      <c r="N193" s="24"/>
      <c r="O193" s="10"/>
      <c r="P193" s="10"/>
      <c r="Q193" s="10"/>
      <c r="R193" s="10"/>
      <c r="T193" s="24"/>
      <c r="U193" s="10"/>
      <c r="V193" s="10"/>
      <c r="W193" s="10"/>
      <c r="X193" s="10"/>
      <c r="Z193" s="24"/>
      <c r="AF193" s="24"/>
      <c r="AL193" s="24"/>
      <c r="AR193" s="24"/>
      <c r="AX193" s="24"/>
      <c r="BD193" s="24"/>
      <c r="BJ193" s="24"/>
      <c r="BL193" s="558"/>
      <c r="BP193" s="24"/>
      <c r="BV193" s="24"/>
      <c r="CB193" s="24"/>
      <c r="CH193" s="24"/>
      <c r="CN193" s="24"/>
      <c r="CY193" s="43"/>
      <c r="CZ193" s="43"/>
    </row>
  </sheetData>
  <mergeCells count="16">
    <mergeCell ref="CI5:CM5"/>
    <mergeCell ref="CO5:CS5"/>
    <mergeCell ref="CC5:CG5"/>
    <mergeCell ref="C5:G5"/>
    <mergeCell ref="I5:M5"/>
    <mergeCell ref="O5:S5"/>
    <mergeCell ref="U5:Y5"/>
    <mergeCell ref="AS5:AW5"/>
    <mergeCell ref="AA5:AE5"/>
    <mergeCell ref="AG5:AK5"/>
    <mergeCell ref="AM5:AQ5"/>
    <mergeCell ref="BE5:BI5"/>
    <mergeCell ref="BK5:BO5"/>
    <mergeCell ref="BW5:CA5"/>
    <mergeCell ref="BQ5:BU5"/>
    <mergeCell ref="AY5:BC5"/>
  </mergeCells>
  <phoneticPr fontId="13" type="noConversion"/>
  <pageMargins left="0.25" right="0.25" top="0.25" bottom="0.25" header="0.5" footer="0.5"/>
  <pageSetup scale="31" orientation="portrait" r:id="rId1"/>
  <headerFooter alignWithMargins="0"/>
  <rowBreaks count="1" manualBreakCount="1">
    <brk id="84" max="41" man="1"/>
  </rowBreaks>
  <ignoredErrors>
    <ignoredError sqref="G96 M96 S96 BH116:BI116 BH118:BI120 BI117 BO157 BU157 CA157 A103:CA105 A106:BI115 BJ106:BQ108 BJ112:CA112 BJ110:BQ111 AK8:BQ12 AK17:BQ24 AK27:BQ31 AK33:BQ36 AK39:BQ45 AK50:BQ54 AK57:BQ59 AK62:BQ65 AK74:BQ77 AK80:BQ83 AK86:BQ91 AK94:BQ96 CT7:CT96 BS106:CA111 BJ113:BQ115 BS113:CA115 AK130:BQ135 AK138:BQ140 AK143:BQ145 CT130:CU145 AK15:BQ15 AK13:BP14 BJ109:BP109 BR157 BS143:CA145 BS138:CA140 AK141:CA142 BS130:CA135 BS94:CA96 BS86:CA91 AK92:CA93 BS80:CA83 AK84:CA85 BS74:CA77 AK78:CA79 BS62:CA65 AK66:CA73 BS57:CA59 AK60:CA61 BS50:CA54 AK55:CA56 BS39:CA45 AK46:CA49 BS33:CA36 AK37:CA38 BS27:CA31 AK32:CA32 BS17:CA24 AK25:CA26 BS8:CA15 AK16:CA16 AK7:CG7 AK136:CA137" formula="1"/>
    <ignoredError sqref="CT168:CT169 AK162:BQ167 CT162:CT167 CT178:CT187 AK170:BQ177 CT170:CT177 BR170:BR171 BR177 BR162:BR165 BS170:CA177 AK178:CA187 BS162:CA167 AK168:CA169" unlocked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42"/>
    <pageSetUpPr fitToPage="1"/>
  </sheetPr>
  <dimension ref="A1:DR125"/>
  <sheetViews>
    <sheetView showGridLines="0" zoomScaleNormal="100" workbookViewId="0">
      <pane xSplit="2" ySplit="6" topLeftCell="AK7" activePane="bottomRight" state="frozen"/>
      <selection activeCell="BM8" sqref="BM8"/>
      <selection pane="topRight" activeCell="BM8" sqref="BM8"/>
      <selection pane="bottomLeft" activeCell="BM8" sqref="BM8"/>
      <selection pane="bottomRight" sqref="A1:XFD1048576"/>
    </sheetView>
  </sheetViews>
  <sheetFormatPr defaultRowHeight="12.75" outlineLevelRow="1" outlineLevelCol="1" x14ac:dyDescent="0.2"/>
  <cols>
    <col min="1" max="1" width="33.42578125" customWidth="1"/>
    <col min="2" max="2" width="1.42578125" hidden="1" customWidth="1" outlineLevel="1"/>
    <col min="3" max="6" width="7" hidden="1" customWidth="1" outlineLevel="1"/>
    <col min="7" max="7" width="7" hidden="1" customWidth="1" outlineLevel="1" collapsed="1"/>
    <col min="8" max="8" width="1.42578125" style="73" hidden="1" customWidth="1" outlineLevel="1"/>
    <col min="9" max="10" width="7" hidden="1" customWidth="1" outlineLevel="1"/>
    <col min="11" max="11" width="7.140625" hidden="1" customWidth="1" outlineLevel="1"/>
    <col min="12" max="12" width="7" hidden="1" customWidth="1" outlineLevel="1"/>
    <col min="13" max="13" width="7" hidden="1" customWidth="1" outlineLevel="1" collapsed="1"/>
    <col min="14" max="14" width="1.42578125" style="73" hidden="1" customWidth="1" outlineLevel="1"/>
    <col min="15" max="19" width="7" hidden="1" customWidth="1" outlineLevel="1"/>
    <col min="20" max="20" width="1.42578125" style="73" hidden="1" customWidth="1" outlineLevel="1"/>
    <col min="21" max="25" width="7" hidden="1" customWidth="1" outlineLevel="1"/>
    <col min="26" max="26" width="1.42578125" style="73" hidden="1" customWidth="1" outlineLevel="1"/>
    <col min="27" max="30" width="7" hidden="1" customWidth="1" outlineLevel="1"/>
    <col min="31" max="31" width="7" hidden="1" customWidth="1" outlineLevel="1" collapsed="1"/>
    <col min="32" max="32" width="1.42578125" style="73" hidden="1" customWidth="1" outlineLevel="1"/>
    <col min="33" max="36" width="7" hidden="1" customWidth="1" outlineLevel="1"/>
    <col min="37" max="37" width="7" customWidth="1" collapsed="1"/>
    <col min="38" max="38" width="1.42578125" style="73" customWidth="1"/>
    <col min="39" max="42" width="7" hidden="1" customWidth="1" outlineLevel="1"/>
    <col min="43" max="43" width="7" customWidth="1" collapsed="1"/>
    <col min="44" max="44" width="1.42578125" style="73" customWidth="1"/>
    <col min="45" max="48" width="7" hidden="1" customWidth="1" outlineLevel="1"/>
    <col min="49" max="49" width="7" customWidth="1" collapsed="1"/>
    <col min="50" max="50" width="1.42578125" style="73" customWidth="1"/>
    <col min="51" max="54" width="7" hidden="1" customWidth="1" outlineLevel="1"/>
    <col min="55" max="55" width="7" customWidth="1" collapsed="1"/>
    <col min="56" max="56" width="1.42578125" customWidth="1"/>
    <col min="57" max="60" width="7" hidden="1" customWidth="1" outlineLevel="1"/>
    <col min="61" max="61" width="7" customWidth="1" collapsed="1"/>
    <col min="62" max="62" width="1.42578125" customWidth="1"/>
    <col min="63" max="66" width="7" hidden="1" customWidth="1" outlineLevel="1"/>
    <col min="67" max="67" width="7" customWidth="1" collapsed="1"/>
    <col min="68" max="68" width="1.42578125" customWidth="1"/>
    <col min="69" max="72" width="7" customWidth="1" outlineLevel="1"/>
    <col min="73" max="73" width="7" customWidth="1"/>
    <col min="74" max="74" width="1.42578125" customWidth="1"/>
    <col min="75" max="78" width="7" hidden="1" customWidth="1" outlineLevel="1"/>
    <col min="79" max="79" width="7" customWidth="1" collapsed="1"/>
    <col min="80" max="80" width="1.42578125" customWidth="1"/>
    <col min="81" max="84" width="7" customWidth="1" outlineLevel="1"/>
    <col min="85" max="85" width="7" customWidth="1"/>
    <col min="86" max="86" width="1.42578125" customWidth="1"/>
    <col min="87" max="90" width="7" hidden="1" customWidth="1" outlineLevel="1"/>
    <col min="91" max="91" width="7" customWidth="1" collapsed="1"/>
    <col min="92" max="92" width="1.42578125" customWidth="1"/>
    <col min="93" max="96" width="7" hidden="1" customWidth="1" outlineLevel="1"/>
    <col min="97" max="97" width="7" customWidth="1" collapsed="1"/>
    <col min="98" max="103" width="7" customWidth="1"/>
    <col min="104" max="104" width="36.140625" hidden="1" customWidth="1" outlineLevel="1"/>
    <col min="105" max="109" width="9.140625" hidden="1" customWidth="1" outlineLevel="1"/>
    <col min="110" max="110" width="9.140625" collapsed="1"/>
  </cols>
  <sheetData>
    <row r="1" spans="1:103" x14ac:dyDescent="0.2">
      <c r="A1" s="242" t="s">
        <v>275</v>
      </c>
      <c r="B1" s="51"/>
      <c r="H1" s="59"/>
      <c r="N1" s="59"/>
      <c r="T1" s="59"/>
      <c r="Z1" s="59"/>
    </row>
    <row r="2" spans="1:103" x14ac:dyDescent="0.2">
      <c r="A2" s="26" t="s">
        <v>327</v>
      </c>
      <c r="B2" s="51"/>
      <c r="H2" s="59"/>
      <c r="N2" s="59"/>
      <c r="T2" s="59"/>
      <c r="Z2" s="59"/>
    </row>
    <row r="3" spans="1:103" x14ac:dyDescent="0.2">
      <c r="A3" s="8" t="s">
        <v>115</v>
      </c>
      <c r="B3" s="75"/>
      <c r="G3" s="323"/>
      <c r="H3" s="1"/>
      <c r="M3" s="323"/>
      <c r="N3" s="1"/>
      <c r="S3" s="323"/>
      <c r="T3" s="1"/>
      <c r="U3" s="323"/>
      <c r="V3" s="323"/>
      <c r="W3" s="323"/>
      <c r="X3" s="323"/>
      <c r="Y3" s="323"/>
      <c r="Z3" s="1"/>
      <c r="AA3" s="323"/>
      <c r="AB3" s="323"/>
      <c r="AC3" s="323"/>
      <c r="AD3" s="323"/>
      <c r="AE3" s="323"/>
      <c r="AF3" s="328"/>
      <c r="AG3" s="323"/>
      <c r="AH3" s="323"/>
      <c r="AI3" s="323"/>
      <c r="AJ3" s="323"/>
      <c r="AK3" s="323"/>
      <c r="AL3" s="328"/>
      <c r="AM3" s="342"/>
      <c r="AN3" s="323"/>
      <c r="AO3" s="323"/>
      <c r="AP3" s="323"/>
      <c r="AQ3" s="323"/>
      <c r="AR3" s="328"/>
      <c r="AS3" s="323"/>
      <c r="AT3" s="323"/>
      <c r="AU3" s="323"/>
      <c r="AV3" s="323"/>
      <c r="AW3" s="323"/>
      <c r="AX3" s="328"/>
      <c r="AY3" s="323"/>
      <c r="AZ3" s="323"/>
      <c r="BA3" s="323"/>
      <c r="BB3" s="323"/>
      <c r="BC3" s="323"/>
      <c r="BD3" s="323"/>
      <c r="BE3" s="323"/>
      <c r="BF3" s="323"/>
      <c r="BG3" s="323"/>
      <c r="BH3" s="323"/>
      <c r="BI3" s="323"/>
      <c r="BJ3" s="323"/>
      <c r="BK3" s="323"/>
      <c r="BL3" s="323"/>
      <c r="BM3" s="323"/>
      <c r="BN3" s="323"/>
      <c r="BO3" s="323"/>
      <c r="BP3" s="323"/>
      <c r="BQ3" s="323"/>
      <c r="BR3" s="323"/>
      <c r="BS3" s="323"/>
      <c r="BT3" s="323"/>
      <c r="BU3" s="323"/>
      <c r="BV3" s="323"/>
      <c r="BW3" s="323"/>
      <c r="BX3" s="323"/>
      <c r="BY3" s="323"/>
      <c r="BZ3" s="323"/>
      <c r="CA3" s="323"/>
      <c r="CB3" s="323"/>
      <c r="CC3" s="323"/>
      <c r="CD3" s="323"/>
      <c r="CE3" s="323"/>
      <c r="CF3" s="323"/>
      <c r="CG3" s="323"/>
      <c r="CH3" s="323"/>
      <c r="CI3" s="323"/>
      <c r="CJ3" s="323"/>
      <c r="CK3" s="323"/>
      <c r="CL3" s="323"/>
      <c r="CM3" s="323"/>
      <c r="CN3" s="323"/>
      <c r="CO3" s="323"/>
      <c r="CP3" s="323"/>
      <c r="CQ3" s="323"/>
      <c r="CR3" s="323"/>
      <c r="CS3" s="323"/>
      <c r="CT3" s="323"/>
      <c r="CU3" s="323"/>
      <c r="CV3" s="323"/>
      <c r="CW3" s="323"/>
      <c r="CX3" s="323"/>
      <c r="CY3" s="323"/>
    </row>
    <row r="4" spans="1:103" x14ac:dyDescent="0.2">
      <c r="A4" s="9" t="s">
        <v>236</v>
      </c>
      <c r="B4" s="75"/>
      <c r="C4" s="73"/>
      <c r="D4" s="73"/>
      <c r="E4" s="73"/>
      <c r="F4" s="73"/>
      <c r="G4" s="328"/>
      <c r="H4" s="1"/>
      <c r="I4" s="73"/>
      <c r="J4" s="73"/>
      <c r="K4" s="73"/>
      <c r="L4" s="73"/>
      <c r="M4" s="328"/>
      <c r="N4" s="1"/>
      <c r="O4" s="73"/>
      <c r="P4" s="73"/>
      <c r="Q4" s="73"/>
      <c r="R4" s="73"/>
      <c r="S4" s="328"/>
      <c r="T4" s="1"/>
      <c r="U4" s="328"/>
      <c r="V4" s="328"/>
      <c r="W4" s="328"/>
      <c r="X4" s="328"/>
      <c r="Y4" s="328"/>
      <c r="Z4" s="1"/>
      <c r="AA4" s="328"/>
      <c r="AB4" s="328"/>
      <c r="AC4" s="328"/>
      <c r="AD4" s="328"/>
      <c r="AE4" s="328"/>
      <c r="AF4" s="1"/>
      <c r="AG4" s="328"/>
      <c r="AH4" s="328"/>
      <c r="AI4" s="328"/>
      <c r="AJ4" s="328"/>
      <c r="AK4" s="328"/>
      <c r="AL4" s="1"/>
      <c r="AM4" s="73"/>
      <c r="AN4" s="73"/>
      <c r="AO4" s="73"/>
      <c r="AP4" s="73"/>
      <c r="AQ4" s="328"/>
      <c r="AR4" s="1"/>
      <c r="AS4" s="73"/>
      <c r="AT4" s="73"/>
      <c r="AU4" s="73"/>
      <c r="AV4" s="73"/>
      <c r="AW4" s="328"/>
      <c r="AX4" s="1"/>
      <c r="AY4" s="73"/>
      <c r="AZ4" s="73"/>
      <c r="BA4" s="73"/>
      <c r="BB4" s="73"/>
      <c r="BC4" s="328"/>
      <c r="BD4" s="1"/>
      <c r="BE4" s="73"/>
      <c r="BF4" s="73"/>
      <c r="BG4" s="73"/>
      <c r="BH4" s="73"/>
      <c r="BI4" s="328"/>
      <c r="BJ4" s="1"/>
      <c r="BK4" s="73"/>
      <c r="BL4" s="73"/>
      <c r="BM4" s="73"/>
      <c r="BN4" s="73"/>
      <c r="BO4" s="328"/>
      <c r="BP4" s="1"/>
      <c r="BQ4" s="73"/>
      <c r="BR4" s="73"/>
      <c r="BS4" s="73"/>
      <c r="BT4" s="73"/>
      <c r="BU4" s="328"/>
      <c r="BV4" s="1"/>
      <c r="BW4" s="73"/>
      <c r="BX4" s="73"/>
      <c r="BY4" s="73"/>
      <c r="BZ4" s="73"/>
      <c r="CA4" s="328"/>
      <c r="CB4" s="1"/>
      <c r="CC4" s="73"/>
      <c r="CD4" s="73"/>
      <c r="CE4" s="73"/>
      <c r="CF4" s="73"/>
      <c r="CG4" s="328"/>
      <c r="CH4" s="1"/>
      <c r="CI4" s="73"/>
      <c r="CJ4" s="73"/>
      <c r="CK4" s="73"/>
      <c r="CL4" s="73"/>
      <c r="CM4" s="328"/>
      <c r="CN4" s="1"/>
      <c r="CO4" s="73"/>
      <c r="CP4" s="73"/>
      <c r="CQ4" s="73"/>
      <c r="CR4" s="73"/>
      <c r="CS4" s="328"/>
      <c r="CT4" s="323"/>
      <c r="CU4" s="323"/>
      <c r="CV4" s="323"/>
      <c r="CW4" s="323"/>
      <c r="CX4" s="323"/>
      <c r="CY4" s="323"/>
    </row>
    <row r="5" spans="1:103" ht="13.5" thickBot="1" x14ac:dyDescent="0.25">
      <c r="A5" s="323"/>
      <c r="B5" s="75"/>
      <c r="C5" s="916" t="s">
        <v>103</v>
      </c>
      <c r="D5" s="916"/>
      <c r="E5" s="916"/>
      <c r="F5" s="916"/>
      <c r="G5" s="916"/>
      <c r="H5" s="1"/>
      <c r="I5" s="916" t="s">
        <v>104</v>
      </c>
      <c r="J5" s="916"/>
      <c r="K5" s="916"/>
      <c r="L5" s="916"/>
      <c r="M5" s="916"/>
      <c r="N5" s="1"/>
      <c r="O5" s="916" t="s">
        <v>105</v>
      </c>
      <c r="P5" s="916"/>
      <c r="Q5" s="916"/>
      <c r="R5" s="916"/>
      <c r="S5" s="916"/>
      <c r="T5" s="1"/>
      <c r="U5" s="916" t="s">
        <v>185</v>
      </c>
      <c r="V5" s="916"/>
      <c r="W5" s="916"/>
      <c r="X5" s="916"/>
      <c r="Y5" s="916"/>
      <c r="Z5" s="1"/>
      <c r="AA5" s="915" t="s">
        <v>151</v>
      </c>
      <c r="AB5" s="915"/>
      <c r="AC5" s="915"/>
      <c r="AD5" s="915"/>
      <c r="AE5" s="915"/>
      <c r="AF5" s="1"/>
      <c r="AG5" s="915" t="str">
        <f>+'P&amp;L'!AG5</f>
        <v>2012A</v>
      </c>
      <c r="AH5" s="915"/>
      <c r="AI5" s="915"/>
      <c r="AJ5" s="915"/>
      <c r="AK5" s="915"/>
      <c r="AL5" s="1"/>
      <c r="AM5" s="915" t="str">
        <f>+'P&amp;L'!AM5</f>
        <v>2013A</v>
      </c>
      <c r="AN5" s="915"/>
      <c r="AO5" s="915"/>
      <c r="AP5" s="915"/>
      <c r="AQ5" s="915"/>
      <c r="AR5" s="1"/>
      <c r="AS5" s="915" t="str">
        <f>+'P&amp;L'!AS5</f>
        <v>2014A</v>
      </c>
      <c r="AT5" s="915"/>
      <c r="AU5" s="915"/>
      <c r="AV5" s="915"/>
      <c r="AW5" s="915"/>
      <c r="AX5" s="1"/>
      <c r="AY5" s="915" t="str">
        <f>+'P&amp;L'!AY5</f>
        <v>2015A</v>
      </c>
      <c r="AZ5" s="915"/>
      <c r="BA5" s="915"/>
      <c r="BB5" s="915"/>
      <c r="BC5" s="915"/>
      <c r="BD5" s="1"/>
      <c r="BE5" s="915" t="str">
        <f>+'P&amp;L'!BE5</f>
        <v>2016A</v>
      </c>
      <c r="BF5" s="915"/>
      <c r="BG5" s="915"/>
      <c r="BH5" s="915"/>
      <c r="BI5" s="915"/>
      <c r="BJ5" s="1"/>
      <c r="BK5" s="915" t="str">
        <f>+'P&amp;L'!BK5</f>
        <v>2017A</v>
      </c>
      <c r="BL5" s="915"/>
      <c r="BM5" s="915"/>
      <c r="BN5" s="915"/>
      <c r="BO5" s="915"/>
      <c r="BP5" s="1"/>
      <c r="BQ5" s="915" t="str">
        <f>+'P&amp;L'!BQ5</f>
        <v>2018E</v>
      </c>
      <c r="BR5" s="915"/>
      <c r="BS5" s="915"/>
      <c r="BT5" s="915"/>
      <c r="BU5" s="915"/>
      <c r="BV5" s="1"/>
      <c r="BW5" s="915" t="str">
        <f>+'P&amp;L'!BW5</f>
        <v>2019E</v>
      </c>
      <c r="BX5" s="915"/>
      <c r="BY5" s="915"/>
      <c r="BZ5" s="915"/>
      <c r="CA5" s="915"/>
      <c r="CB5" s="1"/>
      <c r="CC5" s="915" t="str">
        <f>+'P&amp;L'!CC5</f>
        <v>2020E</v>
      </c>
      <c r="CD5" s="915"/>
      <c r="CE5" s="915"/>
      <c r="CF5" s="915"/>
      <c r="CG5" s="915"/>
      <c r="CH5" s="1"/>
      <c r="CI5" s="915" t="str">
        <f>+'P&amp;L'!CI5</f>
        <v>2021E</v>
      </c>
      <c r="CJ5" s="915"/>
      <c r="CK5" s="915"/>
      <c r="CL5" s="915"/>
      <c r="CM5" s="915"/>
      <c r="CN5" s="1"/>
      <c r="CO5" s="915" t="str">
        <f>+'P&amp;L'!CO5</f>
        <v>2022E</v>
      </c>
      <c r="CP5" s="915"/>
      <c r="CQ5" s="915"/>
      <c r="CR5" s="915"/>
      <c r="CS5" s="915"/>
      <c r="CT5" s="52"/>
      <c r="CU5" s="52"/>
      <c r="CV5" s="52"/>
      <c r="CW5" s="52"/>
      <c r="CX5" s="52"/>
      <c r="CY5" s="52"/>
    </row>
    <row r="6" spans="1:103" x14ac:dyDescent="0.2">
      <c r="A6" s="324"/>
      <c r="B6" s="442"/>
      <c r="C6" s="2">
        <f>+'P&amp;L'!C6</f>
        <v>38990</v>
      </c>
      <c r="D6" s="2">
        <f>+'P&amp;L'!D6</f>
        <v>39082</v>
      </c>
      <c r="E6" s="2">
        <f>+'P&amp;L'!E6</f>
        <v>39172</v>
      </c>
      <c r="F6" s="2">
        <f>+'P&amp;L'!F6</f>
        <v>39263</v>
      </c>
      <c r="G6" s="128" t="str">
        <f>+'P&amp;L'!G6</f>
        <v>2007A</v>
      </c>
      <c r="H6" s="3"/>
      <c r="I6" s="2">
        <f>+'P&amp;L'!I6</f>
        <v>39355</v>
      </c>
      <c r="J6" s="2">
        <f>+'P&amp;L'!J6</f>
        <v>39447</v>
      </c>
      <c r="K6" s="2">
        <f>+'P&amp;L'!K6</f>
        <v>39538</v>
      </c>
      <c r="L6" s="2">
        <f>+'P&amp;L'!L6</f>
        <v>39629</v>
      </c>
      <c r="M6" s="128" t="str">
        <f>+'P&amp;L'!M6</f>
        <v>2008A</v>
      </c>
      <c r="N6" s="3"/>
      <c r="O6" s="2">
        <f>+'P&amp;L'!O6</f>
        <v>39721</v>
      </c>
      <c r="P6" s="2">
        <f>+'P&amp;L'!P6</f>
        <v>39813</v>
      </c>
      <c r="Q6" s="2">
        <f>+'P&amp;L'!Q6</f>
        <v>39903</v>
      </c>
      <c r="R6" s="2">
        <f>+'P&amp;L'!R6</f>
        <v>39994</v>
      </c>
      <c r="S6" s="128" t="str">
        <f>+'P&amp;L'!S6</f>
        <v>2009A</v>
      </c>
      <c r="T6" s="3"/>
      <c r="U6" s="2">
        <f>+'P&amp;L'!U6</f>
        <v>40086</v>
      </c>
      <c r="V6" s="2">
        <f>+'P&amp;L'!V6</f>
        <v>40178</v>
      </c>
      <c r="W6" s="2">
        <f>+'P&amp;L'!W6</f>
        <v>40268</v>
      </c>
      <c r="X6" s="2">
        <f>+'P&amp;L'!X6</f>
        <v>40359</v>
      </c>
      <c r="Y6" s="128" t="str">
        <f>+'P&amp;L'!Y6</f>
        <v>2010A</v>
      </c>
      <c r="Z6" s="3"/>
      <c r="AA6" s="2">
        <f>+'P&amp;L'!AA6</f>
        <v>40451</v>
      </c>
      <c r="AB6" s="2">
        <f>+'P&amp;L'!AB6</f>
        <v>40543</v>
      </c>
      <c r="AC6" s="2">
        <f>+'P&amp;L'!AC6</f>
        <v>40633</v>
      </c>
      <c r="AD6" s="2">
        <f>+'P&amp;L'!AD6</f>
        <v>40724</v>
      </c>
      <c r="AE6" s="232" t="str">
        <f>+'P&amp;L'!AE6</f>
        <v>2011A</v>
      </c>
      <c r="AF6" s="3"/>
      <c r="AG6" s="2">
        <f>+'P&amp;L'!AG6</f>
        <v>40816</v>
      </c>
      <c r="AH6" s="2">
        <f>+'P&amp;L'!AH6</f>
        <v>40908</v>
      </c>
      <c r="AI6" s="2">
        <f>+'P&amp;L'!AI6</f>
        <v>40999</v>
      </c>
      <c r="AJ6" s="2">
        <f>+'P&amp;L'!AJ6</f>
        <v>41090</v>
      </c>
      <c r="AK6" s="232" t="str">
        <f>+'P&amp;L'!AK6</f>
        <v>2012A</v>
      </c>
      <c r="AL6" s="3"/>
      <c r="AM6" s="2">
        <f>+'P&amp;L'!AM6</f>
        <v>41182</v>
      </c>
      <c r="AN6" s="2">
        <f>+'P&amp;L'!AN6</f>
        <v>41274</v>
      </c>
      <c r="AO6" s="2">
        <f>+'P&amp;L'!AO6</f>
        <v>41364</v>
      </c>
      <c r="AP6" s="2">
        <f>+'P&amp;L'!AP6</f>
        <v>41455</v>
      </c>
      <c r="AQ6" s="232" t="str">
        <f>+'P&amp;L'!AQ6</f>
        <v>2013A</v>
      </c>
      <c r="AR6" s="3"/>
      <c r="AS6" s="2">
        <f>+'P&amp;L'!AS6</f>
        <v>41547.25</v>
      </c>
      <c r="AT6" s="2">
        <f>+'P&amp;L'!AT6</f>
        <v>41639.25</v>
      </c>
      <c r="AU6" s="2">
        <f>+'P&amp;L'!AU6</f>
        <v>41729.25</v>
      </c>
      <c r="AV6" s="2">
        <f>+'P&amp;L'!AV6</f>
        <v>41820.25</v>
      </c>
      <c r="AW6" s="232" t="str">
        <f>+'P&amp;L'!AW6</f>
        <v>2014A</v>
      </c>
      <c r="AX6" s="3"/>
      <c r="AY6" s="2">
        <f>+'P&amp;L'!AY6</f>
        <v>41912.5</v>
      </c>
      <c r="AZ6" s="2">
        <f>+'P&amp;L'!AZ6</f>
        <v>42004.5</v>
      </c>
      <c r="BA6" s="2">
        <f>+'P&amp;L'!BA6</f>
        <v>42094.5</v>
      </c>
      <c r="BB6" s="2">
        <f>+'P&amp;L'!BB6</f>
        <v>42185.5</v>
      </c>
      <c r="BC6" s="655" t="str">
        <f>+'P&amp;L'!BC6</f>
        <v>2015A</v>
      </c>
      <c r="BD6" s="3"/>
      <c r="BE6" s="2">
        <f>+'P&amp;L'!BE6</f>
        <v>42277.75</v>
      </c>
      <c r="BF6" s="2">
        <f>+'P&amp;L'!BF6</f>
        <v>42369.75</v>
      </c>
      <c r="BG6" s="2">
        <f>+'P&amp;L'!BG6</f>
        <v>42459.75</v>
      </c>
      <c r="BH6" s="2">
        <f>+'P&amp;L'!BH6</f>
        <v>42550.75</v>
      </c>
      <c r="BI6" s="655" t="str">
        <f>+'P&amp;L'!BI6</f>
        <v>2016A</v>
      </c>
      <c r="BJ6" s="3"/>
      <c r="BK6" s="2">
        <f>+'P&amp;L'!BK6</f>
        <v>42643</v>
      </c>
      <c r="BL6" s="2">
        <f>+'P&amp;L'!BL6</f>
        <v>42735</v>
      </c>
      <c r="BM6" s="2">
        <f>+'P&amp;L'!BM6</f>
        <v>42825</v>
      </c>
      <c r="BN6" s="2">
        <f>+'P&amp;L'!BN6</f>
        <v>42916</v>
      </c>
      <c r="BO6" s="655" t="str">
        <f>+'P&amp;L'!BO6</f>
        <v>2017A</v>
      </c>
      <c r="BP6" s="3"/>
      <c r="BQ6" s="2">
        <f>+'P&amp;L'!BQ6</f>
        <v>43008.25</v>
      </c>
      <c r="BR6" s="2">
        <f>+'P&amp;L'!BR6</f>
        <v>43100.25</v>
      </c>
      <c r="BS6" s="231">
        <f>+'P&amp;L'!BS6</f>
        <v>43190.25</v>
      </c>
      <c r="BT6" s="231">
        <f>+'P&amp;L'!BT6</f>
        <v>43281.25</v>
      </c>
      <c r="BU6" s="232" t="str">
        <f>+'P&amp;L'!BU6</f>
        <v>2018E</v>
      </c>
      <c r="BV6" s="3"/>
      <c r="BW6" s="231">
        <f>+'P&amp;L'!BW6</f>
        <v>43373.5</v>
      </c>
      <c r="BX6" s="231">
        <f>+'P&amp;L'!BX6</f>
        <v>43465.5</v>
      </c>
      <c r="BY6" s="231">
        <f>+'P&amp;L'!BY6</f>
        <v>43555.5</v>
      </c>
      <c r="BZ6" s="231">
        <f>+'P&amp;L'!BZ6</f>
        <v>43646.5</v>
      </c>
      <c r="CA6" s="232" t="str">
        <f>+'P&amp;L'!CA6</f>
        <v>2019E</v>
      </c>
      <c r="CB6" s="3"/>
      <c r="CC6" s="231">
        <f>+'P&amp;L'!CC6</f>
        <v>43738.75</v>
      </c>
      <c r="CD6" s="231">
        <f>+'P&amp;L'!CD6</f>
        <v>43830.75</v>
      </c>
      <c r="CE6" s="231">
        <f>+'P&amp;L'!CE6</f>
        <v>43920.75</v>
      </c>
      <c r="CF6" s="231">
        <f>+'P&amp;L'!CF6</f>
        <v>44011.75</v>
      </c>
      <c r="CG6" s="232" t="str">
        <f>+'P&amp;L'!CG6</f>
        <v>2020E</v>
      </c>
      <c r="CH6" s="3"/>
      <c r="CI6" s="231">
        <f>+'P&amp;L'!CI6</f>
        <v>44104</v>
      </c>
      <c r="CJ6" s="231">
        <f>+'P&amp;L'!CJ6</f>
        <v>44196</v>
      </c>
      <c r="CK6" s="231">
        <f>+'P&amp;L'!CK6</f>
        <v>44286</v>
      </c>
      <c r="CL6" s="231">
        <f>+'P&amp;L'!CL6</f>
        <v>44377</v>
      </c>
      <c r="CM6" s="232" t="str">
        <f>+'P&amp;L'!CM6</f>
        <v>2021E</v>
      </c>
      <c r="CN6" s="3"/>
      <c r="CO6" s="231">
        <f>+'P&amp;L'!CO6</f>
        <v>44469.25</v>
      </c>
      <c r="CP6" s="231">
        <f>+'P&amp;L'!CP6</f>
        <v>44561.25</v>
      </c>
      <c r="CQ6" s="231">
        <f>+'P&amp;L'!CQ6</f>
        <v>44651.25</v>
      </c>
      <c r="CR6" s="231">
        <f>+'P&amp;L'!CR6</f>
        <v>44742.25</v>
      </c>
      <c r="CS6" s="232" t="str">
        <f>+'P&amp;L'!CS6</f>
        <v>2022E</v>
      </c>
      <c r="CT6" s="169"/>
      <c r="CU6" s="169"/>
      <c r="CV6" s="169"/>
      <c r="CW6" s="169"/>
      <c r="CX6" s="169"/>
      <c r="CY6" s="169"/>
    </row>
    <row r="7" spans="1:103" x14ac:dyDescent="0.2">
      <c r="A7" s="45" t="s">
        <v>171</v>
      </c>
      <c r="B7" s="442"/>
      <c r="C7" s="46"/>
      <c r="D7" s="46"/>
      <c r="E7" s="46"/>
      <c r="F7" s="46"/>
      <c r="G7" s="329"/>
      <c r="H7" s="3"/>
      <c r="I7" s="46"/>
      <c r="J7" s="46"/>
      <c r="K7" s="46"/>
      <c r="L7" s="46"/>
      <c r="M7" s="329"/>
      <c r="N7" s="3"/>
      <c r="O7" s="46"/>
      <c r="P7" s="46"/>
      <c r="Q7" s="46"/>
      <c r="R7" s="46"/>
      <c r="S7" s="329"/>
      <c r="T7" s="3"/>
      <c r="U7" s="329"/>
      <c r="V7" s="329"/>
      <c r="W7" s="329"/>
      <c r="X7" s="236"/>
      <c r="Y7" s="236"/>
      <c r="Z7" s="3"/>
      <c r="AA7" s="56"/>
      <c r="AB7" s="329"/>
      <c r="AC7" s="56"/>
      <c r="AD7" s="56"/>
      <c r="AE7" s="56"/>
      <c r="AF7" s="3"/>
      <c r="AG7" s="56"/>
      <c r="AH7" s="56"/>
      <c r="AI7" s="56"/>
      <c r="AJ7" s="56"/>
      <c r="AK7" s="56"/>
      <c r="AL7" s="3"/>
      <c r="AM7" s="56"/>
      <c r="AN7" s="56"/>
      <c r="AO7" s="56"/>
      <c r="AP7" s="56"/>
      <c r="AQ7" s="56"/>
      <c r="AR7" s="3"/>
      <c r="AS7" s="56"/>
      <c r="AT7" s="56"/>
      <c r="AU7" s="56"/>
      <c r="AV7" s="56"/>
      <c r="AW7" s="56"/>
      <c r="AX7" s="3"/>
      <c r="AY7" s="56"/>
      <c r="AZ7" s="56"/>
      <c r="BA7" s="56"/>
      <c r="BB7" s="56"/>
      <c r="BC7" s="56"/>
      <c r="BD7" s="3"/>
      <c r="BE7" s="56"/>
      <c r="BF7" s="56"/>
      <c r="BG7" s="56"/>
      <c r="BH7" s="56"/>
      <c r="BI7" s="56"/>
      <c r="BJ7" s="3"/>
      <c r="BK7" s="56"/>
      <c r="BL7" s="56"/>
      <c r="BM7" s="56"/>
      <c r="BN7" s="56"/>
      <c r="BO7" s="56"/>
      <c r="BP7" s="3"/>
      <c r="BQ7" s="56"/>
      <c r="BR7" s="56"/>
      <c r="BS7" s="56"/>
      <c r="BT7" s="56"/>
      <c r="BU7" s="56"/>
      <c r="BV7" s="3"/>
      <c r="BW7" s="56"/>
      <c r="BX7" s="56"/>
      <c r="BY7" s="56"/>
      <c r="BZ7" s="56"/>
      <c r="CA7" s="56"/>
      <c r="CB7" s="3"/>
      <c r="CC7" s="56"/>
      <c r="CD7" s="56"/>
      <c r="CE7" s="56"/>
      <c r="CF7" s="56"/>
      <c r="CG7" s="56"/>
      <c r="CH7" s="3"/>
      <c r="CI7" s="56"/>
      <c r="CJ7" s="56"/>
      <c r="CK7" s="56"/>
      <c r="CL7" s="56"/>
      <c r="CM7" s="56"/>
      <c r="CN7" s="3"/>
      <c r="CO7" s="56"/>
      <c r="CP7" s="56"/>
      <c r="CQ7" s="56"/>
      <c r="CR7" s="56"/>
      <c r="CS7" s="56"/>
      <c r="CT7" s="56"/>
      <c r="CU7" s="56"/>
      <c r="CV7" s="56"/>
      <c r="CW7" s="56"/>
      <c r="CX7" s="56"/>
      <c r="CY7" s="56"/>
    </row>
    <row r="8" spans="1:103" x14ac:dyDescent="0.2">
      <c r="A8" s="175" t="s">
        <v>172</v>
      </c>
      <c r="B8" s="52"/>
      <c r="C8" s="255">
        <v>-12.425000000000001</v>
      </c>
      <c r="D8" s="175">
        <f>-21.221-C8</f>
        <v>-8.7959999999999994</v>
      </c>
      <c r="E8" s="175">
        <f>-27.158-D8-C8</f>
        <v>-5.9370000000000012</v>
      </c>
      <c r="F8" s="175">
        <f>-34.962-E8-D8-C8</f>
        <v>-7.804000000000002</v>
      </c>
      <c r="G8" s="175">
        <f>SUM(C8:F8)</f>
        <v>-34.962000000000003</v>
      </c>
      <c r="H8" s="541"/>
      <c r="I8" s="255">
        <v>-7.9989999999999997</v>
      </c>
      <c r="J8" s="175">
        <f>-13.065-I8</f>
        <v>-5.0659999999999998</v>
      </c>
      <c r="K8" s="175">
        <f>-17.696-J8-I8</f>
        <v>-4.6310000000000029</v>
      </c>
      <c r="L8" s="175">
        <f>47.845-K8-J8-I8</f>
        <v>65.540999999999997</v>
      </c>
      <c r="M8" s="175">
        <f>SUM(I8:L8)</f>
        <v>47.844999999999999</v>
      </c>
      <c r="N8" s="541"/>
      <c r="O8" s="255">
        <v>14.454000000000001</v>
      </c>
      <c r="P8" s="175">
        <f>35.657-O8</f>
        <v>21.202999999999996</v>
      </c>
      <c r="Q8" s="175">
        <f>60.975-P8-O8</f>
        <v>25.318000000000005</v>
      </c>
      <c r="R8" s="175">
        <f>84.615-Q8-P8-O8</f>
        <v>23.639999999999993</v>
      </c>
      <c r="S8" s="175">
        <f>SUM(O8:R8)</f>
        <v>84.614999999999995</v>
      </c>
      <c r="T8" s="541"/>
      <c r="U8" s="255">
        <v>30.442</v>
      </c>
      <c r="V8" s="175">
        <f>65.802-U8</f>
        <v>35.360000000000007</v>
      </c>
      <c r="W8" s="175">
        <f>99.053-V8-U8</f>
        <v>33.250999999999991</v>
      </c>
      <c r="X8" s="175">
        <f>152.303-W8-V8-U8</f>
        <v>53.250000000000007</v>
      </c>
      <c r="Y8" s="175">
        <f>SUM(U8:X8)</f>
        <v>152.303</v>
      </c>
      <c r="Z8" s="4"/>
      <c r="AA8" s="255">
        <v>22.538</v>
      </c>
      <c r="AB8" s="175">
        <f>46.729-AA8</f>
        <v>24.190999999999999</v>
      </c>
      <c r="AC8" s="175">
        <f>74.67-AB8-AA8</f>
        <v>27.940999999999999</v>
      </c>
      <c r="AD8" s="175">
        <f>100.71-AC8-AB8-AA8</f>
        <v>26.039999999999988</v>
      </c>
      <c r="AE8" s="175">
        <f>SUM(AA8:AD8)</f>
        <v>100.71</v>
      </c>
      <c r="AF8" s="4"/>
      <c r="AG8" s="255">
        <v>25.099</v>
      </c>
      <c r="AH8" s="255">
        <f>53.394-AG8</f>
        <v>28.294999999999998</v>
      </c>
      <c r="AI8" s="255">
        <f>83.009-AH8-AG8</f>
        <v>29.614999999999998</v>
      </c>
      <c r="AJ8" s="255">
        <f>112.151-AI8-AH8-AG8</f>
        <v>29.141999999999999</v>
      </c>
      <c r="AK8" s="175">
        <f>SUM(AG8:AJ8)</f>
        <v>112.151</v>
      </c>
      <c r="AL8" s="4"/>
      <c r="AM8" s="255">
        <v>30.135999999999999</v>
      </c>
      <c r="AN8" s="255">
        <f>65.172-AM8</f>
        <v>35.036000000000001</v>
      </c>
      <c r="AO8" s="255">
        <f>103.065-AN8-AM8</f>
        <v>37.893000000000001</v>
      </c>
      <c r="AP8" s="255">
        <f>147.139-AO8-AN8-AM8</f>
        <v>44.074000000000012</v>
      </c>
      <c r="AQ8" s="175">
        <f>SUM(AM8:AP8)</f>
        <v>147.13900000000001</v>
      </c>
      <c r="AR8" s="4"/>
      <c r="AS8" s="255">
        <v>55.465000000000003</v>
      </c>
      <c r="AT8" s="255">
        <f>105.825-AS8</f>
        <v>50.36</v>
      </c>
      <c r="AU8" s="255">
        <f>142.593-AT8-AS8</f>
        <v>36.767999999999986</v>
      </c>
      <c r="AV8" s="255">
        <f>176.225-AU8-AT8-AS8</f>
        <v>33.631999999999991</v>
      </c>
      <c r="AW8" s="175">
        <f>SUM(AS8:AV8)</f>
        <v>176.22499999999997</v>
      </c>
      <c r="AX8" s="4"/>
      <c r="AY8" s="749">
        <v>15.981999999999999</v>
      </c>
      <c r="AZ8" s="749">
        <f>40.013-AY8</f>
        <v>24.030999999999999</v>
      </c>
      <c r="BA8" s="749">
        <f>61.488-AZ8-AY8</f>
        <v>21.475000000000001</v>
      </c>
      <c r="BB8" s="749">
        <f>80.2-SUM(AY8:BA8)</f>
        <v>18.712000000000003</v>
      </c>
      <c r="BC8" s="175">
        <f>SUM(AY8:BB8)</f>
        <v>80.2</v>
      </c>
      <c r="BD8" s="4"/>
      <c r="BE8" s="749">
        <v>26.6</v>
      </c>
      <c r="BF8" s="749">
        <f>57-BE8</f>
        <v>30.4</v>
      </c>
      <c r="BG8" s="749">
        <f>89.6-SUM(BE8:BF8)</f>
        <v>32.599999999999994</v>
      </c>
      <c r="BH8" s="749">
        <f>125.3-SUM(BE8:BG8)</f>
        <v>35.700000000000003</v>
      </c>
      <c r="BI8" s="175">
        <f>SUM(BE8:BH8)</f>
        <v>125.3</v>
      </c>
      <c r="BJ8" s="4"/>
      <c r="BK8" s="749">
        <v>-1.2</v>
      </c>
      <c r="BL8" s="749">
        <f>4.7-BK8</f>
        <v>5.9</v>
      </c>
      <c r="BM8" s="749">
        <f>8.9-SUM(BK8:BL8)</f>
        <v>4.2</v>
      </c>
      <c r="BN8" s="749">
        <f>21.8-SUM(BK8:BM8)</f>
        <v>12.9</v>
      </c>
      <c r="BO8" s="175">
        <f>SUM(BK8:BN8)</f>
        <v>21.8</v>
      </c>
      <c r="BP8" s="4"/>
      <c r="BQ8" s="749">
        <v>81.099999999999994</v>
      </c>
      <c r="BR8" s="749">
        <f>113.2-BQ8</f>
        <v>32.100000000000009</v>
      </c>
      <c r="BS8" s="255">
        <f>+'P&amp;L'!BS91</f>
        <v>30.03369463145982</v>
      </c>
      <c r="BT8" s="255">
        <f>+'P&amp;L'!BT91</f>
        <v>31.766476087307602</v>
      </c>
      <c r="BU8" s="175">
        <f>SUM(BQ8:BT8)</f>
        <v>175.00017071876744</v>
      </c>
      <c r="BV8" s="4"/>
      <c r="BW8" s="255">
        <f>+'P&amp;L'!BW91</f>
        <v>44.855085696652196</v>
      </c>
      <c r="BX8" s="255">
        <f>+'P&amp;L'!BX91</f>
        <v>48.560267265501857</v>
      </c>
      <c r="BY8" s="255">
        <f>+'P&amp;L'!BY91</f>
        <v>47.846597356380713</v>
      </c>
      <c r="BZ8" s="255">
        <f>+'P&amp;L'!BZ91</f>
        <v>50.531603271048212</v>
      </c>
      <c r="CA8" s="175">
        <f>SUM(BW8:BZ8)</f>
        <v>191.79355358958298</v>
      </c>
      <c r="CB8" s="4"/>
      <c r="CC8" s="255">
        <f>+'P&amp;L'!CC91</f>
        <v>47.148250314071916</v>
      </c>
      <c r="CD8" s="255">
        <f>+'P&amp;L'!CD91</f>
        <v>51.217493524826068</v>
      </c>
      <c r="CE8" s="255">
        <f>+'P&amp;L'!CE91</f>
        <v>50.16135282221024</v>
      </c>
      <c r="CF8" s="255">
        <f>+'P&amp;L'!CF91</f>
        <v>52.822636095558877</v>
      </c>
      <c r="CG8" s="175">
        <f>SUM(CC8:CF8)</f>
        <v>201.34973275666709</v>
      </c>
      <c r="CH8" s="4"/>
      <c r="CI8" s="255">
        <f>+'P&amp;L'!CI91</f>
        <v>48.219886982448244</v>
      </c>
      <c r="CJ8" s="255">
        <f>+'P&amp;L'!CJ91</f>
        <v>52.154416476274932</v>
      </c>
      <c r="CK8" s="255">
        <f>+'P&amp;L'!CK91</f>
        <v>50.605857315397571</v>
      </c>
      <c r="CL8" s="255">
        <f>+'P&amp;L'!CL91</f>
        <v>53.004409894092277</v>
      </c>
      <c r="CM8" s="175">
        <f>SUM(CI8:CL8)</f>
        <v>203.98457066821302</v>
      </c>
      <c r="CN8" s="4"/>
      <c r="CO8" s="255">
        <f>+'P&amp;L'!CO91</f>
        <v>50.086402160534121</v>
      </c>
      <c r="CP8" s="255">
        <f>+'P&amp;L'!CP91</f>
        <v>54.528390223655776</v>
      </c>
      <c r="CQ8" s="255">
        <f>+'P&amp;L'!CQ91</f>
        <v>52.694759780983233</v>
      </c>
      <c r="CR8" s="255">
        <f>+'P&amp;L'!CR91</f>
        <v>55.270580011232241</v>
      </c>
      <c r="CS8" s="175">
        <f>SUM(CO8:CR8)</f>
        <v>212.58013217640536</v>
      </c>
      <c r="CT8" s="175"/>
      <c r="CU8" s="504"/>
      <c r="CV8" s="175"/>
      <c r="CW8" s="175"/>
      <c r="CX8" s="175"/>
      <c r="CY8" s="175"/>
    </row>
    <row r="9" spans="1:103" x14ac:dyDescent="0.2">
      <c r="A9" s="6" t="s">
        <v>256</v>
      </c>
      <c r="B9" s="184"/>
      <c r="C9" s="429">
        <v>1.7569999999999999</v>
      </c>
      <c r="D9" s="430">
        <f>3.581-C9</f>
        <v>1.8240000000000001</v>
      </c>
      <c r="E9" s="430">
        <f>5.536-D9-C9</f>
        <v>1.9549999999999998</v>
      </c>
      <c r="F9" s="430">
        <f>7.544-E9-D9-C9</f>
        <v>2.008</v>
      </c>
      <c r="G9" s="79">
        <f t="shared" ref="G9:G17" si="0">SUM(C9:F9)</f>
        <v>7.5439999999999996</v>
      </c>
      <c r="H9" s="60"/>
      <c r="I9" s="429">
        <v>2.0680000000000001</v>
      </c>
      <c r="J9" s="430">
        <f>4.235-I9</f>
        <v>2.1670000000000003</v>
      </c>
      <c r="K9" s="430">
        <f>6.522-J9-I9</f>
        <v>2.2870000000000004</v>
      </c>
      <c r="L9" s="430">
        <f>8.781-K9-J9-I9</f>
        <v>2.2589999999999999</v>
      </c>
      <c r="M9" s="79">
        <f t="shared" ref="M9:M17" si="1">SUM(I9:L9)</f>
        <v>8.7810000000000006</v>
      </c>
      <c r="N9" s="60"/>
      <c r="O9" s="429">
        <v>2.2559999999999998</v>
      </c>
      <c r="P9" s="430">
        <f>4.602-O9</f>
        <v>2.3460000000000005</v>
      </c>
      <c r="Q9" s="430">
        <f>7.01-P9-O9</f>
        <v>2.4079999999999999</v>
      </c>
      <c r="R9" s="430">
        <f>9.449-Q9-P9-O9</f>
        <v>2.4390000000000005</v>
      </c>
      <c r="S9" s="79">
        <f t="shared" ref="S9:S17" si="2">SUM(O9:R9)</f>
        <v>9.4489999999999998</v>
      </c>
      <c r="T9" s="60"/>
      <c r="U9" s="429">
        <v>1.7789999999999999</v>
      </c>
      <c r="V9" s="430">
        <f>3.514-U9</f>
        <v>1.7349999999999999</v>
      </c>
      <c r="W9" s="430">
        <f>5.292-V9-U9</f>
        <v>1.778</v>
      </c>
      <c r="X9" s="430">
        <f>7.084-W9-V9-U9</f>
        <v>1.7919999999999994</v>
      </c>
      <c r="Y9" s="79">
        <f t="shared" ref="Y9:Y17" si="3">SUM(U9:X9)</f>
        <v>7.0839999999999996</v>
      </c>
      <c r="Z9" s="60"/>
      <c r="AA9" s="429">
        <v>1.7569999999999999</v>
      </c>
      <c r="AB9" s="430">
        <f>3.541-AA9</f>
        <v>1.784</v>
      </c>
      <c r="AC9" s="430">
        <f>5.341-AB9-AA9</f>
        <v>1.8000000000000005</v>
      </c>
      <c r="AD9" s="430">
        <f>7.219-AC9-AB9-AA9</f>
        <v>1.8779999999999999</v>
      </c>
      <c r="AE9" s="79">
        <f t="shared" ref="AE9:AE17" si="4">SUM(AA9:AD9)</f>
        <v>7.2190000000000003</v>
      </c>
      <c r="AF9" s="319"/>
      <c r="AG9" s="429">
        <v>2.1469999999999998</v>
      </c>
      <c r="AH9" s="429">
        <f>4.438-AG9</f>
        <v>2.2909999999999999</v>
      </c>
      <c r="AI9" s="430">
        <f>6.741-AH9-AG9</f>
        <v>2.3029999999999995</v>
      </c>
      <c r="AJ9" s="430">
        <f>9.069-AI9-AH9-AG9</f>
        <v>2.3280000000000016</v>
      </c>
      <c r="AK9" s="79">
        <f t="shared" ref="AK9:AK17" si="5">SUM(AG9:AJ9)</f>
        <v>9.0690000000000008</v>
      </c>
      <c r="AL9" s="319"/>
      <c r="AM9" s="429">
        <v>2.2109999999999999</v>
      </c>
      <c r="AN9" s="429">
        <f>4.455-AM9</f>
        <v>2.2440000000000002</v>
      </c>
      <c r="AO9" s="430">
        <f>6.635-AN9-AM9</f>
        <v>2.1800000000000002</v>
      </c>
      <c r="AP9" s="430">
        <f>8.889-AO9-AN9-AM9</f>
        <v>2.254</v>
      </c>
      <c r="AQ9" s="79">
        <f t="shared" ref="AQ9:AQ17" si="6">SUM(AM9:AP9)</f>
        <v>8.8889999999999993</v>
      </c>
      <c r="AR9" s="319"/>
      <c r="AS9" s="429">
        <v>2.3719999999999999</v>
      </c>
      <c r="AT9" s="429">
        <f>4.811-AS9</f>
        <v>2.4390000000000001</v>
      </c>
      <c r="AU9" s="430">
        <f>8.291-AT9-AS9</f>
        <v>3.4800000000000004</v>
      </c>
      <c r="AV9" s="430">
        <f>13.819-AU9-AT9-AS9</f>
        <v>5.5280000000000005</v>
      </c>
      <c r="AW9" s="79">
        <f>SUM(AS9:AV9)</f>
        <v>13.819000000000001</v>
      </c>
      <c r="AX9" s="319"/>
      <c r="AY9" s="429">
        <v>5.9539999999999997</v>
      </c>
      <c r="AZ9" s="429">
        <f>11.99-AY9</f>
        <v>6.0360000000000005</v>
      </c>
      <c r="BA9" s="429">
        <f>18.389-AZ9-AY9</f>
        <v>6.3989999999999982</v>
      </c>
      <c r="BB9" s="429">
        <f>25-SUM(AY9:BA9)</f>
        <v>6.6110000000000007</v>
      </c>
      <c r="BC9" s="79">
        <f t="shared" ref="BC9:BC17" si="7">SUM(AY9:BB9)</f>
        <v>25</v>
      </c>
      <c r="BD9" s="319"/>
      <c r="BE9" s="429">
        <v>6.8</v>
      </c>
      <c r="BF9" s="429">
        <f>13.5-BE9</f>
        <v>6.7</v>
      </c>
      <c r="BG9" s="429">
        <f>20-SUM(BE9:BF9)</f>
        <v>6.5</v>
      </c>
      <c r="BH9" s="429">
        <f>26.7-SUM(BE9:BG9)</f>
        <v>6.6999999999999993</v>
      </c>
      <c r="BI9" s="79">
        <f t="shared" ref="BI9:BI17" si="8">SUM(BE9:BH9)</f>
        <v>26.7</v>
      </c>
      <c r="BJ9" s="319"/>
      <c r="BK9" s="429">
        <v>9.1999999999999993</v>
      </c>
      <c r="BL9" s="429">
        <f>22.1-BK9</f>
        <v>12.900000000000002</v>
      </c>
      <c r="BM9" s="429">
        <f>35-SUM(BK9:BL9)</f>
        <v>12.899999999999999</v>
      </c>
      <c r="BN9" s="429">
        <f>48.3-SUM(BK9:BM9)</f>
        <v>13.299999999999997</v>
      </c>
      <c r="BO9" s="79">
        <f t="shared" ref="BO9:BO17" si="9">SUM(BK9:BN9)</f>
        <v>48.3</v>
      </c>
      <c r="BP9" s="319"/>
      <c r="BQ9" s="429">
        <v>13.2</v>
      </c>
      <c r="BR9" s="429">
        <f>26.3-BQ9</f>
        <v>13.100000000000001</v>
      </c>
      <c r="BS9" s="183">
        <f>BS101+BS102</f>
        <v>13.215048783274659</v>
      </c>
      <c r="BT9" s="183">
        <f>BT101+BT102</f>
        <v>13.334734216168695</v>
      </c>
      <c r="BU9" s="79">
        <f>SUM(BQ9:BT9)</f>
        <v>52.849782999443349</v>
      </c>
      <c r="BV9" s="319"/>
      <c r="BW9" s="183">
        <f>BW101+BW102</f>
        <v>13.634156233201828</v>
      </c>
      <c r="BX9" s="183">
        <f>BX101+BX102</f>
        <v>13.555072943580489</v>
      </c>
      <c r="BY9" s="183">
        <f>BY101+BY102</f>
        <v>13.655840125146112</v>
      </c>
      <c r="BZ9" s="183">
        <f>BZ101+BZ102</f>
        <v>13.756091223055728</v>
      </c>
      <c r="CA9" s="79">
        <f>SUM(BW9:BZ9)</f>
        <v>54.601160524984159</v>
      </c>
      <c r="CB9" s="319"/>
      <c r="CC9" s="183">
        <f>CC101+CC102</f>
        <v>14.047930810889197</v>
      </c>
      <c r="CD9" s="183">
        <f>CD101+CD102</f>
        <v>14.152675750485223</v>
      </c>
      <c r="CE9" s="183">
        <f>CE101+CE102</f>
        <v>14.263794832450387</v>
      </c>
      <c r="CF9" s="183">
        <f>CF101+CF102</f>
        <v>14.374416589993462</v>
      </c>
      <c r="CG9" s="79">
        <f>SUM(CC9:CF9)</f>
        <v>56.838817983818274</v>
      </c>
      <c r="CH9" s="319"/>
      <c r="CI9" s="183">
        <f>CI101+CI102</f>
        <v>14.491003644301175</v>
      </c>
      <c r="CJ9" s="183">
        <f>CJ101+CJ102</f>
        <v>14.603300752399461</v>
      </c>
      <c r="CK9" s="183">
        <f>CK101+CK102</f>
        <v>14.722831695357042</v>
      </c>
      <c r="CL9" s="183">
        <f>CL101+CL102</f>
        <v>14.841199755611154</v>
      </c>
      <c r="CM9" s="79">
        <f>SUM(CI9:CL9)</f>
        <v>58.658335847668837</v>
      </c>
      <c r="CN9" s="319"/>
      <c r="CO9" s="183">
        <f>CO101+CO102</f>
        <v>14.965939361110966</v>
      </c>
      <c r="CP9" s="183">
        <f>CP101+CP102</f>
        <v>15.08630790451171</v>
      </c>
      <c r="CQ9" s="183">
        <f>CQ101+CQ102</f>
        <v>15.215446213915481</v>
      </c>
      <c r="CR9" s="183">
        <f>CR101+CR102</f>
        <v>15.342005984627136</v>
      </c>
      <c r="CS9" s="79">
        <f>SUM(CO9:CR9)</f>
        <v>60.609699464165288</v>
      </c>
      <c r="CT9" s="176"/>
      <c r="CV9" s="79"/>
      <c r="CW9" s="79"/>
      <c r="CX9" s="79"/>
      <c r="CY9" s="79"/>
    </row>
    <row r="10" spans="1:103" ht="12.75" customHeight="1" outlineLevel="1" x14ac:dyDescent="0.2">
      <c r="A10" s="6" t="s">
        <v>257</v>
      </c>
      <c r="B10" s="241"/>
      <c r="C10" s="429">
        <v>2.7E-2</v>
      </c>
      <c r="D10" s="429">
        <f>0.027-C10</f>
        <v>0</v>
      </c>
      <c r="E10" s="430">
        <f>-0.005-D10-C10</f>
        <v>-3.2000000000000001E-2</v>
      </c>
      <c r="F10" s="430">
        <f>-0.653-E10-D10-C10</f>
        <v>-0.64800000000000002</v>
      </c>
      <c r="G10" s="183">
        <f t="shared" si="0"/>
        <v>-0.65300000000000002</v>
      </c>
      <c r="H10" s="431"/>
      <c r="I10" s="429">
        <v>0.27400000000000002</v>
      </c>
      <c r="J10" s="429">
        <f>0.272-I10</f>
        <v>-2.0000000000000018E-3</v>
      </c>
      <c r="K10" s="430">
        <f>0.337-J10-I10</f>
        <v>6.5000000000000002E-2</v>
      </c>
      <c r="L10" s="430">
        <f>0.337-K10-J10-I10</f>
        <v>0</v>
      </c>
      <c r="M10" s="183">
        <f t="shared" si="1"/>
        <v>0.33700000000000002</v>
      </c>
      <c r="N10" s="431"/>
      <c r="O10" s="429">
        <v>1.9E-2</v>
      </c>
      <c r="P10" s="429">
        <f>0-O10</f>
        <v>-1.9E-2</v>
      </c>
      <c r="Q10" s="430">
        <f>0.052-P10-O10</f>
        <v>5.1999999999999991E-2</v>
      </c>
      <c r="R10" s="430">
        <f>0.506-Q10-P10-O10</f>
        <v>0.45400000000000001</v>
      </c>
      <c r="S10" s="183">
        <f t="shared" si="2"/>
        <v>0.50600000000000001</v>
      </c>
      <c r="T10" s="431"/>
      <c r="U10" s="429">
        <v>0.28799999999999998</v>
      </c>
      <c r="V10" s="429">
        <f>0.065-U10</f>
        <v>-0.22299999999999998</v>
      </c>
      <c r="W10" s="430">
        <f>0.367-V10-U10</f>
        <v>0.30199999999999999</v>
      </c>
      <c r="X10" s="430">
        <f>0.496-W10-V10-U10</f>
        <v>0.129</v>
      </c>
      <c r="Y10" s="183">
        <f t="shared" si="3"/>
        <v>0.496</v>
      </c>
      <c r="Z10" s="431"/>
      <c r="AA10" s="429">
        <v>0</v>
      </c>
      <c r="AB10" s="429">
        <f>0-AA10</f>
        <v>0</v>
      </c>
      <c r="AC10" s="430">
        <f>0-AB10-AA10</f>
        <v>0</v>
      </c>
      <c r="AD10" s="430">
        <f>0-AC10-AB10-AA10</f>
        <v>0</v>
      </c>
      <c r="AE10" s="183">
        <f t="shared" si="4"/>
        <v>0</v>
      </c>
      <c r="AF10" s="431"/>
      <c r="AG10" s="429">
        <v>-4.0000000000000001E-3</v>
      </c>
      <c r="AH10" s="429">
        <f>0-AG10</f>
        <v>4.0000000000000001E-3</v>
      </c>
      <c r="AI10" s="430">
        <f>0.206-AH10-AG10</f>
        <v>0.20599999999999999</v>
      </c>
      <c r="AJ10" s="430">
        <f>0.194-AI10-AH10-AG10</f>
        <v>-1.1999999999999983E-2</v>
      </c>
      <c r="AK10" s="183">
        <f t="shared" si="5"/>
        <v>0.19400000000000001</v>
      </c>
      <c r="AL10" s="431"/>
      <c r="AM10" s="429">
        <v>1E-3</v>
      </c>
      <c r="AN10" s="429">
        <f>0.004-AM10</f>
        <v>3.0000000000000001E-3</v>
      </c>
      <c r="AO10" s="430">
        <f>0.004-AN10-AM10</f>
        <v>0</v>
      </c>
      <c r="AP10" s="430">
        <f>0.008-AO10-AN10-AM10</f>
        <v>4.0000000000000001E-3</v>
      </c>
      <c r="AQ10" s="183">
        <f t="shared" si="6"/>
        <v>8.0000000000000002E-3</v>
      </c>
      <c r="AR10" s="431"/>
      <c r="AS10" s="429">
        <v>0.04</v>
      </c>
      <c r="AT10" s="429">
        <f>0.04-AS10</f>
        <v>0</v>
      </c>
      <c r="AU10" s="430">
        <f>0.052-AT10-AS10</f>
        <v>1.1999999999999997E-2</v>
      </c>
      <c r="AV10" s="430">
        <f>0.855-AU10-AT10-AS10</f>
        <v>0.80299999999999994</v>
      </c>
      <c r="AW10" s="183">
        <f>SUM(AS10:AV10)</f>
        <v>0.85499999999999998</v>
      </c>
      <c r="AX10" s="241"/>
      <c r="AY10" s="429">
        <v>6.9000000000000006E-2</v>
      </c>
      <c r="AZ10" s="429">
        <f>-0.016-AY10</f>
        <v>-8.5000000000000006E-2</v>
      </c>
      <c r="BA10" s="429">
        <f>0.079-AZ10-AY10</f>
        <v>9.5000000000000001E-2</v>
      </c>
      <c r="BB10" s="429">
        <f>0.5-SUM(AY10:BA10)</f>
        <v>0.42099999999999999</v>
      </c>
      <c r="BC10" s="183">
        <f t="shared" si="7"/>
        <v>0.5</v>
      </c>
      <c r="BD10" s="241"/>
      <c r="BE10" s="429">
        <v>-0.4</v>
      </c>
      <c r="BF10" s="429">
        <f>-0.4-BE10</f>
        <v>0</v>
      </c>
      <c r="BG10" s="429">
        <f>-0.4-SUM(BE10:BF10)</f>
        <v>0</v>
      </c>
      <c r="BH10" s="429">
        <f>-0.9-SUM(BE10:BG10)</f>
        <v>-0.5</v>
      </c>
      <c r="BI10" s="183">
        <f t="shared" si="8"/>
        <v>-0.9</v>
      </c>
      <c r="BJ10" s="241"/>
      <c r="BK10" s="429">
        <v>-0.2</v>
      </c>
      <c r="BL10" s="429">
        <f>-0.2-BK10</f>
        <v>0</v>
      </c>
      <c r="BM10" s="429">
        <f>-0.2-SUM(BK10:BL10)</f>
        <v>0</v>
      </c>
      <c r="BN10" s="429">
        <f>-0.3-SUM(BK10:BM10)</f>
        <v>-9.9999999999999978E-2</v>
      </c>
      <c r="BO10" s="183">
        <f t="shared" si="9"/>
        <v>-0.3</v>
      </c>
      <c r="BP10" s="241"/>
      <c r="BQ10" s="429">
        <f>-0.1</f>
        <v>-0.1</v>
      </c>
      <c r="BR10" s="429">
        <f>0.1-BQ10</f>
        <v>0.2</v>
      </c>
      <c r="BS10" s="355">
        <v>0</v>
      </c>
      <c r="BT10" s="355">
        <v>0</v>
      </c>
      <c r="BU10" s="183">
        <f t="shared" ref="BU10:BU17" si="10">SUM(BQ10:BT10)</f>
        <v>0.1</v>
      </c>
      <c r="BV10" s="241"/>
      <c r="BW10" s="355">
        <v>0</v>
      </c>
      <c r="BX10" s="355">
        <v>0</v>
      </c>
      <c r="BY10" s="355">
        <v>0</v>
      </c>
      <c r="BZ10" s="355">
        <v>0</v>
      </c>
      <c r="CA10" s="183">
        <f t="shared" ref="CA10:CA17" si="11">SUM(BW10:BZ10)</f>
        <v>0</v>
      </c>
      <c r="CB10" s="241"/>
      <c r="CC10" s="355">
        <v>0</v>
      </c>
      <c r="CD10" s="355">
        <v>0</v>
      </c>
      <c r="CE10" s="355">
        <v>0</v>
      </c>
      <c r="CF10" s="355">
        <v>0</v>
      </c>
      <c r="CG10" s="183">
        <f t="shared" ref="CG10:CG17" si="12">SUM(CC10:CF10)</f>
        <v>0</v>
      </c>
      <c r="CH10" s="241"/>
      <c r="CI10" s="355">
        <v>0</v>
      </c>
      <c r="CJ10" s="355">
        <v>0</v>
      </c>
      <c r="CK10" s="355">
        <v>0</v>
      </c>
      <c r="CL10" s="355">
        <v>0</v>
      </c>
      <c r="CM10" s="183">
        <f t="shared" ref="CM10:CM17" si="13">SUM(CI10:CL10)</f>
        <v>0</v>
      </c>
      <c r="CN10" s="241"/>
      <c r="CO10" s="355">
        <v>0</v>
      </c>
      <c r="CP10" s="355">
        <v>0</v>
      </c>
      <c r="CQ10" s="355">
        <v>0</v>
      </c>
      <c r="CR10" s="355">
        <v>0</v>
      </c>
      <c r="CS10" s="183">
        <f t="shared" ref="CS10:CS17" si="14">SUM(CO10:CR10)</f>
        <v>0</v>
      </c>
      <c r="CT10" s="176"/>
      <c r="CV10" s="183"/>
      <c r="CW10" s="183"/>
      <c r="CX10" s="183"/>
      <c r="CY10" s="183"/>
    </row>
    <row r="11" spans="1:103" x14ac:dyDescent="0.2">
      <c r="A11" s="6" t="s">
        <v>258</v>
      </c>
      <c r="B11" s="241"/>
      <c r="C11" s="429">
        <v>1.361</v>
      </c>
      <c r="D11" s="430">
        <f>3.094-C11</f>
        <v>1.7329999999999999</v>
      </c>
      <c r="E11" s="430">
        <f>5.22-D11-C11</f>
        <v>2.1260000000000003</v>
      </c>
      <c r="F11" s="430">
        <f>7.745-E11-D11-C11</f>
        <v>2.5250000000000004</v>
      </c>
      <c r="G11" s="79">
        <f t="shared" si="0"/>
        <v>7.745000000000001</v>
      </c>
      <c r="H11" s="432"/>
      <c r="I11" s="429">
        <v>2.4260000000000002</v>
      </c>
      <c r="J11" s="430">
        <f>6.225-I11</f>
        <v>3.7989999999999995</v>
      </c>
      <c r="K11" s="430">
        <f>10.58-J11-I11</f>
        <v>4.3550000000000004</v>
      </c>
      <c r="L11" s="430">
        <f>15.415-K11-J11-I11</f>
        <v>4.8349999999999991</v>
      </c>
      <c r="M11" s="79">
        <f t="shared" si="1"/>
        <v>15.414999999999999</v>
      </c>
      <c r="N11" s="432"/>
      <c r="O11" s="429">
        <v>5.0469999999999997</v>
      </c>
      <c r="P11" s="430">
        <f>11.217-O11</f>
        <v>6.1700000000000008</v>
      </c>
      <c r="Q11" s="430">
        <f>18.188-P11-O11</f>
        <v>6.9709999999999974</v>
      </c>
      <c r="R11" s="430">
        <f>25.682-Q11-P11-O11</f>
        <v>7.4940000000000007</v>
      </c>
      <c r="S11" s="79">
        <f t="shared" si="2"/>
        <v>25.681999999999999</v>
      </c>
      <c r="T11" s="432"/>
      <c r="U11" s="429">
        <v>5.3780000000000001</v>
      </c>
      <c r="V11" s="430">
        <f>11.996-U11</f>
        <v>6.6180000000000003</v>
      </c>
      <c r="W11" s="430">
        <f>16.973-V11-U11</f>
        <v>4.9769999999999985</v>
      </c>
      <c r="X11" s="430">
        <f>22.776-W11-V11-U11</f>
        <v>5.802999999999999</v>
      </c>
      <c r="Y11" s="79">
        <f t="shared" si="3"/>
        <v>22.775999999999996</v>
      </c>
      <c r="Z11" s="432"/>
      <c r="AA11" s="429">
        <v>6.3730000000000002</v>
      </c>
      <c r="AB11" s="430">
        <f>12.491-AA11</f>
        <v>6.1179999999999994</v>
      </c>
      <c r="AC11" s="430">
        <f>18.715-AB11-AA11</f>
        <v>6.2240000000000011</v>
      </c>
      <c r="AD11" s="430">
        <f>25.088-AC11-AB11-AA11</f>
        <v>6.373000000000002</v>
      </c>
      <c r="AE11" s="79">
        <f t="shared" si="4"/>
        <v>25.088000000000001</v>
      </c>
      <c r="AF11" s="431"/>
      <c r="AG11" s="429">
        <v>6.6639999999999997</v>
      </c>
      <c r="AH11" s="429">
        <f>13.271-AG11</f>
        <v>6.6070000000000011</v>
      </c>
      <c r="AI11" s="430">
        <f>19.859-AH11-AG11</f>
        <v>6.588000000000001</v>
      </c>
      <c r="AJ11" s="430">
        <f>26.275-AI11-AH11-AG11</f>
        <v>6.4159999999999968</v>
      </c>
      <c r="AK11" s="79">
        <f t="shared" si="5"/>
        <v>26.274999999999999</v>
      </c>
      <c r="AL11" s="431"/>
      <c r="AM11" s="429">
        <v>6.6</v>
      </c>
      <c r="AN11" s="429">
        <f>13.704-AM11</f>
        <v>7.104000000000001</v>
      </c>
      <c r="AO11" s="430">
        <f>20.435-AN11-AM11</f>
        <v>6.7309999999999981</v>
      </c>
      <c r="AP11" s="430">
        <f>26.612-AO11-AN11-AM11</f>
        <v>6.1769999999999996</v>
      </c>
      <c r="AQ11" s="79">
        <f t="shared" si="6"/>
        <v>26.611999999999998</v>
      </c>
      <c r="AR11" s="431"/>
      <c r="AS11" s="429">
        <v>6.9349999999999996</v>
      </c>
      <c r="AT11" s="429">
        <f>13.792-AS11</f>
        <v>6.8570000000000002</v>
      </c>
      <c r="AU11" s="430">
        <f>20.503-AT11-AS11</f>
        <v>6.7110000000000012</v>
      </c>
      <c r="AV11" s="430">
        <f>27.068-AU11-AT11-AS11</f>
        <v>6.5650000000000004</v>
      </c>
      <c r="AW11" s="79">
        <f t="shared" ref="AW11:AW17" si="15">SUM(AS11:AV11)</f>
        <v>27.068000000000001</v>
      </c>
      <c r="AX11" s="241"/>
      <c r="AY11" s="429">
        <v>6.88</v>
      </c>
      <c r="AZ11" s="429">
        <f>19.028-AY11</f>
        <v>12.148</v>
      </c>
      <c r="BA11" s="429">
        <f>31.572-AZ11-AY11</f>
        <v>12.544</v>
      </c>
      <c r="BB11" s="429">
        <f>45.7-SUM(AY11:BA11)</f>
        <v>14.128000000000004</v>
      </c>
      <c r="BC11" s="79">
        <f t="shared" si="7"/>
        <v>45.7</v>
      </c>
      <c r="BD11" s="241"/>
      <c r="BE11" s="429">
        <v>8.6999999999999993</v>
      </c>
      <c r="BF11" s="429">
        <f>16.3-BE11</f>
        <v>7.6000000000000014</v>
      </c>
      <c r="BG11" s="429">
        <f>23.9-SUM(BE11:BF11)</f>
        <v>7.5999999999999979</v>
      </c>
      <c r="BH11" s="429">
        <f>31.6-SUM(BE11:BG11)</f>
        <v>7.7000000000000028</v>
      </c>
      <c r="BI11" s="79">
        <f t="shared" si="8"/>
        <v>31.6</v>
      </c>
      <c r="BJ11" s="241"/>
      <c r="BK11" s="429">
        <v>7.8</v>
      </c>
      <c r="BL11" s="429">
        <f>15.2-BK11</f>
        <v>7.3999999999999995</v>
      </c>
      <c r="BM11" s="429">
        <f>22.7-SUM(BK11:BL11)</f>
        <v>7.5</v>
      </c>
      <c r="BN11" s="429">
        <f>29.9-SUM(BK11:BM11)</f>
        <v>7.1999999999999993</v>
      </c>
      <c r="BO11" s="79">
        <f t="shared" si="9"/>
        <v>29.9</v>
      </c>
      <c r="BP11" s="241"/>
      <c r="BQ11" s="429">
        <f>6.4</f>
        <v>6.4</v>
      </c>
      <c r="BR11" s="429">
        <f>13.3-BQ11</f>
        <v>6.9</v>
      </c>
      <c r="BS11" s="183">
        <f>BS98</f>
        <v>8.2331886027208636</v>
      </c>
      <c r="BT11" s="183">
        <f>BT98</f>
        <v>8.5036030612693079</v>
      </c>
      <c r="BU11" s="79">
        <f t="shared" si="10"/>
        <v>30.036791663990172</v>
      </c>
      <c r="BV11" s="241"/>
      <c r="BW11" s="183">
        <f>BW98</f>
        <v>8.2136038805278933</v>
      </c>
      <c r="BX11" s="183">
        <f>BX98</f>
        <v>8.4735839709642988</v>
      </c>
      <c r="BY11" s="183">
        <f>BY98</f>
        <v>8.4733119314347842</v>
      </c>
      <c r="BZ11" s="183">
        <f>BZ98</f>
        <v>8.8129320487145417</v>
      </c>
      <c r="CA11" s="79">
        <f t="shared" si="11"/>
        <v>33.97343183164152</v>
      </c>
      <c r="CB11" s="241"/>
      <c r="CC11" s="183">
        <f>CC98</f>
        <v>8.5226504305866033</v>
      </c>
      <c r="CD11" s="183">
        <f>CD98</f>
        <v>8.9009493799131345</v>
      </c>
      <c r="CE11" s="183">
        <f>CE98</f>
        <v>8.9272486048197504</v>
      </c>
      <c r="CF11" s="183">
        <f>CF98</f>
        <v>9.3408552349614133</v>
      </c>
      <c r="CG11" s="79">
        <f t="shared" si="12"/>
        <v>35.6917036502809</v>
      </c>
      <c r="CH11" s="241"/>
      <c r="CI11" s="183">
        <f>CI98</f>
        <v>9.0835141328342761</v>
      </c>
      <c r="CJ11" s="183">
        <f>CJ98</f>
        <v>9.5234299320608979</v>
      </c>
      <c r="CK11" s="183">
        <f>CK98</f>
        <v>9.5106892718703051</v>
      </c>
      <c r="CL11" s="183">
        <f>CL98</f>
        <v>9.9656959795603832</v>
      </c>
      <c r="CM11" s="79">
        <f t="shared" si="13"/>
        <v>38.083329316325859</v>
      </c>
      <c r="CN11" s="241"/>
      <c r="CO11" s="183">
        <f>CO98</f>
        <v>9.6896836467894119</v>
      </c>
      <c r="CP11" s="183">
        <f>CP98</f>
        <v>10.236458673281913</v>
      </c>
      <c r="CQ11" s="183">
        <f>CQ98</f>
        <v>10.109950471608853</v>
      </c>
      <c r="CR11" s="183">
        <f>CR98</f>
        <v>10.657395989569688</v>
      </c>
      <c r="CS11" s="79">
        <f t="shared" si="14"/>
        <v>40.693488781249862</v>
      </c>
      <c r="CT11" s="176"/>
      <c r="CV11" s="79"/>
      <c r="CW11" s="79"/>
      <c r="CX11" s="79"/>
      <c r="CY11" s="79"/>
    </row>
    <row r="12" spans="1:103" x14ac:dyDescent="0.2">
      <c r="A12" s="6" t="s">
        <v>259</v>
      </c>
      <c r="B12" s="241"/>
      <c r="C12" s="429">
        <v>0.7</v>
      </c>
      <c r="D12" s="430">
        <f>2.314-C12</f>
        <v>1.6140000000000001</v>
      </c>
      <c r="E12" s="430">
        <f>3.84-D12-C12</f>
        <v>1.526</v>
      </c>
      <c r="F12" s="430">
        <f>5.65-E12-D12-C12</f>
        <v>1.8100000000000007</v>
      </c>
      <c r="G12" s="79">
        <f t="shared" si="0"/>
        <v>5.65</v>
      </c>
      <c r="H12" s="432"/>
      <c r="I12" s="429">
        <v>2.141</v>
      </c>
      <c r="J12" s="430">
        <f>5.623-I12</f>
        <v>3.4820000000000002</v>
      </c>
      <c r="K12" s="430">
        <f>8.347-J12-I12</f>
        <v>2.7239999999999993</v>
      </c>
      <c r="L12" s="430">
        <f>11.5-K12-J12-I12</f>
        <v>3.1529999999999996</v>
      </c>
      <c r="M12" s="79">
        <f t="shared" si="1"/>
        <v>11.5</v>
      </c>
      <c r="N12" s="432"/>
      <c r="O12" s="429">
        <v>4.032</v>
      </c>
      <c r="P12" s="430">
        <f>7.994-O12</f>
        <v>3.9619999999999997</v>
      </c>
      <c r="Q12" s="430">
        <f>12.14-P12-O12</f>
        <v>4.1460000000000008</v>
      </c>
      <c r="R12" s="430">
        <f>15.947-Q12-P12-O12</f>
        <v>3.8069999999999986</v>
      </c>
      <c r="S12" s="79">
        <f t="shared" si="2"/>
        <v>15.946999999999999</v>
      </c>
      <c r="T12" s="432"/>
      <c r="U12" s="429">
        <v>4.4210000000000003</v>
      </c>
      <c r="V12" s="430">
        <f>9.25-U12</f>
        <v>4.8289999999999997</v>
      </c>
      <c r="W12" s="430">
        <f>13.737-V12-U12</f>
        <v>4.487000000000001</v>
      </c>
      <c r="X12" s="430">
        <f>18.476-W12-V12-U12</f>
        <v>4.7389999999999963</v>
      </c>
      <c r="Y12" s="79">
        <f t="shared" si="3"/>
        <v>18.475999999999999</v>
      </c>
      <c r="Z12" s="432"/>
      <c r="AA12" s="429">
        <v>4.3600000000000003</v>
      </c>
      <c r="AB12" s="430">
        <f>8.549-AA12</f>
        <v>4.1889999999999992</v>
      </c>
      <c r="AC12" s="430">
        <f>12.337-AB12-AA12</f>
        <v>3.7879999999999994</v>
      </c>
      <c r="AD12" s="430">
        <f>16.182-AC12-AB12-AA12</f>
        <v>3.844999999999998</v>
      </c>
      <c r="AE12" s="79">
        <f t="shared" si="4"/>
        <v>16.181999999999999</v>
      </c>
      <c r="AF12" s="431"/>
      <c r="AG12" s="429">
        <v>4.258</v>
      </c>
      <c r="AH12" s="429">
        <f>10.589-AG12</f>
        <v>6.3310000000000004</v>
      </c>
      <c r="AI12" s="429">
        <f>17.491-AH12-AG12</f>
        <v>6.9020000000000001</v>
      </c>
      <c r="AJ12" s="429">
        <f>24.742-AI12-AH12-AG12</f>
        <v>7.2510000000000003</v>
      </c>
      <c r="AK12" s="79">
        <f t="shared" si="5"/>
        <v>24.742000000000001</v>
      </c>
      <c r="AL12" s="431"/>
      <c r="AM12" s="429">
        <v>7.1950000000000003</v>
      </c>
      <c r="AN12" s="429">
        <f>14.729-AM12</f>
        <v>7.5339999999999989</v>
      </c>
      <c r="AO12" s="429">
        <f>23.103-AN12-AM12</f>
        <v>8.3740000000000023</v>
      </c>
      <c r="AP12" s="429">
        <f>33.294-AO12-AN12-AM12</f>
        <v>10.190999999999995</v>
      </c>
      <c r="AQ12" s="79">
        <f t="shared" si="6"/>
        <v>33.293999999999997</v>
      </c>
      <c r="AR12" s="431"/>
      <c r="AS12" s="429">
        <v>11.494</v>
      </c>
      <c r="AT12" s="429">
        <f>21.793-AS12</f>
        <v>10.298999999999999</v>
      </c>
      <c r="AU12" s="429">
        <f>30.968-AT12-AS12</f>
        <v>9.1750000000000007</v>
      </c>
      <c r="AV12" s="429">
        <f>39.235-AU12-AT12-AS12</f>
        <v>8.2669999999999995</v>
      </c>
      <c r="AW12" s="79">
        <f t="shared" si="15"/>
        <v>39.234999999999999</v>
      </c>
      <c r="AX12" s="241"/>
      <c r="AY12" s="429">
        <v>7.101</v>
      </c>
      <c r="AZ12" s="429">
        <f>13.959-AY12</f>
        <v>6.8579999999999997</v>
      </c>
      <c r="BA12" s="429">
        <f>23.52-AZ12-AY12</f>
        <v>9.5609999999999999</v>
      </c>
      <c r="BB12" s="429">
        <f>31.5-SUM(AY12:BA12)</f>
        <v>7.98</v>
      </c>
      <c r="BC12" s="79">
        <f t="shared" si="7"/>
        <v>31.5</v>
      </c>
      <c r="BD12" s="241"/>
      <c r="BE12" s="429">
        <v>6</v>
      </c>
      <c r="BF12" s="429">
        <f>14.5-BE12</f>
        <v>8.5</v>
      </c>
      <c r="BG12" s="429">
        <f>23.5-SUM(BE12:BF12)</f>
        <v>9</v>
      </c>
      <c r="BH12" s="429">
        <f>33.3-SUM(BE12:BG12)</f>
        <v>9.7999999999999972</v>
      </c>
      <c r="BI12" s="79">
        <f t="shared" si="8"/>
        <v>33.299999999999997</v>
      </c>
      <c r="BJ12" s="241"/>
      <c r="BK12" s="429">
        <v>7.2</v>
      </c>
      <c r="BL12" s="429">
        <f>18.1-BK12</f>
        <v>10.900000000000002</v>
      </c>
      <c r="BM12" s="429">
        <f>27.3-SUM(BK12:BL12)</f>
        <v>9.1999999999999993</v>
      </c>
      <c r="BN12" s="429">
        <f>37.3-SUM(BK12:BM12)</f>
        <v>9.9999999999999964</v>
      </c>
      <c r="BO12" s="79">
        <f t="shared" si="9"/>
        <v>37.299999999999997</v>
      </c>
      <c r="BP12" s="241"/>
      <c r="BQ12" s="429">
        <v>8</v>
      </c>
      <c r="BR12" s="429">
        <f>16-BQ12</f>
        <v>8</v>
      </c>
      <c r="BS12" s="355">
        <v>0</v>
      </c>
      <c r="BT12" s="355">
        <v>0</v>
      </c>
      <c r="BU12" s="79">
        <f t="shared" si="10"/>
        <v>16</v>
      </c>
      <c r="BV12" s="241"/>
      <c r="BW12" s="355">
        <v>0</v>
      </c>
      <c r="BX12" s="355">
        <v>0</v>
      </c>
      <c r="BY12" s="355">
        <v>0</v>
      </c>
      <c r="BZ12" s="355">
        <v>0</v>
      </c>
      <c r="CA12" s="79">
        <f t="shared" si="11"/>
        <v>0</v>
      </c>
      <c r="CB12" s="241"/>
      <c r="CC12" s="355">
        <v>0</v>
      </c>
      <c r="CD12" s="355">
        <v>0</v>
      </c>
      <c r="CE12" s="355">
        <v>0</v>
      </c>
      <c r="CF12" s="355">
        <v>0</v>
      </c>
      <c r="CG12" s="79">
        <f t="shared" si="12"/>
        <v>0</v>
      </c>
      <c r="CH12" s="241"/>
      <c r="CI12" s="355">
        <v>0</v>
      </c>
      <c r="CJ12" s="355">
        <v>0</v>
      </c>
      <c r="CK12" s="355">
        <v>0</v>
      </c>
      <c r="CL12" s="355">
        <v>0</v>
      </c>
      <c r="CM12" s="79">
        <f t="shared" si="13"/>
        <v>0</v>
      </c>
      <c r="CN12" s="241"/>
      <c r="CO12" s="355">
        <v>0</v>
      </c>
      <c r="CP12" s="355">
        <v>0</v>
      </c>
      <c r="CQ12" s="355">
        <v>0</v>
      </c>
      <c r="CR12" s="355">
        <v>0</v>
      </c>
      <c r="CS12" s="79">
        <f t="shared" si="14"/>
        <v>0</v>
      </c>
      <c r="CT12" s="176"/>
      <c r="CU12" s="79"/>
      <c r="CV12" s="79"/>
      <c r="CW12" s="79"/>
      <c r="CX12" s="79"/>
      <c r="CY12" s="79"/>
    </row>
    <row r="13" spans="1:103" x14ac:dyDescent="0.2">
      <c r="A13" s="6" t="s">
        <v>260</v>
      </c>
      <c r="B13" s="241"/>
      <c r="C13" s="429">
        <v>0</v>
      </c>
      <c r="D13" s="430">
        <f>0-C13</f>
        <v>0</v>
      </c>
      <c r="E13" s="430">
        <f>0-D13-C13</f>
        <v>0</v>
      </c>
      <c r="F13" s="430">
        <f>0-E13-D13-C13</f>
        <v>0</v>
      </c>
      <c r="G13" s="79">
        <f t="shared" si="0"/>
        <v>0</v>
      </c>
      <c r="H13" s="432"/>
      <c r="I13" s="429">
        <v>0</v>
      </c>
      <c r="J13" s="430">
        <f>0-I13</f>
        <v>0</v>
      </c>
      <c r="K13" s="430">
        <f>0-J13-I13</f>
        <v>0</v>
      </c>
      <c r="L13" s="430">
        <f>0-K13-J13-I13</f>
        <v>0</v>
      </c>
      <c r="M13" s="79">
        <f t="shared" si="1"/>
        <v>0</v>
      </c>
      <c r="N13" s="432"/>
      <c r="O13" s="429">
        <v>0</v>
      </c>
      <c r="P13" s="430">
        <f>0-O13</f>
        <v>0</v>
      </c>
      <c r="Q13" s="430">
        <f>0-P13-O13</f>
        <v>0</v>
      </c>
      <c r="R13" s="430">
        <f>0-Q13-P13-O13</f>
        <v>0</v>
      </c>
      <c r="S13" s="79">
        <f t="shared" si="2"/>
        <v>0</v>
      </c>
      <c r="T13" s="432"/>
      <c r="U13" s="429">
        <v>0</v>
      </c>
      <c r="V13" s="430">
        <f>0-U13</f>
        <v>0</v>
      </c>
      <c r="W13" s="430">
        <f>0-V13-U13</f>
        <v>0</v>
      </c>
      <c r="X13" s="430">
        <f>0-W13-V13-U13</f>
        <v>0</v>
      </c>
      <c r="Y13" s="79">
        <f t="shared" si="3"/>
        <v>0</v>
      </c>
      <c r="Z13" s="432"/>
      <c r="AA13" s="429">
        <v>0</v>
      </c>
      <c r="AB13" s="429">
        <f>0-AA13</f>
        <v>0</v>
      </c>
      <c r="AC13" s="430">
        <f>0-AB13-AA13</f>
        <v>0</v>
      </c>
      <c r="AD13" s="429">
        <f>0-AC13-AB13-AA13</f>
        <v>0</v>
      </c>
      <c r="AE13" s="79">
        <f t="shared" si="4"/>
        <v>0</v>
      </c>
      <c r="AF13" s="431"/>
      <c r="AG13" s="429">
        <v>0</v>
      </c>
      <c r="AH13" s="429">
        <f>-0.667-AG13</f>
        <v>-0.66700000000000004</v>
      </c>
      <c r="AI13" s="430">
        <f>-1.333-AH13-AG13</f>
        <v>-0.66599999999999993</v>
      </c>
      <c r="AJ13" s="430">
        <f>-2-AI13-AH13-AG13</f>
        <v>-0.66700000000000004</v>
      </c>
      <c r="AK13" s="79">
        <f t="shared" si="5"/>
        <v>-2</v>
      </c>
      <c r="AL13" s="431"/>
      <c r="AM13" s="429">
        <v>-0.66700000000000004</v>
      </c>
      <c r="AN13" s="429">
        <f>-1.333-AM13</f>
        <v>-0.66599999999999993</v>
      </c>
      <c r="AO13" s="430">
        <f>-2-AN13-AM13</f>
        <v>-0.66700000000000004</v>
      </c>
      <c r="AP13" s="430">
        <f>-2.667-AO13-AN13-AM13</f>
        <v>-0.66699999999999982</v>
      </c>
      <c r="AQ13" s="79">
        <f t="shared" si="6"/>
        <v>-2.6669999999999998</v>
      </c>
      <c r="AR13" s="431"/>
      <c r="AS13" s="429">
        <v>-0.66600000000000004</v>
      </c>
      <c r="AT13" s="429">
        <f>-1.333-AS13</f>
        <v>-0.66699999999999993</v>
      </c>
      <c r="AU13" s="430">
        <f>-3.337-AT13-AS13</f>
        <v>-2.0040000000000004</v>
      </c>
      <c r="AV13" s="430">
        <f>-3.337-AU13-AT13-AS13</f>
        <v>0</v>
      </c>
      <c r="AW13" s="79">
        <f t="shared" si="15"/>
        <v>-3.3370000000000006</v>
      </c>
      <c r="AX13" s="241"/>
      <c r="AY13" s="429">
        <v>0</v>
      </c>
      <c r="AZ13" s="429">
        <f>0-AY13</f>
        <v>0</v>
      </c>
      <c r="BA13" s="429">
        <f>0-AZ13-AY13</f>
        <v>0</v>
      </c>
      <c r="BB13" s="429">
        <f>0-SUM(AY13:BA13)</f>
        <v>0</v>
      </c>
      <c r="BC13" s="79">
        <f t="shared" si="7"/>
        <v>0</v>
      </c>
      <c r="BD13" s="241"/>
      <c r="BE13" s="429">
        <v>0</v>
      </c>
      <c r="BF13" s="429">
        <f>0-BE13</f>
        <v>0</v>
      </c>
      <c r="BG13" s="429">
        <f>0-SUM(BE13:BF13)</f>
        <v>0</v>
      </c>
      <c r="BH13" s="429">
        <f>0-SUM(BE13:BG13)</f>
        <v>0</v>
      </c>
      <c r="BI13" s="79">
        <f t="shared" si="8"/>
        <v>0</v>
      </c>
      <c r="BJ13" s="241"/>
      <c r="BK13" s="429">
        <v>0</v>
      </c>
      <c r="BL13" s="429">
        <f t="shared" ref="BL13:BL15" si="16">0-BK13</f>
        <v>0</v>
      </c>
      <c r="BM13" s="429">
        <f t="shared" ref="BM13:BM15" si="17">0-SUM(BK13:BL13)</f>
        <v>0</v>
      </c>
      <c r="BN13" s="429">
        <f t="shared" ref="BN13" si="18">0-SUM(BK13:BM13)</f>
        <v>0</v>
      </c>
      <c r="BO13" s="79">
        <f t="shared" si="9"/>
        <v>0</v>
      </c>
      <c r="BP13" s="241"/>
      <c r="BQ13" s="429">
        <v>0</v>
      </c>
      <c r="BR13" s="429">
        <f t="shared" ref="BR13:BR15" si="19">0-BQ13</f>
        <v>0</v>
      </c>
      <c r="BS13" s="355">
        <v>0</v>
      </c>
      <c r="BT13" s="355">
        <v>0</v>
      </c>
      <c r="BU13" s="79">
        <f t="shared" si="10"/>
        <v>0</v>
      </c>
      <c r="BV13" s="241"/>
      <c r="BW13" s="355">
        <v>0</v>
      </c>
      <c r="BX13" s="355">
        <v>0</v>
      </c>
      <c r="BY13" s="355">
        <v>0</v>
      </c>
      <c r="BZ13" s="355">
        <v>0</v>
      </c>
      <c r="CA13" s="79">
        <f t="shared" si="11"/>
        <v>0</v>
      </c>
      <c r="CB13" s="241"/>
      <c r="CC13" s="355">
        <v>0</v>
      </c>
      <c r="CD13" s="355">
        <v>0</v>
      </c>
      <c r="CE13" s="355">
        <v>0</v>
      </c>
      <c r="CF13" s="355">
        <v>0</v>
      </c>
      <c r="CG13" s="79">
        <f t="shared" si="12"/>
        <v>0</v>
      </c>
      <c r="CH13" s="241"/>
      <c r="CI13" s="355">
        <v>0</v>
      </c>
      <c r="CJ13" s="355">
        <v>0</v>
      </c>
      <c r="CK13" s="355">
        <v>0</v>
      </c>
      <c r="CL13" s="355">
        <v>0</v>
      </c>
      <c r="CM13" s="79">
        <f t="shared" si="13"/>
        <v>0</v>
      </c>
      <c r="CN13" s="241"/>
      <c r="CO13" s="355">
        <v>0</v>
      </c>
      <c r="CP13" s="355">
        <v>0</v>
      </c>
      <c r="CQ13" s="355">
        <v>0</v>
      </c>
      <c r="CR13" s="355">
        <v>0</v>
      </c>
      <c r="CS13" s="79">
        <f t="shared" si="14"/>
        <v>0</v>
      </c>
      <c r="CT13" s="176"/>
      <c r="CV13" s="79"/>
      <c r="CW13" s="79"/>
      <c r="CX13" s="79"/>
      <c r="CY13" s="79"/>
    </row>
    <row r="14" spans="1:103" x14ac:dyDescent="0.2">
      <c r="A14" s="6" t="s">
        <v>261</v>
      </c>
      <c r="B14" s="184"/>
      <c r="C14" s="429">
        <v>0</v>
      </c>
      <c r="D14" s="430">
        <f>0-C14</f>
        <v>0</v>
      </c>
      <c r="E14" s="430">
        <f>0-D14-C14</f>
        <v>0</v>
      </c>
      <c r="F14" s="430">
        <f>0-E14-D14-C14</f>
        <v>0</v>
      </c>
      <c r="G14" s="79">
        <f t="shared" si="0"/>
        <v>0</v>
      </c>
      <c r="H14" s="432"/>
      <c r="I14" s="429">
        <v>0</v>
      </c>
      <c r="J14" s="430">
        <f>0-I14</f>
        <v>0</v>
      </c>
      <c r="K14" s="430">
        <f>0-J14-I14</f>
        <v>0</v>
      </c>
      <c r="L14" s="430">
        <f>0-K14-J14-I14</f>
        <v>0</v>
      </c>
      <c r="M14" s="79">
        <f t="shared" si="1"/>
        <v>0</v>
      </c>
      <c r="N14" s="432"/>
      <c r="O14" s="429">
        <v>0</v>
      </c>
      <c r="P14" s="430">
        <f>0-O14</f>
        <v>0</v>
      </c>
      <c r="Q14" s="430">
        <f>0-P14-O14</f>
        <v>0</v>
      </c>
      <c r="R14" s="430">
        <f>0-Q14-P14-O14</f>
        <v>0</v>
      </c>
      <c r="S14" s="79">
        <f t="shared" si="2"/>
        <v>0</v>
      </c>
      <c r="T14" s="432"/>
      <c r="U14" s="429">
        <v>0</v>
      </c>
      <c r="V14" s="430">
        <f>0-U14</f>
        <v>0</v>
      </c>
      <c r="W14" s="430">
        <f>0-V14-U14</f>
        <v>0</v>
      </c>
      <c r="X14" s="430">
        <f>9.797-W14-V14-U14</f>
        <v>9.7970000000000006</v>
      </c>
      <c r="Y14" s="79">
        <f t="shared" si="3"/>
        <v>9.7970000000000006</v>
      </c>
      <c r="Z14" s="432"/>
      <c r="AA14" s="429">
        <v>0</v>
      </c>
      <c r="AB14" s="429">
        <f>-0.996-AA14</f>
        <v>-0.996</v>
      </c>
      <c r="AC14" s="430">
        <f>-0.348-AB14-AA14</f>
        <v>0.64800000000000002</v>
      </c>
      <c r="AD14" s="430">
        <f>-0.148-AC14-AB14-AA14</f>
        <v>0.19999999999999996</v>
      </c>
      <c r="AE14" s="79">
        <f t="shared" si="4"/>
        <v>-0.14800000000000002</v>
      </c>
      <c r="AF14" s="431"/>
      <c r="AG14" s="429">
        <v>0</v>
      </c>
      <c r="AH14" s="429">
        <f>0-AG14</f>
        <v>0</v>
      </c>
      <c r="AI14" s="430">
        <f>0.56-AH14-AG14</f>
        <v>0.56000000000000005</v>
      </c>
      <c r="AJ14" s="430">
        <f>0.56-AI14-AH14-AG14</f>
        <v>0</v>
      </c>
      <c r="AK14" s="79">
        <f t="shared" si="5"/>
        <v>0.56000000000000005</v>
      </c>
      <c r="AL14" s="431"/>
      <c r="AM14" s="429">
        <v>0.13</v>
      </c>
      <c r="AN14" s="429">
        <f>0.13-AM14</f>
        <v>0</v>
      </c>
      <c r="AO14" s="430">
        <f>0.47-AN14-AM14</f>
        <v>0.33999999999999997</v>
      </c>
      <c r="AP14" s="430">
        <f>0.71-AO14-AN14-AM14</f>
        <v>0.24</v>
      </c>
      <c r="AQ14" s="79">
        <f t="shared" si="6"/>
        <v>0.71</v>
      </c>
      <c r="AR14" s="431"/>
      <c r="AS14" s="429">
        <v>1.6379999999999999</v>
      </c>
      <c r="AT14" s="429">
        <f>2.6-AS14</f>
        <v>0.96200000000000019</v>
      </c>
      <c r="AU14" s="430">
        <f>2.923-AT14-AS14</f>
        <v>0.32299999999999995</v>
      </c>
      <c r="AV14" s="430">
        <f>-0.66-AU14-AT14-AS14</f>
        <v>-3.5830000000000002</v>
      </c>
      <c r="AW14" s="79">
        <f t="shared" si="15"/>
        <v>-0.66000000000000014</v>
      </c>
      <c r="AX14" s="241"/>
      <c r="AY14" s="429">
        <v>0.27600000000000002</v>
      </c>
      <c r="AZ14" s="429">
        <f>1.088-AY14</f>
        <v>0.81200000000000006</v>
      </c>
      <c r="BA14" s="429">
        <f>1.873-AZ14-AY14</f>
        <v>0.78499999999999992</v>
      </c>
      <c r="BB14" s="429">
        <f>2.1-SUM(AY14:BA14)</f>
        <v>0.22700000000000009</v>
      </c>
      <c r="BC14" s="79">
        <f t="shared" si="7"/>
        <v>2.1</v>
      </c>
      <c r="BD14" s="241"/>
      <c r="BE14" s="429">
        <v>0.9</v>
      </c>
      <c r="BF14" s="429">
        <f>1.5-BE14</f>
        <v>0.6</v>
      </c>
      <c r="BG14" s="429">
        <f>-2.4-SUM(BE14:BF14)</f>
        <v>-3.9</v>
      </c>
      <c r="BH14" s="429">
        <f>-2.4-SUM(BE14:BG14)</f>
        <v>0</v>
      </c>
      <c r="BI14" s="79">
        <f t="shared" si="8"/>
        <v>-2.4</v>
      </c>
      <c r="BJ14" s="241"/>
      <c r="BK14" s="429">
        <v>0.4</v>
      </c>
      <c r="BL14" s="429">
        <f>0.6-BK14</f>
        <v>0.19999999999999996</v>
      </c>
      <c r="BM14" s="429">
        <f>0.9-SUM(BK14:BL14)</f>
        <v>0.30000000000000004</v>
      </c>
      <c r="BN14" s="429">
        <f>1.2-SUM(BK14:BM14)</f>
        <v>0.29999999999999993</v>
      </c>
      <c r="BO14" s="79">
        <f t="shared" si="9"/>
        <v>1.2</v>
      </c>
      <c r="BP14" s="241"/>
      <c r="BQ14" s="429">
        <v>6.7</v>
      </c>
      <c r="BR14" s="429">
        <f>8.2-BQ14</f>
        <v>1.4999999999999991</v>
      </c>
      <c r="BS14" s="355">
        <v>0</v>
      </c>
      <c r="BT14" s="355">
        <v>0</v>
      </c>
      <c r="BU14" s="79">
        <f t="shared" si="10"/>
        <v>8.1999999999999993</v>
      </c>
      <c r="BV14" s="241"/>
      <c r="BW14" s="355">
        <v>0</v>
      </c>
      <c r="BX14" s="355">
        <v>0</v>
      </c>
      <c r="BY14" s="355">
        <v>0</v>
      </c>
      <c r="BZ14" s="355">
        <v>0</v>
      </c>
      <c r="CA14" s="79">
        <f t="shared" si="11"/>
        <v>0</v>
      </c>
      <c r="CB14" s="241"/>
      <c r="CC14" s="355">
        <v>0</v>
      </c>
      <c r="CD14" s="355">
        <v>0</v>
      </c>
      <c r="CE14" s="355">
        <v>0</v>
      </c>
      <c r="CF14" s="355">
        <v>0</v>
      </c>
      <c r="CG14" s="79">
        <f t="shared" si="12"/>
        <v>0</v>
      </c>
      <c r="CH14" s="241"/>
      <c r="CI14" s="355">
        <v>0</v>
      </c>
      <c r="CJ14" s="355">
        <v>0</v>
      </c>
      <c r="CK14" s="355">
        <v>0</v>
      </c>
      <c r="CL14" s="355">
        <v>0</v>
      </c>
      <c r="CM14" s="79">
        <f t="shared" si="13"/>
        <v>0</v>
      </c>
      <c r="CN14" s="241"/>
      <c r="CO14" s="355">
        <v>0</v>
      </c>
      <c r="CP14" s="355">
        <v>0</v>
      </c>
      <c r="CQ14" s="355">
        <v>0</v>
      </c>
      <c r="CR14" s="355">
        <v>0</v>
      </c>
      <c r="CS14" s="79">
        <f t="shared" si="14"/>
        <v>0</v>
      </c>
      <c r="CT14" s="176"/>
      <c r="CV14" s="79"/>
      <c r="CW14" s="79"/>
      <c r="CX14" s="79"/>
      <c r="CY14" s="79"/>
    </row>
    <row r="15" spans="1:103" x14ac:dyDescent="0.2">
      <c r="A15" s="6" t="s">
        <v>322</v>
      </c>
      <c r="B15" s="241"/>
      <c r="C15" s="429">
        <v>0</v>
      </c>
      <c r="D15" s="430">
        <f>0-C15</f>
        <v>0</v>
      </c>
      <c r="E15" s="430">
        <f>0-D15-C15</f>
        <v>0</v>
      </c>
      <c r="F15" s="430">
        <f>0-E15-D15-C15</f>
        <v>0</v>
      </c>
      <c r="G15" s="79">
        <f t="shared" si="0"/>
        <v>0</v>
      </c>
      <c r="H15" s="432"/>
      <c r="I15" s="429">
        <v>0</v>
      </c>
      <c r="J15" s="430">
        <f>0-I15</f>
        <v>0</v>
      </c>
      <c r="K15" s="430">
        <f>0-J15-I15</f>
        <v>0</v>
      </c>
      <c r="L15" s="430">
        <f>0-K15-J15-I15</f>
        <v>0</v>
      </c>
      <c r="M15" s="79">
        <f t="shared" si="1"/>
        <v>0</v>
      </c>
      <c r="N15" s="432"/>
      <c r="O15" s="429">
        <v>0</v>
      </c>
      <c r="P15" s="430">
        <f>0-O15</f>
        <v>0</v>
      </c>
      <c r="Q15" s="430">
        <f>0-P15-O15</f>
        <v>0</v>
      </c>
      <c r="R15" s="430">
        <f>0-Q15-P15-O15</f>
        <v>0</v>
      </c>
      <c r="S15" s="79">
        <f t="shared" si="2"/>
        <v>0</v>
      </c>
      <c r="T15" s="432"/>
      <c r="U15" s="429">
        <v>0</v>
      </c>
      <c r="V15" s="430">
        <f>0-U15</f>
        <v>0</v>
      </c>
      <c r="W15" s="430">
        <f>0-V15-U15</f>
        <v>0</v>
      </c>
      <c r="X15" s="430">
        <f>0-W15-V15-U15</f>
        <v>0</v>
      </c>
      <c r="Y15" s="79">
        <f t="shared" si="3"/>
        <v>0</v>
      </c>
      <c r="Z15" s="432"/>
      <c r="AA15" s="429">
        <v>-12.358000000000001</v>
      </c>
      <c r="AB15" s="429">
        <f>-27.693-AA15</f>
        <v>-15.335000000000001</v>
      </c>
      <c r="AC15" s="430">
        <f>-44.182-AB15-AA15</f>
        <v>-16.489000000000001</v>
      </c>
      <c r="AD15" s="430">
        <f>-58.831-AC15-AB15-AA15</f>
        <v>-14.648999999999997</v>
      </c>
      <c r="AE15" s="79">
        <f t="shared" si="4"/>
        <v>-58.831000000000003</v>
      </c>
      <c r="AF15" s="431"/>
      <c r="AG15" s="429">
        <v>-17.04</v>
      </c>
      <c r="AH15" s="429">
        <f>-31.489-AG15</f>
        <v>-14.449000000000002</v>
      </c>
      <c r="AI15" s="430">
        <f>-32.197-AH15-AG15</f>
        <v>-0.70800000000000196</v>
      </c>
      <c r="AJ15" s="430">
        <f>-34.193-AI15-AH15-AG15</f>
        <v>-1.9959999999999987</v>
      </c>
      <c r="AK15" s="79">
        <f t="shared" si="5"/>
        <v>-34.192999999999998</v>
      </c>
      <c r="AL15" s="431"/>
      <c r="AM15" s="429">
        <v>-0.46300000000000002</v>
      </c>
      <c r="AN15" s="429">
        <f>-3.623-AM15</f>
        <v>-3.16</v>
      </c>
      <c r="AO15" s="430">
        <f>-5.265-AN15-AM15</f>
        <v>-1.6419999999999995</v>
      </c>
      <c r="AP15" s="430">
        <f>-7.888-AO15-AN15-AM15</f>
        <v>-2.6230000000000002</v>
      </c>
      <c r="AQ15" s="79">
        <f t="shared" si="6"/>
        <v>-7.8879999999999999</v>
      </c>
      <c r="AR15" s="431"/>
      <c r="AS15" s="429">
        <v>-1.4E-2</v>
      </c>
      <c r="AT15" s="429">
        <f>-0.592-AS15</f>
        <v>-0.57799999999999996</v>
      </c>
      <c r="AU15" s="430">
        <f>-5.109-AT15-AS15</f>
        <v>-4.5169999999999995</v>
      </c>
      <c r="AV15" s="430">
        <f>-11.143-AU15-AT15-AS15</f>
        <v>-6.0340000000000007</v>
      </c>
      <c r="AW15" s="79">
        <f t="shared" si="15"/>
        <v>-11.143000000000001</v>
      </c>
      <c r="AX15" s="241"/>
      <c r="AY15" s="429">
        <v>-1.6759999999999999</v>
      </c>
      <c r="AZ15" s="429">
        <f>-2.629-AY15</f>
        <v>-0.95300000000000007</v>
      </c>
      <c r="BA15" s="429">
        <f>-3.199-AZ15-AY15</f>
        <v>-0.56999999999999962</v>
      </c>
      <c r="BB15" s="429">
        <f>-3.4-SUM(AY15:BA15)</f>
        <v>-0.20100000000000007</v>
      </c>
      <c r="BC15" s="79">
        <f t="shared" si="7"/>
        <v>-3.4</v>
      </c>
      <c r="BD15" s="241"/>
      <c r="BE15" s="429">
        <v>-4.9000000000000004</v>
      </c>
      <c r="BF15" s="429">
        <f>-16.1-BE15</f>
        <v>-11.200000000000001</v>
      </c>
      <c r="BG15" s="429">
        <f>-17.9-SUM(BE15:BF15)</f>
        <v>-1.7999999999999972</v>
      </c>
      <c r="BH15" s="429">
        <f>0-SUM(BE15:BG15)</f>
        <v>17.899999999999999</v>
      </c>
      <c r="BI15" s="79">
        <f t="shared" si="8"/>
        <v>0</v>
      </c>
      <c r="BJ15" s="241"/>
      <c r="BK15" s="429">
        <v>0</v>
      </c>
      <c r="BL15" s="429">
        <f t="shared" si="16"/>
        <v>0</v>
      </c>
      <c r="BM15" s="429">
        <f t="shared" si="17"/>
        <v>0</v>
      </c>
      <c r="BN15" s="429">
        <f>0-SUM(BK15:BM15)</f>
        <v>0</v>
      </c>
      <c r="BO15" s="79">
        <f t="shared" si="9"/>
        <v>0</v>
      </c>
      <c r="BP15" s="241"/>
      <c r="BQ15" s="429">
        <v>0</v>
      </c>
      <c r="BR15" s="429">
        <f t="shared" si="19"/>
        <v>0</v>
      </c>
      <c r="BS15" s="355">
        <v>0</v>
      </c>
      <c r="BT15" s="355">
        <v>0</v>
      </c>
      <c r="BU15" s="79">
        <f t="shared" si="10"/>
        <v>0</v>
      </c>
      <c r="BV15" s="241"/>
      <c r="BW15" s="355">
        <v>0</v>
      </c>
      <c r="BX15" s="355">
        <v>0</v>
      </c>
      <c r="BY15" s="355">
        <v>0</v>
      </c>
      <c r="BZ15" s="355">
        <v>0</v>
      </c>
      <c r="CA15" s="79">
        <f t="shared" si="11"/>
        <v>0</v>
      </c>
      <c r="CB15" s="241"/>
      <c r="CC15" s="355">
        <v>0</v>
      </c>
      <c r="CD15" s="355">
        <v>0</v>
      </c>
      <c r="CE15" s="355">
        <v>0</v>
      </c>
      <c r="CF15" s="355">
        <v>0</v>
      </c>
      <c r="CG15" s="79">
        <f t="shared" si="12"/>
        <v>0</v>
      </c>
      <c r="CH15" s="241"/>
      <c r="CI15" s="355">
        <v>0</v>
      </c>
      <c r="CJ15" s="355">
        <v>0</v>
      </c>
      <c r="CK15" s="355">
        <v>0</v>
      </c>
      <c r="CL15" s="355">
        <v>0</v>
      </c>
      <c r="CM15" s="79">
        <f t="shared" si="13"/>
        <v>0</v>
      </c>
      <c r="CN15" s="241"/>
      <c r="CO15" s="355">
        <v>0</v>
      </c>
      <c r="CP15" s="355">
        <v>0</v>
      </c>
      <c r="CQ15" s="355">
        <v>0</v>
      </c>
      <c r="CR15" s="355">
        <v>0</v>
      </c>
      <c r="CS15" s="79">
        <f t="shared" si="14"/>
        <v>0</v>
      </c>
      <c r="CT15" s="176"/>
      <c r="CV15" s="79"/>
      <c r="CW15" s="79"/>
      <c r="CX15" s="79"/>
      <c r="CY15" s="79"/>
    </row>
    <row r="16" spans="1:103" x14ac:dyDescent="0.2">
      <c r="A16" s="6" t="s">
        <v>262</v>
      </c>
      <c r="B16" s="253"/>
      <c r="C16" s="429">
        <v>0</v>
      </c>
      <c r="D16" s="430">
        <f>0-C16</f>
        <v>0</v>
      </c>
      <c r="E16" s="430">
        <f>0-D16-C16</f>
        <v>0</v>
      </c>
      <c r="F16" s="429">
        <f>0-E16-D16-C16</f>
        <v>0</v>
      </c>
      <c r="G16" s="183">
        <f t="shared" si="0"/>
        <v>0</v>
      </c>
      <c r="H16" s="432"/>
      <c r="I16" s="429">
        <v>0</v>
      </c>
      <c r="J16" s="430">
        <f>0-I16</f>
        <v>0</v>
      </c>
      <c r="K16" s="430">
        <f>0-J16-I16</f>
        <v>0</v>
      </c>
      <c r="L16" s="429">
        <f>0-K16-J16-I16</f>
        <v>0</v>
      </c>
      <c r="M16" s="183">
        <f t="shared" si="1"/>
        <v>0</v>
      </c>
      <c r="N16" s="432"/>
      <c r="O16" s="429">
        <v>0</v>
      </c>
      <c r="P16" s="430">
        <f>0-O16</f>
        <v>0</v>
      </c>
      <c r="Q16" s="430">
        <f>0-P16-O16</f>
        <v>0</v>
      </c>
      <c r="R16" s="429">
        <f>0-Q16-P16-O16</f>
        <v>0</v>
      </c>
      <c r="S16" s="183">
        <f t="shared" si="2"/>
        <v>0</v>
      </c>
      <c r="T16" s="432"/>
      <c r="U16" s="429">
        <v>0</v>
      </c>
      <c r="V16" s="430">
        <f>0-U16</f>
        <v>0</v>
      </c>
      <c r="W16" s="430">
        <f>0-V16-U16</f>
        <v>0</v>
      </c>
      <c r="X16" s="430">
        <f>-28.05-W16-V16-U16</f>
        <v>-28.05</v>
      </c>
      <c r="Y16" s="183">
        <f t="shared" si="3"/>
        <v>-28.05</v>
      </c>
      <c r="Z16" s="432"/>
      <c r="AA16" s="429">
        <v>12.538</v>
      </c>
      <c r="AB16" s="429">
        <f>25.883-AA16</f>
        <v>13.344999999999999</v>
      </c>
      <c r="AC16" s="430">
        <f>39.591-AB16-AA16</f>
        <v>13.708000000000002</v>
      </c>
      <c r="AD16" s="429">
        <f>0-AC16-AB16-AA16</f>
        <v>-39.591000000000001</v>
      </c>
      <c r="AE16" s="183">
        <f t="shared" si="4"/>
        <v>0</v>
      </c>
      <c r="AF16" s="431"/>
      <c r="AG16" s="429">
        <v>14.786</v>
      </c>
      <c r="AH16" s="429">
        <f>31.274-AG16</f>
        <v>16.488</v>
      </c>
      <c r="AI16" s="430">
        <f>34.199-AH16-AG16</f>
        <v>2.9249999999999989</v>
      </c>
      <c r="AJ16" s="430">
        <f>33.625-AI16-AH16-AG16</f>
        <v>-0.57399999999999629</v>
      </c>
      <c r="AK16" s="183">
        <f t="shared" si="5"/>
        <v>33.625</v>
      </c>
      <c r="AL16" s="431"/>
      <c r="AM16" s="429">
        <v>2.2240000000000002</v>
      </c>
      <c r="AN16" s="429">
        <f>5.899-AM16</f>
        <v>3.6749999999999998</v>
      </c>
      <c r="AO16" s="430">
        <f>5.02-AN16-AM16</f>
        <v>-0.87900000000000045</v>
      </c>
      <c r="AP16" s="430">
        <f>7.469-AO16-AN16-AM16</f>
        <v>2.4490000000000007</v>
      </c>
      <c r="AQ16" s="183">
        <f t="shared" si="6"/>
        <v>7.4690000000000003</v>
      </c>
      <c r="AR16" s="431"/>
      <c r="AS16" s="429">
        <v>-0.58799999999999997</v>
      </c>
      <c r="AT16" s="429">
        <f>-1.826-AS16</f>
        <v>-1.238</v>
      </c>
      <c r="AU16" s="430">
        <f>1.827-AT16-AS16</f>
        <v>3.653</v>
      </c>
      <c r="AV16" s="430">
        <f>8.124-AU16-AT16-AS16</f>
        <v>6.2969999999999997</v>
      </c>
      <c r="AW16" s="183">
        <f t="shared" si="15"/>
        <v>8.1239999999999988</v>
      </c>
      <c r="AX16" s="241"/>
      <c r="AY16" s="429">
        <v>2.6890000000000001</v>
      </c>
      <c r="AZ16" s="429">
        <f>1.891-AY16</f>
        <v>-0.79800000000000004</v>
      </c>
      <c r="BA16" s="429">
        <f>-1.043-AZ16-AY16</f>
        <v>-2.9340000000000002</v>
      </c>
      <c r="BB16" s="429">
        <f>-0.4-SUM(AY16:BA16)</f>
        <v>0.64300000000000013</v>
      </c>
      <c r="BC16" s="183">
        <f t="shared" si="7"/>
        <v>-0.4</v>
      </c>
      <c r="BD16" s="241"/>
      <c r="BE16" s="429">
        <v>11.4</v>
      </c>
      <c r="BF16" s="429">
        <f>29.8-BE16</f>
        <v>18.399999999999999</v>
      </c>
      <c r="BG16" s="429">
        <f>31.5-SUM(BE16:BF16)</f>
        <v>1.7000000000000028</v>
      </c>
      <c r="BH16" s="429">
        <f>18.1-SUM(BE16:BG16)</f>
        <v>-13.399999999999999</v>
      </c>
      <c r="BI16" s="183">
        <f t="shared" si="8"/>
        <v>18.100000000000001</v>
      </c>
      <c r="BJ16" s="241"/>
      <c r="BK16" s="429">
        <v>3.2</v>
      </c>
      <c r="BL16" s="429">
        <f>2.9-BK16</f>
        <v>-0.30000000000000027</v>
      </c>
      <c r="BM16" s="429">
        <f>2-SUM(BK16:BL16)</f>
        <v>-0.89999999999999991</v>
      </c>
      <c r="BN16" s="429">
        <f>1.3-SUM(BK16:BM16)</f>
        <v>-0.7</v>
      </c>
      <c r="BO16" s="183">
        <f t="shared" si="9"/>
        <v>1.3</v>
      </c>
      <c r="BP16" s="241"/>
      <c r="BQ16" s="429">
        <v>4.7</v>
      </c>
      <c r="BR16" s="429">
        <f>-25.9-BQ16</f>
        <v>-30.599999999999998</v>
      </c>
      <c r="BS16" s="183">
        <f>'Bal Sht'!BR13-'Bal Sht'!BS13+'Bal Sht'!BR19-'Bal Sht'!BS19+'Bal Sht'!BS34-'Bal Sht'!BR34</f>
        <v>0</v>
      </c>
      <c r="BT16" s="183">
        <f>'Bal Sht'!BS13-'Bal Sht'!BT13+'Bal Sht'!BS19-'Bal Sht'!BT19+'Bal Sht'!BT34-'Bal Sht'!BS34</f>
        <v>0</v>
      </c>
      <c r="BU16" s="183">
        <f t="shared" si="10"/>
        <v>-25.9</v>
      </c>
      <c r="BV16" s="241"/>
      <c r="BW16" s="183">
        <f>'Bal Sht'!BU13-'Bal Sht'!BW13+'Bal Sht'!BU19-'Bal Sht'!BW19+'Bal Sht'!BW34-'Bal Sht'!BU34</f>
        <v>0</v>
      </c>
      <c r="BX16" s="183">
        <f>'Bal Sht'!BW13-'Bal Sht'!BX13+'Bal Sht'!BW19-'Bal Sht'!BX19+'Bal Sht'!BX34-'Bal Sht'!BW34</f>
        <v>0</v>
      </c>
      <c r="BY16" s="183">
        <f>'Bal Sht'!BX13-'Bal Sht'!BY13+'Bal Sht'!BX19-'Bal Sht'!BY19+'Bal Sht'!BY34-'Bal Sht'!BX34</f>
        <v>0</v>
      </c>
      <c r="BZ16" s="183">
        <f>'Bal Sht'!BY13-'Bal Sht'!BZ13+'Bal Sht'!BY19-'Bal Sht'!BZ19+'Bal Sht'!BZ34-'Bal Sht'!BY34</f>
        <v>0</v>
      </c>
      <c r="CA16" s="183">
        <f t="shared" si="11"/>
        <v>0</v>
      </c>
      <c r="CB16" s="241"/>
      <c r="CC16" s="183">
        <f>'Bal Sht'!CA13-'Bal Sht'!CC13+'Bal Sht'!CA19-'Bal Sht'!CC19+'Bal Sht'!CC34-'Bal Sht'!CA34</f>
        <v>0</v>
      </c>
      <c r="CD16" s="183">
        <f>'Bal Sht'!CC13-'Bal Sht'!CD13+'Bal Sht'!CC19-'Bal Sht'!CD19+'Bal Sht'!CD34-'Bal Sht'!CC34</f>
        <v>0</v>
      </c>
      <c r="CE16" s="183">
        <f>'Bal Sht'!CD13-'Bal Sht'!CE13+'Bal Sht'!CD19-'Bal Sht'!CE19+'Bal Sht'!CE34-'Bal Sht'!CD34</f>
        <v>0</v>
      </c>
      <c r="CF16" s="183">
        <f>'Bal Sht'!CE13-'Bal Sht'!CF13+'Bal Sht'!CE19-'Bal Sht'!CF19+'Bal Sht'!CF34-'Bal Sht'!CE34</f>
        <v>0</v>
      </c>
      <c r="CG16" s="183">
        <f t="shared" si="12"/>
        <v>0</v>
      </c>
      <c r="CH16" s="241"/>
      <c r="CI16" s="183">
        <f>'Bal Sht'!CG13-'Bal Sht'!CI13+'Bal Sht'!CG19-'Bal Sht'!CI19+'Bal Sht'!CI34-'Bal Sht'!CG34</f>
        <v>0</v>
      </c>
      <c r="CJ16" s="183">
        <f>'Bal Sht'!CI13-'Bal Sht'!CJ13+'Bal Sht'!CI19-'Bal Sht'!CJ19+'Bal Sht'!CJ34-'Bal Sht'!CI34</f>
        <v>0</v>
      </c>
      <c r="CK16" s="183">
        <f>'Bal Sht'!CJ13-'Bal Sht'!CK13+'Bal Sht'!CJ19-'Bal Sht'!CK19+'Bal Sht'!CK34-'Bal Sht'!CJ34</f>
        <v>0</v>
      </c>
      <c r="CL16" s="183">
        <f>'Bal Sht'!CK13-'Bal Sht'!CL13+'Bal Sht'!CK19-'Bal Sht'!CL19+'Bal Sht'!CL34-'Bal Sht'!CK34</f>
        <v>0</v>
      </c>
      <c r="CM16" s="183">
        <f t="shared" si="13"/>
        <v>0</v>
      </c>
      <c r="CN16" s="241"/>
      <c r="CO16" s="183">
        <f>'Bal Sht'!CM13-'Bal Sht'!CO13+'Bal Sht'!CM19-'Bal Sht'!CO19+'Bal Sht'!CO34-'Bal Sht'!CM34</f>
        <v>0</v>
      </c>
      <c r="CP16" s="183">
        <f>'Bal Sht'!CO13-'Bal Sht'!CP13+'Bal Sht'!CO19-'Bal Sht'!CP19+'Bal Sht'!CP34-'Bal Sht'!CO34</f>
        <v>0</v>
      </c>
      <c r="CQ16" s="183">
        <f>'Bal Sht'!CP13-'Bal Sht'!CQ13+'Bal Sht'!CP19-'Bal Sht'!CQ19+'Bal Sht'!CQ34-'Bal Sht'!CP34</f>
        <v>0</v>
      </c>
      <c r="CR16" s="183">
        <f>'Bal Sht'!CQ13-'Bal Sht'!CR13+'Bal Sht'!CQ19-'Bal Sht'!CR19+'Bal Sht'!CR34-'Bal Sht'!CQ34</f>
        <v>0</v>
      </c>
      <c r="CS16" s="183">
        <f t="shared" si="14"/>
        <v>0</v>
      </c>
      <c r="CT16" s="176"/>
      <c r="CV16" s="79"/>
      <c r="CW16" s="79"/>
      <c r="CX16" s="79"/>
      <c r="CY16" s="79"/>
    </row>
    <row r="17" spans="1:103" x14ac:dyDescent="0.2">
      <c r="A17" s="127" t="s">
        <v>3</v>
      </c>
      <c r="B17" s="241"/>
      <c r="C17" s="429">
        <v>0</v>
      </c>
      <c r="D17" s="430">
        <f>0-C17</f>
        <v>0</v>
      </c>
      <c r="E17" s="430">
        <f>0-D17-C17</f>
        <v>0</v>
      </c>
      <c r="F17" s="430">
        <f>0-E17-D17-C17</f>
        <v>0</v>
      </c>
      <c r="G17" s="79">
        <f t="shared" si="0"/>
        <v>0</v>
      </c>
      <c r="H17" s="432"/>
      <c r="I17" s="429">
        <v>0</v>
      </c>
      <c r="J17" s="430">
        <f>0-I17</f>
        <v>0</v>
      </c>
      <c r="K17" s="430">
        <f>0-J17-I17</f>
        <v>0</v>
      </c>
      <c r="L17" s="430">
        <f>3-K17-J17-I17</f>
        <v>3</v>
      </c>
      <c r="M17" s="79">
        <f t="shared" si="1"/>
        <v>3</v>
      </c>
      <c r="N17" s="432"/>
      <c r="O17" s="429">
        <v>1.986</v>
      </c>
      <c r="P17" s="430">
        <f>0+1.986-O17</f>
        <v>0</v>
      </c>
      <c r="Q17" s="430">
        <f>1.986+0-P17-O17</f>
        <v>0</v>
      </c>
      <c r="R17" s="430">
        <f>1.986+0-Q17-P17-O17</f>
        <v>0</v>
      </c>
      <c r="S17" s="79">
        <f t="shared" si="2"/>
        <v>1.986</v>
      </c>
      <c r="T17" s="432"/>
      <c r="U17" s="429">
        <v>-7.2999999999999995E-2</v>
      </c>
      <c r="V17" s="430">
        <f>-0.137-U17</f>
        <v>-6.4000000000000015E-2</v>
      </c>
      <c r="W17" s="430">
        <f>-0.161-V17-U17</f>
        <v>-2.3999999999999994E-2</v>
      </c>
      <c r="X17" s="430">
        <f>-0.397-W17-V17-U17</f>
        <v>-0.23599999999999999</v>
      </c>
      <c r="Y17" s="79">
        <f t="shared" si="3"/>
        <v>-0.39700000000000002</v>
      </c>
      <c r="Z17" s="432"/>
      <c r="AA17" s="429">
        <f>-0.467+0.01</f>
        <v>-0.45700000000000002</v>
      </c>
      <c r="AB17" s="429">
        <f>1.5+0.049-AA17</f>
        <v>2.0059999999999998</v>
      </c>
      <c r="AC17" s="430">
        <f>1.5+0.035-AB17-AA17</f>
        <v>-1.3999999999999846E-2</v>
      </c>
      <c r="AD17" s="429">
        <f>2+53.156-0.003-AC17-AB17-AA17</f>
        <v>53.618000000000002</v>
      </c>
      <c r="AE17" s="79">
        <f t="shared" si="4"/>
        <v>55.152999999999999</v>
      </c>
      <c r="AF17" s="431"/>
      <c r="AG17" s="429">
        <v>-7.0000000000000001E-3</v>
      </c>
      <c r="AH17" s="429">
        <f>0.75-0.029-AG17</f>
        <v>0.72799999999999998</v>
      </c>
      <c r="AI17" s="430">
        <f>0.75-0.566-AH17-AG17</f>
        <v>-0.53699999999999992</v>
      </c>
      <c r="AJ17" s="430">
        <f>0.75-0.566-AI17-AH17-AG17</f>
        <v>0</v>
      </c>
      <c r="AK17" s="79">
        <f t="shared" si="5"/>
        <v>0.18400000000000005</v>
      </c>
      <c r="AL17" s="431"/>
      <c r="AM17" s="429">
        <v>0</v>
      </c>
      <c r="AN17" s="429">
        <f>0+1.49-AM17</f>
        <v>1.49</v>
      </c>
      <c r="AO17" s="430">
        <f>0+1.49-AN17-AM17</f>
        <v>0</v>
      </c>
      <c r="AP17" s="430">
        <f>0+1.49-0.165-AO17-AN17-AM17</f>
        <v>-0.16500000000000004</v>
      </c>
      <c r="AQ17" s="79">
        <f t="shared" si="6"/>
        <v>1.325</v>
      </c>
      <c r="AR17" s="431"/>
      <c r="AS17" s="429">
        <v>0</v>
      </c>
      <c r="AT17" s="429">
        <f>0-AS17</f>
        <v>0</v>
      </c>
      <c r="AU17" s="430">
        <f>0-AT17-AS17</f>
        <v>0</v>
      </c>
      <c r="AV17" s="430">
        <f>0+0+0-AU17-AT17-AS17</f>
        <v>0</v>
      </c>
      <c r="AW17" s="79">
        <f t="shared" si="15"/>
        <v>0</v>
      </c>
      <c r="AX17" s="241"/>
      <c r="AY17" s="429">
        <v>0</v>
      </c>
      <c r="AZ17" s="429">
        <f>-0.535-AY17</f>
        <v>-0.53500000000000003</v>
      </c>
      <c r="BA17" s="429">
        <f>0-AZ17-AY17</f>
        <v>0.53500000000000003</v>
      </c>
      <c r="BB17" s="429">
        <f>0-SUM(AY17:BA17)</f>
        <v>0</v>
      </c>
      <c r="BC17" s="79">
        <f t="shared" si="7"/>
        <v>0</v>
      </c>
      <c r="BD17" s="241"/>
      <c r="BE17" s="429">
        <v>0</v>
      </c>
      <c r="BF17" s="429">
        <f>0-BE17</f>
        <v>0</v>
      </c>
      <c r="BG17" s="429">
        <f>0-SUM(BE17:BF17)</f>
        <v>0</v>
      </c>
      <c r="BH17" s="429">
        <f>0-SUM(BE17:BG17)</f>
        <v>0</v>
      </c>
      <c r="BI17" s="79">
        <f t="shared" si="8"/>
        <v>0</v>
      </c>
      <c r="BJ17" s="241"/>
      <c r="BK17" s="429">
        <f>0.1</f>
        <v>0.1</v>
      </c>
      <c r="BL17" s="429">
        <f>0.3+2.5+1.3-3.2-BK17</f>
        <v>0.79999999999999949</v>
      </c>
      <c r="BM17" s="429">
        <f>0.4+2.4+1.3+2-SUM(BK17:BL17)</f>
        <v>5.2</v>
      </c>
      <c r="BN17" s="429">
        <f>0.4+2.4+1.3+-0.8-SUM(BK17:BM17)</f>
        <v>-2.8</v>
      </c>
      <c r="BO17" s="79">
        <f t="shared" si="9"/>
        <v>3.3</v>
      </c>
      <c r="BP17" s="241"/>
      <c r="BQ17" s="429">
        <f>0.1-73.2</f>
        <v>-73.100000000000009</v>
      </c>
      <c r="BR17" s="429">
        <f>0.1-60.2-BQ17</f>
        <v>13.000000000000007</v>
      </c>
      <c r="BS17" s="355">
        <v>0</v>
      </c>
      <c r="BT17" s="355">
        <v>0</v>
      </c>
      <c r="BU17" s="79">
        <f t="shared" si="10"/>
        <v>-60.1</v>
      </c>
      <c r="BV17" s="241"/>
      <c r="BW17" s="355">
        <v>0</v>
      </c>
      <c r="BX17" s="355">
        <v>0</v>
      </c>
      <c r="BY17" s="355">
        <v>0</v>
      </c>
      <c r="BZ17" s="355">
        <v>0</v>
      </c>
      <c r="CA17" s="79">
        <f t="shared" si="11"/>
        <v>0</v>
      </c>
      <c r="CB17" s="241"/>
      <c r="CC17" s="355">
        <v>0</v>
      </c>
      <c r="CD17" s="355">
        <v>0</v>
      </c>
      <c r="CE17" s="355">
        <v>0</v>
      </c>
      <c r="CF17" s="355">
        <v>0</v>
      </c>
      <c r="CG17" s="79">
        <f t="shared" si="12"/>
        <v>0</v>
      </c>
      <c r="CH17" s="241"/>
      <c r="CI17" s="355">
        <v>0</v>
      </c>
      <c r="CJ17" s="355">
        <v>0</v>
      </c>
      <c r="CK17" s="355">
        <v>0</v>
      </c>
      <c r="CL17" s="355">
        <v>0</v>
      </c>
      <c r="CM17" s="79">
        <f t="shared" si="13"/>
        <v>0</v>
      </c>
      <c r="CN17" s="241"/>
      <c r="CO17" s="355">
        <v>0</v>
      </c>
      <c r="CP17" s="355">
        <v>0</v>
      </c>
      <c r="CQ17" s="355">
        <v>0</v>
      </c>
      <c r="CR17" s="355">
        <v>0</v>
      </c>
      <c r="CS17" s="79">
        <f t="shared" si="14"/>
        <v>0</v>
      </c>
      <c r="CT17" s="176"/>
      <c r="CU17" s="355"/>
      <c r="CV17" s="79"/>
      <c r="CW17" s="79"/>
      <c r="CX17" s="79"/>
      <c r="CY17" s="79"/>
    </row>
    <row r="18" spans="1:103" ht="4.5" customHeight="1" x14ac:dyDescent="0.2">
      <c r="A18" s="6"/>
      <c r="B18" s="241"/>
      <c r="C18" s="429"/>
      <c r="D18" s="430"/>
      <c r="E18" s="430"/>
      <c r="F18" s="430"/>
      <c r="G18" s="79"/>
      <c r="H18" s="432"/>
      <c r="I18" s="429"/>
      <c r="J18" s="430"/>
      <c r="K18" s="430"/>
      <c r="L18" s="430"/>
      <c r="M18" s="79"/>
      <c r="N18" s="432"/>
      <c r="O18" s="429"/>
      <c r="P18" s="430"/>
      <c r="Q18" s="430"/>
      <c r="R18" s="430"/>
      <c r="S18" s="79"/>
      <c r="T18" s="432"/>
      <c r="U18" s="429"/>
      <c r="V18" s="430"/>
      <c r="W18" s="430"/>
      <c r="X18" s="430"/>
      <c r="Y18" s="79"/>
      <c r="Z18" s="432"/>
      <c r="AA18" s="429"/>
      <c r="AB18" s="430"/>
      <c r="AC18" s="430"/>
      <c r="AD18" s="430"/>
      <c r="AE18" s="79"/>
      <c r="AF18" s="431"/>
      <c r="AG18" s="429"/>
      <c r="AH18" s="430"/>
      <c r="AI18" s="430"/>
      <c r="AJ18" s="430"/>
      <c r="AK18" s="79"/>
      <c r="AL18" s="431"/>
      <c r="AM18" s="429"/>
      <c r="AN18" s="429"/>
      <c r="AO18" s="430"/>
      <c r="AP18" s="430"/>
      <c r="AQ18" s="79"/>
      <c r="AR18" s="431"/>
      <c r="AS18" s="429"/>
      <c r="AT18" s="429"/>
      <c r="AU18" s="430"/>
      <c r="AV18" s="430"/>
      <c r="AW18" s="79"/>
      <c r="AX18" s="241"/>
      <c r="AY18" s="429"/>
      <c r="AZ18" s="429"/>
      <c r="BA18" s="429"/>
      <c r="BB18" s="429"/>
      <c r="BC18" s="79"/>
      <c r="BD18" s="241"/>
      <c r="BE18" s="429"/>
      <c r="BF18" s="429"/>
      <c r="BG18" s="240"/>
      <c r="BH18" s="429"/>
      <c r="BI18" s="79"/>
      <c r="BJ18" s="241"/>
      <c r="BK18" s="429"/>
      <c r="BL18" s="240"/>
      <c r="BM18" s="240"/>
      <c r="BN18" s="429"/>
      <c r="BO18" s="79"/>
      <c r="BP18" s="241"/>
      <c r="BQ18" s="429"/>
      <c r="BR18" s="240"/>
      <c r="BS18" s="240"/>
      <c r="BT18" s="240"/>
      <c r="BU18" s="79"/>
      <c r="BV18" s="241"/>
      <c r="BW18" s="240"/>
      <c r="BX18" s="240"/>
      <c r="BY18" s="240"/>
      <c r="BZ18" s="240"/>
      <c r="CA18" s="79"/>
      <c r="CB18" s="241"/>
      <c r="CC18" s="240"/>
      <c r="CD18" s="240"/>
      <c r="CE18" s="240"/>
      <c r="CF18" s="240"/>
      <c r="CG18" s="79"/>
      <c r="CH18" s="241"/>
      <c r="CI18" s="240"/>
      <c r="CJ18" s="240"/>
      <c r="CK18" s="240"/>
      <c r="CL18" s="240"/>
      <c r="CM18" s="79"/>
      <c r="CN18" s="241"/>
      <c r="CO18" s="240"/>
      <c r="CP18" s="240"/>
      <c r="CQ18" s="240"/>
      <c r="CR18" s="240"/>
      <c r="CS18" s="79"/>
      <c r="CT18" s="176"/>
      <c r="CV18" s="79"/>
      <c r="CW18" s="79"/>
      <c r="CX18" s="79"/>
      <c r="CY18" s="79"/>
    </row>
    <row r="19" spans="1:103" x14ac:dyDescent="0.2">
      <c r="A19" s="1" t="s">
        <v>173</v>
      </c>
      <c r="B19" s="241"/>
      <c r="C19" s="183">
        <f>SUM(C20:C26)</f>
        <v>-5.7210000000000001</v>
      </c>
      <c r="D19" s="183">
        <f>SUM(D20:D26)</f>
        <v>-3.2579999999999996</v>
      </c>
      <c r="E19" s="183">
        <f>SUM(E20:E26)</f>
        <v>-4.5590000000000002</v>
      </c>
      <c r="F19" s="183">
        <f>SUM(F20:F26)</f>
        <v>2.3630000000000004</v>
      </c>
      <c r="G19" s="79">
        <f>SUM(G20:G26)</f>
        <v>-11.175000000000002</v>
      </c>
      <c r="H19" s="432"/>
      <c r="I19" s="183">
        <f>SUM(I20:I26)</f>
        <v>-11.608000000000001</v>
      </c>
      <c r="J19" s="183">
        <f>SUM(J20:J26)</f>
        <v>-4.2299999999999986</v>
      </c>
      <c r="K19" s="183">
        <f>SUM(K20:K26)</f>
        <v>-0.35600000000000209</v>
      </c>
      <c r="L19" s="183">
        <f>SUM(L20:L26)</f>
        <v>33.052</v>
      </c>
      <c r="M19" s="79">
        <f>SUM(M20:M26)</f>
        <v>16.857999999999997</v>
      </c>
      <c r="N19" s="432"/>
      <c r="O19" s="183">
        <f>SUM(O20:O26)</f>
        <v>-32.173999999999999</v>
      </c>
      <c r="P19" s="183">
        <f>SUM(P20:P26)</f>
        <v>7.9620000000000015</v>
      </c>
      <c r="Q19" s="183">
        <f>SUM(Q20:Q26)</f>
        <v>-31.026000000000003</v>
      </c>
      <c r="R19" s="183">
        <f>SUM(R20:R26)</f>
        <v>1.0950000000000029</v>
      </c>
      <c r="S19" s="79">
        <f>SUM(S20:S26)</f>
        <v>-54.143000000000001</v>
      </c>
      <c r="T19" s="432"/>
      <c r="U19" s="183">
        <f>SUM(U20:U26)</f>
        <v>-19.054000000000002</v>
      </c>
      <c r="V19" s="183">
        <f>SUM(V20:V26)</f>
        <v>-5.5279999999999978</v>
      </c>
      <c r="W19" s="183">
        <f>SUM(W20:W26)</f>
        <v>-2.1149999999999998</v>
      </c>
      <c r="X19" s="183">
        <f>SUM(X20:X26)</f>
        <v>-0.70200000000000173</v>
      </c>
      <c r="Y19" s="79">
        <f>SUM(Y20:Y26)</f>
        <v>-27.399000000000001</v>
      </c>
      <c r="Z19" s="432"/>
      <c r="AA19" s="183">
        <f>SUM(AA20:AA26)</f>
        <v>-5.4550000000000001</v>
      </c>
      <c r="AB19" s="183">
        <f>SUM(AB20:AB26)</f>
        <v>1.8229999999999997</v>
      </c>
      <c r="AC19" s="183">
        <f>SUM(AC20:AC26)</f>
        <v>-9.57</v>
      </c>
      <c r="AD19" s="183">
        <f>SUM(AD20:AD26)</f>
        <v>-1.412000000000001</v>
      </c>
      <c r="AE19" s="79">
        <f>SUM(AE20:AE26)</f>
        <v>-14.614000000000001</v>
      </c>
      <c r="AF19" s="431"/>
      <c r="AG19" s="183">
        <f>SUM(AG20:AG26)</f>
        <v>-4.0790000000000006</v>
      </c>
      <c r="AH19" s="183">
        <f>SUM(AH20:AH26)</f>
        <v>-18.097999999999995</v>
      </c>
      <c r="AI19" s="183">
        <f>SUM(AI20:AI26)</f>
        <v>-6.4409999999999981</v>
      </c>
      <c r="AJ19" s="183">
        <f>SUM(AJ20:AJ26)</f>
        <v>-0.18499999999999994</v>
      </c>
      <c r="AK19" s="79">
        <f>SUM(AK20:AK26)</f>
        <v>-28.802999999999997</v>
      </c>
      <c r="AL19" s="431"/>
      <c r="AM19" s="183">
        <f>SUM(AM20:AM26)</f>
        <v>3.9890000000000008</v>
      </c>
      <c r="AN19" s="183">
        <f>SUM(AN20:AN26)</f>
        <v>-31.145999999999997</v>
      </c>
      <c r="AO19" s="183">
        <f>SUM(AO20:AO26)</f>
        <v>-14.934000000000003</v>
      </c>
      <c r="AP19" s="183">
        <f>SUM(AP20:AP26)</f>
        <v>1.0660000000000021</v>
      </c>
      <c r="AQ19" s="79">
        <f>SUM(AQ20:AQ26)</f>
        <v>-41.025000000000006</v>
      </c>
      <c r="AR19" s="431"/>
      <c r="AS19" s="183">
        <f>SUM(AS20:AS26)</f>
        <v>13.805999999999999</v>
      </c>
      <c r="AT19" s="183">
        <f>SUM(AT20:AT26)</f>
        <v>-20.885000000000002</v>
      </c>
      <c r="AU19" s="183">
        <f>SUM(AU20:AU26)</f>
        <v>-42.351999999999997</v>
      </c>
      <c r="AV19" s="183">
        <f>SUM(AV20:AV26)</f>
        <v>-10.542</v>
      </c>
      <c r="AW19" s="79">
        <f>SUM(AW20:AW26)</f>
        <v>-59.973000000000006</v>
      </c>
      <c r="AX19" s="241"/>
      <c r="AY19" s="183">
        <f>SUM(AY20:AY26)</f>
        <v>-30.294000000000004</v>
      </c>
      <c r="AZ19" s="183">
        <f>SUM(AZ20:AZ26)</f>
        <v>5.0830000000000037</v>
      </c>
      <c r="BA19" s="183">
        <f>SUM(BA20:BA26)</f>
        <v>-18.011999999999997</v>
      </c>
      <c r="BB19" s="183">
        <f>SUM(BB20:BB26)</f>
        <v>2.5229999999999984</v>
      </c>
      <c r="BC19" s="79">
        <f>SUM(BC20:BC26)</f>
        <v>-40.700000000000003</v>
      </c>
      <c r="BD19" s="241"/>
      <c r="BE19" s="183">
        <f>SUM(BE20:BE26)</f>
        <v>-30.200000000000003</v>
      </c>
      <c r="BF19" s="183">
        <f>SUM(BF20:BF26)</f>
        <v>-20.100000000000001</v>
      </c>
      <c r="BG19" s="183">
        <f>SUM(BG20:BG26)</f>
        <v>-7.6000000000000085</v>
      </c>
      <c r="BH19" s="183">
        <f>SUM(BH20:BH26)</f>
        <v>-7.4999999999999956</v>
      </c>
      <c r="BI19" s="79">
        <f>SUM(BI20:BI26)</f>
        <v>-65.400000000000006</v>
      </c>
      <c r="BJ19" s="241"/>
      <c r="BK19" s="183">
        <f>SUM(BK20:BK26)</f>
        <v>-29.4</v>
      </c>
      <c r="BL19" s="183">
        <f>SUM(BL20:BL26)</f>
        <v>-6.4</v>
      </c>
      <c r="BM19" s="183">
        <f>SUM(BM20:BM26)</f>
        <v>2.7000000000000011</v>
      </c>
      <c r="BN19" s="183">
        <f>SUM(BN20:BN26)</f>
        <v>-3.5000000000000022</v>
      </c>
      <c r="BO19" s="79">
        <f>SUM(BO20:BO26)</f>
        <v>-36.6</v>
      </c>
      <c r="BP19" s="241"/>
      <c r="BQ19" s="183">
        <f>SUM(BQ20:BQ26)</f>
        <v>-23.4</v>
      </c>
      <c r="BR19" s="183">
        <f>SUM(BR20:BR26)</f>
        <v>-11.200000000000003</v>
      </c>
      <c r="BS19" s="183">
        <f>SUM(BS20:BS26)</f>
        <v>18.521934293381751</v>
      </c>
      <c r="BT19" s="183">
        <f>SUM(BT20:BT26)</f>
        <v>5.9507047705534184</v>
      </c>
      <c r="BU19" s="79">
        <f>SUM(BU20:BU26)</f>
        <v>-10.127360936064829</v>
      </c>
      <c r="BV19" s="241"/>
      <c r="BW19" s="183">
        <f>SUM(BW20:BW26)</f>
        <v>-7.5848061049738238</v>
      </c>
      <c r="BX19" s="183">
        <f>SUM(BX20:BX26)</f>
        <v>-5.9276538677348967</v>
      </c>
      <c r="BY19" s="183">
        <f>SUM(BY20:BY26)</f>
        <v>5.686061949127323</v>
      </c>
      <c r="BZ19" s="183">
        <f>SUM(BZ20:BZ26)</f>
        <v>5.7385139715124849</v>
      </c>
      <c r="CA19" s="79">
        <f>SUM(CA20:CA26)</f>
        <v>-2.0878840520689121</v>
      </c>
      <c r="CB19" s="241"/>
      <c r="CC19" s="183">
        <f>SUM(CC20:CC26)</f>
        <v>-6.0198451909627018</v>
      </c>
      <c r="CD19" s="183">
        <f>SUM(CD20:CD26)</f>
        <v>-7.1453796491060171</v>
      </c>
      <c r="CE19" s="183">
        <f>SUM(CE20:CE26)</f>
        <v>5.9835542500654846</v>
      </c>
      <c r="CF19" s="183">
        <f>SUM(CF20:CF26)</f>
        <v>5.7282868635429782</v>
      </c>
      <c r="CG19" s="79">
        <f>SUM(CG20:CG26)</f>
        <v>-1.4533837264602556</v>
      </c>
      <c r="CH19" s="241"/>
      <c r="CI19" s="183">
        <f>SUM(CI20:CI26)</f>
        <v>-7.0608993453229942</v>
      </c>
      <c r="CJ19" s="183">
        <f>SUM(CJ20:CJ26)</f>
        <v>-7.8304233807777113</v>
      </c>
      <c r="CK19" s="183">
        <f>SUM(CK20:CK26)</f>
        <v>6.9100189464222286</v>
      </c>
      <c r="CL19" s="183">
        <f>SUM(CL20:CL26)</f>
        <v>6.123531990083201</v>
      </c>
      <c r="CM19" s="79">
        <f>SUM(CM20:CM26)</f>
        <v>-1.8577717895952746</v>
      </c>
      <c r="CN19" s="241"/>
      <c r="CO19" s="183">
        <f>SUM(CO20:CO26)</f>
        <v>-7.7258569209330705</v>
      </c>
      <c r="CP19" s="183">
        <f>SUM(CP20:CP26)</f>
        <v>-8.9125186099835911</v>
      </c>
      <c r="CQ19" s="183">
        <f>SUM(CQ20:CQ26)</f>
        <v>8.4934911726049851</v>
      </c>
      <c r="CR19" s="183">
        <f>SUM(CR20:CR26)</f>
        <v>6.2147495440424674</v>
      </c>
      <c r="CS19" s="79">
        <f>SUM(CS20:CS26)</f>
        <v>-1.9301348142692096</v>
      </c>
      <c r="CT19" s="176"/>
      <c r="CU19" s="183"/>
      <c r="CV19" s="79"/>
      <c r="CW19" s="79"/>
      <c r="CX19" s="79"/>
      <c r="CY19" s="79"/>
    </row>
    <row r="20" spans="1:103" ht="12.75" customHeight="1" outlineLevel="1" x14ac:dyDescent="0.2">
      <c r="A20" s="6" t="s">
        <v>263</v>
      </c>
      <c r="B20" s="241"/>
      <c r="C20" s="429">
        <v>0.54500000000000004</v>
      </c>
      <c r="D20" s="430">
        <f>-1.606-C20</f>
        <v>-2.1510000000000002</v>
      </c>
      <c r="E20" s="430">
        <f>-0.462-D20-C20</f>
        <v>1.1440000000000001</v>
      </c>
      <c r="F20" s="430">
        <f>-3.646-E20-D20-C20</f>
        <v>-3.1839999999999997</v>
      </c>
      <c r="G20" s="79">
        <f t="shared" ref="G20:G26" si="20">SUM(C20:F20)</f>
        <v>-3.6459999999999999</v>
      </c>
      <c r="H20" s="63"/>
      <c r="I20" s="429">
        <v>-5.7889999999999997</v>
      </c>
      <c r="J20" s="430">
        <f>-4.784-I20</f>
        <v>1.0049999999999999</v>
      </c>
      <c r="K20" s="430">
        <f>-1.06-J20-I20</f>
        <v>3.7239999999999998</v>
      </c>
      <c r="L20" s="430">
        <f>2.829-K20-J20-I20</f>
        <v>3.8890000000000002</v>
      </c>
      <c r="M20" s="79">
        <f t="shared" ref="M20:M26" si="21">SUM(I20:L20)</f>
        <v>2.8290000000000002</v>
      </c>
      <c r="N20" s="63"/>
      <c r="O20" s="429">
        <v>4.1000000000000002E-2</v>
      </c>
      <c r="P20" s="430">
        <f>0.394-O20</f>
        <v>0.35300000000000004</v>
      </c>
      <c r="Q20" s="430">
        <f>0.332-P20-O20</f>
        <v>-6.200000000000002E-2</v>
      </c>
      <c r="R20" s="430">
        <f>-1.09-Q20-P20-O20</f>
        <v>-1.4219999999999999</v>
      </c>
      <c r="S20" s="79">
        <f t="shared" ref="S20:S26" si="22">SUM(O20:R20)</f>
        <v>-1.0899999999999999</v>
      </c>
      <c r="T20" s="63"/>
      <c r="U20" s="429">
        <v>-3.9180000000000001</v>
      </c>
      <c r="V20" s="430">
        <f>-1.938-U20</f>
        <v>1.9800000000000002</v>
      </c>
      <c r="W20" s="430">
        <f>1.084-V20-U20</f>
        <v>3.0220000000000002</v>
      </c>
      <c r="X20" s="430">
        <f>-0.061-W20-V20-U20</f>
        <v>-1.1450000000000005</v>
      </c>
      <c r="Y20" s="79">
        <f t="shared" ref="Y20:Y26" si="23">SUM(U20:X20)</f>
        <v>-6.1000000000000165E-2</v>
      </c>
      <c r="Z20" s="63"/>
      <c r="AA20" s="429">
        <v>-0.94599999999999995</v>
      </c>
      <c r="AB20" s="430">
        <f>0.829-AA20</f>
        <v>1.7749999999999999</v>
      </c>
      <c r="AC20" s="430">
        <f>1.819-AB20-AA20</f>
        <v>0.99</v>
      </c>
      <c r="AD20" s="430">
        <f>-0.412-AC20-AB20-AA20</f>
        <v>-2.2309999999999999</v>
      </c>
      <c r="AE20" s="79">
        <f t="shared" ref="AE20:AE26" si="24">SUM(AA20:AD20)</f>
        <v>-0.41199999999999992</v>
      </c>
      <c r="AF20" s="253"/>
      <c r="AG20" s="429">
        <v>-0.36799999999999999</v>
      </c>
      <c r="AH20" s="430">
        <f>-0.166-16.569-AG20</f>
        <v>-16.367000000000001</v>
      </c>
      <c r="AI20" s="430">
        <f>0.776-10.633-AH20-AG20</f>
        <v>6.8780000000000019</v>
      </c>
      <c r="AJ20" s="430">
        <f>1.204-AI20-AH20-AG20</f>
        <v>11.060999999999998</v>
      </c>
      <c r="AK20" s="79">
        <f t="shared" ref="AK20:AK26" si="25">SUM(AG20:AJ20)</f>
        <v>1.2040000000000006</v>
      </c>
      <c r="AL20" s="253"/>
      <c r="AM20" s="429">
        <v>0.16900000000000001</v>
      </c>
      <c r="AN20" s="429">
        <f>0.501-AM20</f>
        <v>0.33199999999999996</v>
      </c>
      <c r="AO20" s="430">
        <f>0.178-AN20-AM20</f>
        <v>-0.32299999999999995</v>
      </c>
      <c r="AP20" s="430">
        <f>0.757-AO20-AN20-AM20</f>
        <v>0.57900000000000007</v>
      </c>
      <c r="AQ20" s="79">
        <f t="shared" ref="AQ20:AQ26" si="26">SUM(AM20:AP20)</f>
        <v>0.75700000000000012</v>
      </c>
      <c r="AR20" s="253"/>
      <c r="AS20" s="429">
        <v>1.1060000000000001</v>
      </c>
      <c r="AT20" s="429">
        <f>1.807-AS20</f>
        <v>0.70099999999999985</v>
      </c>
      <c r="AU20" s="430">
        <f>-0.837-12.36-AT20-AS20</f>
        <v>-15.004</v>
      </c>
      <c r="AV20" s="430">
        <f>-5.486-12.881-AU20-AT20-AS20</f>
        <v>-5.1700000000000008</v>
      </c>
      <c r="AW20" s="79">
        <f t="shared" ref="AW20:AW26" si="27">SUM(AS20:AV20)</f>
        <v>-18.367000000000001</v>
      </c>
      <c r="AX20" s="253"/>
      <c r="AY20" s="429">
        <f>-2.498-5.089</f>
        <v>-7.5870000000000006</v>
      </c>
      <c r="AZ20" s="429">
        <f>-0.773-AY20+8.007</f>
        <v>14.821000000000002</v>
      </c>
      <c r="BA20" s="429">
        <f>-2.945-AZ20-AY20</f>
        <v>-10.179000000000002</v>
      </c>
      <c r="BB20" s="429">
        <f>-5.5+13.6-SUM(AY20:BA20)</f>
        <v>11.045000000000002</v>
      </c>
      <c r="BC20" s="79">
        <f t="shared" ref="BC20:BC26" si="28">SUM(AY20:BB20)</f>
        <v>8.1000000000000014</v>
      </c>
      <c r="BD20" s="253"/>
      <c r="BE20" s="429">
        <f>7-13.5</f>
        <v>-6.5</v>
      </c>
      <c r="BF20" s="429">
        <f>2.8-BE20</f>
        <v>9.3000000000000007</v>
      </c>
      <c r="BG20" s="429">
        <f>-8.7-SUM(BE20:BF20)</f>
        <v>-11.5</v>
      </c>
      <c r="BH20" s="429">
        <f>-7.2-SUM(BE20:BG20)</f>
        <v>1.4999999999999991</v>
      </c>
      <c r="BI20" s="79">
        <f t="shared" ref="BI20:BI26" si="29">SUM(BE20:BH20)</f>
        <v>-7.2</v>
      </c>
      <c r="BJ20" s="253"/>
      <c r="BK20" s="429">
        <v>7.8</v>
      </c>
      <c r="BL20" s="429">
        <f>8.3-BK20</f>
        <v>0.50000000000000089</v>
      </c>
      <c r="BM20" s="429">
        <f>10.9-SUM(BK20:BL20)</f>
        <v>2.5999999999999996</v>
      </c>
      <c r="BN20" s="429">
        <f>7.8-SUM(BK20:BM20)</f>
        <v>-3.1000000000000005</v>
      </c>
      <c r="BO20" s="79">
        <f t="shared" ref="BO20:BO26" si="30">SUM(BK20:BN20)</f>
        <v>7.8</v>
      </c>
      <c r="BP20" s="253"/>
      <c r="BQ20" s="429">
        <v>3.2</v>
      </c>
      <c r="BR20" s="429">
        <f>2.9-BQ20</f>
        <v>-0.30000000000000027</v>
      </c>
      <c r="BS20" s="183">
        <f>+'Bal Sht'!BR10-'Bal Sht'!BS10</f>
        <v>0.64023580258216484</v>
      </c>
      <c r="BT20" s="183">
        <f>+'Bal Sht'!BS10-'Bal Sht'!BT10</f>
        <v>-3.3333923550963505</v>
      </c>
      <c r="BU20" s="79">
        <f t="shared" ref="BU20:BU26" si="31">SUM(BQ20:BT20)</f>
        <v>0.20684344748581429</v>
      </c>
      <c r="BV20" s="253"/>
      <c r="BW20" s="183">
        <f>+'Bal Sht'!BU10-'Bal Sht'!BW10</f>
        <v>2.9811164714962199</v>
      </c>
      <c r="BX20" s="183">
        <f>+'Bal Sht'!BW10-'Bal Sht'!BX10</f>
        <v>-0.5827716934980014</v>
      </c>
      <c r="BY20" s="183">
        <f>+'Bal Sht'!BX10-'Bal Sht'!BY10</f>
        <v>0.50429190944037394</v>
      </c>
      <c r="BZ20" s="183">
        <f>+'Bal Sht'!BY10-'Bal Sht'!BZ10</f>
        <v>-3.6270432257801506</v>
      </c>
      <c r="CA20" s="79">
        <f t="shared" ref="CA20:CA26" si="32">SUM(BW20:BZ20)</f>
        <v>-0.7244065383415581</v>
      </c>
      <c r="CB20" s="253"/>
      <c r="CC20" s="183">
        <f>+'Bal Sht'!CA10-'Bal Sht'!CC10</f>
        <v>3.2509627727064387</v>
      </c>
      <c r="CD20" s="183">
        <f>+'Bal Sht'!CC10-'Bal Sht'!CD10</f>
        <v>-0.72662690286618137</v>
      </c>
      <c r="CE20" s="183">
        <f>+'Bal Sht'!CD10-'Bal Sht'!CE10</f>
        <v>0.52759010784650151</v>
      </c>
      <c r="CF20" s="183">
        <f>+'Bal Sht'!CE10-'Bal Sht'!CF10</f>
        <v>-3.9034896167958113</v>
      </c>
      <c r="CG20" s="79">
        <f t="shared" ref="CG20:CG26" si="33">SUM(CC20:CF20)</f>
        <v>-0.85156363910905242</v>
      </c>
      <c r="CH20" s="253"/>
      <c r="CI20" s="183">
        <f>+'Bal Sht'!CG10-'Bal Sht'!CI10</f>
        <v>3.3839289761050839</v>
      </c>
      <c r="CJ20" s="183">
        <f>+'Bal Sht'!CI10-'Bal Sht'!CJ10</f>
        <v>-0.81752086460742568</v>
      </c>
      <c r="CK20" s="183">
        <f>+'Bal Sht'!CJ10-'Bal Sht'!CK10</f>
        <v>0.62523146713111366</v>
      </c>
      <c r="CL20" s="183">
        <f>+'Bal Sht'!CK10-'Bal Sht'!CL10</f>
        <v>-4.1754475715078954</v>
      </c>
      <c r="CM20" s="79">
        <f t="shared" ref="CM20:CM26" si="34">SUM(CI20:CL20)</f>
        <v>-0.98380799287912346</v>
      </c>
      <c r="CN20" s="253"/>
      <c r="CO20" s="183">
        <f>+'Bal Sht'!CM10-'Bal Sht'!CO10</f>
        <v>3.5997307057350501</v>
      </c>
      <c r="CP20" s="183">
        <f>+'Bal Sht'!CO10-'Bal Sht'!CP10</f>
        <v>-0.97405204882268492</v>
      </c>
      <c r="CQ20" s="183">
        <f>+'Bal Sht'!CP10-'Bal Sht'!CQ10</f>
        <v>0.79698792740947155</v>
      </c>
      <c r="CR20" s="183">
        <f>+'Bal Sht'!CQ10-'Bal Sht'!CR10</f>
        <v>-4.5479095010872612</v>
      </c>
      <c r="CS20" s="79">
        <f t="shared" ref="CS20:CS26" si="35">SUM(CO20:CR20)</f>
        <v>-1.1252429167654245</v>
      </c>
      <c r="CT20" s="176"/>
      <c r="CV20" s="183"/>
      <c r="CW20" s="183"/>
      <c r="CX20" s="183"/>
      <c r="CY20" s="183"/>
    </row>
    <row r="21" spans="1:103" ht="12.75" customHeight="1" outlineLevel="1" x14ac:dyDescent="0.2">
      <c r="A21" s="6" t="s">
        <v>244</v>
      </c>
      <c r="B21" s="241"/>
      <c r="C21" s="429">
        <v>-3.0419999999999998</v>
      </c>
      <c r="D21" s="430">
        <f>-5.5-C21</f>
        <v>-2.4580000000000002</v>
      </c>
      <c r="E21" s="430">
        <f>-8.481-D21-C21</f>
        <v>-2.9809999999999999</v>
      </c>
      <c r="F21" s="430">
        <f>-15.933-E21-D21-C21</f>
        <v>-7.452</v>
      </c>
      <c r="G21" s="79">
        <f t="shared" si="20"/>
        <v>-15.933</v>
      </c>
      <c r="H21" s="64"/>
      <c r="I21" s="429">
        <v>-4.5259999999999998</v>
      </c>
      <c r="J21" s="430">
        <f>-12.988-I21</f>
        <v>-8.4619999999999997</v>
      </c>
      <c r="K21" s="430">
        <f>-16.948-J21-I21</f>
        <v>-3.9600000000000009</v>
      </c>
      <c r="L21" s="430">
        <f>-21.06-K21-J21-I21</f>
        <v>-4.1119999999999983</v>
      </c>
      <c r="M21" s="79">
        <f t="shared" si="21"/>
        <v>-21.06</v>
      </c>
      <c r="N21" s="64"/>
      <c r="O21" s="429">
        <v>-10.303000000000001</v>
      </c>
      <c r="P21" s="430">
        <f>-8.763-O21</f>
        <v>1.5400000000000009</v>
      </c>
      <c r="Q21" s="430">
        <f>-18.95-P21-O21</f>
        <v>-10.187000000000001</v>
      </c>
      <c r="R21" s="430">
        <f>-19.901-Q21-P21-O21</f>
        <v>-0.95099999999999874</v>
      </c>
      <c r="S21" s="79">
        <f t="shared" si="22"/>
        <v>-19.901000000000003</v>
      </c>
      <c r="T21" s="64"/>
      <c r="U21" s="429">
        <v>-3.54</v>
      </c>
      <c r="V21" s="430">
        <f>-13.402-U21</f>
        <v>-9.8619999999999983</v>
      </c>
      <c r="W21" s="430">
        <f>-17.238-V21-U21</f>
        <v>-3.8360000000000012</v>
      </c>
      <c r="X21" s="430">
        <f>-21.66-W21-V21-U21</f>
        <v>-4.4219999999999997</v>
      </c>
      <c r="Y21" s="79">
        <f t="shared" si="23"/>
        <v>-21.66</v>
      </c>
      <c r="Z21" s="64"/>
      <c r="AA21" s="429">
        <v>-0.38800000000000001</v>
      </c>
      <c r="AB21" s="430">
        <f>-0.811-AA21</f>
        <v>-0.42300000000000004</v>
      </c>
      <c r="AC21" s="430">
        <f>-10.972-AB21-AA21</f>
        <v>-10.161</v>
      </c>
      <c r="AD21" s="430">
        <f>-14.989-AC21-AB21-AA21</f>
        <v>-4.0170000000000012</v>
      </c>
      <c r="AE21" s="79">
        <f t="shared" si="24"/>
        <v>-14.989000000000001</v>
      </c>
      <c r="AF21" s="254"/>
      <c r="AG21" s="429">
        <v>1.1499999999999999</v>
      </c>
      <c r="AH21" s="430">
        <f>-3.38-AG21</f>
        <v>-4.5299999999999994</v>
      </c>
      <c r="AI21" s="430">
        <f>-18.186-AH21-AG21</f>
        <v>-14.806000000000001</v>
      </c>
      <c r="AJ21" s="430">
        <f>-34.986-AI21-AH21-AG21</f>
        <v>-16.799999999999997</v>
      </c>
      <c r="AK21" s="79">
        <f t="shared" si="25"/>
        <v>-34.985999999999997</v>
      </c>
      <c r="AL21" s="254"/>
      <c r="AM21" s="429">
        <v>-9.26</v>
      </c>
      <c r="AN21" s="429">
        <f>-29.851-AM21</f>
        <v>-20.591000000000001</v>
      </c>
      <c r="AO21" s="430">
        <f>-55.834-AN21-AM21</f>
        <v>-25.983000000000004</v>
      </c>
      <c r="AP21" s="430">
        <f>-67.185-AO21-AN21-AM21</f>
        <v>-11.350999999999997</v>
      </c>
      <c r="AQ21" s="79">
        <f t="shared" si="26"/>
        <v>-67.185000000000002</v>
      </c>
      <c r="AR21" s="254"/>
      <c r="AS21" s="429">
        <v>-3.379</v>
      </c>
      <c r="AT21" s="429">
        <f>-11.597-AS21</f>
        <v>-8.218</v>
      </c>
      <c r="AU21" s="430">
        <f>-17.307-AT21-AS21</f>
        <v>-5.7099999999999991</v>
      </c>
      <c r="AV21" s="430">
        <f>-24.372-AU21-AT21-AS21</f>
        <v>-7.0649999999999995</v>
      </c>
      <c r="AW21" s="79">
        <f t="shared" si="27"/>
        <v>-24.372</v>
      </c>
      <c r="AX21" s="254"/>
      <c r="AY21" s="429">
        <v>-1.5209999999999999</v>
      </c>
      <c r="AZ21" s="429">
        <f>-13.886-AY21</f>
        <v>-12.364999999999998</v>
      </c>
      <c r="BA21" s="429">
        <f>-32.239-AZ21-AY21</f>
        <v>-18.352999999999998</v>
      </c>
      <c r="BB21" s="429">
        <f>-34.4-SUM(AY21:BA21)</f>
        <v>-2.1610000000000014</v>
      </c>
      <c r="BC21" s="79">
        <f t="shared" si="28"/>
        <v>-34.4</v>
      </c>
      <c r="BD21" s="254"/>
      <c r="BE21" s="429">
        <v>-3.6</v>
      </c>
      <c r="BF21" s="429">
        <f>-11.1-BE21</f>
        <v>-7.5</v>
      </c>
      <c r="BG21" s="429">
        <f>-28.7-SUM(BE21:BF21)</f>
        <v>-17.600000000000001</v>
      </c>
      <c r="BH21" s="429">
        <f>-39.2-SUM(BE21:BG21)</f>
        <v>-10.5</v>
      </c>
      <c r="BI21" s="79">
        <f t="shared" si="29"/>
        <v>-39.200000000000003</v>
      </c>
      <c r="BJ21" s="254"/>
      <c r="BK21" s="429">
        <v>-5.9</v>
      </c>
      <c r="BL21" s="429">
        <f>-24.4-BK21</f>
        <v>-18.5</v>
      </c>
      <c r="BM21" s="429">
        <f>-40.3-SUM(BK21:BL21)</f>
        <v>-15.899999999999999</v>
      </c>
      <c r="BN21" s="429">
        <f>-41.4-SUM(BK21:BM21)</f>
        <v>-1.1000000000000014</v>
      </c>
      <c r="BO21" s="79">
        <f t="shared" si="30"/>
        <v>-41.4</v>
      </c>
      <c r="BP21" s="254"/>
      <c r="BQ21" s="429">
        <v>-16.5</v>
      </c>
      <c r="BR21" s="429">
        <f>-32.5-BQ21</f>
        <v>-16</v>
      </c>
      <c r="BS21" s="183">
        <f>+'Bal Sht'!BR12-'Bal Sht'!BS12</f>
        <v>12.521024311101769</v>
      </c>
      <c r="BT21" s="183">
        <f>+'Bal Sht'!BS12-'Bal Sht'!BT12</f>
        <v>6.8658496702415164</v>
      </c>
      <c r="BU21" s="79">
        <f t="shared" si="31"/>
        <v>-13.113126018656715</v>
      </c>
      <c r="BV21" s="254"/>
      <c r="BW21" s="183">
        <f>+'Bal Sht'!BU12-'Bal Sht'!BW12</f>
        <v>-9.5662255213465244</v>
      </c>
      <c r="BX21" s="183">
        <f>+'Bal Sht'!BW12-'Bal Sht'!BX12</f>
        <v>-11.291824086996556</v>
      </c>
      <c r="BY21" s="183">
        <f>+'Bal Sht'!BX12-'Bal Sht'!BY12</f>
        <v>11.094811729670809</v>
      </c>
      <c r="BZ21" s="183">
        <f>+'Bal Sht'!BY12-'Bal Sht'!BZ12</f>
        <v>6.1581062572807639</v>
      </c>
      <c r="CA21" s="79">
        <f t="shared" si="32"/>
        <v>-3.6051316213915072</v>
      </c>
      <c r="CB21" s="254"/>
      <c r="CC21" s="183">
        <f>+'Bal Sht'!CA12-'Bal Sht'!CC12</f>
        <v>-9.1161430443790294</v>
      </c>
      <c r="CD21" s="183">
        <f>+'Bal Sht'!CC12-'Bal Sht'!CD12</f>
        <v>-13.102131467389881</v>
      </c>
      <c r="CE21" s="183">
        <f>+'Bal Sht'!CD12-'Bal Sht'!CE12</f>
        <v>11.716436795682625</v>
      </c>
      <c r="CF21" s="183">
        <f>+'Bal Sht'!CE12-'Bal Sht'!CF12</f>
        <v>6.1568686188980308</v>
      </c>
      <c r="CG21" s="79">
        <f t="shared" si="33"/>
        <v>-4.3449690971882546</v>
      </c>
      <c r="CH21" s="254"/>
      <c r="CI21" s="183">
        <f>+'Bal Sht'!CG12-'Bal Sht'!CI12</f>
        <v>-10.703266897218342</v>
      </c>
      <c r="CJ21" s="183">
        <f>+'Bal Sht'!CI12-'Bal Sht'!CJ12</f>
        <v>-14.349961408182153</v>
      </c>
      <c r="CK21" s="183">
        <f>+'Bal Sht'!CJ12-'Bal Sht'!CK12</f>
        <v>13.291186838045974</v>
      </c>
      <c r="CL21" s="183">
        <f>+'Bal Sht'!CK12-'Bal Sht'!CL12</f>
        <v>6.7046316334821228</v>
      </c>
      <c r="CM21" s="79">
        <f t="shared" si="34"/>
        <v>-5.0574098338723985</v>
      </c>
      <c r="CN21" s="254"/>
      <c r="CO21" s="183">
        <f>+'Bal Sht'!CM12-'Bal Sht'!CO12</f>
        <v>-11.811936564145981</v>
      </c>
      <c r="CP21" s="183">
        <f>+'Bal Sht'!CO12-'Bal Sht'!CP12</f>
        <v>-16.338121385162637</v>
      </c>
      <c r="CQ21" s="183">
        <f>+'Bal Sht'!CP12-'Bal Sht'!CQ12</f>
        <v>15.720654186289352</v>
      </c>
      <c r="CR21" s="183">
        <f>+'Bal Sht'!CQ12-'Bal Sht'!CR12</f>
        <v>6.6599192828612956</v>
      </c>
      <c r="CS21" s="79">
        <f t="shared" si="35"/>
        <v>-5.7694844801579706</v>
      </c>
      <c r="CT21" s="176"/>
      <c r="CV21" s="183"/>
      <c r="CW21" s="183"/>
      <c r="CX21" s="183"/>
      <c r="CY21" s="183"/>
    </row>
    <row r="22" spans="1:103" ht="12.75" customHeight="1" outlineLevel="1" x14ac:dyDescent="0.2">
      <c r="A22" s="6" t="s">
        <v>246</v>
      </c>
      <c r="B22" s="241"/>
      <c r="C22" s="429">
        <v>0.65100000000000002</v>
      </c>
      <c r="D22" s="430">
        <f>-1.523-C22</f>
        <v>-2.1739999999999999</v>
      </c>
      <c r="E22" s="430">
        <f>-0.733-D22-C22</f>
        <v>0.78999999999999981</v>
      </c>
      <c r="F22" s="430">
        <f>0.049-E22-D22-C22</f>
        <v>0.78200000000000025</v>
      </c>
      <c r="G22" s="79">
        <f t="shared" si="20"/>
        <v>4.9000000000000155E-2</v>
      </c>
      <c r="H22" s="432"/>
      <c r="I22" s="429">
        <v>-1.2110000000000001</v>
      </c>
      <c r="J22" s="430">
        <f>-1.252-I22</f>
        <v>-4.0999999999999925E-2</v>
      </c>
      <c r="K22" s="430">
        <f>-0.67-J22-I22</f>
        <v>0.58199999999999996</v>
      </c>
      <c r="L22" s="430">
        <f>-3.421-K22-J22-I22</f>
        <v>-2.7510000000000003</v>
      </c>
      <c r="M22" s="79">
        <f t="shared" si="21"/>
        <v>-3.4210000000000003</v>
      </c>
      <c r="N22" s="432"/>
      <c r="O22" s="429">
        <v>-2.4089999999999998</v>
      </c>
      <c r="P22" s="430">
        <f>4.023-O22</f>
        <v>6.4319999999999995</v>
      </c>
      <c r="Q22" s="430">
        <f>0.564-P22-O22</f>
        <v>-3.4589999999999996</v>
      </c>
      <c r="R22" s="430">
        <f>4.081-Q22-P22-O22</f>
        <v>3.5170000000000003</v>
      </c>
      <c r="S22" s="79">
        <f t="shared" si="22"/>
        <v>4.0810000000000004</v>
      </c>
      <c r="T22" s="432"/>
      <c r="U22" s="429">
        <v>-0.42</v>
      </c>
      <c r="V22" s="430">
        <f>0.216-U22</f>
        <v>0.63600000000000001</v>
      </c>
      <c r="W22" s="430">
        <f>-0.591-V22-U22</f>
        <v>-0.80699999999999994</v>
      </c>
      <c r="X22" s="430">
        <f>0.022-W22-V22-U22</f>
        <v>0.61299999999999999</v>
      </c>
      <c r="Y22" s="79">
        <f t="shared" si="23"/>
        <v>2.200000000000002E-2</v>
      </c>
      <c r="Z22" s="432"/>
      <c r="AA22" s="429">
        <v>-5.3999999999999999E-2</v>
      </c>
      <c r="AB22" s="430">
        <f>-0.003-AA22</f>
        <v>5.0999999999999997E-2</v>
      </c>
      <c r="AC22" s="430">
        <f>-0.951-AB22-AA22</f>
        <v>-0.94799999999999995</v>
      </c>
      <c r="AD22" s="430">
        <f>-0.202-AC22-AB22-AA22</f>
        <v>0.749</v>
      </c>
      <c r="AE22" s="79">
        <f t="shared" si="24"/>
        <v>-0.20199999999999996</v>
      </c>
      <c r="AF22" s="431"/>
      <c r="AG22" s="429">
        <v>-7.9000000000000001E-2</v>
      </c>
      <c r="AH22" s="430">
        <f>-0.616-AG22</f>
        <v>-0.53700000000000003</v>
      </c>
      <c r="AI22" s="430">
        <f>-1.152-AH22-AG22</f>
        <v>-0.53599999999999992</v>
      </c>
      <c r="AJ22" s="430">
        <f>-2.312-AI22-AH22-AG22</f>
        <v>-1.1599999999999999</v>
      </c>
      <c r="AK22" s="79">
        <f t="shared" si="25"/>
        <v>-2.3119999999999998</v>
      </c>
      <c r="AL22" s="431"/>
      <c r="AM22" s="429">
        <v>0.69</v>
      </c>
      <c r="AN22" s="429">
        <f>1.672-AM22</f>
        <v>0.98199999999999998</v>
      </c>
      <c r="AO22" s="430">
        <f>0.473-AN22-AM22</f>
        <v>-1.1989999999999998</v>
      </c>
      <c r="AP22" s="430">
        <f>-0.706-AO22-AN22-AM22</f>
        <v>-1.179</v>
      </c>
      <c r="AQ22" s="79">
        <f t="shared" si="26"/>
        <v>-0.70599999999999996</v>
      </c>
      <c r="AR22" s="431"/>
      <c r="AS22" s="429">
        <v>1.5580000000000001</v>
      </c>
      <c r="AT22" s="429">
        <f>-0.172-AS22</f>
        <v>-1.73</v>
      </c>
      <c r="AU22" s="430">
        <f>-0.587-AT22-AS22</f>
        <v>-0.41500000000000004</v>
      </c>
      <c r="AV22" s="430">
        <f>-1.87-AU22-AT22-AS22</f>
        <v>-1.2830000000000001</v>
      </c>
      <c r="AW22" s="79">
        <f t="shared" si="27"/>
        <v>-1.87</v>
      </c>
      <c r="AX22" s="241"/>
      <c r="AY22" s="429">
        <v>-7.4740000000000002</v>
      </c>
      <c r="AZ22" s="429">
        <f>-1.561-AY22</f>
        <v>5.9130000000000003</v>
      </c>
      <c r="BA22" s="429">
        <f>13.609+0.955-AZ22-AY22</f>
        <v>16.125</v>
      </c>
      <c r="BB22" s="429">
        <f>2.5-SUM(AY22:BA22)</f>
        <v>-12.064</v>
      </c>
      <c r="BC22" s="79">
        <f t="shared" si="28"/>
        <v>2.5</v>
      </c>
      <c r="BD22" s="241"/>
      <c r="BE22" s="429">
        <v>0.2</v>
      </c>
      <c r="BF22" s="429">
        <f>-28-5.3-BE22</f>
        <v>-33.5</v>
      </c>
      <c r="BG22" s="429">
        <f>-0.2-1-SUM(BE22:BF22)</f>
        <v>32.099999999999994</v>
      </c>
      <c r="BH22" s="429">
        <f>-0.9-3.8-SUM(BE22:BG22)</f>
        <v>-3.4999999999999973</v>
      </c>
      <c r="BI22" s="79">
        <f t="shared" si="29"/>
        <v>-4.7</v>
      </c>
      <c r="BJ22" s="241"/>
      <c r="BK22" s="429">
        <f>-1.8-1</f>
        <v>-2.8</v>
      </c>
      <c r="BL22" s="429">
        <f>-2.4-0.4-BK22</f>
        <v>0</v>
      </c>
      <c r="BM22" s="429">
        <f>-3.2+3.6-SUM(BK22:BL22)</f>
        <v>3.1999999999999997</v>
      </c>
      <c r="BN22" s="429">
        <f>-4+3.6-SUM(BK22:BM22)</f>
        <v>-0.79999999999999982</v>
      </c>
      <c r="BO22" s="79">
        <f t="shared" si="30"/>
        <v>-0.39999999999999991</v>
      </c>
      <c r="BP22" s="241"/>
      <c r="BQ22" s="429">
        <f>0.3-8.9</f>
        <v>-8.6</v>
      </c>
      <c r="BR22" s="429">
        <f>1.4-8.4-BQ22</f>
        <v>1.5999999999999996</v>
      </c>
      <c r="BS22" s="183">
        <f>+'Bal Sht'!BR14-'Bal Sht'!BS14</f>
        <v>12.733887101774945</v>
      </c>
      <c r="BT22" s="183">
        <f>+'Bal Sht'!BS14-'Bal Sht'!BT14</f>
        <v>2.9214275911384702E-2</v>
      </c>
      <c r="BU22" s="79">
        <f t="shared" si="31"/>
        <v>5.76310137768633</v>
      </c>
      <c r="BV22" s="241"/>
      <c r="BW22" s="183">
        <f>+'Bal Sht'!BU14-'Bal Sht'!BW14</f>
        <v>-0.19284711868767102</v>
      </c>
      <c r="BX22" s="183">
        <f>+'Bal Sht'!BW14-'Bal Sht'!BX14</f>
        <v>-0.31313440526817748</v>
      </c>
      <c r="BY22" s="183">
        <f>+'Bal Sht'!BX14-'Bal Sht'!BY14</f>
        <v>0.43657523301154288</v>
      </c>
      <c r="BZ22" s="183">
        <f>+'Bal Sht'!BY14-'Bal Sht'!BZ14</f>
        <v>1.2375331629880026E-2</v>
      </c>
      <c r="CA22" s="79">
        <f t="shared" si="32"/>
        <v>-5.7030959314425589E-2</v>
      </c>
      <c r="CB22" s="241"/>
      <c r="CC22" s="183">
        <f>+'Bal Sht'!CA14-'Bal Sht'!CC14</f>
        <v>-0.21717095888355331</v>
      </c>
      <c r="CD22" s="183">
        <f>+'Bal Sht'!CC14-'Bal Sht'!CD14</f>
        <v>-0.35138869009169182</v>
      </c>
      <c r="CE22" s="183">
        <f>+'Bal Sht'!CD14-'Bal Sht'!CE14</f>
        <v>0.45964024025943462</v>
      </c>
      <c r="CF22" s="183">
        <f>+'Bal Sht'!CE14-'Bal Sht'!CF14</f>
        <v>5.5457457222614082E-3</v>
      </c>
      <c r="CG22" s="79">
        <f t="shared" si="33"/>
        <v>-0.10337366299354911</v>
      </c>
      <c r="CH22" s="241"/>
      <c r="CI22" s="183">
        <f>+'Bal Sht'!CG14-'Bal Sht'!CI14</f>
        <v>-0.24506511518949536</v>
      </c>
      <c r="CJ22" s="183">
        <f>+'Bal Sht'!CI14-'Bal Sht'!CJ14</f>
        <v>-0.38341280995053184</v>
      </c>
      <c r="CK22" s="183">
        <f>+'Bal Sht'!CJ14-'Bal Sht'!CK14</f>
        <v>0.50287044113496426</v>
      </c>
      <c r="CL22" s="183">
        <f>+'Bal Sht'!CK14-'Bal Sht'!CL14</f>
        <v>6.091355887873906E-3</v>
      </c>
      <c r="CM22" s="79">
        <f t="shared" si="34"/>
        <v>-0.11951612811718904</v>
      </c>
      <c r="CN22" s="241"/>
      <c r="CO22" s="183">
        <f>+'Bal Sht'!CM14-'Bal Sht'!CO14</f>
        <v>-0.26535319742127861</v>
      </c>
      <c r="CP22" s="183">
        <f>+'Bal Sht'!CO14-'Bal Sht'!CP14</f>
        <v>-0.42995912491736421</v>
      </c>
      <c r="CQ22" s="183">
        <f>+'Bal Sht'!CP14-'Bal Sht'!CQ14</f>
        <v>0.56275602519474299</v>
      </c>
      <c r="CR22" s="183">
        <f>+'Bal Sht'!CQ14-'Bal Sht'!CR14</f>
        <v>-4.1064053180743798E-3</v>
      </c>
      <c r="CS22" s="79">
        <f t="shared" si="35"/>
        <v>-0.13666270246197421</v>
      </c>
      <c r="CT22" s="176"/>
      <c r="CV22" s="183"/>
      <c r="CW22" s="183"/>
      <c r="CX22" s="183"/>
      <c r="CY22" s="183"/>
    </row>
    <row r="23" spans="1:103" ht="12.75" customHeight="1" outlineLevel="1" x14ac:dyDescent="0.2">
      <c r="A23" s="6" t="s">
        <v>255</v>
      </c>
      <c r="B23" s="241"/>
      <c r="C23" s="429">
        <v>0</v>
      </c>
      <c r="D23" s="430">
        <f>0-C23</f>
        <v>0</v>
      </c>
      <c r="E23" s="430">
        <f>0-D23-C23</f>
        <v>0</v>
      </c>
      <c r="F23" s="430">
        <f>0-E23-D23-C23</f>
        <v>0</v>
      </c>
      <c r="G23" s="79">
        <f t="shared" si="20"/>
        <v>0</v>
      </c>
      <c r="H23" s="432"/>
      <c r="I23" s="429">
        <v>0</v>
      </c>
      <c r="J23" s="430">
        <f>0-I23</f>
        <v>0</v>
      </c>
      <c r="K23" s="430">
        <f>0-J23-I23</f>
        <v>0</v>
      </c>
      <c r="L23" s="430">
        <f>0-K23-J23-I23</f>
        <v>0</v>
      </c>
      <c r="M23" s="79">
        <f t="shared" si="21"/>
        <v>0</v>
      </c>
      <c r="N23" s="432"/>
      <c r="O23" s="429">
        <v>0</v>
      </c>
      <c r="P23" s="430">
        <f>0-O23</f>
        <v>0</v>
      </c>
      <c r="Q23" s="430">
        <f>0-P23-O23</f>
        <v>0</v>
      </c>
      <c r="R23" s="430">
        <f>0-Q23-P23-O23</f>
        <v>0</v>
      </c>
      <c r="S23" s="79">
        <f t="shared" si="22"/>
        <v>0</v>
      </c>
      <c r="T23" s="432"/>
      <c r="U23" s="429">
        <v>0</v>
      </c>
      <c r="V23" s="430">
        <f>0-U23</f>
        <v>0</v>
      </c>
      <c r="W23" s="430">
        <f>0-V23-U23</f>
        <v>0</v>
      </c>
      <c r="X23" s="430">
        <f>0-W23-V23-U23</f>
        <v>0</v>
      </c>
      <c r="Y23" s="79">
        <f t="shared" si="23"/>
        <v>0</v>
      </c>
      <c r="Z23" s="432"/>
      <c r="AA23" s="429">
        <v>0</v>
      </c>
      <c r="AB23" s="430">
        <f>-0.365-AA23</f>
        <v>-0.36499999999999999</v>
      </c>
      <c r="AC23" s="430">
        <f>0-AB23-AA23</f>
        <v>0.36499999999999999</v>
      </c>
      <c r="AD23" s="430">
        <f>0.203-AC23-AB23-AA23</f>
        <v>0.20300000000000001</v>
      </c>
      <c r="AE23" s="79">
        <f t="shared" si="24"/>
        <v>0.20300000000000001</v>
      </c>
      <c r="AF23" s="431"/>
      <c r="AG23" s="429">
        <v>-1.488</v>
      </c>
      <c r="AH23" s="430">
        <f>-2.111-AG23</f>
        <v>-0.62300000000000022</v>
      </c>
      <c r="AI23" s="430">
        <f>-2.18-AH23-AG23</f>
        <v>-6.899999999999995E-2</v>
      </c>
      <c r="AJ23" s="430">
        <f>-3.426-AI23-AH23-AG23</f>
        <v>-1.246</v>
      </c>
      <c r="AK23" s="79">
        <f t="shared" si="25"/>
        <v>-3.4260000000000002</v>
      </c>
      <c r="AL23" s="431"/>
      <c r="AM23" s="429">
        <v>0</v>
      </c>
      <c r="AN23" s="429">
        <f>0-AM23</f>
        <v>0</v>
      </c>
      <c r="AO23" s="430">
        <f>4.438-AN23-AM23</f>
        <v>4.4379999999999997</v>
      </c>
      <c r="AP23" s="430">
        <f>6.567-AO23-AN23-AM23</f>
        <v>2.1290000000000004</v>
      </c>
      <c r="AQ23" s="79">
        <f t="shared" si="26"/>
        <v>6.5670000000000002</v>
      </c>
      <c r="AR23" s="431"/>
      <c r="AS23" s="429">
        <v>0</v>
      </c>
      <c r="AT23" s="429">
        <f>0-AS23</f>
        <v>0</v>
      </c>
      <c r="AU23" s="430">
        <f>-10.395-AT23-AS23</f>
        <v>-10.395</v>
      </c>
      <c r="AV23" s="430">
        <f>-15.794-AU23-AT23-AS23</f>
        <v>-5.3990000000000009</v>
      </c>
      <c r="AW23" s="79">
        <f t="shared" si="27"/>
        <v>-15.794</v>
      </c>
      <c r="AX23" s="241"/>
      <c r="AY23" s="429">
        <v>-0.85599999999999998</v>
      </c>
      <c r="AZ23" s="429">
        <f>3.746-AY23</f>
        <v>4.6020000000000003</v>
      </c>
      <c r="BA23" s="429">
        <f>-4.921-AZ23-AY23</f>
        <v>-8.6669999999999998</v>
      </c>
      <c r="BB23" s="429">
        <f>-0.8-SUM(AY23:BA23)</f>
        <v>4.1209999999999996</v>
      </c>
      <c r="BC23" s="79">
        <f>SUM(AY23:BB23)</f>
        <v>-0.79999999999999982</v>
      </c>
      <c r="BD23" s="241"/>
      <c r="BE23" s="429">
        <v>-9.1999999999999993</v>
      </c>
      <c r="BF23" s="429">
        <f>-4.1-BE23</f>
        <v>5.0999999999999996</v>
      </c>
      <c r="BG23" s="429">
        <f>-15.3-SUM(BE23:BF23)</f>
        <v>-11.200000000000001</v>
      </c>
      <c r="BH23" s="429">
        <f>-14.6-SUM(BE23:BG23)</f>
        <v>0.70000000000000107</v>
      </c>
      <c r="BI23" s="79">
        <f t="shared" si="29"/>
        <v>-14.6</v>
      </c>
      <c r="BJ23" s="241"/>
      <c r="BK23" s="429">
        <v>-13</v>
      </c>
      <c r="BL23" s="429">
        <f>-10.4-BK23</f>
        <v>2.5999999999999996</v>
      </c>
      <c r="BM23" s="429">
        <f>-6.5-SUM(BK23:BL23)</f>
        <v>3.9000000000000004</v>
      </c>
      <c r="BN23" s="429">
        <f>-1.2-SUM(BK23:BM23)</f>
        <v>5.3</v>
      </c>
      <c r="BO23" s="79">
        <f t="shared" si="30"/>
        <v>-1.2000000000000002</v>
      </c>
      <c r="BP23" s="241"/>
      <c r="BQ23" s="429">
        <v>3.3</v>
      </c>
      <c r="BR23" s="429">
        <f>4.1-BQ23</f>
        <v>0.79999999999999982</v>
      </c>
      <c r="BS23" s="183">
        <f>+'Bal Sht'!BR11-'Bal Sht'!BS11</f>
        <v>-7.7341478490284459</v>
      </c>
      <c r="BT23" s="183">
        <f>+'Bal Sht'!BS11-'Bal Sht'!BT11</f>
        <v>2.6176149200296592</v>
      </c>
      <c r="BU23" s="79">
        <f t="shared" si="31"/>
        <v>-1.016532928998787</v>
      </c>
      <c r="BV23" s="241"/>
      <c r="BW23" s="183">
        <f>+'Bal Sht'!BU11-'Bal Sht'!BW11</f>
        <v>3.4962152342508119</v>
      </c>
      <c r="BX23" s="183">
        <f>+'Bal Sht'!BW11-'Bal Sht'!BX11</f>
        <v>-0.54668052704451497</v>
      </c>
      <c r="BY23" s="183">
        <f>+'Bal Sht'!BX11-'Bal Sht'!BY11</f>
        <v>-7.3088200312358538</v>
      </c>
      <c r="BZ23" s="183">
        <f>+'Bal Sht'!BY11-'Bal Sht'!BZ11</f>
        <v>2.8431164492988472</v>
      </c>
      <c r="CA23" s="79">
        <f t="shared" si="32"/>
        <v>-1.5161688747307096</v>
      </c>
      <c r="CB23" s="241"/>
      <c r="CC23" s="183">
        <f>+'Bal Sht'!CA11-'Bal Sht'!CC11</f>
        <v>4.496307600399895</v>
      </c>
      <c r="CD23" s="183">
        <f>+'Bal Sht'!CC11-'Bal Sht'!CD11</f>
        <v>-1.238019875574075</v>
      </c>
      <c r="CE23" s="183">
        <f>+'Bal Sht'!CD11-'Bal Sht'!CE11</f>
        <v>-7.9976678748356065</v>
      </c>
      <c r="CF23" s="183">
        <f>+'Bal Sht'!CE11-'Bal Sht'!CF11</f>
        <v>2.4628206232393168</v>
      </c>
      <c r="CG23" s="79">
        <f t="shared" si="33"/>
        <v>-2.2765595267704697</v>
      </c>
      <c r="CH23" s="241"/>
      <c r="CI23" s="183">
        <f>+'Bal Sht'!CG11-'Bal Sht'!CI11</f>
        <v>4.6995573005236864</v>
      </c>
      <c r="CJ23" s="183">
        <f>+'Bal Sht'!CI11-'Bal Sht'!CJ11</f>
        <v>-1.5436190910892051</v>
      </c>
      <c r="CK23" s="183">
        <f>+'Bal Sht'!CJ11-'Bal Sht'!CK11</f>
        <v>-8.4090991389124952</v>
      </c>
      <c r="CL23" s="183">
        <f>+'Bal Sht'!CK11-'Bal Sht'!CL11</f>
        <v>2.3314222477476321</v>
      </c>
      <c r="CM23" s="79">
        <f t="shared" si="34"/>
        <v>-2.9217386817303819</v>
      </c>
      <c r="CN23" s="241"/>
      <c r="CO23" s="183">
        <f>+'Bal Sht'!CM11-'Bal Sht'!CO11</f>
        <v>5.2704748599599043</v>
      </c>
      <c r="CP23" s="183">
        <f>+'Bal Sht'!CO11-'Bal Sht'!CP11</f>
        <v>-1.9531289584863103</v>
      </c>
      <c r="CQ23" s="183">
        <f>+'Bal Sht'!CP11-'Bal Sht'!CQ11</f>
        <v>-8.2498156064672656</v>
      </c>
      <c r="CR23" s="183">
        <f>+'Bal Sht'!CQ11-'Bal Sht'!CR11</f>
        <v>2.0321378778628088</v>
      </c>
      <c r="CS23" s="79">
        <f t="shared" si="35"/>
        <v>-2.9003318271308629</v>
      </c>
      <c r="CT23" s="176"/>
      <c r="CV23" s="183"/>
      <c r="CW23" s="183"/>
      <c r="CX23" s="183"/>
      <c r="CY23" s="183"/>
    </row>
    <row r="24" spans="1:103" ht="12.75" customHeight="1" outlineLevel="1" x14ac:dyDescent="0.2">
      <c r="A24" s="6" t="s">
        <v>112</v>
      </c>
      <c r="B24" s="241"/>
      <c r="C24" s="429">
        <v>-0.154</v>
      </c>
      <c r="D24" s="430">
        <f>3.393-C24</f>
        <v>3.5469999999999997</v>
      </c>
      <c r="E24" s="430">
        <f>-0.806-D24-C24</f>
        <v>-4.1989999999999998</v>
      </c>
      <c r="F24" s="430">
        <f>3.959-E24-D24-C24</f>
        <v>4.7649999999999997</v>
      </c>
      <c r="G24" s="79">
        <f t="shared" si="20"/>
        <v>3.9589999999999996</v>
      </c>
      <c r="H24" s="432"/>
      <c r="I24" s="429">
        <v>-1.77</v>
      </c>
      <c r="J24" s="430">
        <f>-1.853-I24</f>
        <v>-8.2999999999999963E-2</v>
      </c>
      <c r="K24" s="430">
        <f>-3.754-J24-I24</f>
        <v>-1.9010000000000002</v>
      </c>
      <c r="L24" s="430">
        <f>9.121-K24-J24-I24</f>
        <v>12.875</v>
      </c>
      <c r="M24" s="79">
        <f t="shared" si="21"/>
        <v>9.1209999999999987</v>
      </c>
      <c r="N24" s="432"/>
      <c r="O24" s="429">
        <v>-9.8849999999999998</v>
      </c>
      <c r="P24" s="430">
        <f>-12.113-O24</f>
        <v>-2.2279999999999998</v>
      </c>
      <c r="Q24" s="430">
        <f>-13.458-P24-O24</f>
        <v>-1.3450000000000006</v>
      </c>
      <c r="R24" s="430">
        <f>-10.707-Q24-P24-O24</f>
        <v>2.7509999999999994</v>
      </c>
      <c r="S24" s="79">
        <f t="shared" si="22"/>
        <v>-10.707000000000001</v>
      </c>
      <c r="T24" s="432"/>
      <c r="U24" s="429">
        <v>-6.5289999999999999</v>
      </c>
      <c r="V24" s="430">
        <f>-4.774-U24</f>
        <v>1.7549999999999999</v>
      </c>
      <c r="W24" s="430">
        <f>-7.151-V24-U24</f>
        <v>-2.3769999999999989</v>
      </c>
      <c r="X24" s="430">
        <f>-5.307-W24-V24-U24</f>
        <v>1.8439999999999985</v>
      </c>
      <c r="Y24" s="79">
        <f t="shared" si="23"/>
        <v>-5.3070000000000004</v>
      </c>
      <c r="Z24" s="432"/>
      <c r="AA24" s="429">
        <v>-1.6279999999999999</v>
      </c>
      <c r="AB24" s="430">
        <f>-1.82-AA24</f>
        <v>-0.19200000000000017</v>
      </c>
      <c r="AC24" s="430">
        <f>-3.679-AB24-AA24</f>
        <v>-1.8589999999999998</v>
      </c>
      <c r="AD24" s="430">
        <f>0.287-AC24-AB24-AA24</f>
        <v>3.9660000000000002</v>
      </c>
      <c r="AE24" s="79">
        <f t="shared" si="24"/>
        <v>0.28700000000000037</v>
      </c>
      <c r="AF24" s="431"/>
      <c r="AG24" s="429">
        <v>-1.5760000000000001</v>
      </c>
      <c r="AH24" s="430">
        <f>-2.502-AG24</f>
        <v>-0.92599999999999971</v>
      </c>
      <c r="AI24" s="430">
        <f>-3.456-AH24-AG24</f>
        <v>-0.95400000000000018</v>
      </c>
      <c r="AJ24" s="430">
        <f>-1.249-AI24-AH24-AG24</f>
        <v>2.2069999999999999</v>
      </c>
      <c r="AK24" s="79">
        <f t="shared" si="25"/>
        <v>-1.2490000000000001</v>
      </c>
      <c r="AL24" s="431"/>
      <c r="AM24" s="429">
        <v>0.94499999999999995</v>
      </c>
      <c r="AN24" s="429">
        <f>3.434-AM24</f>
        <v>2.4890000000000003</v>
      </c>
      <c r="AO24" s="430">
        <f>2.097-AN24-AM24</f>
        <v>-1.3370000000000002</v>
      </c>
      <c r="AP24" s="430">
        <f>7.991-AO24-AN24-AM24</f>
        <v>5.8939999999999984</v>
      </c>
      <c r="AQ24" s="79">
        <f t="shared" si="26"/>
        <v>7.9909999999999979</v>
      </c>
      <c r="AR24" s="431"/>
      <c r="AS24" s="429">
        <v>0.61299999999999999</v>
      </c>
      <c r="AT24" s="429">
        <f>-0.536-AS24</f>
        <v>-1.149</v>
      </c>
      <c r="AU24" s="430">
        <f>-5.635-AT24-AS24</f>
        <v>-5.0990000000000002</v>
      </c>
      <c r="AV24" s="430">
        <f>-1.492-AU24-AT24-AS24</f>
        <v>4.1430000000000007</v>
      </c>
      <c r="AW24" s="79">
        <f t="shared" si="27"/>
        <v>-1.4919999999999991</v>
      </c>
      <c r="AX24" s="241"/>
      <c r="AY24" s="429">
        <v>2.65</v>
      </c>
      <c r="AZ24" s="429">
        <f>-6.245-AY24</f>
        <v>-8.8949999999999996</v>
      </c>
      <c r="BA24" s="429">
        <f>-6.4-AZ24-AY24</f>
        <v>-0.15500000000000069</v>
      </c>
      <c r="BB24" s="429">
        <f>+-3.1-SUM(AY24:BA24)</f>
        <v>3.3000000000000003</v>
      </c>
      <c r="BC24" s="79">
        <f t="shared" si="28"/>
        <v>-3.1</v>
      </c>
      <c r="BD24" s="241"/>
      <c r="BE24" s="429">
        <v>-5.3</v>
      </c>
      <c r="BF24" s="429">
        <f>-4.1-BE24</f>
        <v>1.2000000000000002</v>
      </c>
      <c r="BG24" s="429">
        <f>-6.9-SUM(BE24:BF24)</f>
        <v>-2.8000000000000007</v>
      </c>
      <c r="BH24" s="429">
        <f>0-SUM(BE24:BG24)</f>
        <v>6.9</v>
      </c>
      <c r="BI24" s="79">
        <f t="shared" si="29"/>
        <v>0</v>
      </c>
      <c r="BJ24" s="241"/>
      <c r="BK24" s="429">
        <v>-5</v>
      </c>
      <c r="BL24" s="429">
        <f>-2-BK24</f>
        <v>3</v>
      </c>
      <c r="BM24" s="429">
        <f>2-SUM(BK24:BL24)</f>
        <v>4</v>
      </c>
      <c r="BN24" s="429">
        <f>-3-SUM(BK24:BM24)</f>
        <v>-5</v>
      </c>
      <c r="BO24" s="79">
        <f t="shared" si="30"/>
        <v>-3</v>
      </c>
      <c r="BP24" s="241"/>
      <c r="BQ24" s="429">
        <v>0.4</v>
      </c>
      <c r="BR24" s="429">
        <f>3-BQ24</f>
        <v>2.6</v>
      </c>
      <c r="BS24" s="183">
        <f>+'Bal Sht'!BS27-'Bal Sht'!BR27</f>
        <v>1.4862477141200969</v>
      </c>
      <c r="BT24" s="183">
        <f>+'Bal Sht'!BT27-'Bal Sht'!BS27</f>
        <v>-3.3964569147281161</v>
      </c>
      <c r="BU24" s="79">
        <f t="shared" si="31"/>
        <v>1.0897907993919809</v>
      </c>
      <c r="BV24" s="241"/>
      <c r="BW24" s="183">
        <f>+'Bal Sht'!BW27-'Bal Sht'!BU27</f>
        <v>0.46138085654971306</v>
      </c>
      <c r="BX24" s="183">
        <f>+'Bal Sht'!BX27-'Bal Sht'!BW27</f>
        <v>3.5545344934228318</v>
      </c>
      <c r="BY24" s="183">
        <f>+'Bal Sht'!BY27-'Bal Sht'!BX27</f>
        <v>1.0336645125779818</v>
      </c>
      <c r="BZ24" s="183">
        <f>+'Bal Sht'!BZ27-'Bal Sht'!BY27</f>
        <v>-3.6018667347277606</v>
      </c>
      <c r="CA24" s="79">
        <f t="shared" si="32"/>
        <v>1.447713127822766</v>
      </c>
      <c r="CB24" s="241"/>
      <c r="CC24" s="183">
        <f>+'Bal Sht'!CC27-'Bal Sht'!CA27</f>
        <v>-4.5332635298215962E-2</v>
      </c>
      <c r="CD24" s="183">
        <f>+'Bal Sht'!CD27-'Bal Sht'!CC27</f>
        <v>4.1385044894122913</v>
      </c>
      <c r="CE24" s="183">
        <f>+'Bal Sht'!CE27-'Bal Sht'!CD27</f>
        <v>1.3096836295773713</v>
      </c>
      <c r="CF24" s="183">
        <f>+'Bal Sht'!CF27-'Bal Sht'!CE27</f>
        <v>-3.4759478595021847</v>
      </c>
      <c r="CG24" s="79">
        <f t="shared" si="33"/>
        <v>1.926907624189262</v>
      </c>
      <c r="CH24" s="241"/>
      <c r="CI24" s="183">
        <f>+'Bal Sht'!CI27-'Bal Sht'!CG27</f>
        <v>-3.2961363880804839E-2</v>
      </c>
      <c r="CJ24" s="183">
        <f>+'Bal Sht'!CJ27-'Bal Sht'!CI27</f>
        <v>4.6048095696814855</v>
      </c>
      <c r="CK24" s="183">
        <f>+'Bal Sht'!CK27-'Bal Sht'!CJ27</f>
        <v>1.3185647067046773</v>
      </c>
      <c r="CL24" s="183">
        <f>+'Bal Sht'!CL27-'Bal Sht'!CK27</f>
        <v>-3.5169963784374048</v>
      </c>
      <c r="CM24" s="79">
        <f t="shared" si="34"/>
        <v>2.3734165340679532</v>
      </c>
      <c r="CN24" s="241"/>
      <c r="CO24" s="183">
        <f>+'Bal Sht'!CO27-'Bal Sht'!CM27</f>
        <v>-0.21429996065576518</v>
      </c>
      <c r="CP24" s="183">
        <f>+'Bal Sht'!CP27-'Bal Sht'!CO27</f>
        <v>5.1880538002859424</v>
      </c>
      <c r="CQ24" s="183">
        <f>+'Bal Sht'!CQ27-'Bal Sht'!CP27</f>
        <v>0.9229761641366494</v>
      </c>
      <c r="CR24" s="183">
        <f>+'Bal Sht'!CR27-'Bal Sht'!CQ27</f>
        <v>-3.4424841840538249</v>
      </c>
      <c r="CS24" s="79">
        <f t="shared" si="35"/>
        <v>2.4542458197130017</v>
      </c>
      <c r="CT24" s="176"/>
      <c r="CV24" s="183"/>
      <c r="CW24" s="183"/>
      <c r="CX24" s="183"/>
      <c r="CY24" s="183"/>
    </row>
    <row r="25" spans="1:103" ht="12.75" customHeight="1" outlineLevel="1" x14ac:dyDescent="0.2">
      <c r="A25" s="6" t="s">
        <v>253</v>
      </c>
      <c r="B25" s="241"/>
      <c r="C25" s="429">
        <v>-3.6619999999999999</v>
      </c>
      <c r="D25" s="430">
        <f>-4.06-C25</f>
        <v>-0.39799999999999969</v>
      </c>
      <c r="E25" s="430">
        <f>-3.346-D25-C25</f>
        <v>0.71399999999999952</v>
      </c>
      <c r="F25" s="430">
        <f>4.13-E25-D25-C25</f>
        <v>7.476</v>
      </c>
      <c r="G25" s="79">
        <f t="shared" si="20"/>
        <v>4.13</v>
      </c>
      <c r="H25" s="432"/>
      <c r="I25" s="429">
        <v>2.0619999999999998</v>
      </c>
      <c r="J25" s="430">
        <f>5.089-I25</f>
        <v>3.0270000000000006</v>
      </c>
      <c r="K25" s="430">
        <f>4.563-J25-I25</f>
        <v>-0.52600000000000069</v>
      </c>
      <c r="L25" s="430">
        <f>27.739-K25-J25-I25</f>
        <v>23.175999999999998</v>
      </c>
      <c r="M25" s="79">
        <f t="shared" si="21"/>
        <v>27.738999999999997</v>
      </c>
      <c r="N25" s="432"/>
      <c r="O25" s="429">
        <v>-7.593</v>
      </c>
      <c r="P25" s="430">
        <f>-5.95-O25</f>
        <v>1.6429999999999998</v>
      </c>
      <c r="Q25" s="430">
        <f>-21.751-P25-O25</f>
        <v>-15.801000000000002</v>
      </c>
      <c r="R25" s="430">
        <f>-24.526-Q25-P25-O25</f>
        <v>-2.7749999999999986</v>
      </c>
      <c r="S25" s="79">
        <f t="shared" si="22"/>
        <v>-24.526</v>
      </c>
      <c r="T25" s="432"/>
      <c r="U25" s="429">
        <v>-4.6470000000000002</v>
      </c>
      <c r="V25" s="430">
        <f>-4.684-U25</f>
        <v>-3.6999999999999922E-2</v>
      </c>
      <c r="W25" s="430">
        <f>-2.801-V25-U25</f>
        <v>1.883</v>
      </c>
      <c r="X25" s="430">
        <f>-0.393-W25-V25-U25</f>
        <v>2.4080000000000004</v>
      </c>
      <c r="Y25" s="79">
        <f t="shared" si="23"/>
        <v>-0.39299999999999979</v>
      </c>
      <c r="Z25" s="432"/>
      <c r="AA25" s="429">
        <v>-2.4390000000000001</v>
      </c>
      <c r="AB25" s="430">
        <f>-1.462-AA25</f>
        <v>0.97700000000000009</v>
      </c>
      <c r="AC25" s="430">
        <f>0.581-AB25-AA25</f>
        <v>2.0430000000000001</v>
      </c>
      <c r="AD25" s="430">
        <f>0.924-AC25-AB25-AA25</f>
        <v>0.34299999999999997</v>
      </c>
      <c r="AE25" s="79">
        <f t="shared" si="24"/>
        <v>0.92400000000000015</v>
      </c>
      <c r="AF25" s="431"/>
      <c r="AG25" s="429">
        <v>-1.4730000000000001</v>
      </c>
      <c r="AH25" s="430">
        <f>2.045-AG25</f>
        <v>3.5179999999999998</v>
      </c>
      <c r="AI25" s="430">
        <f>6.15-AH25-AG25</f>
        <v>4.1050000000000004</v>
      </c>
      <c r="AJ25" s="430">
        <f>11.218-AI25-AH25-AG25</f>
        <v>5.0679999999999996</v>
      </c>
      <c r="AK25" s="79">
        <f t="shared" si="25"/>
        <v>11.218</v>
      </c>
      <c r="AL25" s="431"/>
      <c r="AM25" s="429">
        <v>10.224</v>
      </c>
      <c r="AN25" s="429">
        <f>-3.58-AM25</f>
        <v>-13.804</v>
      </c>
      <c r="AO25" s="430">
        <f>5.58-AN25-AM25</f>
        <v>9.16</v>
      </c>
      <c r="AP25" s="430">
        <f>11.562-AO25-AN25-AM25</f>
        <v>5.9819999999999993</v>
      </c>
      <c r="AQ25" s="79">
        <f t="shared" si="26"/>
        <v>11.561999999999999</v>
      </c>
      <c r="AR25" s="431"/>
      <c r="AS25" s="429">
        <v>15.055999999999999</v>
      </c>
      <c r="AT25" s="429">
        <f>1.51-AS25</f>
        <v>-13.545999999999999</v>
      </c>
      <c r="AU25" s="430">
        <f>-2.233-AT25-AS25</f>
        <v>-3.7430000000000003</v>
      </c>
      <c r="AV25" s="430">
        <f>3.077-AU25-AT25-AS25</f>
        <v>5.3100000000000005</v>
      </c>
      <c r="AW25" s="79">
        <f t="shared" si="27"/>
        <v>3.077</v>
      </c>
      <c r="AX25" s="241"/>
      <c r="AY25" s="429">
        <v>-15.759</v>
      </c>
      <c r="AZ25" s="429">
        <f>-15.233-AY25</f>
        <v>0.5259999999999998</v>
      </c>
      <c r="BA25" s="429">
        <f>-11.524-AZ25-AY25</f>
        <v>3.7090000000000014</v>
      </c>
      <c r="BB25" s="429">
        <f>-13.4-SUM(AY25:BA25)</f>
        <v>-1.8760000000000012</v>
      </c>
      <c r="BC25" s="79">
        <f t="shared" si="28"/>
        <v>-13.4</v>
      </c>
      <c r="BD25" s="241"/>
      <c r="BE25" s="429">
        <v>-5.7</v>
      </c>
      <c r="BF25" s="429">
        <f>-0.5-BE25</f>
        <v>5.2</v>
      </c>
      <c r="BG25" s="429">
        <f>2.9-SUM(BE25:BF25)</f>
        <v>3.4</v>
      </c>
      <c r="BH25" s="429">
        <f>0.5-SUM(BE25:BG25)</f>
        <v>-2.4</v>
      </c>
      <c r="BI25" s="79">
        <f t="shared" si="29"/>
        <v>0.5</v>
      </c>
      <c r="BJ25" s="241"/>
      <c r="BK25" s="429">
        <v>-9.5</v>
      </c>
      <c r="BL25" s="429">
        <f>-5-BK25</f>
        <v>4.5</v>
      </c>
      <c r="BM25" s="429">
        <f>-0.6-SUM(BK25:BL25)</f>
        <v>4.4000000000000004</v>
      </c>
      <c r="BN25" s="429">
        <f>0.7-SUM(BK25:BM25)</f>
        <v>1.2999999999999996</v>
      </c>
      <c r="BO25" s="79">
        <f t="shared" si="30"/>
        <v>0.7</v>
      </c>
      <c r="BP25" s="241"/>
      <c r="BQ25" s="429">
        <v>-5.8</v>
      </c>
      <c r="BR25" s="429">
        <f>-5.8-BQ25</f>
        <v>0</v>
      </c>
      <c r="BS25" s="183">
        <f>+'Bal Sht'!BS28-'Bal Sht'!BR28</f>
        <v>-0.32861419064542474</v>
      </c>
      <c r="BT25" s="183">
        <f>+'Bal Sht'!BT28-'Bal Sht'!BS28</f>
        <v>3.2135224803068638</v>
      </c>
      <c r="BU25" s="79">
        <f t="shared" si="31"/>
        <v>-2.9150917103385607</v>
      </c>
      <c r="BV25" s="241"/>
      <c r="BW25" s="183">
        <f>+'Bal Sht'!BW28-'Bal Sht'!BU28</f>
        <v>-5.1104673230241175</v>
      </c>
      <c r="BX25" s="183">
        <f>+'Bal Sht'!BX28-'Bal Sht'!BW28</f>
        <v>2.6536161087458154</v>
      </c>
      <c r="BY25" s="183">
        <f>+'Bal Sht'!BY28-'Bal Sht'!BX28</f>
        <v>0.70209353322385937</v>
      </c>
      <c r="BZ25" s="183">
        <f>+'Bal Sht'!BZ28-'Bal Sht'!BY28</f>
        <v>3.9735947941781262</v>
      </c>
      <c r="CA25" s="79">
        <f t="shared" si="32"/>
        <v>2.2188371131236835</v>
      </c>
      <c r="CB25" s="241"/>
      <c r="CC25" s="183">
        <f>+'Bal Sht'!CC28-'Bal Sht'!CA28</f>
        <v>-4.7249470139732352</v>
      </c>
      <c r="CD25" s="183">
        <f>+'Bal Sht'!CD28-'Bal Sht'!CC28</f>
        <v>3.4668235256849727</v>
      </c>
      <c r="CE25" s="183">
        <f>+'Bal Sht'!CE28-'Bal Sht'!CD28</f>
        <v>0.78858543557757343</v>
      </c>
      <c r="CF25" s="183">
        <f>+'Bal Sht'!CF28-'Bal Sht'!CE28</f>
        <v>4.4913767649978098</v>
      </c>
      <c r="CG25" s="79">
        <f t="shared" si="33"/>
        <v>4.0218387122871206</v>
      </c>
      <c r="CH25" s="241"/>
      <c r="CI25" s="183">
        <f>+'Bal Sht'!CI28-'Bal Sht'!CG28</f>
        <v>-4.5445957934834524</v>
      </c>
      <c r="CJ25" s="183">
        <f>+'Bal Sht'!CJ28-'Bal Sht'!CI28</f>
        <v>3.9303393199136707</v>
      </c>
      <c r="CK25" s="183">
        <f>+'Bal Sht'!CK28-'Bal Sht'!CJ28</f>
        <v>0.48050739657296049</v>
      </c>
      <c r="CL25" s="183">
        <f>+'Bal Sht'!CL28-'Bal Sht'!CK28</f>
        <v>4.7836238795794799</v>
      </c>
      <c r="CM25" s="79">
        <f t="shared" si="34"/>
        <v>4.6498748025826586</v>
      </c>
      <c r="CN25" s="241"/>
      <c r="CO25" s="183">
        <f>+'Bal Sht'!CO28-'Bal Sht'!CM28</f>
        <v>-4.7190108190744979</v>
      </c>
      <c r="CP25" s="183">
        <f>+'Bal Sht'!CP28-'Bal Sht'!CO28</f>
        <v>4.7794333309287538</v>
      </c>
      <c r="CQ25" s="183">
        <f>+'Bal Sht'!CQ28-'Bal Sht'!CP28</f>
        <v>-0.25401515033503586</v>
      </c>
      <c r="CR25" s="183">
        <f>+'Bal Sht'!CR28-'Bal Sht'!CQ28</f>
        <v>5.5105692393935328</v>
      </c>
      <c r="CS25" s="79">
        <f t="shared" si="35"/>
        <v>5.3169766009127528</v>
      </c>
      <c r="CT25" s="176"/>
      <c r="CV25" s="183"/>
      <c r="CW25" s="183"/>
      <c r="CX25" s="183"/>
      <c r="CY25" s="183"/>
    </row>
    <row r="26" spans="1:103" ht="12.75" customHeight="1" outlineLevel="1" x14ac:dyDescent="0.2">
      <c r="A26" s="6" t="s">
        <v>264</v>
      </c>
      <c r="B26" s="256"/>
      <c r="C26" s="429">
        <v>-5.8999999999999997E-2</v>
      </c>
      <c r="D26" s="430">
        <f>0.317-C26</f>
        <v>0.376</v>
      </c>
      <c r="E26" s="430">
        <f>0.29-D26-C26</f>
        <v>-2.7000000000000024E-2</v>
      </c>
      <c r="F26" s="430">
        <f>0.266-E26-D26-C26</f>
        <v>-2.3999999999999966E-2</v>
      </c>
      <c r="G26" s="79">
        <f t="shared" si="20"/>
        <v>0.26600000000000001</v>
      </c>
      <c r="H26" s="65"/>
      <c r="I26" s="429">
        <v>-0.374</v>
      </c>
      <c r="J26" s="430">
        <f>-0.05-I26</f>
        <v>0.32400000000000001</v>
      </c>
      <c r="K26" s="430">
        <f>1.675-J26-I26</f>
        <v>1.7250000000000001</v>
      </c>
      <c r="L26" s="430">
        <f>1.65-K26-J26-I26</f>
        <v>-2.5000000000000189E-2</v>
      </c>
      <c r="M26" s="79">
        <f t="shared" si="21"/>
        <v>1.65</v>
      </c>
      <c r="N26" s="65"/>
      <c r="O26" s="429">
        <v>-2.0249999999999999</v>
      </c>
      <c r="P26" s="430">
        <f>-1.803-O26</f>
        <v>0.22199999999999998</v>
      </c>
      <c r="Q26" s="430">
        <f>-1.975-P26-O26</f>
        <v>-0.17200000000000015</v>
      </c>
      <c r="R26" s="430">
        <f>-2-Q26-P26-O26</f>
        <v>-2.4999999999999911E-2</v>
      </c>
      <c r="S26" s="79">
        <f t="shared" si="22"/>
        <v>-2</v>
      </c>
      <c r="T26" s="65"/>
      <c r="U26" s="429">
        <v>0</v>
      </c>
      <c r="V26" s="430">
        <f>0-U26</f>
        <v>0</v>
      </c>
      <c r="W26" s="430">
        <f>0-V26-U26</f>
        <v>0</v>
      </c>
      <c r="X26" s="430">
        <f>0-W26-V26-U26</f>
        <v>0</v>
      </c>
      <c r="Y26" s="79">
        <f t="shared" si="23"/>
        <v>0</v>
      </c>
      <c r="Z26" s="65"/>
      <c r="AA26" s="429">
        <v>0</v>
      </c>
      <c r="AB26" s="430">
        <f>0-AA26</f>
        <v>0</v>
      </c>
      <c r="AC26" s="430">
        <f>0-AB26-AA26</f>
        <v>0</v>
      </c>
      <c r="AD26" s="430">
        <f>-0.425-AC26-AB26-AA26</f>
        <v>-0.42499999999999999</v>
      </c>
      <c r="AE26" s="79">
        <f t="shared" si="24"/>
        <v>-0.42499999999999999</v>
      </c>
      <c r="AF26" s="256"/>
      <c r="AG26" s="429">
        <v>-0.245</v>
      </c>
      <c r="AH26" s="430">
        <f>1.122-AG26</f>
        <v>1.367</v>
      </c>
      <c r="AI26" s="430">
        <f>0.063-AH26-AG26</f>
        <v>-1.0590000000000002</v>
      </c>
      <c r="AJ26" s="430">
        <f>0.748-AI26-AH26-AG26</f>
        <v>0.68500000000000016</v>
      </c>
      <c r="AK26" s="79">
        <f t="shared" si="25"/>
        <v>0.74799999999999989</v>
      </c>
      <c r="AL26" s="256"/>
      <c r="AM26" s="429">
        <v>1.2210000000000001</v>
      </c>
      <c r="AN26" s="429">
        <f>0.667-AM26</f>
        <v>-0.55400000000000005</v>
      </c>
      <c r="AO26" s="430">
        <f>0.977-AN26-AM26</f>
        <v>0.31000000000000005</v>
      </c>
      <c r="AP26" s="430">
        <f>-0.011-AO26-AN26-AM26</f>
        <v>-0.9880000000000001</v>
      </c>
      <c r="AQ26" s="79">
        <f t="shared" si="26"/>
        <v>-1.100000000000001E-2</v>
      </c>
      <c r="AR26" s="256"/>
      <c r="AS26" s="429">
        <v>-1.1479999999999999</v>
      </c>
      <c r="AT26" s="429">
        <f>1.909-AS26</f>
        <v>3.0569999999999999</v>
      </c>
      <c r="AU26" s="430">
        <f>-0.077-AT26-AS26</f>
        <v>-1.986</v>
      </c>
      <c r="AV26" s="430">
        <f>-1.155-AU26-AT26-AS26</f>
        <v>-1.0780000000000001</v>
      </c>
      <c r="AW26" s="79">
        <f t="shared" si="27"/>
        <v>-1.155</v>
      </c>
      <c r="AX26" s="256"/>
      <c r="AY26" s="429">
        <v>0.253</v>
      </c>
      <c r="AZ26" s="429">
        <f>0.734-AY26</f>
        <v>0.48099999999999998</v>
      </c>
      <c r="BA26" s="429">
        <f>0.242-AZ26-AY26</f>
        <v>-0.49199999999999999</v>
      </c>
      <c r="BB26" s="429">
        <f>0.4-SUM(AY26:BA26)</f>
        <v>0.15800000000000003</v>
      </c>
      <c r="BC26" s="79">
        <f t="shared" si="28"/>
        <v>0.4</v>
      </c>
      <c r="BD26" s="256"/>
      <c r="BE26" s="429">
        <v>-0.1</v>
      </c>
      <c r="BF26" s="429">
        <f>0-BE26</f>
        <v>0.1</v>
      </c>
      <c r="BG26" s="429">
        <f>0-SUM(BE26:BF26)</f>
        <v>0</v>
      </c>
      <c r="BH26" s="429">
        <f>-0.2-SUM(BE26:BG26)</f>
        <v>-0.2</v>
      </c>
      <c r="BI26" s="79">
        <f t="shared" si="29"/>
        <v>-0.2</v>
      </c>
      <c r="BJ26" s="256"/>
      <c r="BK26" s="429">
        <v>-1</v>
      </c>
      <c r="BL26" s="429">
        <f>0.5-BK26</f>
        <v>1.5</v>
      </c>
      <c r="BM26" s="429">
        <f>1-SUM(BK26:BL26)</f>
        <v>0.5</v>
      </c>
      <c r="BN26" s="429">
        <f>0.9-SUM(BK26:BM26)</f>
        <v>-9.9999999999999978E-2</v>
      </c>
      <c r="BO26" s="79">
        <f t="shared" si="30"/>
        <v>0.9</v>
      </c>
      <c r="BP26" s="256"/>
      <c r="BQ26" s="429">
        <v>0.6</v>
      </c>
      <c r="BR26" s="429">
        <f>0.7-BQ26</f>
        <v>9.9999999999999978E-2</v>
      </c>
      <c r="BS26" s="183">
        <f>+'Bal Sht'!BS30-'Bal Sht'!BR30</f>
        <v>-0.79669859652335173</v>
      </c>
      <c r="BT26" s="183">
        <f>+'Bal Sht'!BT30-'Bal Sht'!BS30</f>
        <v>-4.5647306111538999E-2</v>
      </c>
      <c r="BU26" s="79">
        <f t="shared" si="31"/>
        <v>-0.14234590263489078</v>
      </c>
      <c r="BV26" s="256"/>
      <c r="BW26" s="183">
        <f>+'Bal Sht'!BW30-'Bal Sht'!BU30</f>
        <v>0.34602129578774399</v>
      </c>
      <c r="BX26" s="183">
        <f>+'Bal Sht'!BX30-'Bal Sht'!BW30</f>
        <v>0.59860624290370668</v>
      </c>
      <c r="BY26" s="183">
        <f>+'Bal Sht'!BY30-'Bal Sht'!BX30</f>
        <v>-0.77655493756139116</v>
      </c>
      <c r="BZ26" s="183">
        <f>+'Bal Sht'!BZ30-'Bal Sht'!BY30</f>
        <v>-1.9768900367220787E-2</v>
      </c>
      <c r="CA26" s="79">
        <f t="shared" si="32"/>
        <v>0.14830370076283872</v>
      </c>
      <c r="CB26" s="256"/>
      <c r="CC26" s="183">
        <f>+'Bal Sht'!CC30-'Bal Sht'!CA30</f>
        <v>0.33647808846499805</v>
      </c>
      <c r="CD26" s="183">
        <f>+'Bal Sht'!CD30-'Bal Sht'!CC30</f>
        <v>0.66745927171854902</v>
      </c>
      <c r="CE26" s="183">
        <f>+'Bal Sht'!CE30-'Bal Sht'!CD30</f>
        <v>-0.82071408404241453</v>
      </c>
      <c r="CF26" s="183">
        <f>+'Bal Sht'!CF30-'Bal Sht'!CE30</f>
        <v>-8.8874130164446896E-3</v>
      </c>
      <c r="CG26" s="79">
        <f t="shared" si="33"/>
        <v>0.17433586312468785</v>
      </c>
      <c r="CH26" s="256"/>
      <c r="CI26" s="183">
        <f>+'Bal Sht'!CI30-'Bal Sht'!CG30</f>
        <v>0.38150354782032947</v>
      </c>
      <c r="CJ26" s="183">
        <f>+'Bal Sht'!CJ30-'Bal Sht'!CI30</f>
        <v>0.72894190345644994</v>
      </c>
      <c r="CK26" s="183">
        <f>+'Bal Sht'!CK30-'Bal Sht'!CJ30</f>
        <v>-0.89924276425496563</v>
      </c>
      <c r="CL26" s="183">
        <f>+'Bal Sht'!CL30-'Bal Sht'!CK30</f>
        <v>-9.7931766686074617E-3</v>
      </c>
      <c r="CM26" s="79">
        <f t="shared" si="34"/>
        <v>0.20140951035320631</v>
      </c>
      <c r="CN26" s="256"/>
      <c r="CO26" s="183">
        <f>+'Bal Sht'!CO30-'Bal Sht'!CM30</f>
        <v>0.41453805466949767</v>
      </c>
      <c r="CP26" s="183">
        <f>+'Bal Sht'!CP30-'Bal Sht'!CO30</f>
        <v>0.8152557761907091</v>
      </c>
      <c r="CQ26" s="183">
        <f>+'Bal Sht'!CQ30-'Bal Sht'!CP30</f>
        <v>-1.0060523736229299</v>
      </c>
      <c r="CR26" s="183">
        <f>+'Bal Sht'!CR30-'Bal Sht'!CQ30</f>
        <v>6.6232343839911501E-3</v>
      </c>
      <c r="CS26" s="79">
        <f t="shared" si="35"/>
        <v>0.23036469162126805</v>
      </c>
      <c r="CT26" s="176"/>
      <c r="CV26" s="183"/>
      <c r="CW26" s="183"/>
      <c r="CX26" s="183"/>
      <c r="CY26" s="183"/>
    </row>
    <row r="27" spans="1:103" x14ac:dyDescent="0.2">
      <c r="A27" s="5" t="s">
        <v>324</v>
      </c>
      <c r="B27" s="254"/>
      <c r="C27" s="178">
        <f>SUM(,C19,C8:C17)</f>
        <v>-14.300999999999998</v>
      </c>
      <c r="D27" s="178">
        <f>SUM(,D19,D8:D17)</f>
        <v>-6.8829999999999982</v>
      </c>
      <c r="E27" s="178">
        <f>SUM(,E19,E8:E17)</f>
        <v>-4.921000000000002</v>
      </c>
      <c r="F27" s="178">
        <f>SUM(,F19,F8:F17)</f>
        <v>0.25399999999999978</v>
      </c>
      <c r="G27" s="178">
        <f>SUM(,G19,G8:G17)</f>
        <v>-25.851000000000006</v>
      </c>
      <c r="H27" s="64"/>
      <c r="I27" s="178">
        <f>SUM(,I19,I8:I17)</f>
        <v>-12.697999999999997</v>
      </c>
      <c r="J27" s="178">
        <f>SUM(,J19,J8:J17)</f>
        <v>0.15000000000000036</v>
      </c>
      <c r="K27" s="178">
        <f>SUM(,K19,K8:K17)</f>
        <v>4.4439999999999946</v>
      </c>
      <c r="L27" s="178">
        <f>SUM(,L19,L8:L17)</f>
        <v>111.83999999999999</v>
      </c>
      <c r="M27" s="178">
        <f>SUM(,M19,M8:M17)</f>
        <v>103.73600000000002</v>
      </c>
      <c r="N27" s="64"/>
      <c r="O27" s="178">
        <f>SUM(,O19,O8:O17)</f>
        <v>-4.38</v>
      </c>
      <c r="P27" s="178">
        <f>SUM(,P19,P8:P17)</f>
        <v>41.623999999999995</v>
      </c>
      <c r="Q27" s="178">
        <f>SUM(,Q19,Q8:Q17)</f>
        <v>7.8689999999999998</v>
      </c>
      <c r="R27" s="178">
        <f>SUM(,R19,R8:R17)</f>
        <v>38.929000000000002</v>
      </c>
      <c r="S27" s="178">
        <f>SUM(,S19,S8:S17)</f>
        <v>84.042000000000002</v>
      </c>
      <c r="T27" s="64"/>
      <c r="U27" s="178">
        <f>SUM(,U19,U8:U17)</f>
        <v>23.180999999999997</v>
      </c>
      <c r="V27" s="178">
        <f>SUM(,V19,V8:V17)</f>
        <v>42.727000000000011</v>
      </c>
      <c r="W27" s="178">
        <f>SUM(,W19,W8:W17)</f>
        <v>42.655999999999992</v>
      </c>
      <c r="X27" s="178">
        <f>SUM(,X19,X8:X17)</f>
        <v>46.521999999999998</v>
      </c>
      <c r="Y27" s="178">
        <f>SUM(,Y19,Y8:Y17)</f>
        <v>155.08599999999998</v>
      </c>
      <c r="Z27" s="64"/>
      <c r="AA27" s="178">
        <f>SUM(,AA19,AA8:AA17)</f>
        <v>29.295999999999999</v>
      </c>
      <c r="AB27" s="178">
        <f>SUM(,AB19,AB8:AB17)</f>
        <v>37.124999999999993</v>
      </c>
      <c r="AC27" s="178">
        <f>SUM(,AC19,AC8:AC17)</f>
        <v>28.036000000000001</v>
      </c>
      <c r="AD27" s="178">
        <f>SUM(,AD19,AD8:AD17)</f>
        <v>36.301999999999992</v>
      </c>
      <c r="AE27" s="178">
        <f>SUM(,AE19,AE8:AE17)</f>
        <v>130.75899999999999</v>
      </c>
      <c r="AF27" s="254"/>
      <c r="AG27" s="257">
        <f>SUM(,AG19,AG8:AG17)</f>
        <v>31.824000000000002</v>
      </c>
      <c r="AH27" s="178">
        <f>SUM(,AH19,AH8:AH17)</f>
        <v>27.53</v>
      </c>
      <c r="AI27" s="178">
        <f>SUM(,AI19,AI8:AI17)</f>
        <v>40.747000000000007</v>
      </c>
      <c r="AJ27" s="257">
        <f>SUM(,AJ19,AJ8:AJ17)</f>
        <v>41.703000000000003</v>
      </c>
      <c r="AK27" s="257">
        <f>SUM(,AK19,AK8:AK17)</f>
        <v>141.804</v>
      </c>
      <c r="AL27" s="254"/>
      <c r="AM27" s="257">
        <f>SUM(,AM19,AM8:AM17)</f>
        <v>51.355999999999995</v>
      </c>
      <c r="AN27" s="257">
        <f>SUM(,AN19,AN8:AN17)</f>
        <v>22.114000000000004</v>
      </c>
      <c r="AO27" s="178">
        <f>SUM(,AO19,AO8:AO17)</f>
        <v>37.396000000000008</v>
      </c>
      <c r="AP27" s="257">
        <f>SUM(,AP19,AP8:AP17)</f>
        <v>63.000000000000007</v>
      </c>
      <c r="AQ27" s="257">
        <f>SUM(,AQ19,AQ8:AQ17)</f>
        <v>173.86599999999996</v>
      </c>
      <c r="AR27" s="254"/>
      <c r="AS27" s="257">
        <f>SUM(,AS19,AS8:AS17)</f>
        <v>90.482000000000028</v>
      </c>
      <c r="AT27" s="257">
        <f>SUM(,AT19,AT8:AT17)</f>
        <v>47.548999999999999</v>
      </c>
      <c r="AU27" s="178">
        <f>SUM(,AU19,AU8:AU17)</f>
        <v>11.248999999999993</v>
      </c>
      <c r="AV27" s="257">
        <f>SUM(,AV19,AV8:AV17)</f>
        <v>40.932999999999986</v>
      </c>
      <c r="AW27" s="257">
        <f>SUM(,AW19,AW8:AW17)</f>
        <v>190.21299999999994</v>
      </c>
      <c r="AX27" s="254"/>
      <c r="AY27" s="257">
        <f>SUM(,AY19,AY8:AY17)</f>
        <v>6.9809999999999963</v>
      </c>
      <c r="AZ27" s="257">
        <f>SUM(,AZ19,AZ8:AZ17)</f>
        <v>52.597000000000001</v>
      </c>
      <c r="BA27" s="257">
        <f>SUM(,BA19,BA8:BA17)</f>
        <v>29.878</v>
      </c>
      <c r="BB27" s="257">
        <f>SUM(,BB19,BB8:BB17)</f>
        <v>51.044000000000011</v>
      </c>
      <c r="BC27" s="257">
        <f>SUM(,BC19,BC8:BC17)</f>
        <v>140.49999999999997</v>
      </c>
      <c r="BD27" s="254"/>
      <c r="BE27" s="257">
        <f>SUM(,BE19,BE8:BE17)</f>
        <v>24.9</v>
      </c>
      <c r="BF27" s="257">
        <f>SUM(,BF19,BF8:BF17)</f>
        <v>40.899999999999991</v>
      </c>
      <c r="BG27" s="257">
        <f>SUM(,BG19,BG8:BG17)</f>
        <v>44.099999999999987</v>
      </c>
      <c r="BH27" s="257">
        <f>SUM(,BH19,BH8:BH17)</f>
        <v>56.400000000000013</v>
      </c>
      <c r="BI27" s="257">
        <f>SUM(,BI19,BI8:BI17)</f>
        <v>166.29999999999995</v>
      </c>
      <c r="BJ27" s="254"/>
      <c r="BK27" s="257">
        <f>SUM(,BK19,BK8:BK17)</f>
        <v>-2.8999999999999964</v>
      </c>
      <c r="BL27" s="257">
        <f>SUM(,BL19,BL8:BL17)</f>
        <v>31.400000000000002</v>
      </c>
      <c r="BM27" s="257">
        <f>SUM(,BM19,BM8:BM17)</f>
        <v>41.1</v>
      </c>
      <c r="BN27" s="257">
        <f>SUM(,BN19,BN8:BN17)</f>
        <v>36.599999999999987</v>
      </c>
      <c r="BO27" s="257">
        <f>SUM(,BO19,BO8:BO17)</f>
        <v>106.2</v>
      </c>
      <c r="BP27" s="254"/>
      <c r="BQ27" s="257">
        <f>SUM(,BQ19,BQ8:BQ17)</f>
        <v>23.5</v>
      </c>
      <c r="BR27" s="257">
        <f>SUM(,BR19,BR8:BR17)</f>
        <v>33.000000000000014</v>
      </c>
      <c r="BS27" s="257">
        <f>SUM(,BS19,BS8:BS17)</f>
        <v>70.003866310837097</v>
      </c>
      <c r="BT27" s="257">
        <f>SUM(,BT19,BT8:BT17)</f>
        <v>59.555518135299032</v>
      </c>
      <c r="BU27" s="257">
        <f>SUM(,BU19,BU8:BU17)</f>
        <v>186.05938444613611</v>
      </c>
      <c r="BV27" s="254"/>
      <c r="BW27" s="257">
        <f>SUM(,BW19,BW8:BW17)</f>
        <v>59.118039705408094</v>
      </c>
      <c r="BX27" s="257">
        <f>SUM(,BX19,BX8:BX17)</f>
        <v>64.661270312311757</v>
      </c>
      <c r="BY27" s="257">
        <f>SUM(,BY19,BY8:BY17)</f>
        <v>75.661811362088926</v>
      </c>
      <c r="BZ27" s="257">
        <f>SUM(,BZ19,BZ8:BZ17)</f>
        <v>78.839140514330964</v>
      </c>
      <c r="CA27" s="257">
        <f>SUM(,CA19,CA8:CA17)</f>
        <v>278.28026189413976</v>
      </c>
      <c r="CB27" s="254"/>
      <c r="CC27" s="257">
        <f>SUM(,CC19,CC8:CC17)</f>
        <v>63.698986364585018</v>
      </c>
      <c r="CD27" s="257">
        <f>SUM(,CD19,CD8:CD17)</f>
        <v>67.125739006118408</v>
      </c>
      <c r="CE27" s="257">
        <f>SUM(,CE19,CE8:CE17)</f>
        <v>79.335950509545867</v>
      </c>
      <c r="CF27" s="257">
        <f>SUM(,CF19,CF8:CF17)</f>
        <v>82.266194784056722</v>
      </c>
      <c r="CG27" s="257">
        <f>SUM(,CG19,CG8:CG17)</f>
        <v>292.42687066430602</v>
      </c>
      <c r="CH27" s="254"/>
      <c r="CI27" s="257">
        <f>SUM(,CI19,CI8:CI17)</f>
        <v>64.733505414260705</v>
      </c>
      <c r="CJ27" s="257">
        <f>SUM(,CJ19,CJ8:CJ17)</f>
        <v>68.450723779957585</v>
      </c>
      <c r="CK27" s="257">
        <f>SUM(,CK19,CK8:CK17)</f>
        <v>81.749397229047148</v>
      </c>
      <c r="CL27" s="257">
        <f>SUM(,CL19,CL8:CL17)</f>
        <v>83.934837619347007</v>
      </c>
      <c r="CM27" s="257">
        <f>SUM(,CM19,CM8:CM17)</f>
        <v>298.86846404261246</v>
      </c>
      <c r="CN27" s="254"/>
      <c r="CO27" s="257">
        <f>SUM(,CO19,CO8:CO17)</f>
        <v>67.01616824750144</v>
      </c>
      <c r="CP27" s="257">
        <f>SUM(,CP19,CP8:CP17)</f>
        <v>70.938638191465813</v>
      </c>
      <c r="CQ27" s="257">
        <f>SUM(,CQ19,CQ8:CQ17)</f>
        <v>86.513647639112548</v>
      </c>
      <c r="CR27" s="257">
        <f>SUM(,CR19,CR8:CR17)</f>
        <v>87.484731529471532</v>
      </c>
      <c r="CS27" s="257">
        <f>SUM(,CS19,CS8:CS17)</f>
        <v>311.95318560755129</v>
      </c>
      <c r="CT27" s="176"/>
      <c r="CX27" s="63"/>
      <c r="CY27" s="63"/>
    </row>
    <row r="28" spans="1:103" ht="4.5" customHeight="1" x14ac:dyDescent="0.2">
      <c r="A28" s="1"/>
      <c r="B28" s="241"/>
      <c r="C28" s="433"/>
      <c r="D28" s="433"/>
      <c r="E28" s="433"/>
      <c r="F28" s="433"/>
      <c r="G28" s="433"/>
      <c r="H28" s="64"/>
      <c r="I28" s="433"/>
      <c r="J28" s="433"/>
      <c r="K28" s="433"/>
      <c r="L28" s="433"/>
      <c r="M28" s="433"/>
      <c r="N28" s="64"/>
      <c r="O28" s="433"/>
      <c r="P28" s="433"/>
      <c r="Q28" s="433"/>
      <c r="R28" s="433"/>
      <c r="S28" s="433"/>
      <c r="T28" s="64"/>
      <c r="U28" s="433"/>
      <c r="V28" s="433"/>
      <c r="W28" s="433"/>
      <c r="X28" s="433"/>
      <c r="Y28" s="433"/>
      <c r="Z28" s="64"/>
      <c r="AA28" s="433"/>
      <c r="AB28" s="433"/>
      <c r="AC28" s="433"/>
      <c r="AD28" s="433"/>
      <c r="AE28" s="434"/>
      <c r="AF28" s="254"/>
      <c r="AG28" s="49"/>
      <c r="AH28" s="433"/>
      <c r="AI28" s="433"/>
      <c r="AJ28" s="49"/>
      <c r="AK28" s="49"/>
      <c r="AL28" s="254"/>
      <c r="AM28" s="49"/>
      <c r="AN28" s="49"/>
      <c r="AO28" s="433"/>
      <c r="AP28" s="49"/>
      <c r="AQ28" s="49"/>
      <c r="AR28" s="254"/>
      <c r="AS28" s="49"/>
      <c r="AT28" s="49"/>
      <c r="AU28" s="433"/>
      <c r="AV28" s="49"/>
      <c r="AW28" s="36"/>
      <c r="AX28" s="254"/>
      <c r="AY28" s="49"/>
      <c r="AZ28" s="49"/>
      <c r="BA28" s="36"/>
      <c r="BB28" s="36"/>
      <c r="BC28" s="36"/>
      <c r="BD28" s="254"/>
      <c r="BE28" s="49"/>
      <c r="BF28" s="49"/>
      <c r="BG28" s="36"/>
      <c r="BH28" s="36"/>
      <c r="BI28" s="36"/>
      <c r="BJ28" s="254"/>
      <c r="BK28" s="49"/>
      <c r="BL28" s="36"/>
      <c r="BM28" s="36"/>
      <c r="BN28" s="36"/>
      <c r="BO28" s="36"/>
      <c r="BP28" s="254"/>
      <c r="BQ28" s="49"/>
      <c r="BR28" s="36"/>
      <c r="BS28" s="36"/>
      <c r="BT28" s="36"/>
      <c r="BU28" s="36"/>
      <c r="BV28" s="254"/>
      <c r="BW28" s="36"/>
      <c r="BX28" s="36"/>
      <c r="BY28" s="36"/>
      <c r="BZ28" s="36"/>
      <c r="CA28" s="36"/>
      <c r="CB28" s="254"/>
      <c r="CC28" s="36"/>
      <c r="CD28" s="36"/>
      <c r="CE28" s="36"/>
      <c r="CF28" s="36"/>
      <c r="CG28" s="36"/>
      <c r="CH28" s="254"/>
      <c r="CI28" s="36"/>
      <c r="CJ28" s="36"/>
      <c r="CK28" s="36"/>
      <c r="CL28" s="36"/>
      <c r="CM28" s="36"/>
      <c r="CN28" s="254"/>
      <c r="CO28" s="36"/>
      <c r="CP28" s="36"/>
      <c r="CQ28" s="36"/>
      <c r="CR28" s="36"/>
      <c r="CS28" s="36"/>
      <c r="CT28" s="176"/>
      <c r="CX28" s="11"/>
      <c r="CY28" s="11"/>
    </row>
    <row r="29" spans="1:103" x14ac:dyDescent="0.2">
      <c r="A29" s="29" t="s">
        <v>174</v>
      </c>
      <c r="B29" s="241"/>
      <c r="C29" s="433"/>
      <c r="D29" s="433"/>
      <c r="E29" s="433"/>
      <c r="F29" s="433"/>
      <c r="G29" s="433"/>
      <c r="H29" s="435"/>
      <c r="I29" s="433"/>
      <c r="J29" s="433"/>
      <c r="K29" s="433"/>
      <c r="L29" s="433"/>
      <c r="M29" s="433"/>
      <c r="N29" s="435"/>
      <c r="O29" s="433"/>
      <c r="P29" s="433"/>
      <c r="Q29" s="433"/>
      <c r="R29" s="433"/>
      <c r="S29" s="433"/>
      <c r="T29" s="435"/>
      <c r="U29" s="433"/>
      <c r="V29" s="433"/>
      <c r="W29" s="433"/>
      <c r="X29" s="433"/>
      <c r="Y29" s="433"/>
      <c r="Z29" s="435"/>
      <c r="AA29" s="433"/>
      <c r="AB29" s="433"/>
      <c r="AC29" s="433"/>
      <c r="AD29" s="433"/>
      <c r="AE29" s="434"/>
      <c r="AF29" s="436"/>
      <c r="AG29" s="49"/>
      <c r="AH29" s="433"/>
      <c r="AI29" s="433"/>
      <c r="AJ29" s="49"/>
      <c r="AK29" s="49"/>
      <c r="AL29" s="436"/>
      <c r="AM29" s="49"/>
      <c r="AN29" s="49"/>
      <c r="AO29" s="433"/>
      <c r="AP29" s="49"/>
      <c r="AQ29" s="49"/>
      <c r="AR29" s="436"/>
      <c r="AS29" s="49"/>
      <c r="AT29" s="49"/>
      <c r="AU29" s="433"/>
      <c r="AV29" s="49"/>
      <c r="AW29" s="36"/>
      <c r="AX29" s="320"/>
      <c r="AY29" s="49"/>
      <c r="AZ29" s="49"/>
      <c r="BA29" s="36"/>
      <c r="BB29" s="36"/>
      <c r="BC29" s="36"/>
      <c r="BD29" s="320"/>
      <c r="BE29" s="49"/>
      <c r="BF29" s="49"/>
      <c r="BG29" s="36"/>
      <c r="BH29" s="36"/>
      <c r="BI29" s="36"/>
      <c r="BJ29" s="320"/>
      <c r="BK29" s="49"/>
      <c r="BL29" s="36"/>
      <c r="BM29" s="36"/>
      <c r="BN29" s="36"/>
      <c r="BO29" s="36"/>
      <c r="BP29" s="320"/>
      <c r="BQ29" s="49"/>
      <c r="BR29" s="36"/>
      <c r="BS29" s="36"/>
      <c r="BT29" s="36"/>
      <c r="BU29" s="36"/>
      <c r="BV29" s="320"/>
      <c r="BW29" s="36"/>
      <c r="BX29" s="36"/>
      <c r="BY29" s="36"/>
      <c r="BZ29" s="36"/>
      <c r="CA29" s="36"/>
      <c r="CB29" s="320"/>
      <c r="CC29" s="36"/>
      <c r="CD29" s="36"/>
      <c r="CE29" s="36"/>
      <c r="CF29" s="36"/>
      <c r="CG29" s="36"/>
      <c r="CH29" s="320"/>
      <c r="CI29" s="36"/>
      <c r="CJ29" s="36"/>
      <c r="CK29" s="36"/>
      <c r="CL29" s="36"/>
      <c r="CM29" s="36"/>
      <c r="CN29" s="320"/>
      <c r="CO29" s="36"/>
      <c r="CP29" s="36"/>
      <c r="CQ29" s="36"/>
      <c r="CR29" s="36"/>
      <c r="CS29" s="36"/>
      <c r="CT29" s="176"/>
      <c r="CX29" s="11"/>
      <c r="CY29" s="11"/>
    </row>
    <row r="30" spans="1:103" x14ac:dyDescent="0.2">
      <c r="A30" s="1" t="s">
        <v>323</v>
      </c>
      <c r="B30" s="241"/>
      <c r="C30" s="429">
        <v>-2.48</v>
      </c>
      <c r="D30" s="430">
        <f>-7.265-C30</f>
        <v>-4.7850000000000001</v>
      </c>
      <c r="E30" s="430">
        <f>-8.658-D30-C30</f>
        <v>-1.3929999999999993</v>
      </c>
      <c r="F30" s="430">
        <f>-11.4-E30-D30-C30</f>
        <v>-2.7420000000000013</v>
      </c>
      <c r="G30" s="183">
        <f>SUM(C30:F30)</f>
        <v>-11.4</v>
      </c>
      <c r="H30" s="432"/>
      <c r="I30" s="429">
        <v>-3.282</v>
      </c>
      <c r="J30" s="430">
        <f>-8.156-I30</f>
        <v>-4.8740000000000006</v>
      </c>
      <c r="K30" s="430">
        <f>-9.669-J30-I30</f>
        <v>-1.5129999999999999</v>
      </c>
      <c r="L30" s="430">
        <f>-13.675-K30-J30-I30</f>
        <v>-4.0060000000000002</v>
      </c>
      <c r="M30" s="183">
        <f>SUM(I30:L30)</f>
        <v>-13.675000000000001</v>
      </c>
      <c r="N30" s="432"/>
      <c r="O30" s="429">
        <v>-0.95299999999999996</v>
      </c>
      <c r="P30" s="430">
        <f>-3.509-O30</f>
        <v>-2.556</v>
      </c>
      <c r="Q30" s="430">
        <f>-5.35-P30-O30</f>
        <v>-1.8409999999999997</v>
      </c>
      <c r="R30" s="430">
        <f>-7.525-Q30-P30-O30</f>
        <v>-2.1750000000000012</v>
      </c>
      <c r="S30" s="183">
        <f>SUM(O30:R30)</f>
        <v>-7.5250000000000004</v>
      </c>
      <c r="T30" s="432"/>
      <c r="U30" s="429">
        <v>-1.577</v>
      </c>
      <c r="V30" s="430">
        <f>-5.92-U30</f>
        <v>-4.343</v>
      </c>
      <c r="W30" s="430">
        <f>-7.068-V30-U30</f>
        <v>-1.1479999999999997</v>
      </c>
      <c r="X30" s="430">
        <f>-7.895-W30-V30-U30</f>
        <v>-0.82699999999999996</v>
      </c>
      <c r="Y30" s="183">
        <f>SUM(U30:X30)</f>
        <v>-7.8949999999999996</v>
      </c>
      <c r="Z30" s="432"/>
      <c r="AA30" s="429">
        <v>-1.9590000000000001</v>
      </c>
      <c r="AB30" s="430">
        <f>-3.024-AA30</f>
        <v>-1.0649999999999999</v>
      </c>
      <c r="AC30" s="430">
        <f>-3.182-AB30-AA30</f>
        <v>-0.15799999999999992</v>
      </c>
      <c r="AD30" s="430">
        <f>-3.792-AC30-AB30-AA30</f>
        <v>-0.60999999999999988</v>
      </c>
      <c r="AE30" s="183">
        <f>SUM(AA30:AD30)</f>
        <v>-3.7919999999999998</v>
      </c>
      <c r="AF30" s="431"/>
      <c r="AG30" s="429">
        <v>-2.109</v>
      </c>
      <c r="AH30" s="430">
        <f>-5.216-AG30</f>
        <v>-3.1070000000000002</v>
      </c>
      <c r="AI30" s="430">
        <f>-7.216-AH30-AG30</f>
        <v>-2</v>
      </c>
      <c r="AJ30" s="430">
        <f>-9.408-AI30-AH30-AG30</f>
        <v>-2.1919999999999993</v>
      </c>
      <c r="AK30" s="183">
        <f>SUM(AG30:AJ30)</f>
        <v>-9.4079999999999995</v>
      </c>
      <c r="AL30" s="431"/>
      <c r="AM30" s="429">
        <v>-2.4609999999999999</v>
      </c>
      <c r="AN30" s="429">
        <f>-7.008-AM30</f>
        <v>-4.5470000000000006</v>
      </c>
      <c r="AO30" s="430">
        <f>-8.582-AN30-AM30</f>
        <v>-1.5740000000000003</v>
      </c>
      <c r="AP30" s="430">
        <f>-11.373-AO30-AN30-AM30</f>
        <v>-2.790999999999999</v>
      </c>
      <c r="AQ30" s="183">
        <f>SUM(AM30:AP30)</f>
        <v>-11.372999999999999</v>
      </c>
      <c r="AR30" s="431"/>
      <c r="AS30" s="429">
        <v>-5.2649999999999997</v>
      </c>
      <c r="AT30" s="429">
        <f>-8.098-AS30</f>
        <v>-2.8330000000000011</v>
      </c>
      <c r="AU30" s="430">
        <f>-9.653-AT30-AS30</f>
        <v>-1.5549999999999997</v>
      </c>
      <c r="AV30" s="430">
        <f>-14.271-AU30-AT30-AS30</f>
        <v>-4.6179999999999994</v>
      </c>
      <c r="AW30" s="183">
        <f>SUM(AS30:AV30)</f>
        <v>-14.271000000000001</v>
      </c>
      <c r="AX30" s="241"/>
      <c r="AY30" s="429">
        <v>-11.502000000000001</v>
      </c>
      <c r="AZ30" s="429">
        <f>-17.448-AY30</f>
        <v>-5.9459999999999997</v>
      </c>
      <c r="BA30" s="429">
        <f>-21.905-AZ30-AY30</f>
        <v>-4.4570000000000007</v>
      </c>
      <c r="BB30" s="429">
        <f>-23.9-SUM(AY30:BA30)</f>
        <v>-1.9949999999999974</v>
      </c>
      <c r="BC30" s="183">
        <f>SUM(AY30:BB30)</f>
        <v>-23.9</v>
      </c>
      <c r="BD30" s="241"/>
      <c r="BE30" s="429">
        <v>-1</v>
      </c>
      <c r="BF30" s="429">
        <f>-2.1-BE30</f>
        <v>-1.1000000000000001</v>
      </c>
      <c r="BG30" s="429">
        <f>-2.8-SUM(BE30:BF30)</f>
        <v>-0.69999999999999973</v>
      </c>
      <c r="BH30" s="429">
        <f>-5-SUM(BE30:BG30)</f>
        <v>-2.2000000000000002</v>
      </c>
      <c r="BI30" s="183">
        <f>SUM(BE30:BH30)</f>
        <v>-5</v>
      </c>
      <c r="BJ30" s="241"/>
      <c r="BK30" s="429">
        <v>-1.5</v>
      </c>
      <c r="BL30" s="429">
        <f>-3.9-BK30</f>
        <v>-2.4</v>
      </c>
      <c r="BM30" s="429">
        <f>-5.4-SUM(BK30:BL30)</f>
        <v>-1.5000000000000004</v>
      </c>
      <c r="BN30" s="429">
        <f>-6.1-SUM(BK30:BM30)</f>
        <v>-0.69999999999999929</v>
      </c>
      <c r="BO30" s="183">
        <f>SUM(BK30:BN30)</f>
        <v>-6.1</v>
      </c>
      <c r="BP30" s="241"/>
      <c r="BQ30" s="429">
        <v>-1.6</v>
      </c>
      <c r="BR30" s="429">
        <f>-3.7-BQ30</f>
        <v>-2.1</v>
      </c>
      <c r="BS30" s="36">
        <f>-'Bal Sht'!BS107</f>
        <v>-4.7464722992449939</v>
      </c>
      <c r="BT30" s="36">
        <f>-'Bal Sht'!BT107</f>
        <v>-4.9298769040920272</v>
      </c>
      <c r="BU30" s="183">
        <f>SUM(BQ30:BT30)</f>
        <v>-13.376349203337021</v>
      </c>
      <c r="BV30" s="241"/>
      <c r="BW30" s="36">
        <f>-'Bal Sht'!BW107</f>
        <v>-3.8082931540547151</v>
      </c>
      <c r="BX30" s="36">
        <f>-'Bal Sht'!BX107</f>
        <v>-3.9962142794577176</v>
      </c>
      <c r="BY30" s="36">
        <f>-'Bal Sht'!BY107</f>
        <v>-3.9757474881523853</v>
      </c>
      <c r="BZ30" s="36">
        <f>-'Bal Sht'!BZ107</f>
        <v>-4.1725857663650672</v>
      </c>
      <c r="CA30" s="183">
        <f>SUM(BW30:BZ30)</f>
        <v>-15.952840688029884</v>
      </c>
      <c r="CB30" s="241"/>
      <c r="CC30" s="36">
        <f>-'Bal Sht'!CC107</f>
        <v>-3.9902834131819147</v>
      </c>
      <c r="CD30" s="36">
        <f>-'Bal Sht'!CD107</f>
        <v>-4.2331078843871772</v>
      </c>
      <c r="CE30" s="36">
        <f>-'Bal Sht'!CE107</f>
        <v>-4.2141621921171737</v>
      </c>
      <c r="CF30" s="36">
        <f>-'Bal Sht'!CF107</f>
        <v>-4.4414115926748119</v>
      </c>
      <c r="CG30" s="183">
        <f>SUM(CC30:CF30)</f>
        <v>-16.878965082361077</v>
      </c>
      <c r="CH30" s="241"/>
      <c r="CI30" s="36">
        <f>-'Bal Sht'!CI107</f>
        <v>-4.2779850704108808</v>
      </c>
      <c r="CJ30" s="36">
        <f>-'Bal Sht'!CJ107</f>
        <v>-4.553559731717395</v>
      </c>
      <c r="CK30" s="36">
        <f>-'Bal Sht'!CK107</f>
        <v>-4.509259438251858</v>
      </c>
      <c r="CL30" s="36">
        <f>-'Bal Sht'!CL107</f>
        <v>-4.7519849714214262</v>
      </c>
      <c r="CM30" s="183">
        <f>SUM(CI30:CL30)</f>
        <v>-18.092789211801559</v>
      </c>
      <c r="CN30" s="241"/>
      <c r="CO30" s="36">
        <f>-'Bal Sht'!CO107</f>
        <v>-4.5854683200283386</v>
      </c>
      <c r="CP30" s="36">
        <f>-'Bal Sht'!CP107</f>
        <v>-4.919554643953175</v>
      </c>
      <c r="CQ30" s="36">
        <f>-'Bal Sht'!CQ107</f>
        <v>-4.821324598539209</v>
      </c>
      <c r="CR30" s="36">
        <f>-'Bal Sht'!CR107</f>
        <v>-5.1072072272884519</v>
      </c>
      <c r="CS30" s="183">
        <f>SUM(CO30:CR30)</f>
        <v>-19.433554789809175</v>
      </c>
      <c r="CT30" s="176"/>
      <c r="CX30" s="79"/>
      <c r="CY30" s="79"/>
    </row>
    <row r="31" spans="1:103" x14ac:dyDescent="0.2">
      <c r="A31" s="1" t="s">
        <v>158</v>
      </c>
      <c r="B31" s="253"/>
      <c r="C31" s="429">
        <v>0</v>
      </c>
      <c r="D31" s="430">
        <f>0-C31</f>
        <v>0</v>
      </c>
      <c r="E31" s="430">
        <f>0-D31-C31</f>
        <v>0</v>
      </c>
      <c r="F31" s="430">
        <f>0-E31-D31-C31</f>
        <v>0</v>
      </c>
      <c r="G31" s="183">
        <f>SUM(C31:F31)</f>
        <v>0</v>
      </c>
      <c r="H31" s="432"/>
      <c r="I31" s="429">
        <v>0</v>
      </c>
      <c r="J31" s="430">
        <f>0-I31</f>
        <v>0</v>
      </c>
      <c r="K31" s="430">
        <f>0-J31-I31</f>
        <v>0</v>
      </c>
      <c r="L31" s="430">
        <f>0-K31-J31-I31</f>
        <v>0</v>
      </c>
      <c r="M31" s="183">
        <f>SUM(I31:L31)</f>
        <v>0</v>
      </c>
      <c r="N31" s="432"/>
      <c r="O31" s="429">
        <v>0</v>
      </c>
      <c r="P31" s="430">
        <f>0-O31</f>
        <v>0</v>
      </c>
      <c r="Q31" s="430">
        <f>0-P31-O31</f>
        <v>0</v>
      </c>
      <c r="R31" s="430">
        <f>0-Q31-P31-O31</f>
        <v>0</v>
      </c>
      <c r="S31" s="183">
        <f>SUM(O31:R31)</f>
        <v>0</v>
      </c>
      <c r="T31" s="432"/>
      <c r="U31" s="429">
        <v>0</v>
      </c>
      <c r="V31" s="430">
        <f>0-U31</f>
        <v>0</v>
      </c>
      <c r="W31" s="430">
        <f>0-V31-U31</f>
        <v>0</v>
      </c>
      <c r="X31" s="430">
        <f>0-W31-V31-U31</f>
        <v>0</v>
      </c>
      <c r="Y31" s="183">
        <f>SUM(U31:X31)</f>
        <v>0</v>
      </c>
      <c r="Z31" s="432"/>
      <c r="AA31" s="429">
        <v>0</v>
      </c>
      <c r="AB31" s="430">
        <f>0-AA31</f>
        <v>0</v>
      </c>
      <c r="AC31" s="430">
        <f>0-AB31-AA31</f>
        <v>0</v>
      </c>
      <c r="AD31" s="430">
        <f>-79.417-AC31-AB31-AA31</f>
        <v>-79.417000000000002</v>
      </c>
      <c r="AE31" s="183">
        <f>SUM(AA31:AD31)</f>
        <v>-79.417000000000002</v>
      </c>
      <c r="AF31" s="431"/>
      <c r="AG31" s="429">
        <v>-0.79900000000000004</v>
      </c>
      <c r="AH31" s="430">
        <f>-0.799-AG31</f>
        <v>0</v>
      </c>
      <c r="AI31" s="430">
        <f>-0.799-AH31-AG31</f>
        <v>0</v>
      </c>
      <c r="AJ31" s="430">
        <f>-0.799-AI31-AH31-AG31</f>
        <v>0</v>
      </c>
      <c r="AK31" s="183">
        <f>SUM(AG31:AJ31)</f>
        <v>-0.79900000000000004</v>
      </c>
      <c r="AL31" s="431"/>
      <c r="AM31" s="429">
        <v>0</v>
      </c>
      <c r="AN31" s="429">
        <f>0-AM31</f>
        <v>0</v>
      </c>
      <c r="AO31" s="430">
        <f>0-AN31-AM31</f>
        <v>0</v>
      </c>
      <c r="AP31" s="430">
        <f>0-AO31-AN31-AM31</f>
        <v>0</v>
      </c>
      <c r="AQ31" s="183">
        <f>SUM(AM31:AP31)</f>
        <v>0</v>
      </c>
      <c r="AR31" s="431"/>
      <c r="AS31" s="429">
        <v>0</v>
      </c>
      <c r="AT31" s="429">
        <f>0-AS31</f>
        <v>0</v>
      </c>
      <c r="AU31" s="549">
        <f>-223.531-AT31-AS31</f>
        <v>-223.53100000000001</v>
      </c>
      <c r="AV31" s="430">
        <f>-223.531-AU31-AT31-AS31</f>
        <v>0</v>
      </c>
      <c r="AW31" s="79">
        <f>SUM(AS31:AV31)</f>
        <v>-223.53100000000001</v>
      </c>
      <c r="AX31" s="241"/>
      <c r="AY31" s="429">
        <v>0</v>
      </c>
      <c r="AZ31" s="429">
        <f>0-AY31</f>
        <v>0</v>
      </c>
      <c r="BA31" s="429">
        <f>-20.115-AZ31-AY31</f>
        <v>-20.114999999999998</v>
      </c>
      <c r="BB31" s="429">
        <f>-20.1-SUM(AY31:BA31)</f>
        <v>1.4999999999997016E-2</v>
      </c>
      <c r="BC31" s="183">
        <f>SUM(AY31:BB31)</f>
        <v>-20.100000000000001</v>
      </c>
      <c r="BD31" s="241"/>
      <c r="BE31" s="429">
        <v>0</v>
      </c>
      <c r="BF31" s="429">
        <f>0-BE31</f>
        <v>0</v>
      </c>
      <c r="BG31" s="429">
        <f>0-SUM(BE31:BF31)</f>
        <v>0</v>
      </c>
      <c r="BH31" s="429">
        <f>-37-SUM(BE31:BG31)</f>
        <v>-37</v>
      </c>
      <c r="BI31" s="183">
        <f>SUM(BE31:BH31)</f>
        <v>-37</v>
      </c>
      <c r="BJ31" s="241"/>
      <c r="BK31" s="429">
        <v>-213</v>
      </c>
      <c r="BL31" s="429">
        <f>-216.1-BK31</f>
        <v>-3.0999999999999943</v>
      </c>
      <c r="BM31" s="429">
        <f>-216.1-SUM(BK31:BL31)</f>
        <v>0</v>
      </c>
      <c r="BN31" s="429">
        <f>-216.1-SUM(BK31:BM31)</f>
        <v>0</v>
      </c>
      <c r="BO31" s="183">
        <f>SUM(BK31:BN31)</f>
        <v>-216.1</v>
      </c>
      <c r="BP31" s="241"/>
      <c r="BQ31" s="429">
        <v>0</v>
      </c>
      <c r="BR31" s="429">
        <f>0-BQ31</f>
        <v>0</v>
      </c>
      <c r="BS31" s="355">
        <v>0</v>
      </c>
      <c r="BT31" s="355">
        <v>0</v>
      </c>
      <c r="BU31" s="183">
        <f>SUM(BQ31:BT31)</f>
        <v>0</v>
      </c>
      <c r="BV31" s="241"/>
      <c r="BW31" s="355">
        <v>0</v>
      </c>
      <c r="BX31" s="355">
        <v>0</v>
      </c>
      <c r="BY31" s="355">
        <v>0</v>
      </c>
      <c r="BZ31" s="355">
        <f>+BY31</f>
        <v>0</v>
      </c>
      <c r="CA31" s="183">
        <f>SUM(BW31:BZ31)</f>
        <v>0</v>
      </c>
      <c r="CB31" s="241"/>
      <c r="CC31" s="355">
        <v>0</v>
      </c>
      <c r="CD31" s="355">
        <v>0</v>
      </c>
      <c r="CE31" s="355">
        <v>0</v>
      </c>
      <c r="CF31" s="355">
        <f>+CE31</f>
        <v>0</v>
      </c>
      <c r="CG31" s="183">
        <f>SUM(CC31:CF31)</f>
        <v>0</v>
      </c>
      <c r="CH31" s="241"/>
      <c r="CI31" s="355">
        <v>0</v>
      </c>
      <c r="CJ31" s="355">
        <v>0</v>
      </c>
      <c r="CK31" s="355">
        <v>0</v>
      </c>
      <c r="CL31" s="355">
        <f>+CK31</f>
        <v>0</v>
      </c>
      <c r="CM31" s="183">
        <f>SUM(CI31:CL31)</f>
        <v>0</v>
      </c>
      <c r="CN31" s="241"/>
      <c r="CO31" s="355">
        <v>0</v>
      </c>
      <c r="CP31" s="355">
        <v>0</v>
      </c>
      <c r="CQ31" s="355">
        <v>0</v>
      </c>
      <c r="CR31" s="355">
        <f>+CQ31</f>
        <v>0</v>
      </c>
      <c r="CS31" s="183">
        <f>SUM(CO31:CR31)</f>
        <v>0</v>
      </c>
      <c r="CT31" s="176"/>
      <c r="CX31" s="79"/>
      <c r="CY31" s="79"/>
    </row>
    <row r="32" spans="1:103" x14ac:dyDescent="0.2">
      <c r="A32" s="1" t="s">
        <v>369</v>
      </c>
      <c r="B32" s="184"/>
      <c r="C32" s="429">
        <v>-28.285</v>
      </c>
      <c r="D32" s="430">
        <f>-42.838-C32</f>
        <v>-14.553000000000001</v>
      </c>
      <c r="E32" s="430">
        <f>-90.698-D32-C32</f>
        <v>-47.86</v>
      </c>
      <c r="F32" s="430">
        <f>-197.841-E32-D32-C32</f>
        <v>-107.143</v>
      </c>
      <c r="G32" s="183">
        <f>SUM(C32:F32)</f>
        <v>-197.84100000000001</v>
      </c>
      <c r="H32" s="432"/>
      <c r="I32" s="429">
        <v>-80.825999999999993</v>
      </c>
      <c r="J32" s="430">
        <f>-126.573-I32</f>
        <v>-45.747</v>
      </c>
      <c r="K32" s="430">
        <f>-158.28-J32-I32</f>
        <v>-31.707000000000008</v>
      </c>
      <c r="L32" s="430">
        <f>-191.701-K32-J32-I32</f>
        <v>-33.420999999999978</v>
      </c>
      <c r="M32" s="183">
        <f>SUM(I32:L32)</f>
        <v>-191.70099999999996</v>
      </c>
      <c r="N32" s="432"/>
      <c r="O32" s="429">
        <v>-63.055999999999997</v>
      </c>
      <c r="P32" s="430">
        <f>-185.905-O32</f>
        <v>-122.849</v>
      </c>
      <c r="Q32" s="430">
        <f>-216.667-P32-O32</f>
        <v>-30.762</v>
      </c>
      <c r="R32" s="430">
        <f>-308.566-Q32-P32-O32</f>
        <v>-91.898999999999987</v>
      </c>
      <c r="S32" s="183">
        <f>SUM(O32:R32)</f>
        <v>-308.56599999999997</v>
      </c>
      <c r="T32" s="432"/>
      <c r="U32" s="429">
        <v>-55.167999999999999</v>
      </c>
      <c r="V32" s="430">
        <f>-220.209-U32</f>
        <v>-165.041</v>
      </c>
      <c r="W32" s="430">
        <f>-331.041-V32-U32</f>
        <v>-110.83199999999999</v>
      </c>
      <c r="X32" s="430">
        <f>-477.558-W32-V32-U32</f>
        <v>-146.517</v>
      </c>
      <c r="Y32" s="183">
        <f>SUM(U32:X32)</f>
        <v>-477.55799999999999</v>
      </c>
      <c r="Z32" s="432"/>
      <c r="AA32" s="429">
        <v>-47.518999999999998</v>
      </c>
      <c r="AB32" s="430">
        <f>-228.575-AA32</f>
        <v>-181.05599999999998</v>
      </c>
      <c r="AC32" s="430">
        <f>-338.963-AB32-AA32</f>
        <v>-110.38800000000003</v>
      </c>
      <c r="AD32" s="430">
        <f>-425.153-AC32-AB32-AA32</f>
        <v>-86.19</v>
      </c>
      <c r="AE32" s="183">
        <f>SUM(AA32:AD32)</f>
        <v>-425.15300000000002</v>
      </c>
      <c r="AF32" s="431"/>
      <c r="AG32" s="429">
        <v>-41.281999999999996</v>
      </c>
      <c r="AH32" s="430">
        <f>-159.858-AG32</f>
        <v>-118.57600000000001</v>
      </c>
      <c r="AI32" s="430">
        <f>-290.854-AH32-AG32</f>
        <v>-130.99599999999998</v>
      </c>
      <c r="AJ32" s="430">
        <f>-388.067-AI32-AH32-AG32</f>
        <v>-97.213000000000008</v>
      </c>
      <c r="AK32" s="183">
        <f>SUM(AG32:AJ32)</f>
        <v>-388.06700000000001</v>
      </c>
      <c r="AL32" s="431"/>
      <c r="AM32" s="429">
        <v>-126.90300000000001</v>
      </c>
      <c r="AN32" s="429">
        <f>-239.264-AM32</f>
        <v>-112.361</v>
      </c>
      <c r="AO32" s="430">
        <f>-281.774-AN32-AM32</f>
        <v>-42.510000000000005</v>
      </c>
      <c r="AP32" s="430">
        <f>-443.777-AO32-AN32-AM32</f>
        <v>-162.00299999999999</v>
      </c>
      <c r="AQ32" s="183">
        <f>SUM(AM32:AP32)</f>
        <v>-443.77699999999999</v>
      </c>
      <c r="AR32" s="431"/>
      <c r="AS32" s="429">
        <v>-60.142000000000003</v>
      </c>
      <c r="AT32" s="429">
        <f>-102.661-AS32</f>
        <v>-42.518999999999998</v>
      </c>
      <c r="AU32" s="430">
        <f>-105.451-AT32-AS32</f>
        <v>-2.789999999999992</v>
      </c>
      <c r="AV32" s="430">
        <f>-161.764-AU32-AT32-AS32</f>
        <v>-56.313000000000009</v>
      </c>
      <c r="AW32" s="183">
        <f>SUM(AS32:AV32)</f>
        <v>-161.76400000000001</v>
      </c>
      <c r="AX32" s="241"/>
      <c r="AY32" s="429">
        <f>-5.869</f>
        <v>-5.8689999999999998</v>
      </c>
      <c r="AZ32" s="429">
        <f>-22.623-AY32</f>
        <v>-16.754000000000001</v>
      </c>
      <c r="BA32" s="429">
        <f>-55.069-AZ32-AY32</f>
        <v>-32.445999999999998</v>
      </c>
      <c r="BB32" s="429">
        <f>-80.7-SUM(AY32:BA32)</f>
        <v>-25.631</v>
      </c>
      <c r="BC32" s="183">
        <f>SUM(AY32:BB32)</f>
        <v>-80.7</v>
      </c>
      <c r="BD32" s="241"/>
      <c r="BE32" s="429">
        <v>0</v>
      </c>
      <c r="BF32" s="429">
        <f>0-BE32</f>
        <v>0</v>
      </c>
      <c r="BG32" s="429">
        <f>0-SUM(BE32:BF32)</f>
        <v>0</v>
      </c>
      <c r="BH32" s="429">
        <f>0-SUM(BE32:BG32)</f>
        <v>0</v>
      </c>
      <c r="BI32" s="183">
        <f>SUM(BE32:BH32)</f>
        <v>0</v>
      </c>
      <c r="BJ32" s="241"/>
      <c r="BK32" s="429">
        <v>0</v>
      </c>
      <c r="BL32" s="429">
        <f>0-BK32</f>
        <v>0</v>
      </c>
      <c r="BM32" s="429">
        <f t="shared" ref="BM32" si="36">0-SUM(BK32:BL32)</f>
        <v>0</v>
      </c>
      <c r="BN32" s="429">
        <f t="shared" ref="BN32" si="37">0-SUM(BK32:BM32)</f>
        <v>0</v>
      </c>
      <c r="BO32" s="183">
        <f>SUM(BK32:BN32)</f>
        <v>0</v>
      </c>
      <c r="BP32" s="241"/>
      <c r="BQ32" s="429">
        <v>0</v>
      </c>
      <c r="BR32" s="429">
        <f>0-BQ32</f>
        <v>0</v>
      </c>
      <c r="BS32" s="355">
        <v>0</v>
      </c>
      <c r="BT32" s="355">
        <v>0</v>
      </c>
      <c r="BU32" s="183">
        <f>SUM(BQ32:BT32)</f>
        <v>0</v>
      </c>
      <c r="BV32" s="241"/>
      <c r="BW32" s="355">
        <v>0</v>
      </c>
      <c r="BX32" s="355">
        <v>0</v>
      </c>
      <c r="BY32" s="355">
        <v>0</v>
      </c>
      <c r="BZ32" s="355">
        <v>0</v>
      </c>
      <c r="CA32" s="183">
        <f>SUM(BW32:BZ32)</f>
        <v>0</v>
      </c>
      <c r="CB32" s="241"/>
      <c r="CC32" s="355">
        <v>0</v>
      </c>
      <c r="CD32" s="355">
        <v>0</v>
      </c>
      <c r="CE32" s="355">
        <v>0</v>
      </c>
      <c r="CF32" s="355">
        <v>0</v>
      </c>
      <c r="CG32" s="183">
        <f>SUM(CC32:CF32)</f>
        <v>0</v>
      </c>
      <c r="CH32" s="241"/>
      <c r="CI32" s="355">
        <v>0</v>
      </c>
      <c r="CJ32" s="355">
        <v>0</v>
      </c>
      <c r="CK32" s="355">
        <v>0</v>
      </c>
      <c r="CL32" s="355">
        <v>0</v>
      </c>
      <c r="CM32" s="183">
        <f>SUM(CI32:CL32)</f>
        <v>0</v>
      </c>
      <c r="CN32" s="241"/>
      <c r="CO32" s="355">
        <v>0</v>
      </c>
      <c r="CP32" s="355">
        <v>0</v>
      </c>
      <c r="CQ32" s="355">
        <v>0</v>
      </c>
      <c r="CR32" s="355">
        <v>0</v>
      </c>
      <c r="CS32" s="183">
        <f>SUM(CO32:CR32)</f>
        <v>0</v>
      </c>
      <c r="CT32" s="176"/>
      <c r="CX32" s="183"/>
      <c r="CY32" s="183"/>
    </row>
    <row r="33" spans="1:122" x14ac:dyDescent="0.2">
      <c r="A33" s="75" t="s">
        <v>370</v>
      </c>
      <c r="B33" s="253"/>
      <c r="C33" s="429">
        <v>34.311</v>
      </c>
      <c r="D33" s="430">
        <f>54.831-C33</f>
        <v>20.520000000000003</v>
      </c>
      <c r="E33" s="430">
        <f>111.006-D33-C33</f>
        <v>56.17499999999999</v>
      </c>
      <c r="F33" s="430">
        <f>162.48-E33-D33-C33</f>
        <v>51.473999999999997</v>
      </c>
      <c r="G33" s="183">
        <f>SUM(C33:F33)</f>
        <v>162.47999999999999</v>
      </c>
      <c r="H33" s="64"/>
      <c r="I33" s="429">
        <v>54.093000000000004</v>
      </c>
      <c r="J33" s="430">
        <f>103.489-I33</f>
        <v>49.396000000000001</v>
      </c>
      <c r="K33" s="430">
        <f>156.726-J33-I33</f>
        <v>53.236999999999995</v>
      </c>
      <c r="L33" s="430">
        <f>174.42-K33-J33-I33</f>
        <v>17.693999999999988</v>
      </c>
      <c r="M33" s="183">
        <f>SUM(I33:L33)</f>
        <v>174.42</v>
      </c>
      <c r="N33" s="64"/>
      <c r="O33" s="429">
        <v>24.623999999999999</v>
      </c>
      <c r="P33" s="430">
        <f>48.987-O33</f>
        <v>24.363000000000003</v>
      </c>
      <c r="Q33" s="430">
        <f>63.739-P33-O33</f>
        <v>14.751999999999992</v>
      </c>
      <c r="R33" s="430">
        <f>111.849-Q33-P33-O33</f>
        <v>48.110000000000014</v>
      </c>
      <c r="S33" s="183">
        <f>SUM(O33:R33)</f>
        <v>111.849</v>
      </c>
      <c r="T33" s="64"/>
      <c r="U33" s="429">
        <v>58.057000000000002</v>
      </c>
      <c r="V33" s="430">
        <f>151.019-U33</f>
        <v>92.962000000000003</v>
      </c>
      <c r="W33" s="430">
        <f>249.27-V33-U33</f>
        <v>98.250999999999991</v>
      </c>
      <c r="X33" s="430">
        <f>408.585-W33-V33-U33</f>
        <v>159.315</v>
      </c>
      <c r="Y33" s="183">
        <f>SUM(U33:X33)</f>
        <v>408.58499999999998</v>
      </c>
      <c r="Z33" s="64"/>
      <c r="AA33" s="429">
        <v>66.150999999999996</v>
      </c>
      <c r="AB33" s="430">
        <f>197.267-AA33</f>
        <v>131.11599999999999</v>
      </c>
      <c r="AC33" s="430">
        <f>350.293-AB33-AA33</f>
        <v>153.02600000000001</v>
      </c>
      <c r="AD33" s="430">
        <f>456.072-AC33-AB33-AA33</f>
        <v>105.77900000000001</v>
      </c>
      <c r="AE33" s="183">
        <f>SUM(AA33:AD33)</f>
        <v>456.072</v>
      </c>
      <c r="AF33" s="254"/>
      <c r="AG33" s="429">
        <v>66.658000000000001</v>
      </c>
      <c r="AH33" s="430">
        <f>204.826-AG33</f>
        <v>138.16800000000001</v>
      </c>
      <c r="AI33" s="430">
        <f>294.005-AH33-AG33</f>
        <v>89.178999999999988</v>
      </c>
      <c r="AJ33" s="430">
        <f>385.236-AI33-AH33-AG33</f>
        <v>91.231000000000009</v>
      </c>
      <c r="AK33" s="183">
        <f>SUM(AG33:AJ33)</f>
        <v>385.23599999999999</v>
      </c>
      <c r="AL33" s="254"/>
      <c r="AM33" s="429">
        <v>124.35899999999999</v>
      </c>
      <c r="AN33" s="429">
        <f>207.23-AM33</f>
        <v>82.870999999999995</v>
      </c>
      <c r="AO33" s="430">
        <f>299.395-AN33-AM33</f>
        <v>92.165000000000006</v>
      </c>
      <c r="AP33" s="430">
        <f>384.56-AO33-AN33-AM33</f>
        <v>85.165000000000006</v>
      </c>
      <c r="AQ33" s="183">
        <f>SUM(AM33:AP33)</f>
        <v>384.56</v>
      </c>
      <c r="AR33" s="254"/>
      <c r="AS33" s="429">
        <v>57.35</v>
      </c>
      <c r="AT33" s="429">
        <f>113.424-AS33</f>
        <v>56.074000000000005</v>
      </c>
      <c r="AU33" s="430">
        <f>340.829-AT33-AS33</f>
        <v>227.405</v>
      </c>
      <c r="AV33" s="430">
        <f>381.899-AU33-AT33-AS33</f>
        <v>41.069999999999986</v>
      </c>
      <c r="AW33" s="183">
        <f>SUM(AS33:AV33)</f>
        <v>381.899</v>
      </c>
      <c r="AX33" s="254"/>
      <c r="AY33" s="429">
        <v>67.620999999999995</v>
      </c>
      <c r="AZ33" s="429">
        <f>80.502-AY33</f>
        <v>12.881</v>
      </c>
      <c r="BA33" s="429">
        <f>140.802-AZ33-AY33</f>
        <v>60.3</v>
      </c>
      <c r="BB33" s="429">
        <f>165.6-SUM(AY33:BA33)</f>
        <v>24.798000000000002</v>
      </c>
      <c r="BC33" s="183">
        <f>SUM(AY33:BB33)</f>
        <v>165.6</v>
      </c>
      <c r="BD33" s="254"/>
      <c r="BE33" s="429">
        <f>-21.8+31.8</f>
        <v>10</v>
      </c>
      <c r="BF33" s="429">
        <f>71.3-100.7-BE33</f>
        <v>-39.400000000000006</v>
      </c>
      <c r="BG33" s="429">
        <f>86.6-131.4-SUM(BE33:BF33)</f>
        <v>-15.400000000000006</v>
      </c>
      <c r="BH33" s="429">
        <f>115.1-164.5-SUM(BE33:BG33)</f>
        <v>-4.5999999999999943</v>
      </c>
      <c r="BI33" s="183">
        <f>SUM(BE33:BH33)</f>
        <v>-49.400000000000006</v>
      </c>
      <c r="BJ33" s="254"/>
      <c r="BK33" s="429">
        <f>-32.2+88.7</f>
        <v>56.5</v>
      </c>
      <c r="BL33" s="429">
        <f>-49+108.9-BK33</f>
        <v>3.4000000000000057</v>
      </c>
      <c r="BM33" s="429">
        <f>-74.6+142.9-SUM(BK33:BL33)</f>
        <v>8.4000000000000057</v>
      </c>
      <c r="BN33" s="429">
        <f>-87.5+160.8-SUM(BK33:BM33)</f>
        <v>5</v>
      </c>
      <c r="BO33" s="183">
        <f>SUM(BK33:BN33)</f>
        <v>73.300000000000011</v>
      </c>
      <c r="BP33" s="254"/>
      <c r="BQ33" s="429">
        <f>-31.5+17.9</f>
        <v>-13.600000000000001</v>
      </c>
      <c r="BR33" s="429">
        <f>-61.3+45.2-BQ33</f>
        <v>-2.4999999999999929</v>
      </c>
      <c r="BS33" s="355">
        <v>0</v>
      </c>
      <c r="BT33" s="355">
        <v>0</v>
      </c>
      <c r="BU33" s="183">
        <f>SUM(BQ33:BT33)</f>
        <v>-16.099999999999994</v>
      </c>
      <c r="BV33" s="254"/>
      <c r="BW33" s="355">
        <v>0</v>
      </c>
      <c r="BX33" s="355">
        <v>0</v>
      </c>
      <c r="BY33" s="355">
        <v>0</v>
      </c>
      <c r="BZ33" s="355">
        <v>0</v>
      </c>
      <c r="CA33" s="183">
        <f>SUM(BW33:BZ33)</f>
        <v>0</v>
      </c>
      <c r="CB33" s="254"/>
      <c r="CC33" s="355">
        <v>0</v>
      </c>
      <c r="CD33" s="355">
        <v>0</v>
      </c>
      <c r="CE33" s="355">
        <v>0</v>
      </c>
      <c r="CF33" s="355">
        <v>0</v>
      </c>
      <c r="CG33" s="183">
        <f>SUM(CC33:CF33)</f>
        <v>0</v>
      </c>
      <c r="CH33" s="254"/>
      <c r="CI33" s="355">
        <v>0</v>
      </c>
      <c r="CJ33" s="355">
        <v>0</v>
      </c>
      <c r="CK33" s="355">
        <v>0</v>
      </c>
      <c r="CL33" s="355">
        <v>0</v>
      </c>
      <c r="CM33" s="183">
        <f>SUM(CI33:CL33)</f>
        <v>0</v>
      </c>
      <c r="CN33" s="254"/>
      <c r="CO33" s="355">
        <v>0</v>
      </c>
      <c r="CP33" s="355">
        <v>0</v>
      </c>
      <c r="CQ33" s="355">
        <v>0</v>
      </c>
      <c r="CR33" s="355">
        <v>0</v>
      </c>
      <c r="CS33" s="183">
        <f>SUM(CO33:CR33)</f>
        <v>0</v>
      </c>
      <c r="CT33" s="176"/>
      <c r="CX33" s="79"/>
      <c r="CY33" s="79"/>
    </row>
    <row r="34" spans="1:122" x14ac:dyDescent="0.2">
      <c r="A34" s="1" t="s">
        <v>3</v>
      </c>
      <c r="B34" s="241"/>
      <c r="C34" s="429">
        <v>0</v>
      </c>
      <c r="D34" s="430">
        <f>0.02-C34</f>
        <v>0.02</v>
      </c>
      <c r="E34" s="430">
        <f>0.02-D34-C34</f>
        <v>0</v>
      </c>
      <c r="F34" s="430">
        <f>0.02-E34-D34-C34</f>
        <v>0</v>
      </c>
      <c r="G34" s="183">
        <f>SUM(C34:F34)</f>
        <v>0.02</v>
      </c>
      <c r="H34" s="64"/>
      <c r="I34" s="429">
        <v>0</v>
      </c>
      <c r="J34" s="430">
        <f>-0.1-I34</f>
        <v>-0.1</v>
      </c>
      <c r="K34" s="430">
        <f>-0.1-J34-I34</f>
        <v>0</v>
      </c>
      <c r="L34" s="430">
        <f>-0.349-K34-J34-I34</f>
        <v>-0.24899999999999997</v>
      </c>
      <c r="M34" s="183">
        <f>SUM(I34:L34)</f>
        <v>-0.34899999999999998</v>
      </c>
      <c r="N34" s="64"/>
      <c r="O34" s="429">
        <v>-2</v>
      </c>
      <c r="P34" s="430">
        <f>-2.1-O34</f>
        <v>-0.10000000000000009</v>
      </c>
      <c r="Q34" s="430">
        <f>-2.1-P34-O34</f>
        <v>0</v>
      </c>
      <c r="R34" s="430">
        <f>-2.1-Q34-P34-O34</f>
        <v>0</v>
      </c>
      <c r="S34" s="183">
        <f>SUM(O34:R34)</f>
        <v>-2.1</v>
      </c>
      <c r="T34" s="64"/>
      <c r="U34" s="429">
        <v>0</v>
      </c>
      <c r="V34" s="430">
        <f>-0.1-U34</f>
        <v>-0.1</v>
      </c>
      <c r="W34" s="430">
        <f>-0.1+0.3-V34-U34</f>
        <v>0.3</v>
      </c>
      <c r="X34" s="430">
        <f>-0.1+0.3-W34-V34-U34</f>
        <v>0</v>
      </c>
      <c r="Y34" s="183">
        <f>SUM(U34:X34)</f>
        <v>0.19999999999999998</v>
      </c>
      <c r="Z34" s="64"/>
      <c r="AA34" s="429">
        <v>0</v>
      </c>
      <c r="AB34" s="430">
        <f>-1.5-0.1-AA34</f>
        <v>-1.6</v>
      </c>
      <c r="AC34" s="430">
        <f>-1.5-0.1-AB34-AA34</f>
        <v>0</v>
      </c>
      <c r="AD34" s="430">
        <f>-2-0.1-AC34-AB34-AA34</f>
        <v>-0.5</v>
      </c>
      <c r="AE34" s="183">
        <f>SUM(AA34:AD34)</f>
        <v>-2.1</v>
      </c>
      <c r="AF34" s="254"/>
      <c r="AG34" s="429">
        <f>-8-17</f>
        <v>-25</v>
      </c>
      <c r="AH34" s="430">
        <f>-8-17-0.75-0.1-AG34</f>
        <v>-0.85000000000000142</v>
      </c>
      <c r="AI34" s="430">
        <f>-8-17-0.75-0.1-AH34-AG34</f>
        <v>0</v>
      </c>
      <c r="AJ34" s="430">
        <f>-0.75-0.1-8-17-AI34-AH34-AG34</f>
        <v>0</v>
      </c>
      <c r="AK34" s="183">
        <f>SUM(AG34:AJ34)</f>
        <v>-25.85</v>
      </c>
      <c r="AL34" s="254"/>
      <c r="AM34" s="429">
        <v>0</v>
      </c>
      <c r="AN34" s="429">
        <f>0-AM34</f>
        <v>0</v>
      </c>
      <c r="AO34" s="430">
        <f>0-AN34-AM34</f>
        <v>0</v>
      </c>
      <c r="AP34" s="430">
        <f>-5-AO34-AN34-AM34</f>
        <v>-5</v>
      </c>
      <c r="AQ34" s="183">
        <f>SUM(AM34:AP34)</f>
        <v>-5</v>
      </c>
      <c r="AR34" s="254"/>
      <c r="AS34" s="429">
        <v>0</v>
      </c>
      <c r="AT34" s="429">
        <f>0-AS34</f>
        <v>0</v>
      </c>
      <c r="AU34" s="430">
        <f>0-AT34-AS34</f>
        <v>0</v>
      </c>
      <c r="AV34" s="430">
        <f>0-AU34-AT34-AS34</f>
        <v>0</v>
      </c>
      <c r="AW34" s="79">
        <f>SUM(AS34:AV34)</f>
        <v>0</v>
      </c>
      <c r="AX34" s="254"/>
      <c r="AY34" s="429">
        <v>-22.673999999999999</v>
      </c>
      <c r="AZ34" s="429">
        <f>-21.603-AY34</f>
        <v>1.070999999999998</v>
      </c>
      <c r="BA34" s="429">
        <f>0-AZ34-AY34</f>
        <v>21.603000000000002</v>
      </c>
      <c r="BB34" s="429">
        <f>0-SUM(AY34:BA34)</f>
        <v>0</v>
      </c>
      <c r="BC34" s="183">
        <f>SUM(AY34:BB34)</f>
        <v>0</v>
      </c>
      <c r="BD34" s="254"/>
      <c r="BE34" s="429">
        <v>-2.1000000000000001E-2</v>
      </c>
      <c r="BF34" s="429">
        <v>0</v>
      </c>
      <c r="BG34" s="429">
        <v>0</v>
      </c>
      <c r="BH34" s="429">
        <v>0</v>
      </c>
      <c r="BI34" s="183">
        <f>SUM(BE34:BH34)</f>
        <v>-2.1000000000000001E-2</v>
      </c>
      <c r="BJ34" s="254"/>
      <c r="BK34" s="429">
        <v>0</v>
      </c>
      <c r="BL34" s="429">
        <f t="shared" ref="BL34" si="38">0-BK34</f>
        <v>0</v>
      </c>
      <c r="BM34" s="429">
        <f>2.6-SUM(BK34:BL34)</f>
        <v>2.6</v>
      </c>
      <c r="BN34" s="429">
        <f>2.6-SUM(BK34:BM34)</f>
        <v>0</v>
      </c>
      <c r="BO34" s="183">
        <f>SUM(BK34:BN34)</f>
        <v>2.6</v>
      </c>
      <c r="BP34" s="254"/>
      <c r="BQ34" s="429">
        <v>0</v>
      </c>
      <c r="BR34" s="429">
        <f t="shared" ref="BR34" si="39">0-BQ34</f>
        <v>0</v>
      </c>
      <c r="BS34" s="355">
        <v>0</v>
      </c>
      <c r="BT34" s="355">
        <v>0</v>
      </c>
      <c r="BU34" s="183">
        <f>SUM(BQ34:BT34)</f>
        <v>0</v>
      </c>
      <c r="BV34" s="254"/>
      <c r="BW34" s="355">
        <v>0</v>
      </c>
      <c r="BX34" s="355">
        <v>0</v>
      </c>
      <c r="BY34" s="355">
        <v>0</v>
      </c>
      <c r="BZ34" s="355">
        <v>0</v>
      </c>
      <c r="CA34" s="183">
        <f>SUM(BW34:BZ34)</f>
        <v>0</v>
      </c>
      <c r="CB34" s="254"/>
      <c r="CC34" s="355">
        <v>0</v>
      </c>
      <c r="CD34" s="355">
        <v>0</v>
      </c>
      <c r="CE34" s="355">
        <v>0</v>
      </c>
      <c r="CF34" s="355">
        <v>0</v>
      </c>
      <c r="CG34" s="183">
        <f>SUM(CC34:CF34)</f>
        <v>0</v>
      </c>
      <c r="CH34" s="254"/>
      <c r="CI34" s="355">
        <v>0</v>
      </c>
      <c r="CJ34" s="355">
        <v>0</v>
      </c>
      <c r="CK34" s="355">
        <v>0</v>
      </c>
      <c r="CL34" s="355">
        <v>0</v>
      </c>
      <c r="CM34" s="183">
        <f>SUM(CI34:CL34)</f>
        <v>0</v>
      </c>
      <c r="CN34" s="254"/>
      <c r="CO34" s="355">
        <v>0</v>
      </c>
      <c r="CP34" s="355">
        <v>0</v>
      </c>
      <c r="CQ34" s="355">
        <v>0</v>
      </c>
      <c r="CR34" s="355">
        <v>0</v>
      </c>
      <c r="CS34" s="183">
        <f>SUM(CO34:CR34)</f>
        <v>0</v>
      </c>
      <c r="CT34" s="176"/>
      <c r="CX34" s="79"/>
      <c r="CY34" s="79"/>
    </row>
    <row r="35" spans="1:122" x14ac:dyDescent="0.2">
      <c r="A35" s="5" t="s">
        <v>175</v>
      </c>
      <c r="B35" s="241"/>
      <c r="C35" s="257">
        <f>SUM(C30:C34)</f>
        <v>3.5459999999999994</v>
      </c>
      <c r="D35" s="257">
        <f>SUM(D30:D34)</f>
        <v>1.2020000000000022</v>
      </c>
      <c r="E35" s="257">
        <f>SUM(E30:E34)</f>
        <v>6.9219999999999899</v>
      </c>
      <c r="F35" s="257">
        <f>SUM(F30:F34)</f>
        <v>-58.411000000000008</v>
      </c>
      <c r="G35" s="257">
        <f>SUM(G30:G34)</f>
        <v>-46.741000000000021</v>
      </c>
      <c r="H35" s="66"/>
      <c r="I35" s="257">
        <f>SUM(I30:I34)</f>
        <v>-30.014999999999986</v>
      </c>
      <c r="J35" s="257">
        <f>SUM(J30:J34)</f>
        <v>-1.3250000000000015</v>
      </c>
      <c r="K35" s="257">
        <f>SUM(K30:K34)</f>
        <v>20.016999999999989</v>
      </c>
      <c r="L35" s="257">
        <f>SUM(L30:L34)</f>
        <v>-19.981999999999989</v>
      </c>
      <c r="M35" s="257">
        <f>SUM(M30:M34)</f>
        <v>-31.304999999999989</v>
      </c>
      <c r="N35" s="66"/>
      <c r="O35" s="257">
        <f>SUM(O30:O34)</f>
        <v>-41.385000000000005</v>
      </c>
      <c r="P35" s="257">
        <f>SUM(P30:P34)</f>
        <v>-101.142</v>
      </c>
      <c r="Q35" s="257">
        <f>SUM(Q30:Q34)</f>
        <v>-17.85100000000001</v>
      </c>
      <c r="R35" s="257">
        <f>SUM(R30:R34)</f>
        <v>-45.96399999999997</v>
      </c>
      <c r="S35" s="257">
        <f>SUM(S30:S34)</f>
        <v>-206.34199999999996</v>
      </c>
      <c r="T35" s="66"/>
      <c r="U35" s="257">
        <f>SUM(U30:U34)</f>
        <v>1.3120000000000047</v>
      </c>
      <c r="V35" s="257">
        <f>SUM(V30:V34)</f>
        <v>-76.521999999999977</v>
      </c>
      <c r="W35" s="257">
        <f>SUM(W30:W34)</f>
        <v>-13.428999999999998</v>
      </c>
      <c r="X35" s="257">
        <f>SUM(X30:X34)</f>
        <v>11.971000000000004</v>
      </c>
      <c r="Y35" s="257">
        <f>SUM(Y30:Y34)</f>
        <v>-76.667999999999992</v>
      </c>
      <c r="Z35" s="101"/>
      <c r="AA35" s="257">
        <f>SUM(AA30:AA34)</f>
        <v>16.672999999999995</v>
      </c>
      <c r="AB35" s="257">
        <f>SUM(AB30:AB34)</f>
        <v>-52.604999999999997</v>
      </c>
      <c r="AC35" s="257">
        <f>SUM(AC30:AC34)</f>
        <v>42.479999999999976</v>
      </c>
      <c r="AD35" s="257">
        <f>SUM(AD30:AD34)</f>
        <v>-60.937999999999974</v>
      </c>
      <c r="AE35" s="257">
        <f>SUM(AE30:AE34)</f>
        <v>-54.390000000000022</v>
      </c>
      <c r="AF35" s="101"/>
      <c r="AG35" s="257">
        <f>SUM(AG30:AG34)</f>
        <v>-2.5319999999999965</v>
      </c>
      <c r="AH35" s="257">
        <f>SUM(AH30:AH34)</f>
        <v>15.634999999999998</v>
      </c>
      <c r="AI35" s="257">
        <f>SUM(AI30:AI34)</f>
        <v>-43.816999999999993</v>
      </c>
      <c r="AJ35" s="257">
        <f>SUM(AJ30:AJ34)</f>
        <v>-8.1739999999999924</v>
      </c>
      <c r="AK35" s="257">
        <f>SUM(AK30:AK34)</f>
        <v>-38.888000000000012</v>
      </c>
      <c r="AL35" s="101"/>
      <c r="AM35" s="257">
        <f>SUM(AM30:AM34)</f>
        <v>-5.0050000000000097</v>
      </c>
      <c r="AN35" s="257">
        <f>SUM(AN30:AN34)</f>
        <v>-34.037000000000006</v>
      </c>
      <c r="AO35" s="257">
        <f>SUM(AO30:AO34)</f>
        <v>48.081000000000003</v>
      </c>
      <c r="AP35" s="257">
        <f>SUM(AP30:AP34)</f>
        <v>-84.628999999999976</v>
      </c>
      <c r="AQ35" s="257">
        <f>SUM(AQ30:AQ34)</f>
        <v>-75.589999999999975</v>
      </c>
      <c r="AR35" s="101"/>
      <c r="AS35" s="257">
        <f>SUM(AS30:AS34)</f>
        <v>-8.0569999999999951</v>
      </c>
      <c r="AT35" s="257">
        <f>SUM(AT30:AT34)</f>
        <v>10.722000000000008</v>
      </c>
      <c r="AU35" s="257">
        <f>SUM(AU30:AU34)</f>
        <v>-0.47100000000000364</v>
      </c>
      <c r="AV35" s="257">
        <f>SUM(AV30:AV34)</f>
        <v>-19.861000000000026</v>
      </c>
      <c r="AW35" s="257">
        <f>SUM(AW30:AW34)</f>
        <v>-17.66700000000003</v>
      </c>
      <c r="AX35" s="101"/>
      <c r="AY35" s="257">
        <f>SUM(AY30:AY34)</f>
        <v>27.575999999999993</v>
      </c>
      <c r="AZ35" s="257">
        <f>SUM(AZ30:AZ34)</f>
        <v>-8.7480000000000047</v>
      </c>
      <c r="BA35" s="257">
        <f>SUM(BA30:BA34)</f>
        <v>24.884999999999998</v>
      </c>
      <c r="BB35" s="257">
        <f>SUM(BB30:BB34)</f>
        <v>-2.8129999999999988</v>
      </c>
      <c r="BC35" s="257">
        <f>SUM(BC30:BC34)</f>
        <v>40.899999999999991</v>
      </c>
      <c r="BD35" s="101"/>
      <c r="BE35" s="257">
        <f>SUM(BE30:BE34)</f>
        <v>8.9789999999999992</v>
      </c>
      <c r="BF35" s="257">
        <f>SUM(BF30:BF34)</f>
        <v>-40.500000000000007</v>
      </c>
      <c r="BG35" s="257">
        <f>SUM(BG30:BG34)</f>
        <v>-16.100000000000005</v>
      </c>
      <c r="BH35" s="257">
        <f>SUM(BH30:BH34)</f>
        <v>-43.8</v>
      </c>
      <c r="BI35" s="257">
        <f>SUM(BI30:BI34)</f>
        <v>-91.421000000000006</v>
      </c>
      <c r="BJ35" s="101"/>
      <c r="BK35" s="257">
        <f>SUM(BK30:BK34)</f>
        <v>-158</v>
      </c>
      <c r="BL35" s="257">
        <f>SUM(BL30:BL34)</f>
        <v>-2.099999999999989</v>
      </c>
      <c r="BM35" s="257">
        <f>SUM(BM30:BM34)</f>
        <v>9.5000000000000053</v>
      </c>
      <c r="BN35" s="257">
        <f>SUM(BN30:BN34)</f>
        <v>4.3000000000000007</v>
      </c>
      <c r="BO35" s="257">
        <f>SUM(BO30:BO34)</f>
        <v>-146.29999999999998</v>
      </c>
      <c r="BP35" s="101"/>
      <c r="BQ35" s="257">
        <f>SUM(BQ30:BQ34)</f>
        <v>-15.200000000000001</v>
      </c>
      <c r="BR35" s="257">
        <f>SUM(BR30:BR34)</f>
        <v>-4.5999999999999925</v>
      </c>
      <c r="BS35" s="257">
        <f>SUM(BS30:BS34)</f>
        <v>-4.7464722992449939</v>
      </c>
      <c r="BT35" s="257">
        <f>SUM(BT30:BT34)</f>
        <v>-4.9298769040920272</v>
      </c>
      <c r="BU35" s="257">
        <f>SUM(BU30:BU34)</f>
        <v>-29.476349203337016</v>
      </c>
      <c r="BV35" s="101"/>
      <c r="BW35" s="257">
        <f>SUM(BW30:BW34)</f>
        <v>-3.8082931540547151</v>
      </c>
      <c r="BX35" s="257">
        <f>SUM(BX30:BX34)</f>
        <v>-3.9962142794577176</v>
      </c>
      <c r="BY35" s="257">
        <f>SUM(BY30:BY34)</f>
        <v>-3.9757474881523853</v>
      </c>
      <c r="BZ35" s="257">
        <f>SUM(BZ30:BZ34)</f>
        <v>-4.1725857663650672</v>
      </c>
      <c r="CA35" s="257">
        <f>SUM(CA30:CA34)</f>
        <v>-15.952840688029884</v>
      </c>
      <c r="CB35" s="101"/>
      <c r="CC35" s="257">
        <f>SUM(CC30:CC34)</f>
        <v>-3.9902834131819147</v>
      </c>
      <c r="CD35" s="257">
        <f>SUM(CD30:CD34)</f>
        <v>-4.2331078843871772</v>
      </c>
      <c r="CE35" s="257">
        <f>SUM(CE30:CE34)</f>
        <v>-4.2141621921171737</v>
      </c>
      <c r="CF35" s="257">
        <f>SUM(CF30:CF34)</f>
        <v>-4.4414115926748119</v>
      </c>
      <c r="CG35" s="257">
        <f>SUM(CG30:CG34)</f>
        <v>-16.878965082361077</v>
      </c>
      <c r="CH35" s="101"/>
      <c r="CI35" s="257">
        <f>SUM(CI30:CI34)</f>
        <v>-4.2779850704108808</v>
      </c>
      <c r="CJ35" s="257">
        <f>SUM(CJ30:CJ34)</f>
        <v>-4.553559731717395</v>
      </c>
      <c r="CK35" s="257">
        <f>SUM(CK30:CK34)</f>
        <v>-4.509259438251858</v>
      </c>
      <c r="CL35" s="257">
        <f>SUM(CL30:CL34)</f>
        <v>-4.7519849714214262</v>
      </c>
      <c r="CM35" s="257">
        <f>SUM(CM30:CM34)</f>
        <v>-18.092789211801559</v>
      </c>
      <c r="CN35" s="101"/>
      <c r="CO35" s="257">
        <f>SUM(CO30:CO34)</f>
        <v>-4.5854683200283386</v>
      </c>
      <c r="CP35" s="257">
        <f>SUM(CP30:CP34)</f>
        <v>-4.919554643953175</v>
      </c>
      <c r="CQ35" s="257">
        <f>SUM(CQ30:CQ34)</f>
        <v>-4.821324598539209</v>
      </c>
      <c r="CR35" s="257">
        <f>SUM(CR30:CR34)</f>
        <v>-5.1072072272884519</v>
      </c>
      <c r="CS35" s="257">
        <f>SUM(CS30:CS34)</f>
        <v>-19.433554789809175</v>
      </c>
      <c r="CT35" s="176"/>
      <c r="CX35" s="63"/>
      <c r="CY35" s="63"/>
    </row>
    <row r="36" spans="1:122" ht="4.5" customHeight="1" x14ac:dyDescent="0.2">
      <c r="A36" s="1"/>
      <c r="B36" s="241"/>
      <c r="C36" s="433"/>
      <c r="D36" s="433"/>
      <c r="E36" s="433"/>
      <c r="F36" s="433"/>
      <c r="G36" s="433"/>
      <c r="H36" s="432"/>
      <c r="I36" s="433"/>
      <c r="J36" s="433"/>
      <c r="K36" s="433"/>
      <c r="L36" s="433"/>
      <c r="M36" s="433"/>
      <c r="N36" s="432"/>
      <c r="O36" s="433"/>
      <c r="P36" s="433"/>
      <c r="Q36" s="433"/>
      <c r="R36" s="433"/>
      <c r="S36" s="433"/>
      <c r="T36" s="432"/>
      <c r="U36" s="433"/>
      <c r="V36" s="433"/>
      <c r="W36" s="433"/>
      <c r="X36" s="433"/>
      <c r="Y36" s="433"/>
      <c r="Z36" s="101"/>
      <c r="AA36" s="433"/>
      <c r="AB36" s="433"/>
      <c r="AC36" s="433"/>
      <c r="AD36" s="433"/>
      <c r="AE36" s="437"/>
      <c r="AF36" s="101"/>
      <c r="AG36" s="49"/>
      <c r="AH36" s="433"/>
      <c r="AI36" s="433"/>
      <c r="AJ36" s="49"/>
      <c r="AK36" s="433"/>
      <c r="AL36" s="101"/>
      <c r="AM36" s="49"/>
      <c r="AN36" s="49"/>
      <c r="AO36" s="433"/>
      <c r="AP36" s="49"/>
      <c r="AQ36" s="433"/>
      <c r="AR36" s="101"/>
      <c r="AS36" s="49"/>
      <c r="AT36" s="49"/>
      <c r="AU36" s="433"/>
      <c r="AV36" s="49"/>
      <c r="AW36" s="11"/>
      <c r="AX36" s="101"/>
      <c r="AY36" s="49"/>
      <c r="AZ36" s="49"/>
      <c r="BA36" s="49"/>
      <c r="BB36" s="36"/>
      <c r="BC36" s="11"/>
      <c r="BD36" s="101"/>
      <c r="BE36" s="49"/>
      <c r="BF36" s="49"/>
      <c r="BG36" s="36"/>
      <c r="BH36" s="36"/>
      <c r="BI36" s="11"/>
      <c r="BJ36" s="101"/>
      <c r="BK36" s="49"/>
      <c r="BL36" s="36"/>
      <c r="BM36" s="36"/>
      <c r="BN36" s="36"/>
      <c r="BO36" s="11"/>
      <c r="BP36" s="101"/>
      <c r="BQ36" s="49"/>
      <c r="BR36" s="36"/>
      <c r="BS36" s="36"/>
      <c r="BT36" s="36"/>
      <c r="BU36" s="11"/>
      <c r="BV36" s="101"/>
      <c r="BW36" s="36"/>
      <c r="BX36" s="36"/>
      <c r="BY36" s="36"/>
      <c r="BZ36" s="36"/>
      <c r="CA36" s="11"/>
      <c r="CB36" s="101"/>
      <c r="CC36" s="36"/>
      <c r="CD36" s="36"/>
      <c r="CE36" s="36"/>
      <c r="CF36" s="36"/>
      <c r="CG36" s="11"/>
      <c r="CH36" s="101"/>
      <c r="CI36" s="36"/>
      <c r="CJ36" s="36"/>
      <c r="CK36" s="36"/>
      <c r="CL36" s="36"/>
      <c r="CM36" s="11"/>
      <c r="CN36" s="101"/>
      <c r="CO36" s="36"/>
      <c r="CP36" s="36"/>
      <c r="CQ36" s="36"/>
      <c r="CR36" s="36"/>
      <c r="CS36" s="11"/>
      <c r="CT36" s="176"/>
      <c r="CX36" s="11"/>
      <c r="CY36" s="11"/>
    </row>
    <row r="37" spans="1:122" x14ac:dyDescent="0.2">
      <c r="A37" s="29" t="s">
        <v>176</v>
      </c>
      <c r="B37" s="241"/>
      <c r="C37" s="433"/>
      <c r="D37" s="433"/>
      <c r="E37" s="433"/>
      <c r="F37" s="433"/>
      <c r="G37" s="433"/>
      <c r="H37" s="432"/>
      <c r="I37" s="433"/>
      <c r="J37" s="433"/>
      <c r="K37" s="433"/>
      <c r="L37" s="433"/>
      <c r="M37" s="433"/>
      <c r="N37" s="432"/>
      <c r="O37" s="433"/>
      <c r="P37" s="433"/>
      <c r="Q37" s="433"/>
      <c r="R37" s="433"/>
      <c r="S37" s="433"/>
      <c r="T37" s="432"/>
      <c r="U37" s="433"/>
      <c r="V37" s="433"/>
      <c r="W37" s="433"/>
      <c r="X37" s="433"/>
      <c r="Y37" s="433"/>
      <c r="Z37" s="432"/>
      <c r="AA37" s="433"/>
      <c r="AB37" s="433"/>
      <c r="AC37" s="433"/>
      <c r="AD37" s="433"/>
      <c r="AE37" s="437"/>
      <c r="AF37" s="432"/>
      <c r="AG37" s="395"/>
      <c r="AH37" s="433"/>
      <c r="AI37" s="433"/>
      <c r="AJ37" s="49"/>
      <c r="AK37" s="433"/>
      <c r="AL37" s="432"/>
      <c r="AM37" s="378"/>
      <c r="AN37" s="378"/>
      <c r="AO37" s="433"/>
      <c r="AP37" s="49"/>
      <c r="AQ37" s="433"/>
      <c r="AR37" s="432"/>
      <c r="AS37" s="378"/>
      <c r="AT37" s="378"/>
      <c r="AU37" s="433"/>
      <c r="AV37" s="49"/>
      <c r="AW37" s="11"/>
      <c r="AX37" s="61"/>
      <c r="AY37" s="378"/>
      <c r="AZ37" s="378"/>
      <c r="BA37" s="378"/>
      <c r="BB37" s="36"/>
      <c r="BC37" s="11"/>
      <c r="BD37" s="61"/>
      <c r="BE37" s="378"/>
      <c r="BF37" s="378"/>
      <c r="BG37" s="36"/>
      <c r="BH37" s="36"/>
      <c r="BI37" s="11"/>
      <c r="BJ37" s="61"/>
      <c r="BK37" s="378"/>
      <c r="BL37" s="36"/>
      <c r="BM37" s="36"/>
      <c r="BN37" s="36"/>
      <c r="BO37" s="11"/>
      <c r="BP37" s="61"/>
      <c r="BQ37" s="378"/>
      <c r="BR37" s="36"/>
      <c r="BS37" s="36"/>
      <c r="BT37" s="36"/>
      <c r="BU37" s="11"/>
      <c r="BV37" s="61"/>
      <c r="BW37" s="36"/>
      <c r="BX37" s="36"/>
      <c r="BY37" s="36"/>
      <c r="BZ37" s="36"/>
      <c r="CA37" s="11"/>
      <c r="CB37" s="61"/>
      <c r="CC37" s="36"/>
      <c r="CD37" s="36"/>
      <c r="CE37" s="36"/>
      <c r="CF37" s="36"/>
      <c r="CG37" s="11"/>
      <c r="CH37" s="61"/>
      <c r="CI37" s="36"/>
      <c r="CJ37" s="36"/>
      <c r="CK37" s="36"/>
      <c r="CL37" s="36"/>
      <c r="CM37" s="11"/>
      <c r="CN37" s="61"/>
      <c r="CO37" s="36"/>
      <c r="CP37" s="36"/>
      <c r="CQ37" s="36"/>
      <c r="CR37" s="36"/>
      <c r="CS37" s="11"/>
      <c r="CT37" s="176"/>
      <c r="CX37" s="11"/>
      <c r="CY37" s="11"/>
    </row>
    <row r="38" spans="1:122" x14ac:dyDescent="0.2">
      <c r="A38" s="75" t="s">
        <v>325</v>
      </c>
      <c r="B38" s="241"/>
      <c r="C38" s="429">
        <v>0</v>
      </c>
      <c r="D38" s="429">
        <f>0-C38</f>
        <v>0</v>
      </c>
      <c r="E38" s="429">
        <f>0-D38-C38</f>
        <v>0</v>
      </c>
      <c r="F38" s="429">
        <f>0-E38-D38-C38</f>
        <v>0</v>
      </c>
      <c r="G38" s="79">
        <f t="shared" ref="G38:G43" si="40">SUM(C38:F38)</f>
        <v>0</v>
      </c>
      <c r="H38" s="432"/>
      <c r="I38" s="429">
        <v>0</v>
      </c>
      <c r="J38" s="429">
        <f>0-I38</f>
        <v>0</v>
      </c>
      <c r="K38" s="429">
        <f>0-J38-I38</f>
        <v>0</v>
      </c>
      <c r="L38" s="429">
        <f>0-K38-J38-I38</f>
        <v>0</v>
      </c>
      <c r="M38" s="79">
        <f t="shared" ref="M38:M43" si="41">SUM(I38:L38)</f>
        <v>0</v>
      </c>
      <c r="N38" s="432"/>
      <c r="O38" s="429">
        <v>0</v>
      </c>
      <c r="P38" s="429">
        <f>0-O38</f>
        <v>0</v>
      </c>
      <c r="Q38" s="429">
        <f>0-P38-O38</f>
        <v>0</v>
      </c>
      <c r="R38" s="429">
        <f>-136.133-Q38-P38-O38</f>
        <v>-136.13300000000001</v>
      </c>
      <c r="S38" s="79">
        <f t="shared" ref="S38:S43" si="42">SUM(O38:R38)</f>
        <v>-136.13300000000001</v>
      </c>
      <c r="T38" s="432"/>
      <c r="U38" s="429">
        <v>0</v>
      </c>
      <c r="V38" s="429">
        <f>0-U38</f>
        <v>0</v>
      </c>
      <c r="W38" s="429">
        <f>0-V38-U38</f>
        <v>0</v>
      </c>
      <c r="X38" s="429">
        <f>0-W38-V38-U38</f>
        <v>0</v>
      </c>
      <c r="Y38" s="79">
        <f t="shared" ref="Y38:Y43" si="43">SUM(U38:X38)</f>
        <v>0</v>
      </c>
      <c r="Z38" s="432"/>
      <c r="AA38" s="429">
        <v>0</v>
      </c>
      <c r="AB38" s="429">
        <v>0</v>
      </c>
      <c r="AC38" s="429">
        <v>0</v>
      </c>
      <c r="AD38" s="429">
        <v>0</v>
      </c>
      <c r="AE38" s="79">
        <f t="shared" ref="AE38:AE43" si="44">SUM(AA38:AD38)</f>
        <v>0</v>
      </c>
      <c r="AF38" s="432"/>
      <c r="AG38" s="429">
        <v>0</v>
      </c>
      <c r="AH38" s="429">
        <v>0</v>
      </c>
      <c r="AI38" s="429">
        <v>0</v>
      </c>
      <c r="AJ38" s="429">
        <v>0</v>
      </c>
      <c r="AK38" s="79">
        <f t="shared" ref="AK38:AK43" si="45">SUM(AG38:AJ38)</f>
        <v>0</v>
      </c>
      <c r="AL38" s="432"/>
      <c r="AM38" s="429">
        <v>0</v>
      </c>
      <c r="AN38" s="429">
        <v>0</v>
      </c>
      <c r="AO38" s="429">
        <v>0</v>
      </c>
      <c r="AP38" s="429">
        <v>0</v>
      </c>
      <c r="AQ38" s="79">
        <f t="shared" ref="AQ38:AQ43" si="46">SUM(AM38:AP38)</f>
        <v>0</v>
      </c>
      <c r="AR38" s="432"/>
      <c r="AS38" s="429">
        <v>0</v>
      </c>
      <c r="AT38" s="429">
        <v>0</v>
      </c>
      <c r="AU38" s="429">
        <f>0-AT38-AS38</f>
        <v>0</v>
      </c>
      <c r="AV38" s="429">
        <v>0</v>
      </c>
      <c r="AW38" s="79">
        <f t="shared" ref="AW38:AW43" si="47">SUM(AS38:AV38)</f>
        <v>0</v>
      </c>
      <c r="AX38" s="61"/>
      <c r="AY38" s="429">
        <v>0</v>
      </c>
      <c r="AZ38" s="429">
        <f>0-AY38</f>
        <v>0</v>
      </c>
      <c r="BA38" s="429">
        <f>0-AZ38-AY38</f>
        <v>0</v>
      </c>
      <c r="BB38" s="429">
        <f>0-SUM(AY38:BA38)</f>
        <v>0</v>
      </c>
      <c r="BC38" s="79">
        <f t="shared" ref="BC38:BC43" si="48">SUM(AY38:BB38)</f>
        <v>0</v>
      </c>
      <c r="BD38" s="61"/>
      <c r="BE38" s="429">
        <v>0</v>
      </c>
      <c r="BF38" s="429">
        <f>0-BE38</f>
        <v>0</v>
      </c>
      <c r="BG38" s="429">
        <f>0-SUM(BE38:BF38)</f>
        <v>0</v>
      </c>
      <c r="BH38" s="429">
        <f t="shared" ref="BH38:BH43" si="49">0-SUM(BE38:BG38)</f>
        <v>0</v>
      </c>
      <c r="BI38" s="79">
        <f t="shared" ref="BI38:BI43" si="50">SUM(BE38:BH38)</f>
        <v>0</v>
      </c>
      <c r="BJ38" s="61"/>
      <c r="BK38" s="429">
        <v>0</v>
      </c>
      <c r="BL38" s="429">
        <v>0.1</v>
      </c>
      <c r="BM38" s="429">
        <f t="shared" ref="BM38:BM43" si="51">0-SUM(BK38:BL38)</f>
        <v>-0.1</v>
      </c>
      <c r="BN38" s="856">
        <f t="shared" ref="BN38:BN43" si="52">0-SUM(BK38:BM38)</f>
        <v>0</v>
      </c>
      <c r="BO38" s="79">
        <f t="shared" ref="BO38:BO43" si="53">SUM(BK38:BN38)</f>
        <v>0</v>
      </c>
      <c r="BP38" s="61"/>
      <c r="BQ38" s="429">
        <v>0</v>
      </c>
      <c r="BR38" s="429">
        <f>0.3-BQ38</f>
        <v>0.3</v>
      </c>
      <c r="BS38" s="355">
        <v>0</v>
      </c>
      <c r="BT38" s="355">
        <v>0</v>
      </c>
      <c r="BU38" s="79">
        <f t="shared" ref="BU38:BU43" si="54">SUM(BQ38:BT38)</f>
        <v>0.3</v>
      </c>
      <c r="BV38" s="61"/>
      <c r="BW38" s="355">
        <v>0</v>
      </c>
      <c r="BX38" s="355">
        <v>0</v>
      </c>
      <c r="BY38" s="355">
        <v>0</v>
      </c>
      <c r="BZ38" s="355">
        <v>0</v>
      </c>
      <c r="CA38" s="79">
        <f t="shared" ref="CA38:CA43" si="55">SUM(BW38:BZ38)</f>
        <v>0</v>
      </c>
      <c r="CB38" s="61"/>
      <c r="CC38" s="355">
        <v>0</v>
      </c>
      <c r="CD38" s="355">
        <v>0</v>
      </c>
      <c r="CE38" s="355">
        <v>0</v>
      </c>
      <c r="CF38" s="355">
        <v>0</v>
      </c>
      <c r="CG38" s="79">
        <f t="shared" ref="CG38:CG43" si="56">SUM(CC38:CF38)</f>
        <v>0</v>
      </c>
      <c r="CH38" s="61"/>
      <c r="CI38" s="355">
        <v>0</v>
      </c>
      <c r="CJ38" s="355">
        <v>0</v>
      </c>
      <c r="CK38" s="355">
        <v>0</v>
      </c>
      <c r="CL38" s="355">
        <v>0</v>
      </c>
      <c r="CM38" s="79">
        <f t="shared" ref="CM38:CM43" si="57">SUM(CI38:CL38)</f>
        <v>0</v>
      </c>
      <c r="CN38" s="61"/>
      <c r="CO38" s="355">
        <v>0</v>
      </c>
      <c r="CP38" s="355">
        <v>0</v>
      </c>
      <c r="CQ38" s="355">
        <v>0</v>
      </c>
      <c r="CR38" s="355">
        <v>0</v>
      </c>
      <c r="CS38" s="79">
        <f t="shared" ref="CS38:CS43" si="58">SUM(CO38:CR38)</f>
        <v>0</v>
      </c>
      <c r="CT38" s="176"/>
      <c r="CX38" s="11"/>
      <c r="CY38" s="11"/>
    </row>
    <row r="39" spans="1:122" x14ac:dyDescent="0.2">
      <c r="A39" s="75" t="s">
        <v>359</v>
      </c>
      <c r="B39" s="241"/>
      <c r="C39" s="429">
        <v>0</v>
      </c>
      <c r="D39" s="429">
        <f>0-C39</f>
        <v>0</v>
      </c>
      <c r="E39" s="429">
        <f>0-D39-C39</f>
        <v>0</v>
      </c>
      <c r="F39" s="429">
        <f>0-E39-D39-C39</f>
        <v>0</v>
      </c>
      <c r="G39" s="79">
        <f t="shared" si="40"/>
        <v>0</v>
      </c>
      <c r="H39" s="61"/>
      <c r="I39" s="355">
        <f>+('Bal Sht'!I35-'Bal Sht'!F35)</f>
        <v>0</v>
      </c>
      <c r="J39" s="355">
        <f>+('Bal Sht'!J35-'Bal Sht'!I35)</f>
        <v>0</v>
      </c>
      <c r="K39" s="355">
        <f>+('Bal Sht'!K35-'Bal Sht'!J35)</f>
        <v>0</v>
      </c>
      <c r="L39" s="355">
        <f>+('Bal Sht'!L35-'Bal Sht'!K35)</f>
        <v>0</v>
      </c>
      <c r="M39" s="79">
        <f t="shared" si="41"/>
        <v>0</v>
      </c>
      <c r="N39" s="61"/>
      <c r="O39" s="355">
        <f>+('Bal Sht'!O35-'Bal Sht'!L35)</f>
        <v>0</v>
      </c>
      <c r="P39" s="355">
        <f>+('Bal Sht'!P35-'Bal Sht'!O35)</f>
        <v>0</v>
      </c>
      <c r="Q39" s="355">
        <f>+('Bal Sht'!Q35-'Bal Sht'!P35)</f>
        <v>0</v>
      </c>
      <c r="R39" s="355">
        <f>+('Bal Sht'!R35-'Bal Sht'!Q35)</f>
        <v>0</v>
      </c>
      <c r="S39" s="79">
        <f t="shared" si="42"/>
        <v>0</v>
      </c>
      <c r="T39" s="61"/>
      <c r="U39" s="355">
        <f>+('Bal Sht'!U35-'Bal Sht'!R35)</f>
        <v>0</v>
      </c>
      <c r="V39" s="355">
        <f>+('Bal Sht'!V35-'Bal Sht'!U35)</f>
        <v>0</v>
      </c>
      <c r="W39" s="355">
        <f>+('Bal Sht'!W35-'Bal Sht'!V35)</f>
        <v>0</v>
      </c>
      <c r="X39" s="355">
        <f>+('Bal Sht'!X35-'Bal Sht'!W35)</f>
        <v>0</v>
      </c>
      <c r="Y39" s="79">
        <f t="shared" si="43"/>
        <v>0</v>
      </c>
      <c r="Z39" s="61"/>
      <c r="AA39" s="355">
        <f>+('Bal Sht'!AA35-'Bal Sht'!X35)</f>
        <v>0</v>
      </c>
      <c r="AB39" s="355">
        <f>+('Bal Sht'!AB35-'Bal Sht'!AA35)</f>
        <v>0</v>
      </c>
      <c r="AC39" s="355">
        <f>+('Bal Sht'!AC35-'Bal Sht'!AB35)</f>
        <v>0</v>
      </c>
      <c r="AD39" s="355">
        <f>+('Bal Sht'!AD35-'Bal Sht'!AC35)</f>
        <v>0</v>
      </c>
      <c r="AE39" s="79">
        <f t="shared" si="44"/>
        <v>0</v>
      </c>
      <c r="AF39" s="61"/>
      <c r="AG39" s="355">
        <f>+('Bal Sht'!AG35-'Bal Sht'!AD35)</f>
        <v>0</v>
      </c>
      <c r="AH39" s="355">
        <f>+('Bal Sht'!AH35-'Bal Sht'!AG35)</f>
        <v>0</v>
      </c>
      <c r="AI39" s="355">
        <f>+('Bal Sht'!AI35-'Bal Sht'!AH35)</f>
        <v>0</v>
      </c>
      <c r="AJ39" s="355">
        <f>+('Bal Sht'!AJ35-'Bal Sht'!AI35)</f>
        <v>0</v>
      </c>
      <c r="AK39" s="79">
        <f t="shared" si="45"/>
        <v>0</v>
      </c>
      <c r="AL39" s="61"/>
      <c r="AM39" s="355">
        <f>+('Bal Sht'!AM35-'Bal Sht'!AJ35)</f>
        <v>0</v>
      </c>
      <c r="AN39" s="355">
        <f>+('Bal Sht'!AN35-'Bal Sht'!AM35)</f>
        <v>0</v>
      </c>
      <c r="AO39" s="355">
        <f>+('Bal Sht'!AO35-'Bal Sht'!AN35)</f>
        <v>0</v>
      </c>
      <c r="AP39" s="355">
        <f>+('Bal Sht'!AP35-'Bal Sht'!AO35)</f>
        <v>0</v>
      </c>
      <c r="AQ39" s="79">
        <f t="shared" si="46"/>
        <v>0</v>
      </c>
      <c r="AR39" s="61"/>
      <c r="AS39" s="355">
        <f>+('Bal Sht'!AS35-'Bal Sht'!AP35)</f>
        <v>0</v>
      </c>
      <c r="AT39" s="355">
        <f>+('Bal Sht'!AT35-'Bal Sht'!AS35)</f>
        <v>0</v>
      </c>
      <c r="AU39" s="355">
        <f>+('Bal Sht'!AU35-'Bal Sht'!AT35)</f>
        <v>0</v>
      </c>
      <c r="AV39" s="355">
        <f>+('Bal Sht'!AV35-'Bal Sht'!AU35)</f>
        <v>0</v>
      </c>
      <c r="AW39" s="79">
        <f t="shared" si="47"/>
        <v>0</v>
      </c>
      <c r="AX39" s="61"/>
      <c r="AY39" s="355">
        <f>+('Bal Sht'!AY35-'Bal Sht'!AV35)</f>
        <v>0</v>
      </c>
      <c r="AZ39" s="355">
        <f>+('Bal Sht'!AZ35-'Bal Sht'!AY35)</f>
        <v>0</v>
      </c>
      <c r="BA39" s="355">
        <f>+('Bal Sht'!BA35-'Bal Sht'!AZ35)</f>
        <v>0</v>
      </c>
      <c r="BB39" s="355">
        <f>+('Bal Sht'!BB35-'Bal Sht'!BA35)</f>
        <v>0</v>
      </c>
      <c r="BC39" s="79">
        <f t="shared" si="48"/>
        <v>0</v>
      </c>
      <c r="BD39" s="61"/>
      <c r="BE39" s="355">
        <f>+('Bal Sht'!BE35-'Bal Sht'!BB35)</f>
        <v>0</v>
      </c>
      <c r="BF39" s="355">
        <f>+('Bal Sht'!BF35-'Bal Sht'!BE35)</f>
        <v>0</v>
      </c>
      <c r="BG39" s="355">
        <f>+('Bal Sht'!BG35-'Bal Sht'!BF35)</f>
        <v>0</v>
      </c>
      <c r="BH39" s="355">
        <f>+('Bal Sht'!BH35-'Bal Sht'!BG35)</f>
        <v>0</v>
      </c>
      <c r="BI39" s="79">
        <f t="shared" si="50"/>
        <v>0</v>
      </c>
      <c r="BJ39" s="61"/>
      <c r="BK39" s="429">
        <v>199</v>
      </c>
      <c r="BL39" s="429">
        <f>204+199-200-0.6-BK39</f>
        <v>3.4000000000000057</v>
      </c>
      <c r="BM39" s="429">
        <f>204+199-200-37-0.6-SUM(BK39:BL39)</f>
        <v>-37</v>
      </c>
      <c r="BN39" s="856">
        <f>204+199-200-105-0.6-SUM(BK39:BM39)</f>
        <v>-68</v>
      </c>
      <c r="BO39" s="79">
        <f t="shared" si="53"/>
        <v>97.4</v>
      </c>
      <c r="BP39" s="241"/>
      <c r="BQ39" s="429">
        <f>-25</f>
        <v>-25</v>
      </c>
      <c r="BR39" s="429">
        <f>-56-BQ39</f>
        <v>-31</v>
      </c>
      <c r="BS39" s="355">
        <f>('Bal Sht'!BS29-'Bal Sht'!BR29)+('Bal Sht'!BS35-'Bal Sht'!BR35)</f>
        <v>-24.774999999999999</v>
      </c>
      <c r="BT39" s="355">
        <f>('Bal Sht'!BT29-'Bal Sht'!BS29)+('Bal Sht'!BT35-'Bal Sht'!BS35)</f>
        <v>0</v>
      </c>
      <c r="BU39" s="183">
        <f t="shared" si="54"/>
        <v>-80.775000000000006</v>
      </c>
      <c r="BV39" s="241"/>
      <c r="BW39" s="355">
        <f>+('Bal Sht'!BW29-'Bal Sht'!BT29)+('Bal Sht'!BW35-'Bal Sht'!BT35)</f>
        <v>0</v>
      </c>
      <c r="BX39" s="355">
        <f>('Bal Sht'!BX29-'Bal Sht'!BW29)+('Bal Sht'!BX35-'Bal Sht'!BW35)</f>
        <v>0</v>
      </c>
      <c r="BY39" s="355">
        <f>('Bal Sht'!BY29-'Bal Sht'!BX29)+('Bal Sht'!BY35-'Bal Sht'!BX35)</f>
        <v>0</v>
      </c>
      <c r="BZ39" s="355">
        <f>('Bal Sht'!BZ29-'Bal Sht'!BY29)+('Bal Sht'!BZ35-'Bal Sht'!BY35)</f>
        <v>0</v>
      </c>
      <c r="CA39" s="183">
        <f t="shared" si="55"/>
        <v>0</v>
      </c>
      <c r="CB39" s="241"/>
      <c r="CC39" s="355">
        <f>+('Bal Sht'!CC29-'Bal Sht'!BZ29)+('Bal Sht'!CC35-'Bal Sht'!BZ35)</f>
        <v>0</v>
      </c>
      <c r="CD39" s="355">
        <f>('Bal Sht'!CD29-'Bal Sht'!CC29)+('Bal Sht'!CD35-'Bal Sht'!CC35)</f>
        <v>0</v>
      </c>
      <c r="CE39" s="355">
        <f>('Bal Sht'!CE29-'Bal Sht'!CD29)+('Bal Sht'!CE35-'Bal Sht'!CD35)</f>
        <v>0</v>
      </c>
      <c r="CF39" s="355">
        <f>('Bal Sht'!CF29-'Bal Sht'!CE29)+('Bal Sht'!CF35-'Bal Sht'!CE35)</f>
        <v>0</v>
      </c>
      <c r="CG39" s="183">
        <f t="shared" si="56"/>
        <v>0</v>
      </c>
      <c r="CH39" s="241"/>
      <c r="CI39" s="355">
        <f>+('Bal Sht'!CI29-'Bal Sht'!CF29)+('Bal Sht'!CI35-'Bal Sht'!CF35)</f>
        <v>0</v>
      </c>
      <c r="CJ39" s="355">
        <f>('Bal Sht'!CJ29-'Bal Sht'!CI29)+('Bal Sht'!CJ35-'Bal Sht'!CI35)</f>
        <v>0</v>
      </c>
      <c r="CK39" s="355">
        <f>('Bal Sht'!CK29-'Bal Sht'!CJ29)+('Bal Sht'!CK35-'Bal Sht'!CJ35)</f>
        <v>0</v>
      </c>
      <c r="CL39" s="355">
        <f>('Bal Sht'!CL29-'Bal Sht'!CK29)+('Bal Sht'!CL35-'Bal Sht'!CK35)</f>
        <v>0</v>
      </c>
      <c r="CM39" s="183">
        <f t="shared" si="57"/>
        <v>0</v>
      </c>
      <c r="CN39" s="241"/>
      <c r="CO39" s="355">
        <f>+('Bal Sht'!CO29-'Bal Sht'!CL29)+('Bal Sht'!CO35-'Bal Sht'!CL35)</f>
        <v>0</v>
      </c>
      <c r="CP39" s="355">
        <f>('Bal Sht'!CP29-'Bal Sht'!CO29)+('Bal Sht'!CP35-'Bal Sht'!CO35)</f>
        <v>0</v>
      </c>
      <c r="CQ39" s="355">
        <f>('Bal Sht'!CQ29-'Bal Sht'!CP29)+('Bal Sht'!CQ35-'Bal Sht'!CP35)</f>
        <v>0</v>
      </c>
      <c r="CR39" s="355">
        <f>('Bal Sht'!CR29-'Bal Sht'!CQ29)+('Bal Sht'!CR35-'Bal Sht'!CQ35)</f>
        <v>0</v>
      </c>
      <c r="CS39" s="183">
        <f t="shared" si="58"/>
        <v>0</v>
      </c>
      <c r="CT39" s="176"/>
      <c r="CX39" s="11"/>
      <c r="CY39" s="11"/>
    </row>
    <row r="40" spans="1:122" x14ac:dyDescent="0.2">
      <c r="A40" s="75" t="s">
        <v>326</v>
      </c>
      <c r="B40" s="241"/>
      <c r="C40" s="430">
        <v>0.80700000000000005</v>
      </c>
      <c r="D40" s="430">
        <f>3.731-C40</f>
        <v>2.9239999999999999</v>
      </c>
      <c r="E40" s="430">
        <f>5.451+105.282-D40-C40</f>
        <v>107.00199999999998</v>
      </c>
      <c r="F40" s="430">
        <f>12.171+105.28-E40-D40-C40</f>
        <v>6.7180000000000124</v>
      </c>
      <c r="G40" s="79">
        <f t="shared" si="40"/>
        <v>117.45099999999999</v>
      </c>
      <c r="H40" s="432"/>
      <c r="I40" s="430">
        <v>6.4969999999999999</v>
      </c>
      <c r="J40" s="430">
        <f>15.031-I40</f>
        <v>8.5340000000000007</v>
      </c>
      <c r="K40" s="430">
        <f>18.387-J40-I40</f>
        <v>3.3559999999999999</v>
      </c>
      <c r="L40" s="430">
        <f>20.671+1.2-K40-J40-I40</f>
        <v>3.484</v>
      </c>
      <c r="M40" s="79">
        <f t="shared" si="41"/>
        <v>21.871000000000002</v>
      </c>
      <c r="N40" s="432"/>
      <c r="O40" s="429">
        <v>38.264000000000003</v>
      </c>
      <c r="P40" s="430">
        <f>46.534-O40</f>
        <v>8.269999999999996</v>
      </c>
      <c r="Q40" s="430">
        <f>78.216-P40-O40</f>
        <v>31.681999999999995</v>
      </c>
      <c r="R40" s="430">
        <f>84.209-Q40-P40-O40</f>
        <v>5.9930000000000092</v>
      </c>
      <c r="S40" s="79">
        <f t="shared" si="42"/>
        <v>84.209000000000003</v>
      </c>
      <c r="T40" s="432"/>
      <c r="U40" s="429">
        <v>3.1930000000000001</v>
      </c>
      <c r="V40" s="430">
        <f>6.223-U40</f>
        <v>3.03</v>
      </c>
      <c r="W40" s="430">
        <f>18.714-V40-U40</f>
        <v>12.491</v>
      </c>
      <c r="X40" s="430">
        <f>22.305-W40-V40-U40</f>
        <v>3.5910000000000006</v>
      </c>
      <c r="Y40" s="79">
        <f t="shared" si="43"/>
        <v>22.305</v>
      </c>
      <c r="Z40" s="432"/>
      <c r="AA40" s="429">
        <v>0.74399999999999999</v>
      </c>
      <c r="AB40" s="430">
        <f>7.183-AA40</f>
        <v>6.4390000000000001</v>
      </c>
      <c r="AC40" s="430">
        <f>7.958-AB40-AA40</f>
        <v>0.77500000000000013</v>
      </c>
      <c r="AD40" s="430">
        <f>25.06-AC40-AB40-AA40</f>
        <v>17.102</v>
      </c>
      <c r="AE40" s="175">
        <f t="shared" si="44"/>
        <v>25.060000000000002</v>
      </c>
      <c r="AF40" s="432"/>
      <c r="AG40" s="429">
        <v>0.84399999999999997</v>
      </c>
      <c r="AH40" s="430">
        <f>7.687-AG40</f>
        <v>6.843</v>
      </c>
      <c r="AI40" s="430">
        <f>18.058-AH40-AG40</f>
        <v>10.371</v>
      </c>
      <c r="AJ40" s="430">
        <f>25.029-AI40-AH40-AG40</f>
        <v>6.9709999999999992</v>
      </c>
      <c r="AK40" s="79">
        <f t="shared" si="45"/>
        <v>25.029</v>
      </c>
      <c r="AL40" s="432"/>
      <c r="AM40" s="429">
        <v>8.6159999999999997</v>
      </c>
      <c r="AN40" s="429">
        <f>23.903-AM40</f>
        <v>15.286999999999999</v>
      </c>
      <c r="AO40" s="430">
        <f>25.506-AN40-AM40</f>
        <v>1.6030000000000015</v>
      </c>
      <c r="AP40" s="430">
        <f>57.825-AO40-AN40-AM40</f>
        <v>32.319000000000003</v>
      </c>
      <c r="AQ40" s="79">
        <f t="shared" si="46"/>
        <v>57.825000000000003</v>
      </c>
      <c r="AR40" s="432"/>
      <c r="AS40" s="429">
        <v>0.79100000000000004</v>
      </c>
      <c r="AT40" s="429">
        <f>6.362-AS40</f>
        <v>5.5709999999999997</v>
      </c>
      <c r="AU40" s="430">
        <f>47.156-AT40-AS40</f>
        <v>40.794000000000004</v>
      </c>
      <c r="AV40" s="430">
        <f>64.762-AU40-AT40-AS40</f>
        <v>17.605999999999998</v>
      </c>
      <c r="AW40" s="79">
        <f t="shared" si="47"/>
        <v>64.762</v>
      </c>
      <c r="AX40" s="61"/>
      <c r="AY40" s="429">
        <v>15.099</v>
      </c>
      <c r="AZ40" s="429">
        <f>20.195-AY40</f>
        <v>5.0960000000000001</v>
      </c>
      <c r="BA40" s="429">
        <f>25.635-AZ40-AY40</f>
        <v>5.4400000000000013</v>
      </c>
      <c r="BB40" s="429">
        <f>30-SUM(AY40:BA40)</f>
        <v>4.3649999999999984</v>
      </c>
      <c r="BC40" s="79">
        <f t="shared" si="48"/>
        <v>30</v>
      </c>
      <c r="BD40" s="61"/>
      <c r="BE40" s="429">
        <v>22.8</v>
      </c>
      <c r="BF40" s="429">
        <f>84.9-BE40</f>
        <v>62.100000000000009</v>
      </c>
      <c r="BG40" s="429">
        <f>85.9-SUM(BE40:BF40)</f>
        <v>1</v>
      </c>
      <c r="BH40" s="429">
        <f>94.3-SUM(BE40:BG40)</f>
        <v>8.3999999999999915</v>
      </c>
      <c r="BI40" s="79">
        <f t="shared" si="50"/>
        <v>94.3</v>
      </c>
      <c r="BJ40" s="61"/>
      <c r="BK40" s="429">
        <v>-1.9</v>
      </c>
      <c r="BL40" s="429">
        <f>1-BK40</f>
        <v>2.9</v>
      </c>
      <c r="BM40" s="429">
        <f>1.3-SUM(BK40:BL40)</f>
        <v>0.30000000000000004</v>
      </c>
      <c r="BN40" s="856">
        <f>6-SUM(BK40:BM40)</f>
        <v>4.7</v>
      </c>
      <c r="BO40" s="79">
        <f t="shared" si="53"/>
        <v>6</v>
      </c>
      <c r="BP40" s="61"/>
      <c r="BQ40" s="429">
        <v>1.7</v>
      </c>
      <c r="BR40" s="429">
        <f>6.3-BQ40</f>
        <v>4.5999999999999996</v>
      </c>
      <c r="BS40" s="183">
        <f>+BS80</f>
        <v>2.56632189866</v>
      </c>
      <c r="BT40" s="183">
        <f>+BT80</f>
        <v>2.7853827104655506</v>
      </c>
      <c r="BU40" s="79">
        <f t="shared" si="54"/>
        <v>11.651704609125552</v>
      </c>
      <c r="BV40" s="61"/>
      <c r="BW40" s="183">
        <f>+BW80</f>
        <v>4.1610298180186538</v>
      </c>
      <c r="BX40" s="183">
        <f>+BX80</f>
        <v>4.1604399577477489</v>
      </c>
      <c r="BY40" s="183">
        <f>+BY80</f>
        <v>2.3872775235246166</v>
      </c>
      <c r="BZ40" s="183">
        <f>+BZ80</f>
        <v>2.5910551371519279</v>
      </c>
      <c r="CA40" s="79">
        <f t="shared" si="55"/>
        <v>13.299802436442947</v>
      </c>
      <c r="CB40" s="61"/>
      <c r="CC40" s="183">
        <f>+CC80</f>
        <v>3.8707275827161158</v>
      </c>
      <c r="CD40" s="183">
        <f>+CD80</f>
        <v>3.8701788751796657</v>
      </c>
      <c r="CE40" s="183">
        <f>+CE80</f>
        <v>2.22072452302324</v>
      </c>
      <c r="CF40" s="183">
        <f>+CF80</f>
        <v>2.4102852001401582</v>
      </c>
      <c r="CG40" s="79">
        <f t="shared" si="56"/>
        <v>12.371916181059181</v>
      </c>
      <c r="CH40" s="61"/>
      <c r="CI40" s="183">
        <f>+CI80</f>
        <v>3.6006788403005343</v>
      </c>
      <c r="CJ40" s="183">
        <f>+CJ80</f>
        <v>3.6001684143989978</v>
      </c>
      <c r="CK40" s="183">
        <f>+CK80</f>
        <v>2.0657914124184757</v>
      </c>
      <c r="CL40" s="183">
        <f>+CL80</f>
        <v>2.2421270249001428</v>
      </c>
      <c r="CM40" s="79">
        <f t="shared" si="57"/>
        <v>11.50876569201815</v>
      </c>
      <c r="CN40" s="61"/>
      <c r="CO40" s="183">
        <f>+CO80</f>
        <v>3.349470566949702</v>
      </c>
      <c r="CP40" s="183">
        <f>+CP80</f>
        <v>3.3489957518913109</v>
      </c>
      <c r="CQ40" s="183">
        <f>+CQ80</f>
        <v>1.9216675077790639</v>
      </c>
      <c r="CR40" s="183">
        <f>+CR80</f>
        <v>2.0857007276546509</v>
      </c>
      <c r="CS40" s="79">
        <f t="shared" si="58"/>
        <v>10.705834554274727</v>
      </c>
      <c r="CT40" s="176"/>
      <c r="CX40" s="79"/>
      <c r="CY40" s="79"/>
    </row>
    <row r="41" spans="1:122" ht="12" customHeight="1" x14ac:dyDescent="0.2">
      <c r="A41" s="75" t="s">
        <v>322</v>
      </c>
      <c r="B41" s="254"/>
      <c r="C41" s="430">
        <v>0</v>
      </c>
      <c r="D41" s="430">
        <f>0-C41</f>
        <v>0</v>
      </c>
      <c r="E41" s="430">
        <f>0-D41-C41</f>
        <v>0</v>
      </c>
      <c r="F41" s="430">
        <f>0-E41-D41-C41</f>
        <v>0</v>
      </c>
      <c r="G41" s="79">
        <f t="shared" si="40"/>
        <v>0</v>
      </c>
      <c r="H41" s="432"/>
      <c r="I41" s="430">
        <v>0</v>
      </c>
      <c r="J41" s="430">
        <f>0-I41</f>
        <v>0</v>
      </c>
      <c r="K41" s="430">
        <f>0-J41-I41</f>
        <v>0</v>
      </c>
      <c r="L41" s="430">
        <f>0-K41-J41-I41</f>
        <v>0</v>
      </c>
      <c r="M41" s="79">
        <f t="shared" si="41"/>
        <v>0</v>
      </c>
      <c r="N41" s="432"/>
      <c r="O41" s="429">
        <v>0</v>
      </c>
      <c r="P41" s="430">
        <f>0-O41</f>
        <v>0</v>
      </c>
      <c r="Q41" s="430">
        <f>0-P41-O41</f>
        <v>0</v>
      </c>
      <c r="R41" s="430">
        <f>0-Q41-P41-O41</f>
        <v>0</v>
      </c>
      <c r="S41" s="79">
        <f t="shared" si="42"/>
        <v>0</v>
      </c>
      <c r="T41" s="432"/>
      <c r="U41" s="429">
        <v>0</v>
      </c>
      <c r="V41" s="430">
        <f>0-U41</f>
        <v>0</v>
      </c>
      <c r="W41" s="430">
        <f>0-V41-U41</f>
        <v>0</v>
      </c>
      <c r="X41" s="430">
        <f>0-W41-V41-U41</f>
        <v>0</v>
      </c>
      <c r="Y41" s="79">
        <f t="shared" si="43"/>
        <v>0</v>
      </c>
      <c r="Z41" s="432"/>
      <c r="AA41" s="429">
        <v>12.358000000000001</v>
      </c>
      <c r="AB41" s="430">
        <f>27.693-AA41</f>
        <v>15.335000000000001</v>
      </c>
      <c r="AC41" s="430">
        <f>44.182-AB41-AA41</f>
        <v>16.489000000000001</v>
      </c>
      <c r="AD41" s="430">
        <f>58.831-AC41-AB41-AA41</f>
        <v>14.648999999999997</v>
      </c>
      <c r="AE41" s="175">
        <f t="shared" si="44"/>
        <v>58.831000000000003</v>
      </c>
      <c r="AF41" s="432"/>
      <c r="AG41" s="429">
        <v>17.04</v>
      </c>
      <c r="AH41" s="430">
        <f>31.489-AG41</f>
        <v>14.449000000000002</v>
      </c>
      <c r="AI41" s="430">
        <f>32.197-AH41-AG41</f>
        <v>0.70800000000000196</v>
      </c>
      <c r="AJ41" s="430">
        <f>34.193-AI41-AH41-AG41</f>
        <v>1.9959999999999987</v>
      </c>
      <c r="AK41" s="79">
        <f t="shared" si="45"/>
        <v>34.192999999999998</v>
      </c>
      <c r="AL41" s="432"/>
      <c r="AM41" s="429">
        <v>0.46300000000000002</v>
      </c>
      <c r="AN41" s="429">
        <f>3.623-AM41</f>
        <v>3.16</v>
      </c>
      <c r="AO41" s="430">
        <f>5.265-AN41-AM41</f>
        <v>1.6419999999999995</v>
      </c>
      <c r="AP41" s="430">
        <f>7.888-AO41-AN41-AM41</f>
        <v>2.6230000000000002</v>
      </c>
      <c r="AQ41" s="79">
        <f t="shared" si="46"/>
        <v>7.8879999999999999</v>
      </c>
      <c r="AR41" s="432"/>
      <c r="AS41" s="429">
        <v>1.4E-2</v>
      </c>
      <c r="AT41" s="429">
        <f>0.592-AS41</f>
        <v>0.57799999999999996</v>
      </c>
      <c r="AU41" s="430">
        <f>5.109-AT41-AS41</f>
        <v>4.5169999999999995</v>
      </c>
      <c r="AV41" s="430">
        <f>11.143-AU41-AT41-AS41</f>
        <v>6.0340000000000007</v>
      </c>
      <c r="AW41" s="79">
        <f t="shared" si="47"/>
        <v>11.143000000000001</v>
      </c>
      <c r="AX41" s="61"/>
      <c r="AY41" s="429">
        <v>1.6759999999999999</v>
      </c>
      <c r="AZ41" s="429">
        <f>2.629-AY41</f>
        <v>0.95300000000000007</v>
      </c>
      <c r="BA41" s="429">
        <f>3.199-AZ41-AY41</f>
        <v>0.56999999999999962</v>
      </c>
      <c r="BB41" s="429">
        <f>3.4-SUM(AY41:BA41)</f>
        <v>0.20100000000000007</v>
      </c>
      <c r="BC41" s="79">
        <f t="shared" si="48"/>
        <v>3.4</v>
      </c>
      <c r="BD41" s="61"/>
      <c r="BE41" s="429">
        <v>4.9000000000000004</v>
      </c>
      <c r="BF41" s="429">
        <f>16.1-BE41</f>
        <v>11.200000000000001</v>
      </c>
      <c r="BG41" s="429">
        <f>17.9-SUM(BE41:BF41)</f>
        <v>1.7999999999999972</v>
      </c>
      <c r="BH41" s="429">
        <f t="shared" si="49"/>
        <v>-17.899999999999999</v>
      </c>
      <c r="BI41" s="79">
        <f t="shared" si="50"/>
        <v>0</v>
      </c>
      <c r="BJ41" s="61"/>
      <c r="BK41" s="429">
        <v>0</v>
      </c>
      <c r="BL41" s="429">
        <f t="shared" ref="BL41:BL43" si="59">0-BK41</f>
        <v>0</v>
      </c>
      <c r="BM41" s="429">
        <f t="shared" si="51"/>
        <v>0</v>
      </c>
      <c r="BN41" s="856">
        <f t="shared" si="52"/>
        <v>0</v>
      </c>
      <c r="BO41" s="79">
        <f t="shared" si="53"/>
        <v>0</v>
      </c>
      <c r="BP41" s="61"/>
      <c r="BQ41" s="429">
        <v>0</v>
      </c>
      <c r="BR41" s="429">
        <f t="shared" ref="BR41:BR43" si="60">0-BQ41</f>
        <v>0</v>
      </c>
      <c r="BS41" s="355">
        <v>0</v>
      </c>
      <c r="BT41" s="355">
        <v>0</v>
      </c>
      <c r="BU41" s="79">
        <f t="shared" si="54"/>
        <v>0</v>
      </c>
      <c r="BV41" s="61"/>
      <c r="BW41" s="355">
        <v>0</v>
      </c>
      <c r="BX41" s="355">
        <v>0</v>
      </c>
      <c r="BY41" s="355">
        <v>0</v>
      </c>
      <c r="BZ41" s="355">
        <v>0</v>
      </c>
      <c r="CA41" s="79">
        <f t="shared" si="55"/>
        <v>0</v>
      </c>
      <c r="CB41" s="61"/>
      <c r="CC41" s="355">
        <v>0</v>
      </c>
      <c r="CD41" s="355">
        <v>0</v>
      </c>
      <c r="CE41" s="355">
        <v>0</v>
      </c>
      <c r="CF41" s="355">
        <v>0</v>
      </c>
      <c r="CG41" s="79">
        <f t="shared" si="56"/>
        <v>0</v>
      </c>
      <c r="CH41" s="61"/>
      <c r="CI41" s="355">
        <v>0</v>
      </c>
      <c r="CJ41" s="355">
        <v>0</v>
      </c>
      <c r="CK41" s="355">
        <v>0</v>
      </c>
      <c r="CL41" s="355">
        <v>0</v>
      </c>
      <c r="CM41" s="79">
        <f t="shared" si="57"/>
        <v>0</v>
      </c>
      <c r="CN41" s="61"/>
      <c r="CO41" s="355">
        <v>0</v>
      </c>
      <c r="CP41" s="355">
        <v>0</v>
      </c>
      <c r="CQ41" s="355">
        <v>0</v>
      </c>
      <c r="CR41" s="355">
        <v>0</v>
      </c>
      <c r="CS41" s="79">
        <f t="shared" si="58"/>
        <v>0</v>
      </c>
      <c r="CT41" s="176"/>
      <c r="CY41" s="79"/>
    </row>
    <row r="42" spans="1:122" x14ac:dyDescent="0.2">
      <c r="A42" s="75" t="s">
        <v>265</v>
      </c>
      <c r="B42" s="254"/>
      <c r="C42" s="430">
        <v>0</v>
      </c>
      <c r="D42" s="430">
        <f>0-C42</f>
        <v>0</v>
      </c>
      <c r="E42" s="430">
        <f>0-D42-C42</f>
        <v>0</v>
      </c>
      <c r="F42" s="430">
        <f>0-E42-D42-C42</f>
        <v>0</v>
      </c>
      <c r="G42" s="79">
        <f t="shared" si="40"/>
        <v>0</v>
      </c>
      <c r="H42" s="432"/>
      <c r="I42" s="430">
        <v>0</v>
      </c>
      <c r="J42" s="430">
        <f>0-I42</f>
        <v>0</v>
      </c>
      <c r="K42" s="430">
        <f>0-J42-I42</f>
        <v>0</v>
      </c>
      <c r="L42" s="430">
        <f>0-K42-J42-I42</f>
        <v>0</v>
      </c>
      <c r="M42" s="79">
        <f t="shared" si="41"/>
        <v>0</v>
      </c>
      <c r="N42" s="432"/>
      <c r="O42" s="429">
        <v>0</v>
      </c>
      <c r="P42" s="430">
        <f>0-O42</f>
        <v>0</v>
      </c>
      <c r="Q42" s="430">
        <f>0-P42-O42</f>
        <v>0</v>
      </c>
      <c r="R42" s="430">
        <f>0-Q42-P42-O42</f>
        <v>0</v>
      </c>
      <c r="S42" s="79">
        <f t="shared" si="42"/>
        <v>0</v>
      </c>
      <c r="T42" s="432"/>
      <c r="U42" s="429">
        <v>0</v>
      </c>
      <c r="V42" s="430">
        <f>0-U42</f>
        <v>0</v>
      </c>
      <c r="W42" s="430">
        <f>0-V42-U42</f>
        <v>0</v>
      </c>
      <c r="X42" s="430">
        <f>-71.393-W42-V42-U42</f>
        <v>-71.393000000000001</v>
      </c>
      <c r="Y42" s="79">
        <f t="shared" si="43"/>
        <v>-71.393000000000001</v>
      </c>
      <c r="Z42" s="432"/>
      <c r="AA42" s="429">
        <v>-28.606000000000002</v>
      </c>
      <c r="AB42" s="430">
        <f>-90.536-AA42</f>
        <v>-61.93</v>
      </c>
      <c r="AC42" s="430">
        <f>-178.607-AB42-AA42</f>
        <v>-88.070999999999998</v>
      </c>
      <c r="AD42" s="430">
        <f>-200.49-AC42-AB42-AA42</f>
        <v>-21.88300000000001</v>
      </c>
      <c r="AE42" s="175">
        <f t="shared" si="44"/>
        <v>-200.49</v>
      </c>
      <c r="AF42" s="67"/>
      <c r="AG42" s="429">
        <v>-37.180999999999997</v>
      </c>
      <c r="AH42" s="429">
        <f>-55.466-AG42</f>
        <v>-18.285000000000004</v>
      </c>
      <c r="AI42" s="430">
        <f>-67.471-AH42-AG42</f>
        <v>-12.005000000000003</v>
      </c>
      <c r="AJ42" s="430">
        <f>-128.467-AI42-AH42-AG42</f>
        <v>-60.996000000000024</v>
      </c>
      <c r="AK42" s="79">
        <f t="shared" si="45"/>
        <v>-128.46700000000004</v>
      </c>
      <c r="AL42" s="67"/>
      <c r="AM42" s="429">
        <v>-46.198999999999998</v>
      </c>
      <c r="AN42" s="429">
        <f>-79.883-AM42</f>
        <v>-33.683999999999997</v>
      </c>
      <c r="AO42" s="430">
        <f>-124.705-AN42-AM42</f>
        <v>-44.822000000000003</v>
      </c>
      <c r="AP42" s="430">
        <f>-146.268-AO42-AN42-AM42</f>
        <v>-21.563000000000002</v>
      </c>
      <c r="AQ42" s="79">
        <f t="shared" si="46"/>
        <v>-146.268</v>
      </c>
      <c r="AR42" s="67"/>
      <c r="AS42" s="429">
        <v>-102.316</v>
      </c>
      <c r="AT42" s="429">
        <f>-180.124-AS42</f>
        <v>-77.807999999999993</v>
      </c>
      <c r="AU42" s="430">
        <f>-222.014-AT42-AS42</f>
        <v>-41.890000000000015</v>
      </c>
      <c r="AV42" s="430">
        <f>-287.703-AU42-AT42-AS42</f>
        <v>-65.688999999999965</v>
      </c>
      <c r="AW42" s="79">
        <f t="shared" si="47"/>
        <v>-287.70299999999997</v>
      </c>
      <c r="AX42" s="67"/>
      <c r="AY42" s="429">
        <v>-45.628999999999998</v>
      </c>
      <c r="AZ42" s="429">
        <f>-103.952-AY42</f>
        <v>-58.323</v>
      </c>
      <c r="BA42" s="429">
        <f>-165.946-AZ42-AY42</f>
        <v>-61.993999999999993</v>
      </c>
      <c r="BB42" s="429">
        <f>-210.7-SUM(AY42:BA42)</f>
        <v>-44.753999999999991</v>
      </c>
      <c r="BC42" s="79">
        <f t="shared" si="48"/>
        <v>-210.7</v>
      </c>
      <c r="BD42" s="67"/>
      <c r="BE42" s="429">
        <v>-38</v>
      </c>
      <c r="BF42" s="429">
        <f>-62.9-BE42</f>
        <v>-24.9</v>
      </c>
      <c r="BG42" s="429">
        <f>-107.9-SUM(BE42:BF42)</f>
        <v>-45.000000000000007</v>
      </c>
      <c r="BH42" s="429">
        <f>-162.6-SUM(BE42:BG42)</f>
        <v>-54.699999999999989</v>
      </c>
      <c r="BI42" s="79">
        <f t="shared" si="50"/>
        <v>-162.6</v>
      </c>
      <c r="BJ42" s="67"/>
      <c r="BK42" s="429">
        <v>-21.3</v>
      </c>
      <c r="BL42" s="429">
        <f>-31.6-BK42</f>
        <v>-10.3</v>
      </c>
      <c r="BM42" s="429">
        <f>-31.6-SUM(BK42:BL42)</f>
        <v>0</v>
      </c>
      <c r="BN42" s="856">
        <f>-31.6-SUM(BK42:BM42)</f>
        <v>0</v>
      </c>
      <c r="BO42" s="79">
        <f t="shared" si="53"/>
        <v>-31.6</v>
      </c>
      <c r="BP42" s="67"/>
      <c r="BQ42" s="429">
        <v>0</v>
      </c>
      <c r="BR42" s="429">
        <f>-BQ42</f>
        <v>0</v>
      </c>
      <c r="BS42" s="355">
        <f>+BR42</f>
        <v>0</v>
      </c>
      <c r="BT42" s="355">
        <f>+BS42</f>
        <v>0</v>
      </c>
      <c r="BU42" s="79">
        <f t="shared" si="54"/>
        <v>0</v>
      </c>
      <c r="BV42" s="67"/>
      <c r="BW42" s="355">
        <v>-20</v>
      </c>
      <c r="BX42" s="355">
        <f>+BW42</f>
        <v>-20</v>
      </c>
      <c r="BY42" s="355">
        <f>+BX42</f>
        <v>-20</v>
      </c>
      <c r="BZ42" s="355">
        <f>+BY42</f>
        <v>-20</v>
      </c>
      <c r="CA42" s="79">
        <f t="shared" si="55"/>
        <v>-80</v>
      </c>
      <c r="CB42" s="67"/>
      <c r="CC42" s="355">
        <v>-20</v>
      </c>
      <c r="CD42" s="355">
        <f>+CC42</f>
        <v>-20</v>
      </c>
      <c r="CE42" s="355">
        <f>+CD42</f>
        <v>-20</v>
      </c>
      <c r="CF42" s="355">
        <f>+CE42</f>
        <v>-20</v>
      </c>
      <c r="CG42" s="79">
        <f t="shared" si="56"/>
        <v>-80</v>
      </c>
      <c r="CH42" s="67"/>
      <c r="CI42" s="355">
        <v>-20</v>
      </c>
      <c r="CJ42" s="355">
        <f>+CI42</f>
        <v>-20</v>
      </c>
      <c r="CK42" s="355">
        <f>+CJ42</f>
        <v>-20</v>
      </c>
      <c r="CL42" s="355">
        <f>+CK42</f>
        <v>-20</v>
      </c>
      <c r="CM42" s="79">
        <f t="shared" si="57"/>
        <v>-80</v>
      </c>
      <c r="CN42" s="67"/>
      <c r="CO42" s="355">
        <v>-20</v>
      </c>
      <c r="CP42" s="355">
        <f>+CO42</f>
        <v>-20</v>
      </c>
      <c r="CQ42" s="355">
        <f>+CP42</f>
        <v>-20</v>
      </c>
      <c r="CR42" s="355">
        <f>+CQ42</f>
        <v>-20</v>
      </c>
      <c r="CS42" s="79">
        <f t="shared" si="58"/>
        <v>-80</v>
      </c>
      <c r="CT42" s="67"/>
      <c r="CV42" s="355"/>
      <c r="CW42" s="355"/>
      <c r="CX42" s="355"/>
      <c r="CY42" s="79"/>
      <c r="DF42" s="79"/>
      <c r="DG42" s="67"/>
      <c r="DH42" s="355"/>
      <c r="DI42" s="355"/>
      <c r="DJ42" s="355"/>
      <c r="DK42" s="355"/>
      <c r="DL42" s="79"/>
      <c r="DM42" s="67"/>
      <c r="DN42" s="355"/>
      <c r="DO42" s="355"/>
      <c r="DP42" s="355"/>
      <c r="DQ42" s="355"/>
      <c r="DR42" s="79"/>
    </row>
    <row r="43" spans="1:122" x14ac:dyDescent="0.2">
      <c r="A43" s="447" t="s">
        <v>276</v>
      </c>
      <c r="B43" s="254"/>
      <c r="C43" s="430">
        <v>0</v>
      </c>
      <c r="D43" s="430">
        <f>0-C43</f>
        <v>0</v>
      </c>
      <c r="E43" s="430">
        <f>0-D43-C43</f>
        <v>0</v>
      </c>
      <c r="F43" s="430">
        <f>0-E43-D43-C43</f>
        <v>0</v>
      </c>
      <c r="G43" s="79">
        <f t="shared" si="40"/>
        <v>0</v>
      </c>
      <c r="H43" s="432"/>
      <c r="I43" s="430">
        <v>0</v>
      </c>
      <c r="J43" s="430">
        <f>0-I43</f>
        <v>0</v>
      </c>
      <c r="K43" s="430">
        <f>0-J43-I43</f>
        <v>0</v>
      </c>
      <c r="L43" s="430">
        <f>0-K43-J43-I43</f>
        <v>0</v>
      </c>
      <c r="M43" s="79">
        <f t="shared" si="41"/>
        <v>0</v>
      </c>
      <c r="N43" s="432"/>
      <c r="O43" s="430">
        <v>0</v>
      </c>
      <c r="P43" s="430">
        <f>0-O43</f>
        <v>0</v>
      </c>
      <c r="Q43" s="430">
        <f>0-P43-O43</f>
        <v>0</v>
      </c>
      <c r="R43" s="430">
        <f>0-Q43-P43-O43</f>
        <v>0</v>
      </c>
      <c r="S43" s="79">
        <f t="shared" si="42"/>
        <v>0</v>
      </c>
      <c r="T43" s="432"/>
      <c r="U43" s="430">
        <v>0</v>
      </c>
      <c r="V43" s="430">
        <f>0-U43</f>
        <v>0</v>
      </c>
      <c r="W43" s="430">
        <f>0-V43-U43</f>
        <v>0</v>
      </c>
      <c r="X43" s="430">
        <f>0-W43-V43-U43</f>
        <v>0</v>
      </c>
      <c r="Y43" s="79">
        <f t="shared" si="43"/>
        <v>0</v>
      </c>
      <c r="Z43" s="432"/>
      <c r="AA43" s="430">
        <v>0</v>
      </c>
      <c r="AB43" s="430">
        <f>0-AA43</f>
        <v>0</v>
      </c>
      <c r="AC43" s="430">
        <f>0-AB43-AA43</f>
        <v>0</v>
      </c>
      <c r="AD43" s="430">
        <f>0-AC43-AB43-AA43</f>
        <v>0</v>
      </c>
      <c r="AE43" s="79">
        <f t="shared" si="44"/>
        <v>0</v>
      </c>
      <c r="AF43" s="67"/>
      <c r="AG43" s="430">
        <v>0</v>
      </c>
      <c r="AH43" s="430">
        <f>0-AG43</f>
        <v>0</v>
      </c>
      <c r="AI43" s="430">
        <f>0-AH43-AG43</f>
        <v>0</v>
      </c>
      <c r="AJ43" s="430">
        <f>0-AI43-AH43-AG43</f>
        <v>0</v>
      </c>
      <c r="AK43" s="79">
        <f t="shared" si="45"/>
        <v>0</v>
      </c>
      <c r="AL43" s="67"/>
      <c r="AM43" s="430">
        <v>0</v>
      </c>
      <c r="AN43" s="430">
        <f>0-AM43</f>
        <v>0</v>
      </c>
      <c r="AO43" s="430">
        <f>0-AN43-AM43</f>
        <v>0</v>
      </c>
      <c r="AP43" s="430">
        <f>0-AO43-AN43-AM43</f>
        <v>0</v>
      </c>
      <c r="AQ43" s="79">
        <f t="shared" si="46"/>
        <v>0</v>
      </c>
      <c r="AR43" s="67"/>
      <c r="AS43" s="430">
        <v>0</v>
      </c>
      <c r="AT43" s="430">
        <f>0-AS43</f>
        <v>0</v>
      </c>
      <c r="AU43" s="430">
        <f>0-AT43-AS43</f>
        <v>0</v>
      </c>
      <c r="AV43" s="430">
        <f>0-AU43-AT43-AS43</f>
        <v>0</v>
      </c>
      <c r="AW43" s="79">
        <f t="shared" si="47"/>
        <v>0</v>
      </c>
      <c r="AX43" s="67"/>
      <c r="AY43" s="430">
        <v>0</v>
      </c>
      <c r="AZ43" s="430">
        <f>0-AY43</f>
        <v>0</v>
      </c>
      <c r="BA43" s="430">
        <f>0-AZ43-AY43</f>
        <v>0</v>
      </c>
      <c r="BB43" s="429">
        <f>0-SUM(AY43:BA43)</f>
        <v>0</v>
      </c>
      <c r="BC43" s="79">
        <f t="shared" si="48"/>
        <v>0</v>
      </c>
      <c r="BD43" s="67"/>
      <c r="BE43" s="429">
        <v>0</v>
      </c>
      <c r="BF43" s="429">
        <f>0-BE43</f>
        <v>0</v>
      </c>
      <c r="BG43" s="429">
        <f>0-SUM(BE43:BF43)</f>
        <v>0</v>
      </c>
      <c r="BH43" s="429">
        <f t="shared" si="49"/>
        <v>0</v>
      </c>
      <c r="BI43" s="79">
        <f t="shared" si="50"/>
        <v>0</v>
      </c>
      <c r="BJ43" s="67"/>
      <c r="BK43" s="429">
        <v>0</v>
      </c>
      <c r="BL43" s="429">
        <f t="shared" si="59"/>
        <v>0</v>
      </c>
      <c r="BM43" s="429">
        <f t="shared" si="51"/>
        <v>0</v>
      </c>
      <c r="BN43" s="856">
        <f t="shared" si="52"/>
        <v>0</v>
      </c>
      <c r="BO43" s="79">
        <f t="shared" si="53"/>
        <v>0</v>
      </c>
      <c r="BP43" s="67"/>
      <c r="BQ43" s="429">
        <v>0</v>
      </c>
      <c r="BR43" s="429">
        <f t="shared" si="60"/>
        <v>0</v>
      </c>
      <c r="BS43" s="183">
        <f>-BS62*'P&amp;L'!BS42</f>
        <v>0</v>
      </c>
      <c r="BT43" s="183">
        <f>-BT62*'P&amp;L'!BT42</f>
        <v>0</v>
      </c>
      <c r="BU43" s="79">
        <f t="shared" si="54"/>
        <v>0</v>
      </c>
      <c r="BV43" s="67"/>
      <c r="BW43" s="183">
        <f>-BW62*'P&amp;L'!BW42</f>
        <v>0</v>
      </c>
      <c r="BX43" s="183">
        <f>-BX62*'P&amp;L'!BX42</f>
        <v>0</v>
      </c>
      <c r="BY43" s="183">
        <f>-BY62*'P&amp;L'!BY42</f>
        <v>0</v>
      </c>
      <c r="BZ43" s="183">
        <f>-BZ62*'P&amp;L'!BZ42</f>
        <v>0</v>
      </c>
      <c r="CA43" s="79">
        <f t="shared" si="55"/>
        <v>0</v>
      </c>
      <c r="CB43" s="67"/>
      <c r="CC43" s="183">
        <f>-CC62*'P&amp;L'!CC42</f>
        <v>0</v>
      </c>
      <c r="CD43" s="183">
        <f>-CD62*'P&amp;L'!CD42</f>
        <v>0</v>
      </c>
      <c r="CE43" s="183">
        <f>-CE62*'P&amp;L'!CE42</f>
        <v>0</v>
      </c>
      <c r="CF43" s="183">
        <f>-CF62*'P&amp;L'!CF42</f>
        <v>0</v>
      </c>
      <c r="CG43" s="79">
        <f t="shared" si="56"/>
        <v>0</v>
      </c>
      <c r="CH43" s="67"/>
      <c r="CI43" s="183">
        <f>-CI62*'P&amp;L'!CI42</f>
        <v>0</v>
      </c>
      <c r="CJ43" s="183">
        <f>-CJ62*'P&amp;L'!CJ42</f>
        <v>0</v>
      </c>
      <c r="CK43" s="183">
        <f>-CK62*'P&amp;L'!CK42</f>
        <v>0</v>
      </c>
      <c r="CL43" s="183">
        <f>-CL62*'P&amp;L'!CL42</f>
        <v>0</v>
      </c>
      <c r="CM43" s="79">
        <f t="shared" si="57"/>
        <v>0</v>
      </c>
      <c r="CN43" s="67"/>
      <c r="CO43" s="183">
        <f>-CO62*'P&amp;L'!CO42</f>
        <v>0</v>
      </c>
      <c r="CP43" s="183">
        <f>-CP62*'P&amp;L'!CP42</f>
        <v>0</v>
      </c>
      <c r="CQ43" s="183">
        <f>-CQ62*'P&amp;L'!CQ42</f>
        <v>0</v>
      </c>
      <c r="CR43" s="183">
        <f>-CR62*'P&amp;L'!CR42</f>
        <v>0</v>
      </c>
      <c r="CS43" s="79">
        <f t="shared" si="58"/>
        <v>0</v>
      </c>
      <c r="CT43" s="176"/>
      <c r="CY43" s="79"/>
    </row>
    <row r="44" spans="1:122" x14ac:dyDescent="0.2">
      <c r="A44" s="5" t="s">
        <v>177</v>
      </c>
      <c r="B44" s="256"/>
      <c r="C44" s="178">
        <f>SUM(C38:C43)</f>
        <v>0.80700000000000005</v>
      </c>
      <c r="D44" s="178">
        <f>SUM(D38:D43)</f>
        <v>2.9239999999999999</v>
      </c>
      <c r="E44" s="178">
        <f>SUM(E38:E43)</f>
        <v>107.00199999999998</v>
      </c>
      <c r="F44" s="178">
        <f>SUM(F38:F43)</f>
        <v>6.7180000000000124</v>
      </c>
      <c r="G44" s="178">
        <f>SUM(G38:G43)</f>
        <v>117.45099999999999</v>
      </c>
      <c r="H44" s="63"/>
      <c r="I44" s="178">
        <f>SUM(I38:I43)</f>
        <v>6.4969999999999999</v>
      </c>
      <c r="J44" s="178">
        <f>SUM(J38:J43)</f>
        <v>8.5340000000000007</v>
      </c>
      <c r="K44" s="178">
        <f>SUM(K38:K43)</f>
        <v>3.3559999999999999</v>
      </c>
      <c r="L44" s="178">
        <f>SUM(L38:L43)</f>
        <v>3.484</v>
      </c>
      <c r="M44" s="178">
        <f>SUM(M38:M43)</f>
        <v>21.871000000000002</v>
      </c>
      <c r="N44" s="63"/>
      <c r="O44" s="178">
        <f>SUM(O38:O43)</f>
        <v>38.264000000000003</v>
      </c>
      <c r="P44" s="178">
        <f>SUM(P38:P43)</f>
        <v>8.269999999999996</v>
      </c>
      <c r="Q44" s="178">
        <f>SUM(Q38:Q43)</f>
        <v>31.681999999999995</v>
      </c>
      <c r="R44" s="178">
        <f>SUM(R38:R43)</f>
        <v>-130.13999999999999</v>
      </c>
      <c r="S44" s="178">
        <f>SUM(S38:S43)</f>
        <v>-51.924000000000007</v>
      </c>
      <c r="T44" s="63"/>
      <c r="U44" s="178">
        <f>SUM(U38:U43)</f>
        <v>3.1930000000000001</v>
      </c>
      <c r="V44" s="178">
        <f>SUM(V38:V43)</f>
        <v>3.03</v>
      </c>
      <c r="W44" s="178">
        <f>SUM(W38:W43)</f>
        <v>12.491</v>
      </c>
      <c r="X44" s="178">
        <f>SUM(X38:X43)</f>
        <v>-67.802000000000007</v>
      </c>
      <c r="Y44" s="178">
        <f>SUM(Y38:Y43)</f>
        <v>-49.088000000000001</v>
      </c>
      <c r="Z44" s="63"/>
      <c r="AA44" s="178">
        <f>SUM(AA38:AA43)</f>
        <v>-15.504000000000001</v>
      </c>
      <c r="AB44" s="178">
        <f>SUM(AB38:AB43)</f>
        <v>-40.155999999999999</v>
      </c>
      <c r="AC44" s="178">
        <f>SUM(AC38:AC43)</f>
        <v>-70.807000000000002</v>
      </c>
      <c r="AD44" s="178">
        <f>SUM(AD38:AD43)</f>
        <v>9.8679999999999879</v>
      </c>
      <c r="AE44" s="178">
        <f>SUM(AE38:AE43)</f>
        <v>-116.599</v>
      </c>
      <c r="AF44" s="67"/>
      <c r="AG44" s="178">
        <f>SUM(AG38:AG43)</f>
        <v>-19.296999999999997</v>
      </c>
      <c r="AH44" s="178">
        <f>SUM(AH38:AH43)</f>
        <v>3.0069999999999979</v>
      </c>
      <c r="AI44" s="178">
        <f>SUM(AI38:AI43)</f>
        <v>-0.92600000000000016</v>
      </c>
      <c r="AJ44" s="178">
        <f>SUM(AJ38:AJ43)</f>
        <v>-52.029000000000025</v>
      </c>
      <c r="AK44" s="178">
        <f>SUM(AK38:AK43)</f>
        <v>-69.245000000000047</v>
      </c>
      <c r="AL44" s="63"/>
      <c r="AM44" s="178">
        <f>SUM(AM38:AM43)</f>
        <v>-37.119999999999997</v>
      </c>
      <c r="AN44" s="178">
        <f>SUM(AN38:AN43)</f>
        <v>-15.236999999999998</v>
      </c>
      <c r="AO44" s="178">
        <f>SUM(AO38:AO43)</f>
        <v>-41.576999999999998</v>
      </c>
      <c r="AP44" s="178">
        <f>SUM(AP38:AP43)</f>
        <v>13.378999999999998</v>
      </c>
      <c r="AQ44" s="178">
        <f>SUM(AQ38:AQ43)</f>
        <v>-80.554999999999993</v>
      </c>
      <c r="AR44" s="63"/>
      <c r="AS44" s="178">
        <f>SUM(AS38:AS43)</f>
        <v>-101.511</v>
      </c>
      <c r="AT44" s="178">
        <f>SUM(AT38:AT43)</f>
        <v>-71.658999999999992</v>
      </c>
      <c r="AU44" s="178">
        <f>SUM(AU38:AU43)</f>
        <v>3.4209999999999923</v>
      </c>
      <c r="AV44" s="178">
        <f>SUM(AV38:AV43)</f>
        <v>-42.048999999999964</v>
      </c>
      <c r="AW44" s="178">
        <f>SUM(AW38:AW43)</f>
        <v>-211.79799999999997</v>
      </c>
      <c r="AX44" s="63"/>
      <c r="AY44" s="178">
        <f>SUM(AY38:AY43)</f>
        <v>-28.853999999999999</v>
      </c>
      <c r="AZ44" s="178">
        <f>SUM(AZ38:AZ43)</f>
        <v>-52.274000000000001</v>
      </c>
      <c r="BA44" s="178">
        <f>SUM(BA38:BA43)</f>
        <v>-55.983999999999995</v>
      </c>
      <c r="BB44" s="178">
        <f>SUM(BB38:BB43)</f>
        <v>-40.187999999999988</v>
      </c>
      <c r="BC44" s="178">
        <f>SUM(BC38:BC43)</f>
        <v>-177.29999999999998</v>
      </c>
      <c r="BD44" s="253"/>
      <c r="BE44" s="178">
        <f>SUM(BE38:BE43)</f>
        <v>-10.299999999999997</v>
      </c>
      <c r="BF44" s="178">
        <f>SUM(BF38:BF43)</f>
        <v>48.400000000000013</v>
      </c>
      <c r="BG44" s="178">
        <f>SUM(BG38:BG43)</f>
        <v>-42.20000000000001</v>
      </c>
      <c r="BH44" s="178">
        <f>SUM(BH38:BH43)</f>
        <v>-64.199999999999989</v>
      </c>
      <c r="BI44" s="178">
        <f>SUM(BI38:BI43)</f>
        <v>-68.3</v>
      </c>
      <c r="BJ44" s="253"/>
      <c r="BK44" s="178">
        <f>SUM(BK38:BK43)</f>
        <v>175.79999999999998</v>
      </c>
      <c r="BL44" s="178">
        <f>SUM(BL38:BL43)</f>
        <v>-3.899999999999995</v>
      </c>
      <c r="BM44" s="178">
        <f>SUM(BM38:BM43)</f>
        <v>-36.800000000000004</v>
      </c>
      <c r="BN44" s="178">
        <f>SUM(BN38:BN43)</f>
        <v>-63.3</v>
      </c>
      <c r="BO44" s="178">
        <f>SUM(BO38:BO43)</f>
        <v>71.800000000000011</v>
      </c>
      <c r="BP44" s="253"/>
      <c r="BQ44" s="178">
        <f>SUM(BQ38:BQ43)</f>
        <v>-23.3</v>
      </c>
      <c r="BR44" s="178">
        <f>SUM(BR38:BR43)</f>
        <v>-26.1</v>
      </c>
      <c r="BS44" s="178">
        <f>SUM(BS38:BS43)</f>
        <v>-22.208678101339999</v>
      </c>
      <c r="BT44" s="178">
        <f>SUM(BT38:BT43)</f>
        <v>2.7853827104655506</v>
      </c>
      <c r="BU44" s="178">
        <f>SUM(BU38:BU43)</f>
        <v>-68.823295390874449</v>
      </c>
      <c r="BV44" s="253"/>
      <c r="BW44" s="178">
        <f>SUM(BW38:BW43)</f>
        <v>-15.838970181981345</v>
      </c>
      <c r="BX44" s="178">
        <f>SUM(BX38:BX43)</f>
        <v>-15.839560042252252</v>
      </c>
      <c r="BY44" s="178">
        <f>SUM(BY38:BY43)</f>
        <v>-17.612722476475383</v>
      </c>
      <c r="BZ44" s="178">
        <f>SUM(BZ38:BZ43)</f>
        <v>-17.408944862848074</v>
      </c>
      <c r="CA44" s="178">
        <f>SUM(CA38:CA43)</f>
        <v>-66.700197563557055</v>
      </c>
      <c r="CB44" s="253"/>
      <c r="CC44" s="178">
        <f>SUM(CC38:CC43)</f>
        <v>-16.129272417283886</v>
      </c>
      <c r="CD44" s="178">
        <f>SUM(CD38:CD43)</f>
        <v>-16.129821124820335</v>
      </c>
      <c r="CE44" s="178">
        <f>SUM(CE38:CE43)</f>
        <v>-17.77927547697676</v>
      </c>
      <c r="CF44" s="178">
        <f>SUM(CF38:CF43)</f>
        <v>-17.589714799859841</v>
      </c>
      <c r="CG44" s="178">
        <f>SUM(CG38:CG43)</f>
        <v>-67.628083818940823</v>
      </c>
      <c r="CH44" s="253"/>
      <c r="CI44" s="178">
        <f>SUM(CI38:CI43)</f>
        <v>-16.399321159699465</v>
      </c>
      <c r="CJ44" s="178">
        <f>SUM(CJ38:CJ43)</f>
        <v>-16.399831585601003</v>
      </c>
      <c r="CK44" s="178">
        <f>SUM(CK38:CK43)</f>
        <v>-17.934208587581523</v>
      </c>
      <c r="CL44" s="178">
        <f>SUM(CL38:CL43)</f>
        <v>-17.757872975099858</v>
      </c>
      <c r="CM44" s="178">
        <f>SUM(CM38:CM43)</f>
        <v>-68.491234307981856</v>
      </c>
      <c r="CN44" s="253"/>
      <c r="CO44" s="178">
        <f>SUM(CO38:CO43)</f>
        <v>-16.650529433050298</v>
      </c>
      <c r="CP44" s="178">
        <f>SUM(CP38:CP43)</f>
        <v>-16.651004248108688</v>
      </c>
      <c r="CQ44" s="178">
        <f>SUM(CQ38:CQ43)</f>
        <v>-18.078332492220937</v>
      </c>
      <c r="CR44" s="178">
        <f>SUM(CR38:CR43)</f>
        <v>-17.91429927234535</v>
      </c>
      <c r="CS44" s="178">
        <f>SUM(CS38:CS43)</f>
        <v>-69.29416544572527</v>
      </c>
      <c r="CT44" s="176"/>
      <c r="CY44" s="63"/>
    </row>
    <row r="45" spans="1:122" ht="4.5" customHeight="1" x14ac:dyDescent="0.2">
      <c r="A45" s="1"/>
      <c r="B45" s="103"/>
      <c r="C45" s="79"/>
      <c r="D45" s="79"/>
      <c r="E45" s="79"/>
      <c r="F45" s="79"/>
      <c r="G45" s="79"/>
      <c r="H45" s="67"/>
      <c r="I45" s="79"/>
      <c r="J45" s="79"/>
      <c r="K45" s="79"/>
      <c r="L45" s="79"/>
      <c r="M45" s="79"/>
      <c r="N45" s="67"/>
      <c r="O45" s="79"/>
      <c r="P45" s="79"/>
      <c r="Q45" s="79"/>
      <c r="R45" s="79"/>
      <c r="S45" s="79"/>
      <c r="T45" s="67"/>
      <c r="U45" s="79"/>
      <c r="V45" s="79"/>
      <c r="W45" s="79"/>
      <c r="X45" s="79"/>
      <c r="Y45" s="79"/>
      <c r="Z45" s="67"/>
      <c r="AA45" s="79"/>
      <c r="AB45" s="79"/>
      <c r="AC45" s="79"/>
      <c r="AD45" s="79"/>
      <c r="AE45" s="437"/>
      <c r="AF45" s="67"/>
      <c r="AG45" s="183"/>
      <c r="AH45" s="79"/>
      <c r="AI45" s="79"/>
      <c r="AJ45" s="183"/>
      <c r="AK45" s="433"/>
      <c r="AL45" s="67"/>
      <c r="AM45" s="183"/>
      <c r="AN45" s="183"/>
      <c r="AO45" s="79"/>
      <c r="AP45" s="183"/>
      <c r="AQ45" s="433"/>
      <c r="AR45" s="67"/>
      <c r="AS45" s="183"/>
      <c r="AT45" s="183"/>
      <c r="AU45" s="79"/>
      <c r="AV45" s="183"/>
      <c r="AW45" s="11"/>
      <c r="AX45" s="67"/>
      <c r="AY45" s="183"/>
      <c r="AZ45" s="183"/>
      <c r="BA45" s="183"/>
      <c r="BB45" s="183"/>
      <c r="BC45" s="11"/>
      <c r="BD45" s="67"/>
      <c r="BE45" s="183"/>
      <c r="BF45" s="183"/>
      <c r="BG45" s="183"/>
      <c r="BH45" s="183"/>
      <c r="BI45" s="11"/>
      <c r="BJ45" s="67"/>
      <c r="BK45" s="183"/>
      <c r="BL45" s="183"/>
      <c r="BM45" s="183"/>
      <c r="BN45" s="183"/>
      <c r="BO45" s="11"/>
      <c r="BP45" s="67"/>
      <c r="BQ45" s="183"/>
      <c r="BR45" s="183"/>
      <c r="BS45" s="183"/>
      <c r="BT45" s="183"/>
      <c r="BU45" s="11"/>
      <c r="BV45" s="67"/>
      <c r="BW45" s="183"/>
      <c r="BX45" s="183"/>
      <c r="BY45" s="183"/>
      <c r="BZ45" s="183"/>
      <c r="CA45" s="11"/>
      <c r="CB45" s="67"/>
      <c r="CC45" s="183"/>
      <c r="CD45" s="183"/>
      <c r="CE45" s="183"/>
      <c r="CF45" s="183"/>
      <c r="CG45" s="11"/>
      <c r="CH45" s="67"/>
      <c r="CI45" s="183"/>
      <c r="CJ45" s="183"/>
      <c r="CK45" s="183"/>
      <c r="CL45" s="183"/>
      <c r="CM45" s="11"/>
      <c r="CN45" s="67"/>
      <c r="CO45" s="183"/>
      <c r="CP45" s="183"/>
      <c r="CQ45" s="183"/>
      <c r="CR45" s="183"/>
      <c r="CS45" s="11"/>
      <c r="CT45" s="176"/>
      <c r="CY45" s="11"/>
    </row>
    <row r="46" spans="1:122" x14ac:dyDescent="0.2">
      <c r="A46" s="1" t="s">
        <v>178</v>
      </c>
      <c r="B46" s="103"/>
      <c r="C46" s="429">
        <v>0</v>
      </c>
      <c r="D46" s="430">
        <f>0-C46</f>
        <v>0</v>
      </c>
      <c r="E46" s="430">
        <f>0-D46-C46</f>
        <v>0</v>
      </c>
      <c r="F46" s="430">
        <f>0-E46-D46-C46</f>
        <v>0</v>
      </c>
      <c r="G46" s="79">
        <f>SUM(C46:F46)</f>
        <v>0</v>
      </c>
      <c r="H46" s="542"/>
      <c r="I46" s="429">
        <v>0</v>
      </c>
      <c r="J46" s="430">
        <f>0-I46</f>
        <v>0</v>
      </c>
      <c r="K46" s="430">
        <f>0-J46-I46</f>
        <v>0</v>
      </c>
      <c r="L46" s="430">
        <f>0-K46-J46-I46</f>
        <v>0</v>
      </c>
      <c r="M46" s="79">
        <f>SUM(I46:L46)</f>
        <v>0</v>
      </c>
      <c r="N46" s="542"/>
      <c r="O46" s="429">
        <v>0</v>
      </c>
      <c r="P46" s="430">
        <f>0-O46</f>
        <v>0</v>
      </c>
      <c r="Q46" s="430">
        <f>0-P46-O46</f>
        <v>0</v>
      </c>
      <c r="R46" s="430">
        <f>0-Q46-P46-O46</f>
        <v>0</v>
      </c>
      <c r="S46" s="79">
        <f>SUM(O46:R46)</f>
        <v>0</v>
      </c>
      <c r="T46" s="542"/>
      <c r="U46" s="429">
        <v>0</v>
      </c>
      <c r="V46" s="430">
        <f>0-U46</f>
        <v>0</v>
      </c>
      <c r="W46" s="430">
        <f>0-V46-U46</f>
        <v>0</v>
      </c>
      <c r="X46" s="430">
        <f>0-W46-V46-U46</f>
        <v>0</v>
      </c>
      <c r="Y46" s="79">
        <f>SUM(U46:X46)</f>
        <v>0</v>
      </c>
      <c r="Z46" s="86"/>
      <c r="AA46" s="429">
        <v>0</v>
      </c>
      <c r="AB46" s="430">
        <f>0-AA46</f>
        <v>0</v>
      </c>
      <c r="AC46" s="430">
        <f>0-AB46-AA46</f>
        <v>0</v>
      </c>
      <c r="AD46" s="430">
        <f>0.071-AC46-AB46-AA46</f>
        <v>7.0999999999999994E-2</v>
      </c>
      <c r="AE46" s="175">
        <f>SUM(AA46:AD46)</f>
        <v>7.0999999999999994E-2</v>
      </c>
      <c r="AF46" s="86"/>
      <c r="AG46" s="429">
        <v>0</v>
      </c>
      <c r="AH46" s="430">
        <f>0-AG46</f>
        <v>0</v>
      </c>
      <c r="AI46" s="430">
        <f>0-AH46-AG46</f>
        <v>0</v>
      </c>
      <c r="AJ46" s="430">
        <f>0-AI46-AH46-AG46</f>
        <v>0</v>
      </c>
      <c r="AK46" s="79">
        <f>SUM(AG46:AJ46)</f>
        <v>0</v>
      </c>
      <c r="AL46" s="86"/>
      <c r="AM46" s="429">
        <v>0</v>
      </c>
      <c r="AN46" s="429">
        <f>0-AM46</f>
        <v>0</v>
      </c>
      <c r="AO46" s="430">
        <f>0-AN46-AM46</f>
        <v>0</v>
      </c>
      <c r="AP46" s="430">
        <f>0-AO46-AN46-AM46</f>
        <v>0</v>
      </c>
      <c r="AQ46" s="79">
        <f>SUM(AM46:AP46)</f>
        <v>0</v>
      </c>
      <c r="AR46" s="86"/>
      <c r="AS46" s="429">
        <v>0</v>
      </c>
      <c r="AT46" s="429">
        <f>0-AS46</f>
        <v>0</v>
      </c>
      <c r="AU46" s="430">
        <v>0</v>
      </c>
      <c r="AV46" s="430">
        <f>0-AU46-AT46-AS46</f>
        <v>0</v>
      </c>
      <c r="AW46" s="79">
        <f>SUM(AS46:AV46)</f>
        <v>0</v>
      </c>
      <c r="AX46" s="86"/>
      <c r="AY46" s="429">
        <v>-0.72099999999999997</v>
      </c>
      <c r="AZ46" s="429">
        <f>-2.39-AY46</f>
        <v>-1.669</v>
      </c>
      <c r="BA46" s="429">
        <f>-5.669-AZ46-AY46</f>
        <v>-3.2789999999999995</v>
      </c>
      <c r="BB46" s="429">
        <f>-4.8-SUM(AY46:BA46)</f>
        <v>0.86899999999999977</v>
      </c>
      <c r="BC46" s="79">
        <f>SUM(AY46:BB46)</f>
        <v>-4.8</v>
      </c>
      <c r="BD46" s="86"/>
      <c r="BE46" s="429">
        <v>-0.3</v>
      </c>
      <c r="BF46" s="429">
        <f>-1.8-BE46</f>
        <v>-1.5</v>
      </c>
      <c r="BG46" s="429">
        <f>-1.8-SUM(BE46:BF46)</f>
        <v>0</v>
      </c>
      <c r="BH46" s="429">
        <f>-2.2-SUM(BE46:BG46)</f>
        <v>-0.40000000000000013</v>
      </c>
      <c r="BI46" s="79">
        <f>SUM(BE46:BH46)</f>
        <v>-2.2000000000000002</v>
      </c>
      <c r="BJ46" s="86"/>
      <c r="BK46" s="429">
        <v>3.5</v>
      </c>
      <c r="BL46" s="429">
        <f>-0.7-BK46</f>
        <v>-4.2</v>
      </c>
      <c r="BM46" s="429">
        <f>1.2-SUM(BK46:BL46)</f>
        <v>1.9000000000000001</v>
      </c>
      <c r="BN46" s="856">
        <f>2.2-SUM(BK46:BM46)</f>
        <v>1.0000000000000002</v>
      </c>
      <c r="BO46" s="79">
        <f>SUM(BK46:BN46)</f>
        <v>2.2000000000000002</v>
      </c>
      <c r="BP46" s="86"/>
      <c r="BQ46" s="429">
        <v>0.5</v>
      </c>
      <c r="BR46" s="429">
        <f>-1-BQ46</f>
        <v>-1.5</v>
      </c>
      <c r="BS46" s="355">
        <v>0</v>
      </c>
      <c r="BT46" s="355">
        <v>0</v>
      </c>
      <c r="BU46" s="79">
        <f>SUM(BQ46:BT46)</f>
        <v>-1</v>
      </c>
      <c r="BV46" s="86"/>
      <c r="BW46" s="355">
        <v>0</v>
      </c>
      <c r="BX46" s="355">
        <v>0</v>
      </c>
      <c r="BY46" s="355">
        <v>0</v>
      </c>
      <c r="BZ46" s="355">
        <v>0</v>
      </c>
      <c r="CA46" s="79">
        <f>SUM(BW46:BZ46)</f>
        <v>0</v>
      </c>
      <c r="CB46" s="86"/>
      <c r="CC46" s="355">
        <v>0</v>
      </c>
      <c r="CD46" s="355">
        <v>0</v>
      </c>
      <c r="CE46" s="355">
        <v>0</v>
      </c>
      <c r="CF46" s="355">
        <v>0</v>
      </c>
      <c r="CG46" s="79">
        <f>SUM(CC46:CF46)</f>
        <v>0</v>
      </c>
      <c r="CH46" s="86"/>
      <c r="CI46" s="355">
        <v>0</v>
      </c>
      <c r="CJ46" s="355">
        <v>0</v>
      </c>
      <c r="CK46" s="355">
        <v>0</v>
      </c>
      <c r="CL46" s="355">
        <v>0</v>
      </c>
      <c r="CM46" s="79">
        <f>SUM(CI46:CL46)</f>
        <v>0</v>
      </c>
      <c r="CN46" s="86"/>
      <c r="CO46" s="355">
        <v>0</v>
      </c>
      <c r="CP46" s="355">
        <v>0</v>
      </c>
      <c r="CQ46" s="355">
        <v>0</v>
      </c>
      <c r="CR46" s="355">
        <v>0</v>
      </c>
      <c r="CS46" s="79">
        <f>SUM(CO46:CR46)</f>
        <v>0</v>
      </c>
      <c r="CT46" s="176"/>
      <c r="CY46" s="79"/>
    </row>
    <row r="47" spans="1:122" x14ac:dyDescent="0.2">
      <c r="A47" s="1"/>
      <c r="B47" s="103"/>
      <c r="C47" s="433"/>
      <c r="D47" s="433"/>
      <c r="E47" s="433"/>
      <c r="F47" s="433"/>
      <c r="G47" s="433"/>
      <c r="H47" s="67"/>
      <c r="I47" s="433"/>
      <c r="J47" s="433"/>
      <c r="K47" s="433"/>
      <c r="L47" s="433"/>
      <c r="M47" s="433"/>
      <c r="N47" s="67"/>
      <c r="O47" s="433"/>
      <c r="P47" s="433"/>
      <c r="Q47" s="433"/>
      <c r="R47" s="433"/>
      <c r="S47" s="433"/>
      <c r="T47" s="67"/>
      <c r="U47" s="433"/>
      <c r="V47" s="433"/>
      <c r="W47" s="433"/>
      <c r="X47" s="433"/>
      <c r="Y47" s="433"/>
      <c r="Z47" s="103"/>
      <c r="AA47" s="433"/>
      <c r="AB47" s="433"/>
      <c r="AC47" s="433"/>
      <c r="AD47" s="433"/>
      <c r="AE47" s="437"/>
      <c r="AF47" s="103"/>
      <c r="AG47" s="49"/>
      <c r="AH47" s="433"/>
      <c r="AI47" s="433"/>
      <c r="AJ47" s="49"/>
      <c r="AK47" s="433"/>
      <c r="AL47" s="103"/>
      <c r="AM47" s="378"/>
      <c r="AN47" s="378"/>
      <c r="AO47" s="49"/>
      <c r="AP47" s="49"/>
      <c r="AQ47" s="433"/>
      <c r="AR47" s="103"/>
      <c r="AS47" s="378"/>
      <c r="AT47" s="378"/>
      <c r="AU47" s="49"/>
      <c r="AV47" s="49"/>
      <c r="AW47" s="11"/>
      <c r="AX47" s="103"/>
      <c r="AY47" s="378"/>
      <c r="AZ47" s="434"/>
      <c r="BA47" s="36"/>
      <c r="BB47" s="36"/>
      <c r="BC47" s="11"/>
      <c r="BD47" s="103"/>
      <c r="BE47" s="378"/>
      <c r="BF47" s="36"/>
      <c r="BG47" s="36"/>
      <c r="BH47" s="36"/>
      <c r="BI47" s="11"/>
      <c r="BJ47" s="103"/>
      <c r="BK47" s="378"/>
      <c r="BL47" s="36"/>
      <c r="BM47" s="36"/>
      <c r="BN47" s="36"/>
      <c r="BO47" s="11"/>
      <c r="BP47" s="103"/>
      <c r="BQ47" s="378"/>
      <c r="BR47" s="36"/>
      <c r="BS47" s="36"/>
      <c r="BT47" s="36"/>
      <c r="BU47" s="11"/>
      <c r="BV47" s="103"/>
      <c r="BW47" s="36"/>
      <c r="BX47" s="36"/>
      <c r="BY47" s="36"/>
      <c r="BZ47" s="36"/>
      <c r="CA47" s="11"/>
      <c r="CB47" s="103"/>
      <c r="CC47" s="36"/>
      <c r="CD47" s="36"/>
      <c r="CE47" s="36"/>
      <c r="CF47" s="36"/>
      <c r="CG47" s="11"/>
      <c r="CH47" s="103"/>
      <c r="CI47" s="36"/>
      <c r="CJ47" s="36"/>
      <c r="CK47" s="36"/>
      <c r="CL47" s="36"/>
      <c r="CM47" s="11"/>
      <c r="CN47" s="103"/>
      <c r="CO47" s="36"/>
      <c r="CP47" s="36"/>
      <c r="CQ47" s="36"/>
      <c r="CR47" s="36"/>
      <c r="CS47" s="11"/>
      <c r="CT47" s="176"/>
      <c r="CU47" s="11"/>
      <c r="CV47" s="11"/>
      <c r="CW47" s="11"/>
      <c r="CX47" s="11"/>
      <c r="CY47" s="11"/>
    </row>
    <row r="48" spans="1:122" ht="13.5" thickBot="1" x14ac:dyDescent="0.25">
      <c r="A48" s="30" t="s">
        <v>179</v>
      </c>
      <c r="B48" s="103"/>
      <c r="C48" s="177">
        <f>C46+C44+C35+C27</f>
        <v>-9.9479999999999986</v>
      </c>
      <c r="D48" s="177">
        <f>D46+D44+D35+D27</f>
        <v>-2.7569999999999961</v>
      </c>
      <c r="E48" s="177">
        <f>E46+E44+E35+E27</f>
        <v>109.00299999999997</v>
      </c>
      <c r="F48" s="177">
        <f>F46+F44+F35+F27</f>
        <v>-51.439</v>
      </c>
      <c r="G48" s="177">
        <f>G46+G44+G35+G27</f>
        <v>44.858999999999973</v>
      </c>
      <c r="H48" s="67"/>
      <c r="I48" s="177">
        <f>I46+I44+I35+I27</f>
        <v>-36.21599999999998</v>
      </c>
      <c r="J48" s="177">
        <f>J46+J44+J35+J27</f>
        <v>7.359</v>
      </c>
      <c r="K48" s="177">
        <f>K46+K44+K35+K27</f>
        <v>27.816999999999986</v>
      </c>
      <c r="L48" s="177">
        <f>L46+L44+L35+L27</f>
        <v>95.341999999999999</v>
      </c>
      <c r="M48" s="177">
        <f>M46+M44+M35+M27</f>
        <v>94.302000000000035</v>
      </c>
      <c r="N48" s="67"/>
      <c r="O48" s="177">
        <f>O46+O44+O35+O27</f>
        <v>-7.5010000000000021</v>
      </c>
      <c r="P48" s="177">
        <f>P46+P44+P35+P27</f>
        <v>-51.248000000000005</v>
      </c>
      <c r="Q48" s="177">
        <f>Q46+Q44+Q35+Q27</f>
        <v>21.699999999999985</v>
      </c>
      <c r="R48" s="177">
        <f>R46+R44+R35+R27</f>
        <v>-137.17499999999995</v>
      </c>
      <c r="S48" s="177">
        <f>S46+S44+S35+S27</f>
        <v>-174.22399999999996</v>
      </c>
      <c r="T48" s="67"/>
      <c r="U48" s="177">
        <f>U46+U44+U35+U27</f>
        <v>27.686</v>
      </c>
      <c r="V48" s="177">
        <f>V46+V44+V35+V27</f>
        <v>-30.764999999999965</v>
      </c>
      <c r="W48" s="177">
        <f>W46+W44+W35+W27</f>
        <v>41.717999999999989</v>
      </c>
      <c r="X48" s="177">
        <f>X46+X44+X35+X27</f>
        <v>-9.3090000000000046</v>
      </c>
      <c r="Y48" s="177">
        <f>Y46+Y44+Y35+Y27</f>
        <v>29.329999999999984</v>
      </c>
      <c r="Z48" s="103"/>
      <c r="AA48" s="177">
        <f>AA46+AA44+AA35+AA27</f>
        <v>30.464999999999993</v>
      </c>
      <c r="AB48" s="177">
        <f>AB46+AB44+AB35+AB27</f>
        <v>-55.636000000000003</v>
      </c>
      <c r="AC48" s="177">
        <f>AC46+AC44+AC35+AC27</f>
        <v>-0.29100000000002524</v>
      </c>
      <c r="AD48" s="177">
        <f>AD46+AD44+AD35+AD27</f>
        <v>-14.696999999999996</v>
      </c>
      <c r="AE48" s="177">
        <f>AE46+AE44+AE35+AE27</f>
        <v>-40.159000000000049</v>
      </c>
      <c r="AF48" s="103"/>
      <c r="AG48" s="177">
        <f>AG46+AG44+AG35+AG27</f>
        <v>9.9950000000000081</v>
      </c>
      <c r="AH48" s="177">
        <f>AH46+AH44+AH35+AH27</f>
        <v>46.171999999999997</v>
      </c>
      <c r="AI48" s="177">
        <f>AI46+AI44+AI35+AI27</f>
        <v>-3.995999999999988</v>
      </c>
      <c r="AJ48" s="177">
        <f>AJ46+AJ44+AJ35+AJ27</f>
        <v>-18.500000000000014</v>
      </c>
      <c r="AK48" s="177">
        <f>AK46+AK44+AK35+AK27</f>
        <v>33.670999999999935</v>
      </c>
      <c r="AL48" s="103"/>
      <c r="AM48" s="177">
        <f>AM46+AM44+AM35+AM27</f>
        <v>9.2309999999999874</v>
      </c>
      <c r="AN48" s="177">
        <f>AN46+AN44+AN35+AN27</f>
        <v>-27.159999999999997</v>
      </c>
      <c r="AO48" s="177">
        <f>AO46+AO44+AO35+AO27</f>
        <v>43.900000000000013</v>
      </c>
      <c r="AP48" s="177">
        <f>AP46+AP44+AP35+AP27</f>
        <v>-8.2499999999999645</v>
      </c>
      <c r="AQ48" s="177">
        <f>AQ46+AQ44+AQ35+AQ27</f>
        <v>17.720999999999975</v>
      </c>
      <c r="AR48" s="103"/>
      <c r="AS48" s="177">
        <f>AS46+AS44+AS35+AS27</f>
        <v>-19.085999999999956</v>
      </c>
      <c r="AT48" s="177">
        <f>AT46+AT44+AT35+AT27</f>
        <v>-13.387999999999984</v>
      </c>
      <c r="AU48" s="177">
        <f>AU46+AU44+AU35+AU27</f>
        <v>14.198999999999982</v>
      </c>
      <c r="AV48" s="177">
        <f>AV46+AV44+AV35+AV27</f>
        <v>-20.977000000000004</v>
      </c>
      <c r="AW48" s="177">
        <f>AW46+AW44+AW35+AW27</f>
        <v>-39.252000000000066</v>
      </c>
      <c r="AX48" s="103"/>
      <c r="AY48" s="177">
        <f>AY46+AY44+AY35+AY27</f>
        <v>4.9819999999999904</v>
      </c>
      <c r="AZ48" s="177">
        <f>AZ46+AZ44+AZ35+AZ27</f>
        <v>-10.094000000000001</v>
      </c>
      <c r="BA48" s="177">
        <f>BA46+BA44+BA35+BA27</f>
        <v>-4.4999999999999929</v>
      </c>
      <c r="BB48" s="177">
        <f>BB46+BB44+BB35+BB27</f>
        <v>8.9120000000000203</v>
      </c>
      <c r="BC48" s="177">
        <f>BC46+BC44+BC35+BC27</f>
        <v>-0.70000000000001705</v>
      </c>
      <c r="BD48" s="103"/>
      <c r="BE48" s="177">
        <f>BE46+BE44+BE35+BE27</f>
        <v>23.279</v>
      </c>
      <c r="BF48" s="177">
        <f>BF46+BF44+BF35+BF27</f>
        <v>47.3</v>
      </c>
      <c r="BG48" s="177">
        <f>BG46+BG44+BG35+BG27</f>
        <v>-14.200000000000024</v>
      </c>
      <c r="BH48" s="177">
        <f>BH46+BH44+BH35+BH27</f>
        <v>-51.999999999999979</v>
      </c>
      <c r="BI48" s="177">
        <f>BI46+BI44+BI35+BI27</f>
        <v>4.3789999999999623</v>
      </c>
      <c r="BJ48" s="103"/>
      <c r="BK48" s="177">
        <f>BK46+BK44+BK35+BK27</f>
        <v>18.399999999999988</v>
      </c>
      <c r="BL48" s="177">
        <f>BL46+BL44+BL35+BL27</f>
        <v>21.200000000000017</v>
      </c>
      <c r="BM48" s="177">
        <f>BM46+BM44+BM35+BM27</f>
        <v>15.700000000000003</v>
      </c>
      <c r="BN48" s="177">
        <f>BN46+BN44+BN35+BN27</f>
        <v>-21.400000000000013</v>
      </c>
      <c r="BO48" s="177">
        <f>BO46+BO44+BO35+BO27</f>
        <v>33.900000000000034</v>
      </c>
      <c r="BP48" s="103"/>
      <c r="BQ48" s="177">
        <f>BQ46+BQ44+BQ35+BQ27</f>
        <v>-14.5</v>
      </c>
      <c r="BR48" s="177">
        <f>BR46+BR44+BR35+BR27</f>
        <v>0.80000000000001847</v>
      </c>
      <c r="BS48" s="177">
        <f>BS46+BS44+BS35+BS27</f>
        <v>43.048715910252106</v>
      </c>
      <c r="BT48" s="177">
        <f>BT46+BT44+BT35+BT27</f>
        <v>57.411023941672553</v>
      </c>
      <c r="BU48" s="177">
        <f>BU46+BU44+BU35+BU27</f>
        <v>86.75973985192465</v>
      </c>
      <c r="BV48" s="103"/>
      <c r="BW48" s="177">
        <f>BW46+BW44+BW35+BW27</f>
        <v>39.470776369372032</v>
      </c>
      <c r="BX48" s="177">
        <f>BX46+BX44+BX35+BX27</f>
        <v>44.825495990601787</v>
      </c>
      <c r="BY48" s="177">
        <f>BY46+BY44+BY35+BY27</f>
        <v>54.073341397461157</v>
      </c>
      <c r="BZ48" s="177">
        <f>BZ46+BZ44+BZ35+BZ27</f>
        <v>57.257609885117823</v>
      </c>
      <c r="CA48" s="177">
        <f>CA46+CA44+CA35+CA27</f>
        <v>195.62722364255282</v>
      </c>
      <c r="CB48" s="103"/>
      <c r="CC48" s="177">
        <f>CC46+CC44+CC35+CC27</f>
        <v>43.579430534119219</v>
      </c>
      <c r="CD48" s="177">
        <f>CD46+CD44+CD35+CD27</f>
        <v>46.762809996910896</v>
      </c>
      <c r="CE48" s="177">
        <f>CE46+CE44+CE35+CE27</f>
        <v>57.342512840451931</v>
      </c>
      <c r="CF48" s="177">
        <f>CF46+CF44+CF35+CF27</f>
        <v>60.23506839152207</v>
      </c>
      <c r="CG48" s="177">
        <f>CG46+CG44+CG35+CG27</f>
        <v>207.91982176300411</v>
      </c>
      <c r="CH48" s="103"/>
      <c r="CI48" s="177">
        <f>CI46+CI44+CI35+CI27</f>
        <v>44.056199184150358</v>
      </c>
      <c r="CJ48" s="177">
        <f>CJ46+CJ44+CJ35+CJ27</f>
        <v>47.497332462639186</v>
      </c>
      <c r="CK48" s="177">
        <f>CK46+CK44+CK35+CK27</f>
        <v>59.305929203213765</v>
      </c>
      <c r="CL48" s="177">
        <f>CL46+CL44+CL35+CL27</f>
        <v>61.424979672825728</v>
      </c>
      <c r="CM48" s="177">
        <f>CM46+CM44+CM35+CM27</f>
        <v>212.28444052282904</v>
      </c>
      <c r="CN48" s="103"/>
      <c r="CO48" s="177">
        <f>CO46+CO44+CO35+CO27</f>
        <v>45.780170494422805</v>
      </c>
      <c r="CP48" s="177">
        <f>CP46+CP44+CP35+CP27</f>
        <v>49.368079299403952</v>
      </c>
      <c r="CQ48" s="177">
        <f>CQ46+CQ44+CQ35+CQ27</f>
        <v>63.613990548352405</v>
      </c>
      <c r="CR48" s="177">
        <f>CR46+CR44+CR35+CR27</f>
        <v>64.46322502983773</v>
      </c>
      <c r="CS48" s="177">
        <f>CS46+CS44+CS35+CS27</f>
        <v>223.22546537201686</v>
      </c>
      <c r="CT48" s="176"/>
      <c r="CU48" s="65"/>
      <c r="CV48" s="65"/>
      <c r="CW48" s="65"/>
      <c r="CX48" s="65"/>
      <c r="CY48" s="65"/>
    </row>
    <row r="49" spans="1:103" ht="13.5" thickTop="1" x14ac:dyDescent="0.2">
      <c r="A49" s="1" t="s">
        <v>180</v>
      </c>
      <c r="B49" s="277"/>
      <c r="C49" s="124">
        <v>98.572999999999993</v>
      </c>
      <c r="D49" s="433">
        <f>C50</f>
        <v>88.625</v>
      </c>
      <c r="E49" s="433">
        <f>D50</f>
        <v>85.868000000000009</v>
      </c>
      <c r="F49" s="433">
        <f>E50</f>
        <v>194.87099999999998</v>
      </c>
      <c r="G49" s="433">
        <f>C49</f>
        <v>98.572999999999993</v>
      </c>
      <c r="H49" s="68"/>
      <c r="I49" s="433">
        <f>G50</f>
        <v>143.43199999999996</v>
      </c>
      <c r="J49" s="433">
        <f>I50</f>
        <v>107.21599999999998</v>
      </c>
      <c r="K49" s="433">
        <f>J50</f>
        <v>114.57499999999997</v>
      </c>
      <c r="L49" s="433">
        <f>K50</f>
        <v>142.39199999999997</v>
      </c>
      <c r="M49" s="433">
        <f>I49</f>
        <v>143.43199999999996</v>
      </c>
      <c r="N49" s="68"/>
      <c r="O49" s="433">
        <f>M50</f>
        <v>237.73399999999998</v>
      </c>
      <c r="P49" s="433">
        <f>O50</f>
        <v>230.23299999999998</v>
      </c>
      <c r="Q49" s="433">
        <f>P50</f>
        <v>178.98499999999996</v>
      </c>
      <c r="R49" s="433">
        <f>Q50</f>
        <v>200.68499999999995</v>
      </c>
      <c r="S49" s="433">
        <f>O49</f>
        <v>237.73399999999998</v>
      </c>
      <c r="T49" s="68"/>
      <c r="U49" s="433">
        <f>S50</f>
        <v>63.510000000000019</v>
      </c>
      <c r="V49" s="433">
        <f>U50</f>
        <v>91.196000000000026</v>
      </c>
      <c r="W49" s="433">
        <f>V50</f>
        <v>60.431000000000061</v>
      </c>
      <c r="X49" s="433">
        <f>W50</f>
        <v>102.14900000000006</v>
      </c>
      <c r="Y49" s="433">
        <f>U49</f>
        <v>63.510000000000019</v>
      </c>
      <c r="Z49" s="104"/>
      <c r="AA49" s="433">
        <f>Y50</f>
        <v>92.84</v>
      </c>
      <c r="AB49" s="433">
        <f>AA50</f>
        <v>123.30499999999999</v>
      </c>
      <c r="AC49" s="433">
        <f>AB50</f>
        <v>67.668999999999983</v>
      </c>
      <c r="AD49" s="433">
        <f>AC50</f>
        <v>67.377999999999957</v>
      </c>
      <c r="AE49" s="433">
        <f>AA49</f>
        <v>92.84</v>
      </c>
      <c r="AF49" s="104"/>
      <c r="AG49" s="433">
        <f>AE50</f>
        <v>52.680999999999955</v>
      </c>
      <c r="AH49" s="433">
        <f>+AG50</f>
        <v>62.675999999999959</v>
      </c>
      <c r="AI49" s="433">
        <f>AH50</f>
        <v>108.84799999999996</v>
      </c>
      <c r="AJ49" s="433">
        <f>AI50</f>
        <v>104.85199999999998</v>
      </c>
      <c r="AK49" s="433">
        <f>AG49</f>
        <v>52.680999999999955</v>
      </c>
      <c r="AL49" s="104"/>
      <c r="AM49" s="49">
        <f>AK50</f>
        <v>86.35199999999989</v>
      </c>
      <c r="AN49" s="49">
        <f>AM50</f>
        <v>95.582999999999885</v>
      </c>
      <c r="AO49" s="433">
        <f>AN50</f>
        <v>68.422999999999888</v>
      </c>
      <c r="AP49" s="433">
        <f>AO50</f>
        <v>112.32299999999989</v>
      </c>
      <c r="AQ49" s="433">
        <f>AK50</f>
        <v>86.35199999999989</v>
      </c>
      <c r="AR49" s="104"/>
      <c r="AS49" s="49">
        <f>AQ50</f>
        <v>104.07299999999987</v>
      </c>
      <c r="AT49" s="49">
        <f>AS50</f>
        <v>84.98699999999991</v>
      </c>
      <c r="AU49" s="433">
        <f>AT50</f>
        <v>71.598999999999933</v>
      </c>
      <c r="AV49" s="433">
        <f>AU50</f>
        <v>85.797999999999917</v>
      </c>
      <c r="AW49" s="11">
        <f>AQ50</f>
        <v>104.07299999999987</v>
      </c>
      <c r="AX49" s="104"/>
      <c r="AY49" s="49">
        <f>AW50</f>
        <v>64.820999999999799</v>
      </c>
      <c r="AZ49" s="434">
        <f>AY50</f>
        <v>69.802999999999784</v>
      </c>
      <c r="BA49" s="11">
        <f>AZ50</f>
        <v>59.708999999999783</v>
      </c>
      <c r="BB49" s="11">
        <f>BA50</f>
        <v>55.20899999999979</v>
      </c>
      <c r="BC49" s="11">
        <f>AW50</f>
        <v>64.820999999999799</v>
      </c>
      <c r="BD49" s="104"/>
      <c r="BE49" s="49">
        <f>BC50</f>
        <v>64.120999999999782</v>
      </c>
      <c r="BF49" s="11">
        <f>BE50</f>
        <v>87.399999999999778</v>
      </c>
      <c r="BG49" s="11">
        <f>BF50</f>
        <v>134.69999999999976</v>
      </c>
      <c r="BH49" s="11">
        <f>BG50</f>
        <v>120.49999999999974</v>
      </c>
      <c r="BI49" s="11">
        <f>BC50</f>
        <v>64.120999999999782</v>
      </c>
      <c r="BJ49" s="104"/>
      <c r="BK49" s="49">
        <f>BI50</f>
        <v>68.499999999999744</v>
      </c>
      <c r="BL49" s="11">
        <f>BK50</f>
        <v>86.899999999999736</v>
      </c>
      <c r="BM49" s="11">
        <f>BL50</f>
        <v>108.09999999999975</v>
      </c>
      <c r="BN49" s="11">
        <f>BM50</f>
        <v>123.79999999999976</v>
      </c>
      <c r="BO49" s="11">
        <f>BI50</f>
        <v>68.499999999999744</v>
      </c>
      <c r="BP49" s="104"/>
      <c r="BQ49" s="49">
        <f>BO50</f>
        <v>102.39999999999978</v>
      </c>
      <c r="BR49" s="11">
        <f>BQ50</f>
        <v>87.899999999999778</v>
      </c>
      <c r="BS49" s="11">
        <f>BR50</f>
        <v>88.69999999999979</v>
      </c>
      <c r="BT49" s="11">
        <f>BS50</f>
        <v>131.74871591025189</v>
      </c>
      <c r="BU49" s="11">
        <f>BO50</f>
        <v>102.39999999999978</v>
      </c>
      <c r="BV49" s="104"/>
      <c r="BW49" s="11">
        <f>BU50</f>
        <v>189.15973985192443</v>
      </c>
      <c r="BX49" s="11">
        <f>BW50</f>
        <v>228.63051622129646</v>
      </c>
      <c r="BY49" s="11">
        <f>BX50</f>
        <v>273.45601221189827</v>
      </c>
      <c r="BZ49" s="11">
        <f>BY50</f>
        <v>327.52935360935942</v>
      </c>
      <c r="CA49" s="11">
        <f>BU50</f>
        <v>189.15973985192443</v>
      </c>
      <c r="CB49" s="104"/>
      <c r="CC49" s="11">
        <f>CA50</f>
        <v>384.78696349447728</v>
      </c>
      <c r="CD49" s="11">
        <f>CC50</f>
        <v>428.36639402859652</v>
      </c>
      <c r="CE49" s="11">
        <f>CD50</f>
        <v>475.12920402550742</v>
      </c>
      <c r="CF49" s="11">
        <f>CE50</f>
        <v>532.47171686595937</v>
      </c>
      <c r="CG49" s="11">
        <f>CA50</f>
        <v>384.78696349447728</v>
      </c>
      <c r="CH49" s="104"/>
      <c r="CI49" s="11">
        <f>CG50</f>
        <v>592.70678525748144</v>
      </c>
      <c r="CJ49" s="11">
        <f>CI50</f>
        <v>636.76298444163183</v>
      </c>
      <c r="CK49" s="11">
        <f>CJ50</f>
        <v>684.26031690427101</v>
      </c>
      <c r="CL49" s="11">
        <f>CK50</f>
        <v>743.56624610748474</v>
      </c>
      <c r="CM49" s="11">
        <f>CG50</f>
        <v>592.70678525748144</v>
      </c>
      <c r="CN49" s="104"/>
      <c r="CO49" s="11">
        <f>CM50</f>
        <v>804.99122578031051</v>
      </c>
      <c r="CP49" s="11">
        <f>CO50</f>
        <v>850.77139627473332</v>
      </c>
      <c r="CQ49" s="11">
        <f>CP50</f>
        <v>900.13947557413724</v>
      </c>
      <c r="CR49" s="11">
        <f>CQ50</f>
        <v>963.75346612248961</v>
      </c>
      <c r="CS49" s="11">
        <f>CM50</f>
        <v>804.99122578031051</v>
      </c>
      <c r="CT49" s="11"/>
      <c r="CU49" s="11"/>
      <c r="CV49" s="11"/>
      <c r="CW49" s="11"/>
      <c r="CX49" s="11"/>
      <c r="CY49" s="11"/>
    </row>
    <row r="50" spans="1:103" x14ac:dyDescent="0.2">
      <c r="A50" s="345" t="s">
        <v>181</v>
      </c>
      <c r="B50" s="103"/>
      <c r="C50" s="438">
        <f>+C48+C49</f>
        <v>88.625</v>
      </c>
      <c r="D50" s="438">
        <f>+D48+D49</f>
        <v>85.868000000000009</v>
      </c>
      <c r="E50" s="438">
        <f>+E48+E49</f>
        <v>194.87099999999998</v>
      </c>
      <c r="F50" s="438">
        <f>+F48+F49</f>
        <v>143.43199999999999</v>
      </c>
      <c r="G50" s="438">
        <f>+G48+G49</f>
        <v>143.43199999999996</v>
      </c>
      <c r="H50" s="68"/>
      <c r="I50" s="438">
        <f>+I48+I49</f>
        <v>107.21599999999998</v>
      </c>
      <c r="J50" s="438">
        <f>+J48+J49</f>
        <v>114.57499999999997</v>
      </c>
      <c r="K50" s="438">
        <f>+K48+K49</f>
        <v>142.39199999999997</v>
      </c>
      <c r="L50" s="438">
        <f>+L48+L49</f>
        <v>237.73399999999998</v>
      </c>
      <c r="M50" s="438">
        <f>+M48+M49</f>
        <v>237.73399999999998</v>
      </c>
      <c r="N50" s="68"/>
      <c r="O50" s="438">
        <f>+O48+O49</f>
        <v>230.23299999999998</v>
      </c>
      <c r="P50" s="438">
        <f>+P48+P49</f>
        <v>178.98499999999996</v>
      </c>
      <c r="Q50" s="438">
        <f>+Q48+Q49</f>
        <v>200.68499999999995</v>
      </c>
      <c r="R50" s="438">
        <f>+R48+R49</f>
        <v>63.509999999999991</v>
      </c>
      <c r="S50" s="438">
        <f>+S48+S49</f>
        <v>63.510000000000019</v>
      </c>
      <c r="T50" s="68"/>
      <c r="U50" s="438">
        <f>+U48+U49</f>
        <v>91.196000000000026</v>
      </c>
      <c r="V50" s="438">
        <f>+V48+V49</f>
        <v>60.431000000000061</v>
      </c>
      <c r="W50" s="438">
        <f>+W48+W49</f>
        <v>102.14900000000006</v>
      </c>
      <c r="X50" s="438">
        <f>+X48+X49</f>
        <v>92.84000000000006</v>
      </c>
      <c r="Y50" s="438">
        <f>+Y48+Y49</f>
        <v>92.84</v>
      </c>
      <c r="Z50" s="104"/>
      <c r="AA50" s="438">
        <f>+AA48+AA49</f>
        <v>123.30499999999999</v>
      </c>
      <c r="AB50" s="438">
        <f>+AB48+AB49</f>
        <v>67.668999999999983</v>
      </c>
      <c r="AC50" s="438">
        <f>+AC48+AC49</f>
        <v>67.377999999999957</v>
      </c>
      <c r="AD50" s="438">
        <f>+AD48+AD49</f>
        <v>52.680999999999962</v>
      </c>
      <c r="AE50" s="439">
        <f>+AE48+AE49</f>
        <v>52.680999999999955</v>
      </c>
      <c r="AF50" s="104"/>
      <c r="AG50" s="440">
        <f>+AG48+AG49</f>
        <v>62.675999999999959</v>
      </c>
      <c r="AH50" s="438">
        <f>+AH48+AH49</f>
        <v>108.84799999999996</v>
      </c>
      <c r="AI50" s="438">
        <f>+AI48+AI49</f>
        <v>104.85199999999998</v>
      </c>
      <c r="AJ50" s="438">
        <f>+AJ48+AJ49</f>
        <v>86.351999999999961</v>
      </c>
      <c r="AK50" s="438">
        <f>+AK48+AK49</f>
        <v>86.35199999999989</v>
      </c>
      <c r="AL50" s="104"/>
      <c r="AM50" s="440">
        <f>+AM48+AM49</f>
        <v>95.582999999999885</v>
      </c>
      <c r="AN50" s="440">
        <f>+AN48+AN49</f>
        <v>68.422999999999888</v>
      </c>
      <c r="AO50" s="438">
        <f>+AO48+AO49</f>
        <v>112.32299999999989</v>
      </c>
      <c r="AP50" s="438">
        <f>+AP48+AP49</f>
        <v>104.07299999999992</v>
      </c>
      <c r="AQ50" s="438">
        <f>+AQ48+AQ49</f>
        <v>104.07299999999987</v>
      </c>
      <c r="AR50" s="104"/>
      <c r="AS50" s="440">
        <f>+AS48+AS49</f>
        <v>84.98699999999991</v>
      </c>
      <c r="AT50" s="440">
        <f>+AT48+AT49</f>
        <v>71.598999999999933</v>
      </c>
      <c r="AU50" s="438">
        <f>+AU48+AU49</f>
        <v>85.797999999999917</v>
      </c>
      <c r="AV50" s="438">
        <f>+AV48+AV49</f>
        <v>64.820999999999913</v>
      </c>
      <c r="AW50" s="346">
        <f>+AW48+AW49</f>
        <v>64.820999999999799</v>
      </c>
      <c r="AX50" s="104"/>
      <c r="AY50" s="440">
        <f>+AY48+AY49</f>
        <v>69.802999999999784</v>
      </c>
      <c r="AZ50" s="603">
        <f>+AZ48+AZ49</f>
        <v>59.708999999999783</v>
      </c>
      <c r="BA50" s="346">
        <f>+BA48+BA49</f>
        <v>55.20899999999979</v>
      </c>
      <c r="BB50" s="346">
        <f>+BB48+BB49</f>
        <v>64.12099999999981</v>
      </c>
      <c r="BC50" s="346">
        <f>+BC48+BC49</f>
        <v>64.120999999999782</v>
      </c>
      <c r="BD50" s="347"/>
      <c r="BE50" s="440">
        <f>+BE48+BE49</f>
        <v>87.399999999999778</v>
      </c>
      <c r="BF50" s="346">
        <f>+BF48+BF49</f>
        <v>134.69999999999976</v>
      </c>
      <c r="BG50" s="346">
        <f>+BG48+BG49</f>
        <v>120.49999999999974</v>
      </c>
      <c r="BH50" s="346">
        <f>+BH48+BH49</f>
        <v>68.499999999999773</v>
      </c>
      <c r="BI50" s="346">
        <f>+BI48+BI49</f>
        <v>68.499999999999744</v>
      </c>
      <c r="BJ50" s="347"/>
      <c r="BK50" s="440">
        <f>+BK48+BK49</f>
        <v>86.899999999999736</v>
      </c>
      <c r="BL50" s="346">
        <f>+BL48+BL49</f>
        <v>108.09999999999975</v>
      </c>
      <c r="BM50" s="346">
        <f>+BM48+BM49</f>
        <v>123.79999999999976</v>
      </c>
      <c r="BN50" s="346">
        <f>+BN48+BN49</f>
        <v>102.39999999999975</v>
      </c>
      <c r="BO50" s="346">
        <f>+BO48+BO49</f>
        <v>102.39999999999978</v>
      </c>
      <c r="BP50" s="347"/>
      <c r="BQ50" s="440">
        <f>+BQ48+BQ49</f>
        <v>87.899999999999778</v>
      </c>
      <c r="BR50" s="346">
        <f>+BR48+BR49</f>
        <v>88.69999999999979</v>
      </c>
      <c r="BS50" s="346">
        <f>+BS48+BS49</f>
        <v>131.74871591025189</v>
      </c>
      <c r="BT50" s="346">
        <f>+BT48+BT49</f>
        <v>189.15973985192443</v>
      </c>
      <c r="BU50" s="346">
        <f>+BU48+BU49</f>
        <v>189.15973985192443</v>
      </c>
      <c r="BV50" s="347"/>
      <c r="BW50" s="346">
        <f>+BW48+BW49</f>
        <v>228.63051622129646</v>
      </c>
      <c r="BX50" s="346">
        <f>+BX48+BX49</f>
        <v>273.45601221189827</v>
      </c>
      <c r="BY50" s="346">
        <f>+BY48+BY49</f>
        <v>327.52935360935942</v>
      </c>
      <c r="BZ50" s="346">
        <f>+BZ48+BZ49</f>
        <v>384.78696349447722</v>
      </c>
      <c r="CA50" s="346">
        <f>+CA48+CA49</f>
        <v>384.78696349447728</v>
      </c>
      <c r="CB50" s="347"/>
      <c r="CC50" s="346">
        <f>+CC48+CC49</f>
        <v>428.36639402859652</v>
      </c>
      <c r="CD50" s="346">
        <f>+CD48+CD49</f>
        <v>475.12920402550742</v>
      </c>
      <c r="CE50" s="346">
        <f>+CE48+CE49</f>
        <v>532.47171686595937</v>
      </c>
      <c r="CF50" s="346">
        <f>+CF48+CF49</f>
        <v>592.70678525748144</v>
      </c>
      <c r="CG50" s="346">
        <f>+CG48+CG49</f>
        <v>592.70678525748144</v>
      </c>
      <c r="CH50" s="347"/>
      <c r="CI50" s="346">
        <f>+CI48+CI49</f>
        <v>636.76298444163183</v>
      </c>
      <c r="CJ50" s="346">
        <f>+CJ48+CJ49</f>
        <v>684.26031690427101</v>
      </c>
      <c r="CK50" s="346">
        <f>+CK48+CK49</f>
        <v>743.56624610748474</v>
      </c>
      <c r="CL50" s="346">
        <f>+CL48+CL49</f>
        <v>804.99122578031051</v>
      </c>
      <c r="CM50" s="346">
        <f>+CM48+CM49</f>
        <v>804.99122578031051</v>
      </c>
      <c r="CN50" s="347"/>
      <c r="CO50" s="346">
        <f>+CO48+CO49</f>
        <v>850.77139627473332</v>
      </c>
      <c r="CP50" s="346">
        <f>+CP48+CP49</f>
        <v>900.13947557413724</v>
      </c>
      <c r="CQ50" s="346">
        <f>+CQ48+CQ49</f>
        <v>963.75346612248961</v>
      </c>
      <c r="CR50" s="346">
        <f>+CR48+CR49</f>
        <v>1028.2166911523273</v>
      </c>
      <c r="CS50" s="346">
        <f>+CS48+CS49</f>
        <v>1028.2166911523273</v>
      </c>
      <c r="CT50" s="11"/>
      <c r="CU50" s="11"/>
      <c r="CV50" s="11"/>
      <c r="CW50" s="11"/>
      <c r="CX50" s="11"/>
      <c r="CY50" s="11"/>
    </row>
    <row r="51" spans="1:103" ht="11.25" customHeight="1" outlineLevel="1" x14ac:dyDescent="0.2">
      <c r="A51" s="343" t="s">
        <v>121</v>
      </c>
      <c r="B51" s="86"/>
      <c r="C51" s="604">
        <f>ROUND(C50-'Bal Sht'!C8,12)</f>
        <v>0</v>
      </c>
      <c r="D51" s="604">
        <f>ROUND(D50-'Bal Sht'!D8,12)</f>
        <v>0</v>
      </c>
      <c r="E51" s="604">
        <f>ROUND(E50-'Bal Sht'!E8,12)</f>
        <v>0</v>
      </c>
      <c r="F51" s="604">
        <f>ROUND(F50-'Bal Sht'!F8,12)</f>
        <v>0</v>
      </c>
      <c r="G51" s="604">
        <f>ROUND(G50-'Bal Sht'!G8,12)</f>
        <v>0</v>
      </c>
      <c r="H51" s="543"/>
      <c r="I51" s="604">
        <f>ROUND(I50-'Bal Sht'!I8,12)</f>
        <v>0</v>
      </c>
      <c r="J51" s="604">
        <f>ROUND(J50-'Bal Sht'!J8,12)</f>
        <v>0</v>
      </c>
      <c r="K51" s="604">
        <f>ROUND(K50-'Bal Sht'!K8,12)</f>
        <v>0</v>
      </c>
      <c r="L51" s="604">
        <f>ROUND(L50-'Bal Sht'!L8,12)</f>
        <v>0</v>
      </c>
      <c r="M51" s="604">
        <f>ROUND(M50-'Bal Sht'!M8,12)</f>
        <v>0</v>
      </c>
      <c r="N51" s="543"/>
      <c r="O51" s="604">
        <f>ROUND(O50-'Bal Sht'!O8,12)</f>
        <v>0</v>
      </c>
      <c r="P51" s="604">
        <f>ROUND(P50-'Bal Sht'!P8,12)</f>
        <v>0</v>
      </c>
      <c r="Q51" s="604">
        <f>ROUND(Q50-'Bal Sht'!Q8,12)</f>
        <v>0</v>
      </c>
      <c r="R51" s="604">
        <f>ROUND(R50-'Bal Sht'!R8,12)</f>
        <v>0</v>
      </c>
      <c r="S51" s="604">
        <f>ROUND(S50-'Bal Sht'!S8,12)</f>
        <v>0</v>
      </c>
      <c r="T51" s="543"/>
      <c r="U51" s="604">
        <f>ROUND(U50-'Bal Sht'!U8,12)</f>
        <v>0</v>
      </c>
      <c r="V51" s="604">
        <f>ROUND(V50-'Bal Sht'!V8,12)</f>
        <v>0</v>
      </c>
      <c r="W51" s="604">
        <f>ROUND(W50-'Bal Sht'!W8,12)</f>
        <v>0</v>
      </c>
      <c r="X51" s="604">
        <f>ROUND(X50-'Bal Sht'!X8,12)</f>
        <v>0</v>
      </c>
      <c r="Y51" s="604">
        <f>ROUND(Y50-'Bal Sht'!Y8,12)</f>
        <v>0</v>
      </c>
      <c r="Z51" s="536"/>
      <c r="AA51" s="604">
        <f>ROUND(AA50-'Bal Sht'!AA8,12)</f>
        <v>0</v>
      </c>
      <c r="AB51" s="604">
        <f>ROUND(AB50-'Bal Sht'!AB8,12)</f>
        <v>0</v>
      </c>
      <c r="AC51" s="604">
        <f>ROUND(AC50-'Bal Sht'!AC8,12)</f>
        <v>0</v>
      </c>
      <c r="AD51" s="604">
        <f>ROUND(AD50-'Bal Sht'!AD8,12)</f>
        <v>0</v>
      </c>
      <c r="AE51" s="604">
        <f>ROUND(AE50-'Bal Sht'!AE8,12)</f>
        <v>0</v>
      </c>
      <c r="AF51" s="536"/>
      <c r="AG51" s="604">
        <f>ROUND(AG50-'Bal Sht'!AG8,12)</f>
        <v>0</v>
      </c>
      <c r="AH51" s="604">
        <f>ROUND(AH50-'Bal Sht'!AH8,12)</f>
        <v>0</v>
      </c>
      <c r="AI51" s="604">
        <f>ROUND(AI50-'Bal Sht'!AI8,12)</f>
        <v>0</v>
      </c>
      <c r="AJ51" s="604">
        <f>ROUND(AJ50-'Bal Sht'!AJ8,12)</f>
        <v>0</v>
      </c>
      <c r="AK51" s="604">
        <f>ROUND(AK50-'Bal Sht'!AK8,12)</f>
        <v>0</v>
      </c>
      <c r="AL51" s="536"/>
      <c r="AM51" s="604">
        <f>ROUND(AM50-'Bal Sht'!AM8,12)</f>
        <v>0</v>
      </c>
      <c r="AN51" s="604">
        <f>ROUND(AN50-'Bal Sht'!AN8,12)</f>
        <v>0</v>
      </c>
      <c r="AO51" s="604">
        <f>ROUND(AO50-'Bal Sht'!AO8,12)</f>
        <v>0</v>
      </c>
      <c r="AP51" s="604">
        <f>ROUND(AP50-'Bal Sht'!AP8,12)</f>
        <v>0</v>
      </c>
      <c r="AQ51" s="604">
        <f>ROUND(AQ50-'Bal Sht'!AQ8,12)</f>
        <v>0</v>
      </c>
      <c r="AR51" s="536"/>
      <c r="AS51" s="604">
        <f>ROUND(AS50-'Bal Sht'!AS8,12)</f>
        <v>0</v>
      </c>
      <c r="AT51" s="604">
        <f>ROUND(AT50-'Bal Sht'!AT8,12)</f>
        <v>0</v>
      </c>
      <c r="AU51" s="604">
        <f>ROUND(AU50-'Bal Sht'!AU8,12)</f>
        <v>0</v>
      </c>
      <c r="AV51" s="604">
        <f>ROUND(AV50-'Bal Sht'!AV8,12)</f>
        <v>0</v>
      </c>
      <c r="AW51" s="604">
        <f>ROUND(AW50-'Bal Sht'!AW8,12)</f>
        <v>0</v>
      </c>
      <c r="AX51" s="536"/>
      <c r="AY51" s="604">
        <f>ROUND(AY50-'Bal Sht'!AY8,12)</f>
        <v>0</v>
      </c>
      <c r="AZ51" s="604">
        <f>ROUND(AZ50-'Bal Sht'!AZ8,12)</f>
        <v>0</v>
      </c>
      <c r="BA51" s="604">
        <f>ROUND(BA50-'Bal Sht'!BA8,12)</f>
        <v>0</v>
      </c>
      <c r="BB51" s="604">
        <f>ROUND(BB50-'Bal Sht'!BB8,12)</f>
        <v>0</v>
      </c>
      <c r="BC51" s="604">
        <f>ROUND(BC50-'Bal Sht'!BC8,12)</f>
        <v>0</v>
      </c>
      <c r="BD51" s="344"/>
      <c r="BE51" s="604">
        <f>ROUND(BE50-'Bal Sht'!BE8,12)</f>
        <v>0</v>
      </c>
      <c r="BF51" s="604">
        <f>ROUND(BF50-'Bal Sht'!BF8,12)</f>
        <v>0</v>
      </c>
      <c r="BG51" s="723">
        <f>ROUND(BG50-'Bal Sht'!BG8,12)</f>
        <v>0</v>
      </c>
      <c r="BH51" s="604">
        <f>ROUND(BH50-'Bal Sht'!BH8,12)</f>
        <v>0</v>
      </c>
      <c r="BI51" s="723">
        <f>ROUND(BI50-'Bal Sht'!BI8,12)</f>
        <v>0</v>
      </c>
      <c r="BJ51" s="724"/>
      <c r="BK51" s="604">
        <f>ROUND(BK50-'Bal Sht'!BK8,12)</f>
        <v>0</v>
      </c>
      <c r="BL51" s="723">
        <f>ROUND(BL50-'Bal Sht'!BL8,12)</f>
        <v>0</v>
      </c>
      <c r="BM51" s="723">
        <f>ROUND(BM50-'Bal Sht'!BM8,12)</f>
        <v>0</v>
      </c>
      <c r="BN51" s="604">
        <f>ROUND(BN50-'Bal Sht'!BN8,12)</f>
        <v>0</v>
      </c>
      <c r="BO51" s="723">
        <f>ROUND(BO50-'Bal Sht'!BO8,12)</f>
        <v>0</v>
      </c>
      <c r="BP51" s="724"/>
      <c r="BQ51" s="604">
        <f>ROUND(BQ50-'Bal Sht'!BQ8,12)</f>
        <v>0</v>
      </c>
      <c r="BR51" s="723">
        <f>ROUND(BR50-'Bal Sht'!BR8,12)</f>
        <v>0</v>
      </c>
      <c r="BS51" s="723">
        <f>ROUND(BS50-'Bal Sht'!BS8,12)</f>
        <v>0</v>
      </c>
      <c r="BT51" s="723">
        <f>ROUND(BT50-'Bal Sht'!BT8,12)</f>
        <v>0</v>
      </c>
      <c r="BU51" s="723">
        <f>ROUND(BU50-'Bal Sht'!BU8,12)</f>
        <v>0</v>
      </c>
      <c r="BV51" s="724"/>
      <c r="BW51" s="723">
        <f>ROUND(BW50-'Bal Sht'!BW8,12)</f>
        <v>0</v>
      </c>
      <c r="BX51" s="723">
        <f>ROUND(BX50-'Bal Sht'!BX8,12)</f>
        <v>0</v>
      </c>
      <c r="BY51" s="723">
        <f>ROUND(BY50-'Bal Sht'!BY8,12)</f>
        <v>0</v>
      </c>
      <c r="BZ51" s="723">
        <f>ROUND(BZ50-'Bal Sht'!BZ8,12)</f>
        <v>0</v>
      </c>
      <c r="CA51" s="723">
        <f>ROUND(CA50-'Bal Sht'!CA8,12)</f>
        <v>0</v>
      </c>
      <c r="CB51" s="724"/>
      <c r="CC51" s="723">
        <f>ROUND(CC50-'Bal Sht'!CC8,12)</f>
        <v>0</v>
      </c>
      <c r="CD51" s="723">
        <f>ROUND(CD50-'Bal Sht'!CD8,12)</f>
        <v>0</v>
      </c>
      <c r="CE51" s="723">
        <f>ROUND(CE50-'Bal Sht'!CE8,12)</f>
        <v>0</v>
      </c>
      <c r="CF51" s="723">
        <f>ROUND(CF50-'Bal Sht'!CF8,12)</f>
        <v>0</v>
      </c>
      <c r="CG51" s="723">
        <f>ROUND(CG50-'Bal Sht'!CG8,12)</f>
        <v>0</v>
      </c>
      <c r="CH51" s="724"/>
      <c r="CI51" s="723">
        <f>ROUND(CI50-'Bal Sht'!CI8,12)</f>
        <v>0</v>
      </c>
      <c r="CJ51" s="723">
        <f>ROUND(CJ50-'Bal Sht'!CJ8,12)</f>
        <v>0</v>
      </c>
      <c r="CK51" s="723">
        <f>ROUND(CK50-'Bal Sht'!CK8,12)</f>
        <v>0</v>
      </c>
      <c r="CL51" s="723">
        <f>ROUND(CL50-'Bal Sht'!CL8,12)</f>
        <v>0</v>
      </c>
      <c r="CM51" s="723">
        <f>ROUND(CM50-'Bal Sht'!CM8,12)</f>
        <v>0</v>
      </c>
      <c r="CN51" s="724"/>
      <c r="CO51" s="723">
        <f>ROUND(CO50-'Bal Sht'!CO8,12)</f>
        <v>0</v>
      </c>
      <c r="CP51" s="723">
        <f>ROUND(CP50-'Bal Sht'!CP8,12)</f>
        <v>0</v>
      </c>
      <c r="CQ51" s="723">
        <f>ROUND(CQ50-'Bal Sht'!CQ8,12)</f>
        <v>0</v>
      </c>
      <c r="CR51" s="723">
        <f>ROUND(CR50-'Bal Sht'!CR8,12)</f>
        <v>0</v>
      </c>
      <c r="CS51" s="723">
        <f>ROUND(CS50-'Bal Sht'!CS8,12)</f>
        <v>0</v>
      </c>
      <c r="CT51" s="497"/>
      <c r="CU51" s="497"/>
      <c r="CV51" s="497"/>
      <c r="CW51" s="497"/>
      <c r="CX51" s="497"/>
      <c r="CY51" s="497"/>
    </row>
    <row r="52" spans="1:103" x14ac:dyDescent="0.2">
      <c r="A52" s="323"/>
      <c r="B52" s="86"/>
      <c r="G52" s="323"/>
      <c r="H52" s="67"/>
      <c r="M52" s="323"/>
      <c r="N52" s="67"/>
      <c r="S52" s="323"/>
      <c r="T52" s="67"/>
      <c r="U52" s="323"/>
      <c r="V52" s="323"/>
      <c r="W52" s="323"/>
      <c r="X52" s="323"/>
      <c r="Y52" s="323"/>
      <c r="Z52" s="105"/>
      <c r="AA52" s="323"/>
      <c r="AB52" s="323"/>
      <c r="AC52" s="323"/>
      <c r="AD52" s="323"/>
      <c r="AE52" s="330"/>
      <c r="AF52" s="105"/>
      <c r="AG52" s="323"/>
      <c r="AH52" s="323"/>
      <c r="AI52" s="323"/>
      <c r="AJ52" s="323"/>
      <c r="AK52" s="323"/>
      <c r="AL52" s="105"/>
      <c r="AM52" s="323"/>
      <c r="AN52" s="323"/>
      <c r="AO52" s="323"/>
      <c r="AP52" s="323"/>
      <c r="AQ52" s="323"/>
      <c r="AR52" s="105"/>
      <c r="AS52" s="323"/>
      <c r="AT52" s="323"/>
      <c r="AU52" s="323"/>
      <c r="AV52" s="323"/>
      <c r="AW52" s="323"/>
      <c r="AX52" s="105"/>
      <c r="AY52" s="323"/>
      <c r="AZ52" s="323"/>
      <c r="BA52" s="323"/>
      <c r="BB52" s="323"/>
      <c r="BC52" s="607"/>
      <c r="BD52" s="105"/>
      <c r="BE52" s="323"/>
      <c r="BF52" s="323"/>
      <c r="BG52" s="323"/>
      <c r="BH52" s="323"/>
      <c r="BI52" s="323"/>
      <c r="BJ52" s="105"/>
      <c r="BK52" s="323"/>
      <c r="BL52" s="323"/>
      <c r="BM52" s="323"/>
      <c r="BN52" s="323"/>
      <c r="BO52" s="323"/>
      <c r="BP52" s="105"/>
      <c r="BQ52" s="323"/>
      <c r="BR52" s="323"/>
      <c r="BS52" s="323"/>
      <c r="BT52" s="323"/>
      <c r="BU52" s="323"/>
      <c r="BV52" s="105"/>
      <c r="BW52" s="323"/>
      <c r="BX52" s="323"/>
      <c r="BY52" s="323"/>
      <c r="BZ52" s="323"/>
      <c r="CA52" s="323"/>
      <c r="CB52" s="105"/>
      <c r="CC52" s="323"/>
      <c r="CD52" s="323"/>
      <c r="CE52" s="323"/>
      <c r="CF52" s="323"/>
      <c r="CG52" s="323"/>
      <c r="CH52" s="105"/>
      <c r="CI52" s="323"/>
      <c r="CJ52" s="323"/>
      <c r="CK52" s="323"/>
      <c r="CL52" s="323"/>
      <c r="CM52" s="323"/>
      <c r="CN52" s="105"/>
      <c r="CO52" s="323"/>
      <c r="CP52" s="323"/>
      <c r="CQ52" s="323"/>
      <c r="CR52" s="323"/>
      <c r="CS52" s="323"/>
      <c r="CT52" s="323"/>
      <c r="CU52" s="323"/>
      <c r="CV52" s="323"/>
      <c r="CW52" s="323"/>
      <c r="CX52" s="323"/>
      <c r="CY52" s="323"/>
    </row>
    <row r="53" spans="1:103" x14ac:dyDescent="0.2">
      <c r="A53" s="15" t="s">
        <v>122</v>
      </c>
      <c r="B53" s="86"/>
      <c r="C53" s="69"/>
      <c r="D53" s="69"/>
      <c r="E53" s="69"/>
      <c r="F53" s="69"/>
      <c r="G53" s="69"/>
      <c r="H53" s="67"/>
      <c r="I53" s="69"/>
      <c r="J53" s="69"/>
      <c r="K53" s="69"/>
      <c r="L53" s="69"/>
      <c r="M53" s="69"/>
      <c r="N53" s="67"/>
      <c r="O53" s="69"/>
      <c r="P53" s="69"/>
      <c r="Q53" s="69"/>
      <c r="R53" s="69"/>
      <c r="S53" s="69"/>
      <c r="T53" s="103"/>
      <c r="U53" s="69"/>
      <c r="V53" s="69"/>
      <c r="W53" s="69"/>
      <c r="X53" s="69"/>
      <c r="Y53" s="69"/>
      <c r="Z53" s="67"/>
      <c r="AA53" s="69"/>
      <c r="AB53" s="69"/>
      <c r="AC53" s="69"/>
      <c r="AD53" s="69"/>
      <c r="AE53" s="69"/>
      <c r="AF53" s="67"/>
      <c r="AG53" s="69"/>
      <c r="AH53" s="69"/>
      <c r="AI53" s="69"/>
      <c r="AJ53" s="69"/>
      <c r="AK53" s="69"/>
      <c r="AL53" s="67"/>
      <c r="AM53" s="69"/>
      <c r="AN53" s="69"/>
      <c r="AO53" s="69"/>
      <c r="AP53" s="69"/>
      <c r="AQ53" s="69"/>
      <c r="AR53" s="67"/>
      <c r="AS53" s="69"/>
      <c r="AT53" s="69"/>
      <c r="AU53" s="69"/>
      <c r="AV53" s="69"/>
      <c r="AW53" s="183"/>
      <c r="AX53" s="67"/>
      <c r="AY53" s="69"/>
      <c r="AZ53" s="69"/>
      <c r="BA53" s="69"/>
      <c r="BB53" s="69"/>
      <c r="BC53" s="69"/>
      <c r="BD53" s="67"/>
      <c r="BE53" s="69"/>
      <c r="BF53" s="69"/>
      <c r="BG53" s="69"/>
      <c r="BH53" s="69"/>
      <c r="BI53" s="69"/>
      <c r="BJ53" s="67"/>
      <c r="BK53" s="69"/>
      <c r="BL53" s="69"/>
      <c r="BM53" s="69"/>
      <c r="BN53" s="69"/>
      <c r="BO53" s="69"/>
      <c r="BP53" s="67"/>
      <c r="BQ53" s="69"/>
      <c r="BR53" s="69"/>
      <c r="BS53" s="69"/>
      <c r="BT53" s="69"/>
      <c r="BU53" s="69"/>
      <c r="BV53" s="67"/>
      <c r="BW53" s="69"/>
      <c r="BX53" s="69"/>
      <c r="BY53" s="69"/>
      <c r="BZ53" s="69"/>
      <c r="CA53" s="69"/>
      <c r="CB53" s="67"/>
      <c r="CC53" s="69"/>
      <c r="CD53" s="69"/>
      <c r="CE53" s="69"/>
      <c r="CF53" s="69"/>
      <c r="CG53" s="69"/>
      <c r="CH53" s="67"/>
      <c r="CI53" s="69"/>
      <c r="CJ53" s="69"/>
      <c r="CK53" s="69"/>
      <c r="CL53" s="69"/>
      <c r="CM53" s="69"/>
      <c r="CN53" s="67"/>
      <c r="CO53" s="69"/>
      <c r="CP53" s="69"/>
      <c r="CQ53" s="69"/>
      <c r="CR53" s="69"/>
      <c r="CS53" s="69"/>
      <c r="CT53" s="69"/>
      <c r="CU53" s="69"/>
      <c r="CV53" s="69"/>
      <c r="CW53" s="69"/>
      <c r="CX53" s="69"/>
      <c r="CY53" s="69"/>
    </row>
    <row r="54" spans="1:103" x14ac:dyDescent="0.2">
      <c r="A54" s="1" t="s">
        <v>206</v>
      </c>
      <c r="B54" s="103"/>
      <c r="C54" s="183">
        <f>+C27+C30</f>
        <v>-16.780999999999999</v>
      </c>
      <c r="D54" s="183">
        <f>+D27+D30</f>
        <v>-11.667999999999999</v>
      </c>
      <c r="E54" s="183">
        <f>+E27+E30</f>
        <v>-6.3140000000000018</v>
      </c>
      <c r="F54" s="183">
        <f>+F27+F30</f>
        <v>-2.4880000000000013</v>
      </c>
      <c r="G54" s="183">
        <f>+G27+G30</f>
        <v>-37.251000000000005</v>
      </c>
      <c r="H54" s="184"/>
      <c r="I54" s="183">
        <f>+I27+I30</f>
        <v>-15.979999999999997</v>
      </c>
      <c r="J54" s="183">
        <f>+J27+J30</f>
        <v>-4.7240000000000002</v>
      </c>
      <c r="K54" s="183">
        <f>+K27+K30</f>
        <v>2.9309999999999947</v>
      </c>
      <c r="L54" s="183">
        <f>+L27+L30</f>
        <v>107.83399999999999</v>
      </c>
      <c r="M54" s="183">
        <f>+M27+M30</f>
        <v>90.061000000000021</v>
      </c>
      <c r="N54" s="184"/>
      <c r="O54" s="183">
        <f>+O27+O30</f>
        <v>-5.3330000000000002</v>
      </c>
      <c r="P54" s="183">
        <f>+P27+P30</f>
        <v>39.067999999999998</v>
      </c>
      <c r="Q54" s="183">
        <f>+Q27+Q30</f>
        <v>6.0280000000000005</v>
      </c>
      <c r="R54" s="183">
        <f>+R27+R30</f>
        <v>36.753999999999998</v>
      </c>
      <c r="S54" s="183">
        <f>+S27+S30</f>
        <v>76.516999999999996</v>
      </c>
      <c r="T54" s="184"/>
      <c r="U54" s="183">
        <f>+U27+U30</f>
        <v>21.603999999999999</v>
      </c>
      <c r="V54" s="183">
        <f>+V27+V30</f>
        <v>38.384000000000015</v>
      </c>
      <c r="W54" s="183">
        <f>+W27+W30</f>
        <v>41.507999999999996</v>
      </c>
      <c r="X54" s="183">
        <f>+X27+X30</f>
        <v>45.695</v>
      </c>
      <c r="Y54" s="183">
        <f>+Y27+Y30</f>
        <v>147.19099999999997</v>
      </c>
      <c r="Z54" s="184"/>
      <c r="AA54" s="183">
        <f>+AA27+AA30</f>
        <v>27.337</v>
      </c>
      <c r="AB54" s="183">
        <f>+AB27+AB30</f>
        <v>36.059999999999995</v>
      </c>
      <c r="AC54" s="183">
        <f>+AC27+AC30</f>
        <v>27.878</v>
      </c>
      <c r="AD54" s="183">
        <f>+AD27+AD30</f>
        <v>35.691999999999993</v>
      </c>
      <c r="AE54" s="183">
        <f>+AE27+AE30</f>
        <v>126.96699999999998</v>
      </c>
      <c r="AF54" s="184"/>
      <c r="AG54" s="183">
        <f>+AG27+AG30</f>
        <v>29.715000000000003</v>
      </c>
      <c r="AH54" s="183">
        <f>+AH27+AH30</f>
        <v>24.423000000000002</v>
      </c>
      <c r="AI54" s="183">
        <f>+AI27+AI30</f>
        <v>38.747000000000007</v>
      </c>
      <c r="AJ54" s="183">
        <f>+AJ27+AJ30</f>
        <v>39.511000000000003</v>
      </c>
      <c r="AK54" s="183">
        <f>+AK27+AK30</f>
        <v>132.39600000000002</v>
      </c>
      <c r="AL54" s="184"/>
      <c r="AM54" s="183">
        <f>+AM27+AM30</f>
        <v>48.894999999999996</v>
      </c>
      <c r="AN54" s="183">
        <f>+AN27+AN30</f>
        <v>17.567000000000004</v>
      </c>
      <c r="AO54" s="183">
        <f>+AO27+AO30</f>
        <v>35.82200000000001</v>
      </c>
      <c r="AP54" s="183">
        <f>+AP27+AP30</f>
        <v>60.20900000000001</v>
      </c>
      <c r="AQ54" s="183">
        <f>+AQ27+AQ30</f>
        <v>162.49299999999997</v>
      </c>
      <c r="AR54" s="184"/>
      <c r="AS54" s="183">
        <f>+AS27+AS30</f>
        <v>85.217000000000027</v>
      </c>
      <c r="AT54" s="183">
        <f>+AT27+AT30</f>
        <v>44.716000000000001</v>
      </c>
      <c r="AU54" s="183">
        <f>+AU27+AU30</f>
        <v>9.6939999999999937</v>
      </c>
      <c r="AV54" s="183">
        <f>+AV27+AV30</f>
        <v>36.314999999999984</v>
      </c>
      <c r="AW54" s="183">
        <f>+AW27+AW30</f>
        <v>175.94199999999995</v>
      </c>
      <c r="AX54" s="184"/>
      <c r="AY54" s="183">
        <f>+AY27+AY30</f>
        <v>-4.5210000000000043</v>
      </c>
      <c r="AZ54" s="183">
        <f>+AZ27+AZ30</f>
        <v>46.651000000000003</v>
      </c>
      <c r="BA54" s="183">
        <f>+BA27+BA30</f>
        <v>25.420999999999999</v>
      </c>
      <c r="BB54" s="183">
        <f>+BB27+BB30</f>
        <v>49.049000000000014</v>
      </c>
      <c r="BC54" s="183">
        <f>+BC27+BC30</f>
        <v>116.59999999999997</v>
      </c>
      <c r="BD54" s="184"/>
      <c r="BE54" s="183">
        <f>+BE27+BE30</f>
        <v>23.9</v>
      </c>
      <c r="BF54" s="183">
        <f>+BF27+BF30</f>
        <v>39.79999999999999</v>
      </c>
      <c r="BG54" s="183">
        <f>+BG27+BG30</f>
        <v>43.399999999999984</v>
      </c>
      <c r="BH54" s="183">
        <f>+BH27+BH30</f>
        <v>54.20000000000001</v>
      </c>
      <c r="BI54" s="183">
        <f>+BI27+BI30</f>
        <v>161.29999999999995</v>
      </c>
      <c r="BJ54" s="184"/>
      <c r="BK54" s="183">
        <f>+BK27+BK30</f>
        <v>-4.3999999999999968</v>
      </c>
      <c r="BL54" s="183">
        <f>+BL27+BL30</f>
        <v>29.000000000000004</v>
      </c>
      <c r="BM54" s="183">
        <f>+BM27+BM30</f>
        <v>39.6</v>
      </c>
      <c r="BN54" s="183">
        <f>+BN27+BN30</f>
        <v>35.899999999999991</v>
      </c>
      <c r="BO54" s="183">
        <f>+BO27+BO30</f>
        <v>100.10000000000001</v>
      </c>
      <c r="BP54" s="184"/>
      <c r="BQ54" s="183">
        <f>+BQ27+BQ30</f>
        <v>21.9</v>
      </c>
      <c r="BR54" s="183">
        <f>+BR27+BR30</f>
        <v>30.900000000000013</v>
      </c>
      <c r="BS54" s="183">
        <f>+BS27+BS30</f>
        <v>65.257394011592098</v>
      </c>
      <c r="BT54" s="183">
        <f>+BT27+BT30</f>
        <v>54.625641231207005</v>
      </c>
      <c r="BU54" s="183">
        <f>+BU27+BU30</f>
        <v>172.68303524279909</v>
      </c>
      <c r="BV54" s="184"/>
      <c r="BW54" s="183">
        <f>+BW27+BW30</f>
        <v>55.309746551353378</v>
      </c>
      <c r="BX54" s="183">
        <f>+BX27+BX30</f>
        <v>60.665056032854039</v>
      </c>
      <c r="BY54" s="183">
        <f>+BY27+BY30</f>
        <v>71.686063873936547</v>
      </c>
      <c r="BZ54" s="183">
        <f>+BZ27+BZ30</f>
        <v>74.666554747965904</v>
      </c>
      <c r="CA54" s="183">
        <f>+CA27+CA30</f>
        <v>262.32742120610988</v>
      </c>
      <c r="CB54" s="184"/>
      <c r="CC54" s="183">
        <f>+CC27+CC30</f>
        <v>59.708702951403104</v>
      </c>
      <c r="CD54" s="183">
        <f>+CD27+CD30</f>
        <v>62.892631121731227</v>
      </c>
      <c r="CE54" s="183">
        <f>+CE27+CE30</f>
        <v>75.121788317428695</v>
      </c>
      <c r="CF54" s="183">
        <f>+CF27+CF30</f>
        <v>77.824783191381911</v>
      </c>
      <c r="CG54" s="183">
        <f>+CG27+CG30</f>
        <v>275.54790558194497</v>
      </c>
      <c r="CH54" s="184"/>
      <c r="CI54" s="183">
        <f>+CI27+CI30</f>
        <v>60.455520343849827</v>
      </c>
      <c r="CJ54" s="183">
        <f>+CJ27+CJ30</f>
        <v>63.897164048240192</v>
      </c>
      <c r="CK54" s="183">
        <f>+CK27+CK30</f>
        <v>77.240137790795288</v>
      </c>
      <c r="CL54" s="183">
        <f>+CL27+CL30</f>
        <v>79.182852647925586</v>
      </c>
      <c r="CM54" s="183">
        <f>+CM27+CM30</f>
        <v>280.77567483081089</v>
      </c>
      <c r="CN54" s="184"/>
      <c r="CO54" s="183">
        <f>+CO27+CO30</f>
        <v>62.4306999274731</v>
      </c>
      <c r="CP54" s="183">
        <f>+CP27+CP30</f>
        <v>66.019083547512636</v>
      </c>
      <c r="CQ54" s="183">
        <f>+CQ27+CQ30</f>
        <v>81.692323040573342</v>
      </c>
      <c r="CR54" s="183">
        <f>+CR27+CR30</f>
        <v>82.377524302183076</v>
      </c>
      <c r="CS54" s="183">
        <f>+CS27+CS30</f>
        <v>292.5196308177421</v>
      </c>
      <c r="CT54" s="183"/>
      <c r="CU54" s="183"/>
      <c r="CV54" s="183"/>
      <c r="CW54" s="183"/>
      <c r="CX54" s="183"/>
      <c r="CY54" s="183"/>
    </row>
    <row r="55" spans="1:103" x14ac:dyDescent="0.2">
      <c r="A55" s="1" t="s">
        <v>207</v>
      </c>
      <c r="B55" s="103"/>
      <c r="C55" s="80">
        <f>+C54/'P&amp;L'!C42</f>
        <v>-0.21134760705289671</v>
      </c>
      <c r="D55" s="80">
        <f>+D54/'P&amp;L'!D42</f>
        <v>-0.14655345659163987</v>
      </c>
      <c r="E55" s="80">
        <f>+E54/'P&amp;L'!E42</f>
        <v>-7.606679035250466E-2</v>
      </c>
      <c r="F55" s="80">
        <f>+F54/'P&amp;L'!F42</f>
        <v>-2.8768327089403838E-2</v>
      </c>
      <c r="G55" s="80">
        <f>+G54/'P&amp;L'!G42</f>
        <v>-0.45367190354402637</v>
      </c>
      <c r="H55" s="201"/>
      <c r="I55" s="80">
        <f>+I54/'P&amp;L'!I42</f>
        <v>-0.1833914799853103</v>
      </c>
      <c r="J55" s="80">
        <f>+J54/'P&amp;L'!J42</f>
        <v>-5.3567378781693653E-2</v>
      </c>
      <c r="K55" s="80">
        <f>+K54/'P&amp;L'!K42</f>
        <v>3.2971112311015058E-2</v>
      </c>
      <c r="L55" s="80">
        <f>+L54/'P&amp;L'!L42</f>
        <v>1.1479273563414165</v>
      </c>
      <c r="M55" s="80">
        <f>+M54/'P&amp;L'!M42</f>
        <v>0.96416795135320332</v>
      </c>
      <c r="N55" s="201"/>
      <c r="O55" s="80">
        <f>+O54/'P&amp;L'!O42</f>
        <v>-5.5196754227990648E-2</v>
      </c>
      <c r="P55" s="80">
        <f>+P54/'P&amp;L'!P42</f>
        <v>0.39981169920995541</v>
      </c>
      <c r="Q55" s="80">
        <f>+Q54/'P&amp;L'!Q42</f>
        <v>6.0525734481996912E-2</v>
      </c>
      <c r="R55" s="80">
        <f>+R54/'P&amp;L'!R42</f>
        <v>0.3668356755030342</v>
      </c>
      <c r="S55" s="80">
        <f>+S54/'P&amp;L'!S42</f>
        <v>0.77624704533695843</v>
      </c>
      <c r="T55" s="201"/>
      <c r="U55" s="80">
        <f>+U54/'P&amp;L'!U42</f>
        <v>0.21714308688135728</v>
      </c>
      <c r="V55" s="80">
        <f>+V54/'P&amp;L'!V42</f>
        <v>0.38605596121738794</v>
      </c>
      <c r="W55" s="80">
        <f>+W54/'P&amp;L'!W42</f>
        <v>0.41643758653209456</v>
      </c>
      <c r="X55" s="80">
        <f>+X54/'P&amp;L'!X42</f>
        <v>0.46504645884855333</v>
      </c>
      <c r="Y55" s="80">
        <f>+Y54/'P&amp;L'!Y42</f>
        <v>1.4844985476843631</v>
      </c>
      <c r="Z55" s="201"/>
      <c r="AA55" s="80">
        <f>+AA54/'P&amp;L'!AA42</f>
        <v>0.28856587919859822</v>
      </c>
      <c r="AB55" s="80">
        <f>+AB54/'P&amp;L'!AB42</f>
        <v>0.38506305594413054</v>
      </c>
      <c r="AC55" s="80">
        <f>+AC54/'P&amp;L'!AC42</f>
        <v>0.30931907197621139</v>
      </c>
      <c r="AD55" s="80">
        <f>+AD54/'P&amp;L'!AD42</f>
        <v>0.405305353046717</v>
      </c>
      <c r="AE55" s="80">
        <f>+AE54/'P&amp;L'!AE42</f>
        <v>1.3845306638750763</v>
      </c>
      <c r="AF55" s="201"/>
      <c r="AG55" s="80">
        <f>+AG54/'P&amp;L'!AG42</f>
        <v>0.34140652825809714</v>
      </c>
      <c r="AH55" s="80">
        <f>+AH54/'P&amp;L'!AH42</f>
        <v>0.28322760956036697</v>
      </c>
      <c r="AI55" s="80">
        <f>+AI54/'P&amp;L'!AI42</f>
        <v>0.44813906687330857</v>
      </c>
      <c r="AJ55" s="80">
        <f>+AJ54/'P&amp;L'!AJ42</f>
        <v>0.45771115461696193</v>
      </c>
      <c r="AK55" s="80">
        <f>+AK54/'P&amp;L'!AK42</f>
        <v>1.5312091597756319</v>
      </c>
      <c r="AL55" s="201"/>
      <c r="AM55" s="80">
        <f>+AM54/'P&amp;L'!AM42</f>
        <v>0.58267988655051595</v>
      </c>
      <c r="AN55" s="80">
        <f>+AN54/'P&amp;L'!AN42</f>
        <v>0.20853513770180443</v>
      </c>
      <c r="AO55" s="80">
        <f>+AO54/'P&amp;L'!AO42</f>
        <v>0.43455370356891587</v>
      </c>
      <c r="AP55" s="80">
        <f>+AP54/'P&amp;L'!AP42</f>
        <v>0.72857851619695313</v>
      </c>
      <c r="AQ55" s="80">
        <f>+AQ54/'P&amp;L'!AQ42</f>
        <v>1.9500642048795704</v>
      </c>
      <c r="AR55" s="201"/>
      <c r="AS55" s="80">
        <f>+AS54/'P&amp;L'!AS42</f>
        <v>1.0417980879728115</v>
      </c>
      <c r="AT55" s="80">
        <f>+AT54/'P&amp;L'!AT42</f>
        <v>0.58205011389521644</v>
      </c>
      <c r="AU55" s="80">
        <f>+AU54/'P&amp;L'!AU42</f>
        <v>0.12692801215073185</v>
      </c>
      <c r="AV55" s="80">
        <f>+AV54/'P&amp;L'!AV42</f>
        <v>0.46750688740698765</v>
      </c>
      <c r="AW55" s="80">
        <f>+AW54/'P&amp;L'!AW42</f>
        <v>2.2504156967076812</v>
      </c>
      <c r="AX55" s="201"/>
      <c r="AY55" s="80">
        <f>+AY54/'P&amp;L'!AY42</f>
        <v>-5.9419604132166293E-2</v>
      </c>
      <c r="AZ55" s="80">
        <f>+AZ54/'P&amp;L'!AZ42</f>
        <v>0.61870532221058083</v>
      </c>
      <c r="BA55" s="80">
        <f>+BA54/'P&amp;L'!BA42</f>
        <v>0.34413158250981452</v>
      </c>
      <c r="BB55" s="80">
        <f>+BB54/'P&amp;L'!BB42</f>
        <v>0.67747237569060792</v>
      </c>
      <c r="BC55" s="80">
        <f>+BC54/'P&amp;L'!BC42</f>
        <v>1.5651006711409392</v>
      </c>
      <c r="BD55" s="201"/>
      <c r="BE55" s="80">
        <f>+BE54/'P&amp;L'!BE42</f>
        <v>0.33148404993065189</v>
      </c>
      <c r="BF55" s="80">
        <f>+BF54/'P&amp;L'!BF42</f>
        <v>0.53929539295392948</v>
      </c>
      <c r="BG55" s="80">
        <f>+BG54/'P&amp;L'!BG42</f>
        <v>0.59047619047619027</v>
      </c>
      <c r="BH55" s="80">
        <f>+BH54/'P&amp;L'!BH42</f>
        <v>0.74861878453038677</v>
      </c>
      <c r="BI55" s="80">
        <f>+BI54/'P&amp;L'!BI42</f>
        <v>2.1975476839237049</v>
      </c>
      <c r="BJ55" s="201"/>
      <c r="BK55" s="80">
        <f>+BK54/'P&amp;L'!BK42</f>
        <v>-6.330935251798557E-2</v>
      </c>
      <c r="BL55" s="80">
        <f>+BL54/'P&amp;L'!BL42</f>
        <v>0.42459736456808206</v>
      </c>
      <c r="BM55" s="80">
        <f>+BM54/'P&amp;L'!BM42</f>
        <v>0.57979502196193267</v>
      </c>
      <c r="BN55" s="80">
        <f>+BN54/'P&amp;L'!BN42</f>
        <v>0.52104499274310578</v>
      </c>
      <c r="BO55" s="80">
        <f>+BO54/'P&amp;L'!BO42</f>
        <v>1.4560000000000002</v>
      </c>
      <c r="BP55" s="201"/>
      <c r="BQ55" s="80">
        <f>+BQ54/'P&amp;L'!BQ42</f>
        <v>0.31107954545454541</v>
      </c>
      <c r="BR55" s="80">
        <f>+BR54/'P&amp;L'!BR42</f>
        <v>0.42976356050069553</v>
      </c>
      <c r="BS55" s="80">
        <f>+BS54/'P&amp;L'!BS42</f>
        <v>0.90518378442537828</v>
      </c>
      <c r="BT55" s="80">
        <f>+BT54/'P&amp;L'!BT42</f>
        <v>0.7557883366585747</v>
      </c>
      <c r="BU55" s="80">
        <f>+BU54/'P&amp;L'!BU42</f>
        <v>2.4095081510825773</v>
      </c>
      <c r="BV55" s="201"/>
      <c r="BW55" s="80">
        <f>+BW54/'P&amp;L'!BW42</f>
        <v>0.76747965934022144</v>
      </c>
      <c r="BX55" s="80">
        <f>+BX54/'P&amp;L'!BX42</f>
        <v>0.84999888408355428</v>
      </c>
      <c r="BY55" s="80">
        <f>+BY54/'P&amp;L'!BY42</f>
        <v>1.0157203201970209</v>
      </c>
      <c r="BZ55" s="80">
        <f>+BZ54/'P&amp;L'!BZ42</f>
        <v>1.0700622339997994</v>
      </c>
      <c r="CA55" s="80">
        <f>+CA54/'P&amp;L'!CA42</f>
        <v>3.6974627551440249</v>
      </c>
      <c r="CB55" s="201"/>
      <c r="CC55" s="80">
        <f>+CC54/'P&amp;L'!CC42</f>
        <v>0.86405191019640915</v>
      </c>
      <c r="CD55" s="80">
        <f>+CD54/'P&amp;L'!CD42</f>
        <v>0.91857109516702717</v>
      </c>
      <c r="CE55" s="80">
        <f>+CE54/'P&amp;L'!CE42</f>
        <v>1.1089158086852542</v>
      </c>
      <c r="CF55" s="80">
        <f>+CF54/'P&amp;L'!CF42</f>
        <v>1.1613062889539318</v>
      </c>
      <c r="CG55" s="80">
        <f>+CG54/'P&amp;L'!CG42</f>
        <v>4.0472743158861491</v>
      </c>
      <c r="CH55" s="201"/>
      <c r="CI55" s="80">
        <f>+CI54/'P&amp;L'!CI42</f>
        <v>0.90706575072259343</v>
      </c>
      <c r="CJ55" s="80">
        <f>+CJ54/'P&amp;L'!CJ42</f>
        <v>0.95870366753625824</v>
      </c>
      <c r="CK55" s="80">
        <f>+CK54/'P&amp;L'!CK42</f>
        <v>1.1588996864576937</v>
      </c>
      <c r="CL55" s="80">
        <f>+CL54/'P&amp;L'!CL42</f>
        <v>1.1880478949306374</v>
      </c>
      <c r="CM55" s="80">
        <f>+CM54/'P&amp;L'!CM42</f>
        <v>4.2127169996471832</v>
      </c>
      <c r="CN55" s="201"/>
      <c r="CO55" s="80">
        <f>+CO54/'P&amp;L'!CO42</f>
        <v>0.93670105518513203</v>
      </c>
      <c r="CP55" s="80">
        <f>+CP54/'P&amp;L'!CP42</f>
        <v>0.99054063614778176</v>
      </c>
      <c r="CQ55" s="80">
        <f>+CQ54/'P&amp;L'!CQ42</f>
        <v>1.2256996202433406</v>
      </c>
      <c r="CR55" s="80">
        <f>+CR54/'P&amp;L'!CR42</f>
        <v>1.2359802793663304</v>
      </c>
      <c r="CS55" s="80">
        <f>+CS54/'P&amp;L'!CS42</f>
        <v>4.3889215909425836</v>
      </c>
      <c r="CT55" s="80"/>
      <c r="CU55" s="80"/>
      <c r="CV55" s="80"/>
      <c r="CW55" s="80"/>
      <c r="CX55" s="80"/>
      <c r="CY55" s="80"/>
    </row>
    <row r="56" spans="1:103" ht="13.5" thickBot="1" x14ac:dyDescent="0.25">
      <c r="A56" s="77" t="s">
        <v>208</v>
      </c>
      <c r="B56" s="104"/>
      <c r="C56" s="202">
        <f>+C55/$BN$57</f>
        <v>-6.5190501867025512E-3</v>
      </c>
      <c r="D56" s="202">
        <f>+D55/$BN$57</f>
        <v>-4.5204644229376884E-3</v>
      </c>
      <c r="E56" s="202">
        <f>+E55/$BN$57</f>
        <v>-2.3462921145127901E-3</v>
      </c>
      <c r="F56" s="202">
        <f>+F55/$BN$57</f>
        <v>-8.8736357462689192E-4</v>
      </c>
      <c r="G56" s="202">
        <f>+G55/$BN$57</f>
        <v>-1.3993581232079777E-2</v>
      </c>
      <c r="H56" s="537"/>
      <c r="I56" s="202">
        <f>+I55/$BN$57</f>
        <v>-5.6567390495160484E-3</v>
      </c>
      <c r="J56" s="202">
        <f>+J55/$BN$57</f>
        <v>-1.6522942252218892E-3</v>
      </c>
      <c r="K56" s="202">
        <f>+K55/$BN$57</f>
        <v>1.0169991459289037E-3</v>
      </c>
      <c r="L56" s="202">
        <f>+L55/$BN$57</f>
        <v>3.5407999887150418E-2</v>
      </c>
      <c r="M56" s="202">
        <f>+M55/$BN$57</f>
        <v>2.9739912133041432E-2</v>
      </c>
      <c r="N56" s="537"/>
      <c r="O56" s="202">
        <f>+O55/$BN$57</f>
        <v>-1.702552567180464E-3</v>
      </c>
      <c r="P56" s="202">
        <f>+P55/$BN$57</f>
        <v>1.2332254756630332E-2</v>
      </c>
      <c r="Q56" s="202">
        <f>+Q55/$BN$57</f>
        <v>1.866925801418782E-3</v>
      </c>
      <c r="R56" s="202">
        <f>+R55/$BN$57</f>
        <v>1.131510411792209E-2</v>
      </c>
      <c r="S56" s="202">
        <f>+S55/$BN$57</f>
        <v>2.3943462225075828E-2</v>
      </c>
      <c r="T56" s="537"/>
      <c r="U56" s="202">
        <f>+U55/$BN$57</f>
        <v>6.697812673700101E-3</v>
      </c>
      <c r="V56" s="202">
        <f>+V55/$BN$57</f>
        <v>1.1907956854330288E-2</v>
      </c>
      <c r="W56" s="202">
        <f>+W55/$BN$57</f>
        <v>1.2845082866505075E-2</v>
      </c>
      <c r="X56" s="202">
        <f>+X55/$BN$57</f>
        <v>1.4344431179782643E-2</v>
      </c>
      <c r="Y56" s="202">
        <f>+Y55/$BN$57</f>
        <v>4.578959123023945E-2</v>
      </c>
      <c r="Z56" s="537"/>
      <c r="AA56" s="202">
        <f>+AA55/$BN$57</f>
        <v>8.900859938266446E-3</v>
      </c>
      <c r="AB56" s="202">
        <f>+AB55/$BN$57</f>
        <v>1.1877330534982434E-2</v>
      </c>
      <c r="AC56" s="202">
        <f>+AC55/$BN$57</f>
        <v>9.5409954341829535E-3</v>
      </c>
      <c r="AD56" s="202">
        <f>+AD55/$BN$57</f>
        <v>1.250170737343359E-2</v>
      </c>
      <c r="AE56" s="202">
        <f>+AE55/$BN$57</f>
        <v>4.270606612816398E-2</v>
      </c>
      <c r="AF56" s="537"/>
      <c r="AG56" s="202">
        <f>+AG55/$BN$57</f>
        <v>1.0530738070885167E-2</v>
      </c>
      <c r="AH56" s="202">
        <f>+AH55/$BN$57</f>
        <v>8.7362001715103939E-3</v>
      </c>
      <c r="AI56" s="202">
        <f>+AI55/$BN$57</f>
        <v>1.3822920014599277E-2</v>
      </c>
      <c r="AJ56" s="202">
        <f>+AJ55/$BN$57</f>
        <v>1.4118172566840281E-2</v>
      </c>
      <c r="AK56" s="202">
        <f>+AK55/$BN$57</f>
        <v>4.7230387408255144E-2</v>
      </c>
      <c r="AL56" s="537"/>
      <c r="AM56" s="202">
        <f>+AM55/$BN$57</f>
        <v>1.7972852762199752E-2</v>
      </c>
      <c r="AN56" s="202">
        <f>+AN55/$BN$57</f>
        <v>6.4322991271377056E-3</v>
      </c>
      <c r="AO56" s="202">
        <f>+AO55/$BN$57</f>
        <v>1.3403877346357675E-2</v>
      </c>
      <c r="AP56" s="202">
        <f>+AP55/$BN$57</f>
        <v>2.2473118945001636E-2</v>
      </c>
      <c r="AQ56" s="202">
        <f>+AQ55/$BN$57</f>
        <v>6.0150037164699889E-2</v>
      </c>
      <c r="AR56" s="537"/>
      <c r="AS56" s="202">
        <f>+AS55/$BN$57</f>
        <v>3.2134425909093503E-2</v>
      </c>
      <c r="AT56" s="202">
        <f>+AT55/$BN$57</f>
        <v>1.7953427325577309E-2</v>
      </c>
      <c r="AU56" s="202">
        <f>+AU55/$BN$57</f>
        <v>3.9151145018732833E-3</v>
      </c>
      <c r="AV56" s="202">
        <f>+AV55/$BN$57</f>
        <v>1.442032348571831E-2</v>
      </c>
      <c r="AW56" s="202">
        <f>+AW55/$BN$57</f>
        <v>6.9414426178521935E-2</v>
      </c>
      <c r="AX56" s="537"/>
      <c r="AY56" s="202">
        <f>+AY55/$BN$57</f>
        <v>-1.8328070367725567E-3</v>
      </c>
      <c r="AZ56" s="202">
        <f>+AZ55/$BN$57</f>
        <v>1.9084062992306625E-2</v>
      </c>
      <c r="BA56" s="202">
        <f>+BA55/$BN$57</f>
        <v>1.0614792797958498E-2</v>
      </c>
      <c r="BB56" s="202">
        <f>+BB55/$BN$57</f>
        <v>2.0896742001561008E-2</v>
      </c>
      <c r="BC56" s="202">
        <f>+BC55/$BN$57</f>
        <v>4.8275776407801944E-2</v>
      </c>
      <c r="BD56" s="202"/>
      <c r="BE56" s="202">
        <f>+BE55/$BN$57</f>
        <v>1.0224677665967054E-2</v>
      </c>
      <c r="BF56" s="202">
        <f>+BF55/$BN$57</f>
        <v>1.663465123238524E-2</v>
      </c>
      <c r="BG56" s="202">
        <f>+BG55/$BN$57</f>
        <v>1.8213330983226101E-2</v>
      </c>
      <c r="BH56" s="202">
        <f>+BH55/$BN$57</f>
        <v>2.3091264174287068E-2</v>
      </c>
      <c r="BI56" s="202">
        <f>+BI55/$BN$57</f>
        <v>6.7783704007517112E-2</v>
      </c>
      <c r="BJ56" s="202"/>
      <c r="BK56" s="202">
        <f>+BK55/$BN$57</f>
        <v>-1.9527869376306467E-3</v>
      </c>
      <c r="BL56" s="202">
        <f>+BL55/$BN$57</f>
        <v>1.3096772503642259E-2</v>
      </c>
      <c r="BM56" s="202">
        <f>+BM55/$BN$57</f>
        <v>1.788386866014598E-2</v>
      </c>
      <c r="BN56" s="202">
        <f>+BN55/$BN$57</f>
        <v>1.6071714766906407E-2</v>
      </c>
      <c r="BO56" s="202">
        <f>+BO55/$BN$57</f>
        <v>4.4910549043800124E-2</v>
      </c>
      <c r="BP56" s="202"/>
      <c r="BQ56" s="202">
        <f>+BQ55/$BN$57</f>
        <v>9.5952975155627826E-3</v>
      </c>
      <c r="BR56" s="202">
        <f>+BR55/$BN$57</f>
        <v>1.3256124629879565E-2</v>
      </c>
      <c r="BS56" s="202">
        <f>+BS55/$BN$57</f>
        <v>2.7920536225335541E-2</v>
      </c>
      <c r="BT56" s="202">
        <f>+BT55/$BN$57</f>
        <v>2.3312410137525438E-2</v>
      </c>
      <c r="BU56" s="202">
        <f>+BU55/$BN$57</f>
        <v>7.4321657960597698E-2</v>
      </c>
      <c r="BV56" s="202"/>
      <c r="BW56" s="202">
        <f>+BW55/$BN$57</f>
        <v>2.3673030824806335E-2</v>
      </c>
      <c r="BX56" s="202">
        <f>+BX55/$BN$57</f>
        <v>2.6218349293138626E-2</v>
      </c>
      <c r="BY56" s="202">
        <f>+BY55/$BN$57</f>
        <v>3.133005305974771E-2</v>
      </c>
      <c r="BZ56" s="202">
        <f>+BZ55/$BN$57</f>
        <v>3.3006237939537303E-2</v>
      </c>
      <c r="CA56" s="202">
        <f>+CA55/$BN$57</f>
        <v>0.11404882033140114</v>
      </c>
      <c r="CB56" s="202"/>
      <c r="CC56" s="202">
        <f>+CC55/$BN$57</f>
        <v>2.6651817094275419E-2</v>
      </c>
      <c r="CD56" s="202">
        <f>+CD55/$BN$57</f>
        <v>2.8333469931123602E-2</v>
      </c>
      <c r="CE56" s="202">
        <f>+CE55/$BN$57</f>
        <v>3.4204682562777734E-2</v>
      </c>
      <c r="CF56" s="202">
        <f>+CF55/$BN$57</f>
        <v>3.5820675168227387E-2</v>
      </c>
      <c r="CG56" s="202">
        <f>+CG55/$BN$57</f>
        <v>0.12483881295145431</v>
      </c>
      <c r="CH56" s="202"/>
      <c r="CI56" s="202">
        <f>+CI55/$BN$57</f>
        <v>2.7978585771825829E-2</v>
      </c>
      <c r="CJ56" s="202">
        <f>+CJ55/$BN$57</f>
        <v>2.9571365439119625E-2</v>
      </c>
      <c r="CK56" s="202">
        <f>+CK55/$BN$57</f>
        <v>3.5746443135647551E-2</v>
      </c>
      <c r="CL56" s="202">
        <f>+CL55/$BN$57</f>
        <v>3.664552421130899E-2</v>
      </c>
      <c r="CM56" s="202">
        <f>+CM55/$BN$57</f>
        <v>0.12994191855790199</v>
      </c>
      <c r="CN56" s="202"/>
      <c r="CO56" s="202">
        <f>+CO55/$BN$57</f>
        <v>2.8892691399911536E-2</v>
      </c>
      <c r="CP56" s="202">
        <f>+CP55/$BN$57</f>
        <v>3.0553381744225224E-2</v>
      </c>
      <c r="CQ56" s="202">
        <f>+CQ55/$BN$57</f>
        <v>3.7806897601583608E-2</v>
      </c>
      <c r="CR56" s="202">
        <f>+CR55/$BN$57</f>
        <v>3.8124006149485822E-2</v>
      </c>
      <c r="CS56" s="202">
        <f>+CS55/$BN$57</f>
        <v>0.13537697689520614</v>
      </c>
      <c r="CT56" s="202"/>
      <c r="CU56" s="202"/>
      <c r="CV56" s="202"/>
      <c r="CW56" s="202"/>
      <c r="CX56" s="202"/>
      <c r="CY56" s="202"/>
    </row>
    <row r="57" spans="1:103" ht="13.5" customHeight="1" outlineLevel="1" thickBot="1" x14ac:dyDescent="0.25">
      <c r="A57" s="78" t="s">
        <v>209</v>
      </c>
      <c r="B57" s="104"/>
      <c r="H57" s="544"/>
      <c r="N57" s="544"/>
      <c r="T57" s="544"/>
      <c r="Z57" s="103"/>
      <c r="AD57" s="43"/>
      <c r="AE57" s="43"/>
      <c r="AF57" s="103"/>
      <c r="AJ57" s="43"/>
      <c r="AK57" s="43"/>
      <c r="AL57" s="103"/>
      <c r="AM57" s="43"/>
      <c r="AN57" s="43"/>
      <c r="AO57" s="43"/>
      <c r="AP57" s="43"/>
      <c r="AQ57" s="43"/>
      <c r="AR57" s="103"/>
      <c r="AU57" s="43"/>
      <c r="AV57" s="43"/>
      <c r="AW57" s="43"/>
      <c r="AX57" s="103"/>
      <c r="AY57" s="43"/>
      <c r="AZ57" s="43"/>
      <c r="BA57" s="43"/>
      <c r="BB57" s="43"/>
      <c r="BC57" s="43"/>
      <c r="BD57" s="103"/>
      <c r="BE57" s="43"/>
      <c r="BF57" s="43"/>
      <c r="BH57" s="43"/>
      <c r="BJ57" s="103"/>
      <c r="BK57" s="43"/>
      <c r="BN57" s="750">
        <v>32.42</v>
      </c>
      <c r="BO57" s="43"/>
      <c r="BP57" s="103"/>
      <c r="BQ57" s="43"/>
      <c r="BR57" s="43"/>
      <c r="BS57" s="43"/>
      <c r="BT57" s="43"/>
      <c r="BU57" s="43"/>
      <c r="BV57" s="103"/>
      <c r="BW57" s="43"/>
      <c r="BX57" s="43"/>
      <c r="BY57" s="43"/>
      <c r="BZ57" s="43"/>
      <c r="CA57" s="43"/>
      <c r="CB57" s="103"/>
      <c r="CC57" s="43"/>
      <c r="CD57" s="43"/>
      <c r="CE57" s="43"/>
      <c r="CF57" s="43"/>
      <c r="CG57" s="43"/>
      <c r="CH57" s="103"/>
      <c r="CI57" s="43"/>
      <c r="CJ57" s="43"/>
      <c r="CK57" s="43"/>
      <c r="CL57" s="43"/>
      <c r="CM57" s="43"/>
      <c r="CN57" s="103"/>
      <c r="CO57" s="43"/>
      <c r="CP57" s="43"/>
      <c r="CQ57" s="43"/>
      <c r="CR57" s="43"/>
      <c r="CS57" s="43"/>
      <c r="CT57" s="43"/>
      <c r="CU57" s="43"/>
      <c r="CV57" s="43"/>
      <c r="CW57" s="43"/>
      <c r="CX57" s="43"/>
      <c r="CY57" s="43"/>
    </row>
    <row r="58" spans="1:103" x14ac:dyDescent="0.2">
      <c r="A58" s="78"/>
      <c r="B58" s="103"/>
      <c r="H58" s="544"/>
      <c r="N58" s="544"/>
      <c r="T58" s="544"/>
      <c r="Z58" s="105"/>
      <c r="AA58" s="43"/>
      <c r="AC58" s="43"/>
      <c r="AD58" s="43"/>
      <c r="AE58" s="43"/>
      <c r="AF58" s="105"/>
      <c r="AG58" s="43"/>
      <c r="AI58" s="43"/>
      <c r="AJ58" s="43"/>
      <c r="AK58" s="43"/>
      <c r="AL58" s="105"/>
      <c r="AM58" s="43"/>
      <c r="AN58" s="43"/>
      <c r="AO58" s="43"/>
      <c r="AP58" s="43"/>
      <c r="AQ58" s="43"/>
      <c r="AR58" s="105"/>
      <c r="AS58" s="43"/>
      <c r="AU58" s="43"/>
      <c r="AV58" s="43"/>
      <c r="AW58" s="43"/>
      <c r="AX58" s="105"/>
      <c r="AY58" s="43"/>
      <c r="AZ58" s="43"/>
      <c r="BA58" s="183"/>
      <c r="BB58" s="183"/>
      <c r="BC58" s="183"/>
      <c r="BD58" s="183"/>
      <c r="BE58" s="43"/>
      <c r="BF58" s="183"/>
      <c r="BG58" s="183"/>
      <c r="BH58" s="43"/>
      <c r="BI58" s="43"/>
      <c r="BJ58" s="105"/>
      <c r="BK58" s="43"/>
      <c r="BL58" s="183"/>
      <c r="BM58" s="43"/>
      <c r="BN58" s="43"/>
      <c r="BO58" s="43"/>
      <c r="BP58" s="105"/>
      <c r="BQ58" s="43"/>
      <c r="BR58" s="43"/>
      <c r="BS58" s="43"/>
      <c r="BT58" s="43"/>
      <c r="BU58" s="597">
        <f>+(BU54/BI54)^(1/2)-1</f>
        <v>3.4683808837413954E-2</v>
      </c>
      <c r="BV58" s="105"/>
      <c r="BW58" s="43"/>
      <c r="BX58" s="43"/>
      <c r="BY58" s="43"/>
      <c r="BZ58" s="43"/>
      <c r="CA58" s="597">
        <f>+(CA54/BO54)^(1/2)-1</f>
        <v>0.61884327793106531</v>
      </c>
      <c r="CB58" s="105"/>
      <c r="CC58" s="43"/>
      <c r="CD58" s="43"/>
      <c r="CE58" s="43"/>
      <c r="CF58" s="43"/>
      <c r="CG58" s="43"/>
      <c r="CH58" s="105"/>
      <c r="CI58" s="43"/>
      <c r="CJ58" s="43"/>
      <c r="CK58" s="43"/>
      <c r="CL58" s="43"/>
      <c r="CM58" s="43"/>
      <c r="CN58" s="105"/>
      <c r="CO58" s="43"/>
      <c r="CP58" s="43"/>
      <c r="CQ58" s="43"/>
      <c r="CR58" s="43"/>
      <c r="CS58" s="43"/>
      <c r="CT58" s="43"/>
      <c r="CU58" s="43"/>
      <c r="CV58" s="43"/>
      <c r="CW58" s="43"/>
      <c r="CX58" s="43"/>
      <c r="CY58" s="43"/>
    </row>
    <row r="59" spans="1:103" x14ac:dyDescent="0.2">
      <c r="A59" s="15" t="s">
        <v>190</v>
      </c>
      <c r="B59" s="105"/>
      <c r="H59" s="545"/>
      <c r="N59" s="545"/>
      <c r="T59" s="545"/>
      <c r="Z59" s="103"/>
      <c r="AA59" s="43"/>
      <c r="AC59" s="43"/>
      <c r="AD59" s="43"/>
      <c r="AE59" s="43"/>
      <c r="AF59" s="103"/>
      <c r="AG59" s="43"/>
      <c r="AI59" s="43"/>
      <c r="AJ59" s="43"/>
      <c r="AK59" s="43"/>
      <c r="AL59" s="103"/>
      <c r="AM59" s="43"/>
      <c r="AN59" s="43"/>
      <c r="AO59" s="43"/>
      <c r="AP59" s="43"/>
      <c r="AQ59" s="43"/>
      <c r="AR59" s="103"/>
      <c r="AS59" s="43"/>
      <c r="AU59" s="43"/>
      <c r="AV59" s="43"/>
      <c r="AW59" s="43"/>
      <c r="AX59" s="103"/>
      <c r="AY59" s="43"/>
      <c r="AZ59" s="43"/>
      <c r="BA59" s="183"/>
      <c r="BB59" s="183"/>
      <c r="BC59" s="183"/>
      <c r="BD59" s="183"/>
      <c r="BE59" s="43"/>
      <c r="BF59" s="183"/>
      <c r="BG59" s="183"/>
      <c r="BH59" s="43"/>
      <c r="BI59" s="183"/>
      <c r="BJ59" s="103"/>
      <c r="BK59" s="43"/>
      <c r="BL59" s="183"/>
      <c r="BM59" s="43"/>
      <c r="BN59" s="43"/>
      <c r="BO59" s="43"/>
      <c r="BP59" s="103"/>
      <c r="BQ59" s="43"/>
      <c r="BR59" s="43"/>
      <c r="BS59" s="43"/>
      <c r="BT59" s="43"/>
      <c r="BU59" s="597">
        <f>+(BU55/BI55)^(1/2)-1</f>
        <v>4.7116603919414191E-2</v>
      </c>
      <c r="BV59" s="103"/>
      <c r="BW59" s="43"/>
      <c r="BX59" s="43"/>
      <c r="BY59" s="43"/>
      <c r="BZ59" s="43"/>
      <c r="CA59" s="597">
        <f>+(CA55/BO55)^(1/2)-1</f>
        <v>0.5935702613890399</v>
      </c>
      <c r="CB59" s="103"/>
      <c r="CC59" s="43"/>
      <c r="CD59" s="43"/>
      <c r="CE59" s="43"/>
      <c r="CF59" s="43"/>
      <c r="CG59" s="43"/>
      <c r="CH59" s="103"/>
      <c r="CI59" s="43"/>
      <c r="CJ59" s="43"/>
      <c r="CK59" s="43"/>
      <c r="CL59" s="43"/>
      <c r="CM59" s="43"/>
      <c r="CN59" s="103"/>
      <c r="CO59" s="43"/>
      <c r="CP59" s="43"/>
      <c r="CQ59" s="43"/>
      <c r="CR59" s="43"/>
      <c r="CS59" s="43"/>
      <c r="CT59" s="43"/>
      <c r="CU59" s="43"/>
      <c r="CV59" s="43"/>
      <c r="CW59" s="43"/>
      <c r="CX59" s="43"/>
      <c r="CY59" s="43"/>
    </row>
    <row r="60" spans="1:103" x14ac:dyDescent="0.2">
      <c r="A60" s="1"/>
      <c r="B60" s="103"/>
      <c r="H60" s="545"/>
      <c r="N60" s="545"/>
      <c r="T60" s="545"/>
      <c r="Z60" s="103"/>
      <c r="AA60" s="43"/>
      <c r="AC60" s="43"/>
      <c r="AD60" s="43"/>
      <c r="AE60" s="43"/>
      <c r="AF60" s="103"/>
      <c r="AG60" s="43"/>
      <c r="AI60" s="43"/>
      <c r="AJ60" s="43"/>
      <c r="AK60" s="43"/>
      <c r="AL60" s="103"/>
      <c r="AM60" s="43"/>
      <c r="AN60" s="43"/>
      <c r="AO60" s="43"/>
      <c r="AP60" s="43"/>
      <c r="AQ60" s="43"/>
      <c r="AR60" s="103"/>
      <c r="AS60" s="43"/>
      <c r="AU60" s="43"/>
      <c r="AV60" s="43"/>
      <c r="AW60" s="43"/>
      <c r="AX60" s="103"/>
      <c r="AY60" s="43"/>
      <c r="AZ60" s="43"/>
      <c r="BA60" s="202"/>
      <c r="BB60" s="43"/>
      <c r="BC60" s="43"/>
      <c r="BD60" s="103"/>
      <c r="BE60" s="43"/>
      <c r="BF60" s="43"/>
      <c r="BG60" s="202"/>
      <c r="BH60" s="43"/>
      <c r="BI60" s="43"/>
      <c r="BJ60" s="103"/>
      <c r="BK60" s="43"/>
      <c r="BL60" s="43"/>
      <c r="BM60" s="43"/>
      <c r="BN60" s="43"/>
      <c r="BO60" s="43"/>
      <c r="BP60" s="103"/>
      <c r="BQ60" s="43"/>
      <c r="BR60" s="43"/>
      <c r="BS60" s="43"/>
      <c r="BT60" s="43"/>
      <c r="BU60" s="43"/>
      <c r="BV60" s="103"/>
      <c r="BW60" s="43"/>
      <c r="BX60" s="43"/>
      <c r="BY60" s="43"/>
      <c r="BZ60" s="43"/>
      <c r="CA60" s="43"/>
      <c r="CB60" s="103"/>
      <c r="CC60" s="43"/>
      <c r="CD60" s="43"/>
      <c r="CE60" s="43"/>
      <c r="CF60" s="43"/>
      <c r="CG60" s="43"/>
      <c r="CH60" s="103"/>
      <c r="CI60" s="43"/>
      <c r="CJ60" s="43"/>
      <c r="CK60" s="43"/>
      <c r="CL60" s="43"/>
      <c r="CM60" s="43"/>
      <c r="CN60" s="103"/>
      <c r="CO60" s="43"/>
      <c r="CP60" s="43"/>
      <c r="CQ60" s="43"/>
      <c r="CR60" s="43"/>
      <c r="CS60" s="43"/>
      <c r="CT60" s="43"/>
      <c r="CU60" s="43"/>
      <c r="CV60" s="43"/>
      <c r="CW60" s="43"/>
      <c r="CX60" s="43"/>
      <c r="CY60" s="43"/>
    </row>
    <row r="61" spans="1:103" ht="12.75" customHeight="1" outlineLevel="1" x14ac:dyDescent="0.2">
      <c r="A61" s="15" t="s">
        <v>191</v>
      </c>
      <c r="B61" s="105"/>
      <c r="H61" s="545"/>
      <c r="N61" s="545"/>
      <c r="T61" s="545"/>
      <c r="Z61" s="103"/>
      <c r="AA61" s="43"/>
      <c r="AC61" s="43"/>
      <c r="AD61" s="43"/>
      <c r="AE61" s="43"/>
      <c r="AF61" s="103"/>
      <c r="AG61" s="43"/>
      <c r="AI61" s="43"/>
      <c r="AJ61" s="43"/>
      <c r="AK61" s="43"/>
      <c r="AL61" s="103"/>
      <c r="AM61" s="43"/>
      <c r="AN61" s="43"/>
      <c r="AO61" s="43"/>
      <c r="AP61" s="43"/>
      <c r="AQ61" s="43"/>
      <c r="AR61" s="103"/>
      <c r="AS61" s="43"/>
      <c r="AU61" s="43"/>
      <c r="AV61" s="43"/>
      <c r="AW61" s="43"/>
      <c r="AX61" s="103"/>
      <c r="AY61" s="43"/>
      <c r="AZ61" s="43"/>
      <c r="BA61" s="43"/>
      <c r="BB61" s="43"/>
      <c r="BC61" s="43"/>
      <c r="BD61" s="103"/>
      <c r="BE61" s="43"/>
      <c r="BF61" s="43"/>
      <c r="BG61" s="43"/>
      <c r="BH61" s="43"/>
      <c r="BI61" s="43"/>
      <c r="BJ61" s="103"/>
      <c r="BK61" s="43"/>
      <c r="BL61" s="43"/>
      <c r="BM61" s="43"/>
      <c r="BN61" s="43"/>
      <c r="BO61" s="43"/>
      <c r="BP61" s="103"/>
      <c r="BQ61" s="43"/>
      <c r="BR61" s="43"/>
      <c r="BS61" s="43"/>
      <c r="BT61" s="43"/>
      <c r="BU61" s="43"/>
      <c r="BV61" s="103"/>
      <c r="BW61" s="43"/>
      <c r="BX61" s="43"/>
      <c r="BY61" s="43"/>
      <c r="BZ61" s="43"/>
      <c r="CA61" s="43"/>
      <c r="CB61" s="103"/>
      <c r="CC61" s="43"/>
      <c r="CD61" s="43"/>
      <c r="CE61" s="43"/>
      <c r="CF61" s="43"/>
      <c r="CG61" s="43"/>
      <c r="CH61" s="103"/>
      <c r="CI61" s="43"/>
      <c r="CJ61" s="43"/>
      <c r="CK61" s="43"/>
      <c r="CL61" s="43"/>
      <c r="CM61" s="43"/>
      <c r="CN61" s="103"/>
      <c r="CO61" s="43"/>
      <c r="CP61" s="43"/>
      <c r="CQ61" s="43"/>
      <c r="CR61" s="43"/>
      <c r="CS61" s="43"/>
      <c r="CT61" s="43"/>
      <c r="CU61" s="43"/>
      <c r="CV61" s="43"/>
      <c r="CW61" s="43"/>
      <c r="CX61" s="43"/>
      <c r="CY61" s="43"/>
    </row>
    <row r="62" spans="1:103" ht="12.75" customHeight="1" outlineLevel="1" x14ac:dyDescent="0.2">
      <c r="A62" s="1" t="s">
        <v>192</v>
      </c>
      <c r="B62" s="106"/>
      <c r="C62" s="80">
        <f>-C43/'P&amp;L'!C42</f>
        <v>0</v>
      </c>
      <c r="D62" s="80">
        <f>-D43/'P&amp;L'!D42</f>
        <v>0</v>
      </c>
      <c r="E62" s="80">
        <f>-E43/'P&amp;L'!E42</f>
        <v>0</v>
      </c>
      <c r="F62" s="80">
        <f>-F43/'P&amp;L'!F42</f>
        <v>0</v>
      </c>
      <c r="G62" s="80">
        <f>SUM(C62:F62)</f>
        <v>0</v>
      </c>
      <c r="H62" s="67"/>
      <c r="I62" s="80">
        <f>-I43/'P&amp;L'!I42</f>
        <v>0</v>
      </c>
      <c r="J62" s="80">
        <f>-J43/'P&amp;L'!J42</f>
        <v>0</v>
      </c>
      <c r="K62" s="80">
        <f>-K43/'P&amp;L'!K42</f>
        <v>0</v>
      </c>
      <c r="L62" s="80">
        <f>-L43/'P&amp;L'!L42</f>
        <v>0</v>
      </c>
      <c r="M62" s="80">
        <f>SUM(I62:L62)</f>
        <v>0</v>
      </c>
      <c r="N62" s="67"/>
      <c r="O62" s="80">
        <f>-O43/'P&amp;L'!O42</f>
        <v>0</v>
      </c>
      <c r="P62" s="80">
        <f>-P43/'P&amp;L'!P42</f>
        <v>0</v>
      </c>
      <c r="Q62" s="80">
        <f>-Q43/'P&amp;L'!Q42</f>
        <v>0</v>
      </c>
      <c r="R62" s="80">
        <f>-R43/'P&amp;L'!R42</f>
        <v>0</v>
      </c>
      <c r="S62" s="80">
        <f>SUM(O62:R62)</f>
        <v>0</v>
      </c>
      <c r="T62" s="67"/>
      <c r="U62" s="80">
        <f>-U43/'P&amp;L'!U42</f>
        <v>0</v>
      </c>
      <c r="V62" s="80">
        <f>-V43/'P&amp;L'!V42</f>
        <v>0</v>
      </c>
      <c r="W62" s="80">
        <f>-W43/'P&amp;L'!W42</f>
        <v>0</v>
      </c>
      <c r="X62" s="80">
        <f>-X43/'P&amp;L'!X42</f>
        <v>0</v>
      </c>
      <c r="Y62" s="80">
        <f>SUM(U62:X62)</f>
        <v>0</v>
      </c>
      <c r="Z62" s="67"/>
      <c r="AA62" s="80">
        <f>-AA43/'P&amp;L'!AA42</f>
        <v>0</v>
      </c>
      <c r="AB62" s="80">
        <f>-AB43/'P&amp;L'!AB42</f>
        <v>0</v>
      </c>
      <c r="AC62" s="80">
        <f>-AC43/'P&amp;L'!AC42</f>
        <v>0</v>
      </c>
      <c r="AD62" s="80">
        <f>-AD43/'P&amp;L'!AD42</f>
        <v>0</v>
      </c>
      <c r="AE62" s="80">
        <f>SUM(AA62:AD62)</f>
        <v>0</v>
      </c>
      <c r="AF62" s="67"/>
      <c r="AG62" s="80">
        <f>-AG43/'P&amp;L'!AG42</f>
        <v>0</v>
      </c>
      <c r="AH62" s="80">
        <f>-AH43/'P&amp;L'!AH42</f>
        <v>0</v>
      </c>
      <c r="AI62" s="80">
        <f>-AI43/'P&amp;L'!AI42</f>
        <v>0</v>
      </c>
      <c r="AJ62" s="80">
        <f>-AJ43/'P&amp;L'!AJ42</f>
        <v>0</v>
      </c>
      <c r="AK62" s="80">
        <f>SUM(AG62:AJ62)</f>
        <v>0</v>
      </c>
      <c r="AL62" s="67"/>
      <c r="AM62" s="80">
        <f>-AM43/'P&amp;L'!AM42</f>
        <v>0</v>
      </c>
      <c r="AN62" s="80">
        <f>-AN43/'P&amp;L'!AN42</f>
        <v>0</v>
      </c>
      <c r="AO62" s="80">
        <f>-AO43/'P&amp;L'!AO42</f>
        <v>0</v>
      </c>
      <c r="AP62" s="80">
        <f>-AP43/'P&amp;L'!AP42</f>
        <v>0</v>
      </c>
      <c r="AQ62" s="80">
        <f>SUM(AM62:AP62)</f>
        <v>0</v>
      </c>
      <c r="AR62" s="103"/>
      <c r="AS62" s="80">
        <f>-AS43/'P&amp;L'!AS42</f>
        <v>0</v>
      </c>
      <c r="AT62" s="80">
        <f>-AT43/'P&amp;L'!AT42</f>
        <v>0</v>
      </c>
      <c r="AU62" s="80">
        <f>-AU43/'P&amp;L'!AU42</f>
        <v>0</v>
      </c>
      <c r="AV62" s="80">
        <f>-AV43/'P&amp;L'!AV42</f>
        <v>0</v>
      </c>
      <c r="AW62" s="80">
        <f>SUM(AS62:AV62)</f>
        <v>0</v>
      </c>
      <c r="AX62" s="103"/>
      <c r="AY62" s="80">
        <f>-AY43/'P&amp;L'!AY42</f>
        <v>0</v>
      </c>
      <c r="AZ62" s="80">
        <f>-AZ43/'P&amp;L'!AZ42</f>
        <v>0</v>
      </c>
      <c r="BA62" s="80">
        <f>-BA43/'P&amp;L'!BA42</f>
        <v>0</v>
      </c>
      <c r="BB62" s="80">
        <f>-BB43/'P&amp;L'!BB42</f>
        <v>0</v>
      </c>
      <c r="BC62" s="80">
        <f>SUM(AY62:BB62)</f>
        <v>0</v>
      </c>
      <c r="BD62" s="103"/>
      <c r="BE62" s="80">
        <f>-BE43/'P&amp;L'!BE42</f>
        <v>0</v>
      </c>
      <c r="BF62" s="80">
        <f>-BF43/'P&amp;L'!BF42</f>
        <v>0</v>
      </c>
      <c r="BG62" s="80">
        <f>-BG43/'P&amp;L'!BG42</f>
        <v>0</v>
      </c>
      <c r="BH62" s="80">
        <f>-BH43/'P&amp;L'!BH42</f>
        <v>0</v>
      </c>
      <c r="BI62" s="80">
        <f>SUM(BE62:BH62)</f>
        <v>0</v>
      </c>
      <c r="BJ62" s="103"/>
      <c r="BK62" s="80">
        <f>-BK43/'P&amp;L'!BK42</f>
        <v>0</v>
      </c>
      <c r="BL62" s="80">
        <f>-BL43/'P&amp;L'!BL42</f>
        <v>0</v>
      </c>
      <c r="BM62" s="80">
        <f>-BM43/'P&amp;L'!BM42</f>
        <v>0</v>
      </c>
      <c r="BN62" s="80">
        <f>-BN43/'P&amp;L'!BN42</f>
        <v>0</v>
      </c>
      <c r="BO62" s="80">
        <f>SUM(BK62:BN62)</f>
        <v>0</v>
      </c>
      <c r="BP62" s="103"/>
      <c r="BQ62" s="80">
        <f>-BQ43/'P&amp;L'!BQ42</f>
        <v>0</v>
      </c>
      <c r="BR62" s="80">
        <f>-BR43/'P&amp;L'!BR42</f>
        <v>0</v>
      </c>
      <c r="BS62" s="80">
        <f>+BM62*(1+BS63)</f>
        <v>0</v>
      </c>
      <c r="BT62" s="80">
        <f>+BN62*(1+BT63)</f>
        <v>0</v>
      </c>
      <c r="BU62" s="80">
        <f>SUM(BQ62:BT62)</f>
        <v>0</v>
      </c>
      <c r="BV62" s="103"/>
      <c r="BW62" s="80">
        <f>+BQ62*(1+BW63)</f>
        <v>0</v>
      </c>
      <c r="BX62" s="80">
        <f>+BR62*(1+BX63)</f>
        <v>0</v>
      </c>
      <c r="BY62" s="80">
        <f>+BS62*(1+BY63)</f>
        <v>0</v>
      </c>
      <c r="BZ62" s="80">
        <f>+BT62*(1+BZ63)</f>
        <v>0</v>
      </c>
      <c r="CA62" s="80">
        <f>SUM(BW62:BZ62)</f>
        <v>0</v>
      </c>
      <c r="CB62" s="103"/>
      <c r="CC62" s="80">
        <f>+BW62*(1+CC63)</f>
        <v>0</v>
      </c>
      <c r="CD62" s="80">
        <f>+BX62*(1+CD63)</f>
        <v>0</v>
      </c>
      <c r="CE62" s="80">
        <f>+BY62*(1+CE63)</f>
        <v>0</v>
      </c>
      <c r="CF62" s="80">
        <f>+BZ62*(1+CF63)</f>
        <v>0</v>
      </c>
      <c r="CG62" s="80">
        <f>SUM(CC62:CF62)</f>
        <v>0</v>
      </c>
      <c r="CH62" s="103"/>
      <c r="CI62" s="80">
        <f>+CC62*(1+CI63)</f>
        <v>0</v>
      </c>
      <c r="CJ62" s="80">
        <f>+CD62*(1+CJ63)</f>
        <v>0</v>
      </c>
      <c r="CK62" s="80">
        <f>+CE62*(1+CK63)</f>
        <v>0</v>
      </c>
      <c r="CL62" s="80">
        <f>+CF62*(1+CL63)</f>
        <v>0</v>
      </c>
      <c r="CM62" s="80">
        <f>SUM(CI62:CL62)</f>
        <v>0</v>
      </c>
      <c r="CN62" s="103"/>
      <c r="CO62" s="80">
        <f>+CI62*(1+CO63)</f>
        <v>0</v>
      </c>
      <c r="CP62" s="80">
        <f>+CJ62*(1+CP63)</f>
        <v>0</v>
      </c>
      <c r="CQ62" s="80">
        <f>+CK62*(1+CQ63)</f>
        <v>0</v>
      </c>
      <c r="CR62" s="80">
        <f>+CL62*(1+CR63)</f>
        <v>0</v>
      </c>
      <c r="CS62" s="80">
        <f>SUM(CO62:CR62)</f>
        <v>0</v>
      </c>
      <c r="CT62" s="80"/>
      <c r="CU62" s="80"/>
      <c r="CV62" s="80"/>
      <c r="CW62" s="80"/>
      <c r="CX62" s="80"/>
      <c r="CY62" s="80"/>
    </row>
    <row r="63" spans="1:103" ht="12.75" customHeight="1" outlineLevel="1" x14ac:dyDescent="0.2">
      <c r="A63" s="76" t="s">
        <v>183</v>
      </c>
      <c r="B63" s="106"/>
      <c r="G63" s="81"/>
      <c r="H63" s="546"/>
      <c r="I63" s="81" t="str">
        <f>IF(ISERROR(I62/C62-1),"NM",I62/C62-1)</f>
        <v>NM</v>
      </c>
      <c r="J63" s="81" t="str">
        <f>IF(ISERROR(J62/D62-1),"NM",J62/D62-1)</f>
        <v>NM</v>
      </c>
      <c r="K63" s="81" t="str">
        <f>IF(ISERROR(K62/E62-1),"NM",K62/E62-1)</f>
        <v>NM</v>
      </c>
      <c r="L63" s="81" t="str">
        <f>IF(ISERROR(L62/F62-1),"NM",L62/F62-1)</f>
        <v>NM</v>
      </c>
      <c r="M63" s="81" t="str">
        <f>IF(ISERROR(M62/G62-1),"NM",M62/G62-1)</f>
        <v>NM</v>
      </c>
      <c r="N63" s="67"/>
      <c r="O63" s="81" t="str">
        <f>IF(ISERROR(O62/I62-1),"NM",O62/I62-1)</f>
        <v>NM</v>
      </c>
      <c r="P63" s="81" t="str">
        <f>IF(ISERROR(P62/J62-1),"NM",P62/J62-1)</f>
        <v>NM</v>
      </c>
      <c r="Q63" s="81" t="str">
        <f>IF(ISERROR(Q62/K62-1),"NM",Q62/K62-1)</f>
        <v>NM</v>
      </c>
      <c r="R63" s="81" t="str">
        <f>IF(ISERROR(R62/L62-1),"NM",R62/L62-1)</f>
        <v>NM</v>
      </c>
      <c r="S63" s="81" t="str">
        <f>IF(ISERROR(S62/M62-1),"NM",S62/M62-1)</f>
        <v>NM</v>
      </c>
      <c r="T63" s="67"/>
      <c r="U63" s="81" t="str">
        <f>IF(ISERROR(U62/O62-1),"NM",U62/O62-1)</f>
        <v>NM</v>
      </c>
      <c r="V63" s="81" t="str">
        <f>IF(ISERROR(V62/P62-1),"NM",V62/P62-1)</f>
        <v>NM</v>
      </c>
      <c r="W63" s="81" t="str">
        <f>IF(ISERROR(W62/Q62-1),"NM",W62/Q62-1)</f>
        <v>NM</v>
      </c>
      <c r="X63" s="81" t="str">
        <f>IF(ISERROR(X62/R62-1),"NM",X62/R62-1)</f>
        <v>NM</v>
      </c>
      <c r="Y63" s="81" t="str">
        <f>IF(ISERROR(Y62/S62-1),"NM",Y62/S62-1)</f>
        <v>NM</v>
      </c>
      <c r="Z63" s="67"/>
      <c r="AA63" s="81" t="str">
        <f>IF(ISERROR(AA62/U62-1),"NM",AA62/U62-1)</f>
        <v>NM</v>
      </c>
      <c r="AB63" s="81" t="str">
        <f>IF(ISERROR(AB62/V62-1),"NM",AB62/V62-1)</f>
        <v>NM</v>
      </c>
      <c r="AC63" s="81" t="str">
        <f>IF(ISERROR(AC62/W62-1),"NM",AC62/W62-1)</f>
        <v>NM</v>
      </c>
      <c r="AD63" s="81" t="str">
        <f>IF(ISERROR(AD62/X62-1),"NM",AD62/X62-1)</f>
        <v>NM</v>
      </c>
      <c r="AE63" s="81" t="str">
        <f>IF(ISERROR(AE62/Y62-1),"NM",AE62/Y62-1)</f>
        <v>NM</v>
      </c>
      <c r="AF63" s="67"/>
      <c r="AG63" s="81" t="str">
        <f>IF(ISERROR(AG62/AA62-1),"NM",AG62/AA62-1)</f>
        <v>NM</v>
      </c>
      <c r="AH63" s="81" t="str">
        <f>IF(ISERROR(AH62/AB62-1),"NM",AH62/AB62-1)</f>
        <v>NM</v>
      </c>
      <c r="AI63" s="81" t="str">
        <f>IF(ISERROR(AI62/AC62-1),"NM",AI62/AC62-1)</f>
        <v>NM</v>
      </c>
      <c r="AJ63" s="81" t="str">
        <f>IF(ISERROR(AJ62/AD62-1),"NM",AJ62/AD62-1)</f>
        <v>NM</v>
      </c>
      <c r="AK63" s="81" t="str">
        <f>IF(ISERROR(AK62/AE62-1),"NM",AK62/AE62-1)</f>
        <v>NM</v>
      </c>
      <c r="AL63" s="67"/>
      <c r="AM63" s="81" t="str">
        <f>IF(ISERROR(AM62/AG62-1),"NM",AM62/AG62-1)</f>
        <v>NM</v>
      </c>
      <c r="AN63" s="81" t="str">
        <f>IF(ISERROR(AN62/AH62-1),"NM",AN62/AH62-1)</f>
        <v>NM</v>
      </c>
      <c r="AO63" s="81" t="str">
        <f>IF(ISERROR(AO62/AI62-1),"NM",AO62/AI62-1)</f>
        <v>NM</v>
      </c>
      <c r="AP63" s="81" t="str">
        <f>IF(ISERROR(AP62/AJ62-1),"NM",AP62/AJ62-1)</f>
        <v>NM</v>
      </c>
      <c r="AQ63" s="81" t="str">
        <f>IF(ISERROR(AQ62/AK62-1),"NM",AQ62/AK62-1)</f>
        <v>NM</v>
      </c>
      <c r="AR63" s="107"/>
      <c r="AS63" s="81" t="str">
        <f>IF(ISERROR(AS62/AM62-1),"NM",AS62/AM62-1)</f>
        <v>NM</v>
      </c>
      <c r="AT63" s="81" t="str">
        <f>IF(ISERROR(AT62/AN62-1),"NM",AT62/AN62-1)</f>
        <v>NM</v>
      </c>
      <c r="AU63" s="81" t="str">
        <f>IF(ISERROR(AU62/AO62-1),"NM",AU62/AO62-1)</f>
        <v>NM</v>
      </c>
      <c r="AV63" s="81" t="str">
        <f>IF(ISERROR(AV62/AP62-1),"NM",AV62/AP62-1)</f>
        <v>NM</v>
      </c>
      <c r="AW63" s="81" t="str">
        <f>IF(ISERROR(AW62/AQ62-1),"NM",AW62/AQ62-1)</f>
        <v>NM</v>
      </c>
      <c r="AX63" s="107"/>
      <c r="AY63" s="81" t="str">
        <f>IF(ISERROR(AY62/AS62-1),"NM",AY62/AS62-1)</f>
        <v>NM</v>
      </c>
      <c r="AZ63" s="81" t="str">
        <f>IF(ISERROR(AZ62/AT62-1),"NM",AZ62/AT62-1)</f>
        <v>NM</v>
      </c>
      <c r="BA63" s="81" t="str">
        <f>IF(ISERROR(BA62/AU62-1),"NM",BA62/AU62-1)</f>
        <v>NM</v>
      </c>
      <c r="BB63" s="81" t="str">
        <f>IF(ISERROR(BB62/AV62-1),"NM",BB62/AV62-1)</f>
        <v>NM</v>
      </c>
      <c r="BC63" s="81" t="str">
        <f>IF(ISERROR(BC62/AW62-1),"NM",BC62/AW62-1)</f>
        <v>NM</v>
      </c>
      <c r="BD63" s="107"/>
      <c r="BE63" s="81" t="str">
        <f>IF(ISERROR(BE62/AY62-1),"NM",BE62/AY62-1)</f>
        <v>NM</v>
      </c>
      <c r="BF63" s="81" t="str">
        <f>IF(ISERROR(BF62/AZ62-1),"NM",BF62/AZ62-1)</f>
        <v>NM</v>
      </c>
      <c r="BG63" s="81" t="str">
        <f>IF(ISERROR(BG62/BA62-1),"NM",BG62/BA62-1)</f>
        <v>NM</v>
      </c>
      <c r="BH63" s="81" t="str">
        <f>IF(ISERROR(BH62/BB62-1),"NM",BH62/BB62-1)</f>
        <v>NM</v>
      </c>
      <c r="BI63" s="81" t="str">
        <f>IF(ISERROR(BI62/BC62-1),"NM",BI62/BC62-1)</f>
        <v>NM</v>
      </c>
      <c r="BJ63" s="107"/>
      <c r="BK63" s="81" t="str">
        <f>IF(ISERROR(BK62/BE62-1),"NM",BK62/BE62-1)</f>
        <v>NM</v>
      </c>
      <c r="BL63" s="81" t="str">
        <f>IF(ISERROR(BL62/BF62-1),"NM",BL62/BF62-1)</f>
        <v>NM</v>
      </c>
      <c r="BM63" s="81" t="str">
        <f>IF(ISERROR(BM62/BG62-1),"NM",BM62/BG62-1)</f>
        <v>NM</v>
      </c>
      <c r="BN63" s="81" t="str">
        <f>IF(ISERROR(BN62/BH62-1),"NM",BN62/BH62-1)</f>
        <v>NM</v>
      </c>
      <c r="BO63" s="81" t="str">
        <f>IF(ISERROR(BO62/BI62-1),"NM",BO62/BI62-1)</f>
        <v>NM</v>
      </c>
      <c r="BP63" s="107"/>
      <c r="BQ63" s="81" t="str">
        <f>IF(ISERROR(BQ62/BK62-1),"NM",BQ62/BK62-1)</f>
        <v>NM</v>
      </c>
      <c r="BR63" s="81" t="str">
        <f>IF(ISERROR(BR62/BL62-1),"NM",BR62/BL62-1)</f>
        <v>NM</v>
      </c>
      <c r="BS63" s="359">
        <v>0</v>
      </c>
      <c r="BT63" s="359">
        <v>0</v>
      </c>
      <c r="BU63" s="81" t="str">
        <f>IF(ISERROR(BU62/BO62-1),"NM",BU62/BO62-1)</f>
        <v>NM</v>
      </c>
      <c r="BV63" s="107"/>
      <c r="BW63" s="359">
        <v>0</v>
      </c>
      <c r="BX63" s="359">
        <v>0</v>
      </c>
      <c r="BY63" s="359">
        <v>0</v>
      </c>
      <c r="BZ63" s="359">
        <v>0</v>
      </c>
      <c r="CA63" s="81" t="str">
        <f>IF(ISERROR(CA62/BU62-1),"NM",CA62/BU62-1)</f>
        <v>NM</v>
      </c>
      <c r="CB63" s="107"/>
      <c r="CC63" s="359">
        <v>0</v>
      </c>
      <c r="CD63" s="359">
        <v>0</v>
      </c>
      <c r="CE63" s="359">
        <v>0</v>
      </c>
      <c r="CF63" s="359">
        <v>0</v>
      </c>
      <c r="CG63" s="81" t="str">
        <f>IF(ISERROR(CG62/CA62-1),"NM",CG62/CA62-1)</f>
        <v>NM</v>
      </c>
      <c r="CH63" s="107"/>
      <c r="CI63" s="359">
        <v>0</v>
      </c>
      <c r="CJ63" s="359">
        <v>0</v>
      </c>
      <c r="CK63" s="359">
        <v>0</v>
      </c>
      <c r="CL63" s="359">
        <v>0</v>
      </c>
      <c r="CM63" s="81" t="str">
        <f>IF(ISERROR(CM62/CG62-1),"NM",CM62/CG62-1)</f>
        <v>NM</v>
      </c>
      <c r="CN63" s="107"/>
      <c r="CO63" s="359">
        <v>0</v>
      </c>
      <c r="CP63" s="359">
        <v>0</v>
      </c>
      <c r="CQ63" s="359">
        <v>0</v>
      </c>
      <c r="CR63" s="359">
        <v>0</v>
      </c>
      <c r="CS63" s="81" t="str">
        <f>IF(ISERROR(CS62/CM62-1),"NM",CS62/CM62-1)</f>
        <v>NM</v>
      </c>
      <c r="CT63" s="81"/>
      <c r="CU63" s="81"/>
      <c r="CV63" s="81"/>
      <c r="CW63" s="81"/>
      <c r="CX63" s="81"/>
      <c r="CY63" s="81"/>
    </row>
    <row r="64" spans="1:103" ht="12.75" customHeight="1" outlineLevel="1" x14ac:dyDescent="0.2">
      <c r="A64" s="76" t="s">
        <v>193</v>
      </c>
      <c r="B64" s="106"/>
      <c r="C64" s="55">
        <f>+C62/'P&amp;L'!C46</f>
        <v>0</v>
      </c>
      <c r="D64" s="55">
        <f>+D62/'P&amp;L'!D46</f>
        <v>0</v>
      </c>
      <c r="E64" s="55">
        <f>+E62/'P&amp;L'!E46</f>
        <v>0</v>
      </c>
      <c r="F64" s="55">
        <f>+F62/'P&amp;L'!F46</f>
        <v>0</v>
      </c>
      <c r="G64" s="55">
        <f>+G62/'P&amp;L'!G46</f>
        <v>0</v>
      </c>
      <c r="H64" s="538"/>
      <c r="I64" s="55">
        <f>+I62/'P&amp;L'!I46</f>
        <v>0</v>
      </c>
      <c r="J64" s="55">
        <f>+J62/'P&amp;L'!J46</f>
        <v>0</v>
      </c>
      <c r="K64" s="55">
        <f>+K62/'P&amp;L'!K46</f>
        <v>0</v>
      </c>
      <c r="L64" s="55">
        <f>+L62/'P&amp;L'!L46</f>
        <v>0</v>
      </c>
      <c r="M64" s="55">
        <f>+M62/'P&amp;L'!M46</f>
        <v>0</v>
      </c>
      <c r="N64" s="538"/>
      <c r="O64" s="55">
        <f>+O62/'P&amp;L'!O46</f>
        <v>0</v>
      </c>
      <c r="P64" s="55">
        <f>+P62/'P&amp;L'!P46</f>
        <v>0</v>
      </c>
      <c r="Q64" s="55">
        <f>+Q62/'P&amp;L'!Q46</f>
        <v>0</v>
      </c>
      <c r="R64" s="55">
        <f>+R62/'P&amp;L'!R46</f>
        <v>0</v>
      </c>
      <c r="S64" s="55">
        <f>+S62/'P&amp;L'!S46</f>
        <v>0</v>
      </c>
      <c r="T64" s="538"/>
      <c r="U64" s="55">
        <f>+U62/'P&amp;L'!U46</f>
        <v>0</v>
      </c>
      <c r="V64" s="55">
        <f>+V62/'P&amp;L'!V46</f>
        <v>0</v>
      </c>
      <c r="W64" s="55">
        <f>+W62/'P&amp;L'!W46</f>
        <v>0</v>
      </c>
      <c r="X64" s="55">
        <f>+X62/'P&amp;L'!X46</f>
        <v>0</v>
      </c>
      <c r="Y64" s="55">
        <f>+Y62/'P&amp;L'!Y46</f>
        <v>0</v>
      </c>
      <c r="Z64" s="538"/>
      <c r="AA64" s="55">
        <f>+AA62/'P&amp;L'!AA46</f>
        <v>0</v>
      </c>
      <c r="AB64" s="55">
        <f>+AB62/'P&amp;L'!AB46</f>
        <v>0</v>
      </c>
      <c r="AC64" s="55">
        <f>+AC62/'P&amp;L'!AC46</f>
        <v>0</v>
      </c>
      <c r="AD64" s="55">
        <f>+AD62/'P&amp;L'!AD46</f>
        <v>0</v>
      </c>
      <c r="AE64" s="55">
        <f>+AE62/'P&amp;L'!AE46</f>
        <v>0</v>
      </c>
      <c r="AF64" s="538"/>
      <c r="AG64" s="55">
        <f>+AG62/'P&amp;L'!AG46</f>
        <v>0</v>
      </c>
      <c r="AH64" s="55">
        <f>+AH62/'P&amp;L'!AH46</f>
        <v>0</v>
      </c>
      <c r="AI64" s="55">
        <f>+AI62/'P&amp;L'!AI46</f>
        <v>0</v>
      </c>
      <c r="AJ64" s="55">
        <f>+AJ62/'P&amp;L'!AJ46</f>
        <v>0</v>
      </c>
      <c r="AK64" s="55">
        <f>+AK62/'P&amp;L'!AK46</f>
        <v>0</v>
      </c>
      <c r="AL64" s="538"/>
      <c r="AM64" s="55">
        <f>+AM62/'P&amp;L'!AM46</f>
        <v>0</v>
      </c>
      <c r="AN64" s="55">
        <f>+AN62/'P&amp;L'!AN46</f>
        <v>0</v>
      </c>
      <c r="AO64" s="55">
        <f>+AO62/'P&amp;L'!AO46</f>
        <v>0</v>
      </c>
      <c r="AP64" s="55">
        <f>+AP62/'P&amp;L'!AP46</f>
        <v>0</v>
      </c>
      <c r="AQ64" s="55">
        <f>+AQ62/'P&amp;L'!AQ46</f>
        <v>0</v>
      </c>
      <c r="AR64" s="52"/>
      <c r="AS64" s="55">
        <f>+AS62/'P&amp;L'!AS46</f>
        <v>0</v>
      </c>
      <c r="AT64" s="55">
        <f>+AT62/'P&amp;L'!AT46</f>
        <v>0</v>
      </c>
      <c r="AU64" s="55">
        <f>+AU62/'P&amp;L'!AU46</f>
        <v>0</v>
      </c>
      <c r="AV64" s="55">
        <f>+AV62/'P&amp;L'!AV46</f>
        <v>0</v>
      </c>
      <c r="AW64" s="55">
        <f>+AW62/'P&amp;L'!AW46</f>
        <v>0</v>
      </c>
      <c r="AX64" s="52"/>
      <c r="AY64" s="55">
        <f>+AY62/'P&amp;L'!AY46</f>
        <v>0</v>
      </c>
      <c r="AZ64" s="55">
        <f>+AZ62/'P&amp;L'!AZ46</f>
        <v>0</v>
      </c>
      <c r="BA64" s="55">
        <f>+BA62/'P&amp;L'!BA46</f>
        <v>0</v>
      </c>
      <c r="BB64" s="55">
        <f>+BB62/'P&amp;L'!BB46</f>
        <v>0</v>
      </c>
      <c r="BC64" s="55">
        <f>+BC62/'P&amp;L'!BC46</f>
        <v>0</v>
      </c>
      <c r="BD64" s="52"/>
      <c r="BE64" s="55">
        <f>+BE62/'P&amp;L'!BE46</f>
        <v>0</v>
      </c>
      <c r="BF64" s="55">
        <f>+BF62/'P&amp;L'!BF46</f>
        <v>0</v>
      </c>
      <c r="BG64" s="55">
        <f>+BG62/'P&amp;L'!BG46</f>
        <v>0</v>
      </c>
      <c r="BH64" s="55">
        <f>+BH62/'P&amp;L'!BH46</f>
        <v>0</v>
      </c>
      <c r="BI64" s="55">
        <f>+BI62/'P&amp;L'!BI46</f>
        <v>0</v>
      </c>
      <c r="BJ64" s="52"/>
      <c r="BK64" s="55">
        <f>+BK62/'P&amp;L'!BK46</f>
        <v>0</v>
      </c>
      <c r="BL64" s="55">
        <f>+BL62/'P&amp;L'!BL46</f>
        <v>0</v>
      </c>
      <c r="BM64" s="55">
        <f>+BM62/'P&amp;L'!BM46</f>
        <v>0</v>
      </c>
      <c r="BN64" s="55">
        <f>+BN62/'P&amp;L'!BN46</f>
        <v>0</v>
      </c>
      <c r="BO64" s="55">
        <f>+BO62/'P&amp;L'!BO46</f>
        <v>0</v>
      </c>
      <c r="BP64" s="52"/>
      <c r="BQ64" s="55">
        <f>+BQ62/'P&amp;L'!BQ46</f>
        <v>0</v>
      </c>
      <c r="BR64" s="55">
        <f>+BR62/'P&amp;L'!BR46</f>
        <v>0</v>
      </c>
      <c r="BS64" s="55">
        <f>+BS62/'P&amp;L'!BS46</f>
        <v>0</v>
      </c>
      <c r="BT64" s="55">
        <f>+BT62/'P&amp;L'!BT46</f>
        <v>0</v>
      </c>
      <c r="BU64" s="55">
        <f>+BU62/'P&amp;L'!BU46</f>
        <v>0</v>
      </c>
      <c r="BV64" s="52"/>
      <c r="BW64" s="55">
        <f>+BW62/'P&amp;L'!BW46</f>
        <v>0</v>
      </c>
      <c r="BX64" s="55">
        <f>+BX62/'P&amp;L'!BX46</f>
        <v>0</v>
      </c>
      <c r="BY64" s="55">
        <f>+BY62/'P&amp;L'!BY46</f>
        <v>0</v>
      </c>
      <c r="BZ64" s="55">
        <f>+BZ62/'P&amp;L'!BZ46</f>
        <v>0</v>
      </c>
      <c r="CA64" s="55">
        <f>+CA62/'P&amp;L'!CA46</f>
        <v>0</v>
      </c>
      <c r="CB64" s="52"/>
      <c r="CC64" s="55">
        <f>+CC62/'P&amp;L'!CC46</f>
        <v>0</v>
      </c>
      <c r="CD64" s="55">
        <f>+CD62/'P&amp;L'!CD46</f>
        <v>0</v>
      </c>
      <c r="CE64" s="55">
        <f>+CE62/'P&amp;L'!CE46</f>
        <v>0</v>
      </c>
      <c r="CF64" s="55">
        <f>+CF62/'P&amp;L'!CF46</f>
        <v>0</v>
      </c>
      <c r="CG64" s="55">
        <f>+CG62/'P&amp;L'!CG46</f>
        <v>0</v>
      </c>
      <c r="CH64" s="52"/>
      <c r="CI64" s="55">
        <f>+CI62/'P&amp;L'!CI46</f>
        <v>0</v>
      </c>
      <c r="CJ64" s="55">
        <f>+CJ62/'P&amp;L'!CJ46</f>
        <v>0</v>
      </c>
      <c r="CK64" s="55">
        <f>+CK62/'P&amp;L'!CK46</f>
        <v>0</v>
      </c>
      <c r="CL64" s="55">
        <f>+CL62/'P&amp;L'!CL46</f>
        <v>0</v>
      </c>
      <c r="CM64" s="55">
        <f>+CM62/'P&amp;L'!CM46</f>
        <v>0</v>
      </c>
      <c r="CN64" s="52"/>
      <c r="CO64" s="55">
        <f>+CO62/'P&amp;L'!CO46</f>
        <v>0</v>
      </c>
      <c r="CP64" s="55">
        <f>+CP62/'P&amp;L'!CP46</f>
        <v>0</v>
      </c>
      <c r="CQ64" s="55">
        <f>+CQ62/'P&amp;L'!CQ46</f>
        <v>0</v>
      </c>
      <c r="CR64" s="55">
        <f>+CR62/'P&amp;L'!CR46</f>
        <v>0</v>
      </c>
      <c r="CS64" s="55">
        <f>+CS62/'P&amp;L'!CS46</f>
        <v>0</v>
      </c>
      <c r="CT64" s="55"/>
      <c r="CU64" s="55"/>
      <c r="CV64" s="55"/>
      <c r="CW64" s="55"/>
      <c r="CX64" s="55"/>
      <c r="CY64" s="55"/>
    </row>
    <row r="65" spans="1:103" ht="12.75" customHeight="1" outlineLevel="1" x14ac:dyDescent="0.2">
      <c r="A65" s="1"/>
      <c r="B65" s="103"/>
      <c r="H65" s="67"/>
      <c r="N65" s="67"/>
      <c r="T65" s="67"/>
      <c r="Z65" s="108"/>
      <c r="AA65" s="43"/>
      <c r="AC65" s="43"/>
      <c r="AD65" s="43"/>
      <c r="AE65" s="43"/>
      <c r="AF65" s="108"/>
      <c r="AG65" s="43"/>
      <c r="AI65" s="43"/>
      <c r="AJ65" s="43"/>
      <c r="AK65" s="43"/>
      <c r="AL65" s="108"/>
      <c r="AM65" s="43"/>
      <c r="AN65" s="43"/>
      <c r="AO65" s="43"/>
      <c r="AP65" s="43"/>
      <c r="AQ65" s="43"/>
      <c r="AR65" s="108"/>
      <c r="AS65" s="43"/>
      <c r="AU65" s="43"/>
      <c r="AV65" s="43"/>
      <c r="AW65" s="43"/>
      <c r="AX65" s="108"/>
      <c r="AY65" s="43"/>
      <c r="AZ65" s="43"/>
      <c r="BA65" s="43"/>
      <c r="BB65" s="43"/>
      <c r="BC65" s="43"/>
      <c r="BD65" s="108"/>
      <c r="BE65" s="43"/>
      <c r="BF65" s="43"/>
      <c r="BG65" s="43"/>
      <c r="BH65" s="43"/>
      <c r="BI65" s="43"/>
      <c r="BJ65" s="108"/>
      <c r="BK65" s="43"/>
      <c r="BL65" s="43"/>
      <c r="BM65" s="43"/>
      <c r="BN65" s="43"/>
      <c r="BO65" s="43"/>
      <c r="BP65" s="108"/>
      <c r="BQ65" s="43"/>
      <c r="BR65" s="43"/>
      <c r="BS65" s="43"/>
      <c r="BT65" s="43"/>
      <c r="BU65" s="43"/>
      <c r="BV65" s="108"/>
      <c r="BW65" s="43"/>
      <c r="BX65" s="43"/>
      <c r="BY65" s="43"/>
      <c r="BZ65" s="43"/>
      <c r="CA65" s="43"/>
      <c r="CB65" s="108"/>
      <c r="CC65" s="43"/>
      <c r="CD65" s="43"/>
      <c r="CE65" s="43"/>
      <c r="CF65" s="43"/>
      <c r="CG65" s="43"/>
      <c r="CH65" s="108"/>
      <c r="CI65" s="43"/>
      <c r="CJ65" s="43"/>
      <c r="CK65" s="43"/>
      <c r="CL65" s="43"/>
      <c r="CM65" s="43"/>
      <c r="CN65" s="108"/>
      <c r="CO65" s="43"/>
      <c r="CP65" s="43"/>
      <c r="CQ65" s="43"/>
      <c r="CR65" s="43"/>
      <c r="CS65" s="43"/>
      <c r="CT65" s="43"/>
      <c r="CU65" s="43"/>
      <c r="CV65" s="43"/>
      <c r="CW65" s="43"/>
      <c r="CX65" s="43"/>
      <c r="CY65" s="43"/>
    </row>
    <row r="66" spans="1:103" ht="12.75" customHeight="1" outlineLevel="1" x14ac:dyDescent="0.2">
      <c r="A66" s="89" t="s">
        <v>194</v>
      </c>
      <c r="B66" s="103"/>
      <c r="C66" s="43"/>
      <c r="D66" s="43"/>
      <c r="E66" s="43"/>
      <c r="F66" s="43"/>
      <c r="G66" s="43"/>
      <c r="H66" s="103"/>
      <c r="I66" s="43"/>
      <c r="J66" s="43"/>
      <c r="K66" s="43"/>
      <c r="L66" s="43"/>
      <c r="M66" s="43"/>
      <c r="N66" s="103"/>
      <c r="O66" s="43"/>
      <c r="P66" s="43"/>
      <c r="Q66" s="43"/>
      <c r="R66" s="43"/>
      <c r="S66" s="43"/>
      <c r="T66" s="103"/>
      <c r="U66" s="43"/>
      <c r="V66" s="43"/>
      <c r="W66" s="43"/>
      <c r="X66" s="43"/>
      <c r="Y66" s="43"/>
      <c r="Z66" s="108"/>
      <c r="AA66" s="43"/>
      <c r="AB66" s="43"/>
      <c r="AC66" s="43"/>
      <c r="AD66" s="43"/>
      <c r="AE66" s="43"/>
      <c r="AF66" s="108"/>
      <c r="AG66" s="43"/>
      <c r="AH66" s="43"/>
      <c r="AI66" s="43"/>
      <c r="AJ66" s="43"/>
      <c r="AK66" s="43"/>
      <c r="AL66" s="108"/>
      <c r="AM66" s="43"/>
      <c r="AN66" s="43"/>
      <c r="AO66" s="43"/>
      <c r="AP66" s="43"/>
      <c r="AQ66" s="43"/>
      <c r="AR66" s="108"/>
      <c r="AS66" s="43"/>
      <c r="AT66" s="43"/>
      <c r="AU66" s="43"/>
      <c r="AV66" s="43"/>
      <c r="AW66" s="43"/>
      <c r="AX66" s="108"/>
      <c r="AY66" s="43"/>
      <c r="AZ66" s="43"/>
      <c r="BA66" s="43"/>
      <c r="BB66" s="43"/>
      <c r="BC66" s="43"/>
      <c r="BD66" s="108"/>
      <c r="BE66" s="43"/>
      <c r="BF66" s="43"/>
      <c r="BG66" s="43"/>
      <c r="BH66" s="43"/>
      <c r="BI66" s="43"/>
      <c r="BJ66" s="108"/>
      <c r="BK66" s="43"/>
      <c r="BL66" s="43"/>
      <c r="BM66" s="43"/>
      <c r="BN66" s="43"/>
      <c r="BO66" s="43"/>
      <c r="BP66" s="108"/>
      <c r="BQ66" s="43"/>
      <c r="BR66" s="43"/>
      <c r="BS66" s="43"/>
      <c r="BT66" s="43"/>
      <c r="BU66" s="43"/>
      <c r="BV66" s="108"/>
      <c r="BW66" s="43"/>
      <c r="BX66" s="43"/>
      <c r="BY66" s="43"/>
      <c r="BZ66" s="43"/>
      <c r="CA66" s="43"/>
      <c r="CB66" s="108"/>
      <c r="CC66" s="43"/>
      <c r="CD66" s="43"/>
      <c r="CE66" s="43"/>
      <c r="CF66" s="43"/>
      <c r="CG66" s="43"/>
      <c r="CH66" s="108"/>
      <c r="CI66" s="43"/>
      <c r="CJ66" s="43"/>
      <c r="CK66" s="43"/>
      <c r="CL66" s="43"/>
      <c r="CM66" s="43"/>
      <c r="CN66" s="108"/>
      <c r="CO66" s="43"/>
      <c r="CP66" s="43"/>
      <c r="CQ66" s="43"/>
      <c r="CR66" s="43"/>
      <c r="CS66" s="43"/>
      <c r="CT66" s="43"/>
      <c r="CU66" s="43"/>
      <c r="CV66" s="43"/>
      <c r="CW66" s="43"/>
      <c r="CX66" s="43"/>
      <c r="CY66" s="43"/>
    </row>
    <row r="67" spans="1:103" ht="12.75" customHeight="1" outlineLevel="1" x14ac:dyDescent="0.2">
      <c r="A67" s="75"/>
      <c r="B67" s="105"/>
      <c r="C67" s="43"/>
      <c r="D67" s="43"/>
      <c r="E67" s="43"/>
      <c r="F67" s="43"/>
      <c r="G67" s="43"/>
      <c r="H67" s="103"/>
      <c r="I67" s="43"/>
      <c r="J67" s="43"/>
      <c r="K67" s="43"/>
      <c r="L67" s="43"/>
      <c r="M67" s="43"/>
      <c r="N67" s="103"/>
      <c r="O67" s="43"/>
      <c r="P67" s="43"/>
      <c r="Q67" s="43"/>
      <c r="R67" s="43"/>
      <c r="S67" s="43"/>
      <c r="T67" s="103"/>
      <c r="U67" s="43"/>
      <c r="V67" s="43"/>
      <c r="W67" s="43"/>
      <c r="X67" s="43"/>
      <c r="Y67" s="43"/>
      <c r="Z67" s="108"/>
      <c r="AA67" s="43"/>
      <c r="AB67" s="43"/>
      <c r="AC67" s="43"/>
      <c r="AD67" s="43"/>
      <c r="AE67" s="43"/>
      <c r="AF67" s="108"/>
      <c r="AG67" s="43"/>
      <c r="AH67" s="43"/>
      <c r="AI67" s="43"/>
      <c r="AJ67" s="43"/>
      <c r="AK67" s="43"/>
      <c r="AL67" s="108"/>
      <c r="AM67" s="43"/>
      <c r="AN67" s="43"/>
      <c r="AO67" s="43"/>
      <c r="AP67" s="43"/>
      <c r="AQ67" s="43"/>
      <c r="AR67" s="108"/>
      <c r="AS67" s="43"/>
      <c r="AT67" s="43"/>
      <c r="AU67" s="43"/>
      <c r="AV67" s="250"/>
      <c r="AW67" s="43"/>
      <c r="AX67" s="108"/>
      <c r="AY67" s="43"/>
      <c r="AZ67" s="43"/>
      <c r="BA67" s="43"/>
      <c r="BB67" s="43"/>
      <c r="BC67" s="43"/>
      <c r="BD67" s="108"/>
      <c r="BE67" s="43"/>
      <c r="BF67" s="43"/>
      <c r="BG67" s="43"/>
      <c r="BH67" s="43"/>
      <c r="BI67" s="43"/>
      <c r="BJ67" s="108"/>
      <c r="BK67" s="43"/>
      <c r="BL67" s="43"/>
      <c r="BM67" s="43"/>
      <c r="BN67" s="43"/>
      <c r="BO67" s="43"/>
      <c r="BP67" s="108"/>
      <c r="BQ67" s="43"/>
      <c r="BR67" s="43"/>
      <c r="BS67" s="43"/>
      <c r="BT67" s="43"/>
      <c r="BU67" s="43"/>
      <c r="BV67" s="108"/>
      <c r="BW67" s="43"/>
      <c r="BX67" s="43"/>
      <c r="BY67" s="43"/>
      <c r="BZ67" s="43"/>
      <c r="CA67" s="43"/>
      <c r="CB67" s="108"/>
      <c r="CC67" s="43"/>
      <c r="CD67" s="43"/>
      <c r="CE67" s="43"/>
      <c r="CF67" s="43"/>
      <c r="CG67" s="43"/>
      <c r="CH67" s="108"/>
      <c r="CI67" s="43"/>
      <c r="CJ67" s="43"/>
      <c r="CK67" s="43"/>
      <c r="CL67" s="43"/>
      <c r="CM67" s="43"/>
      <c r="CN67" s="108"/>
      <c r="CO67" s="43"/>
      <c r="CP67" s="43"/>
      <c r="CQ67" s="43"/>
      <c r="CR67" s="43"/>
      <c r="CS67" s="43"/>
      <c r="CT67" s="43"/>
      <c r="CU67" s="43"/>
      <c r="CV67" s="43"/>
      <c r="CW67" s="43"/>
      <c r="CX67" s="43"/>
      <c r="CY67" s="43"/>
    </row>
    <row r="68" spans="1:103" ht="12.75" customHeight="1" outlineLevel="1" x14ac:dyDescent="0.2">
      <c r="A68" s="75" t="s">
        <v>80</v>
      </c>
      <c r="B68" s="103"/>
      <c r="C68" s="84"/>
      <c r="D68" s="82"/>
      <c r="E68" s="82"/>
      <c r="F68" s="82"/>
      <c r="G68" s="82"/>
      <c r="H68" s="103"/>
      <c r="I68" s="82"/>
      <c r="J68" s="82"/>
      <c r="K68" s="82"/>
      <c r="L68" s="82"/>
      <c r="M68" s="82"/>
      <c r="N68" s="103"/>
      <c r="O68" s="82"/>
      <c r="P68" s="82"/>
      <c r="Q68" s="82"/>
      <c r="R68" s="82"/>
      <c r="S68" s="82"/>
      <c r="T68" s="103"/>
      <c r="U68" s="82"/>
      <c r="V68" s="82"/>
      <c r="W68" s="82"/>
      <c r="X68" s="82"/>
      <c r="Y68" s="82"/>
      <c r="Z68" s="108"/>
      <c r="AA68" s="448">
        <v>14.116937999999999</v>
      </c>
      <c r="AB68" s="448">
        <v>14.116937999999999</v>
      </c>
      <c r="AC68" s="448">
        <v>14.116937999999999</v>
      </c>
      <c r="AD68" s="448">
        <v>14.116937999999999</v>
      </c>
      <c r="AE68" s="82">
        <f>+AA68</f>
        <v>14.116937999999999</v>
      </c>
      <c r="AF68" s="108"/>
      <c r="AG68" s="448">
        <v>14.453913</v>
      </c>
      <c r="AH68" s="82">
        <f>+AG72</f>
        <v>16.578751999999998</v>
      </c>
      <c r="AI68" s="82">
        <f>+AH72</f>
        <v>16.252772</v>
      </c>
      <c r="AJ68" s="82">
        <f>+AI72</f>
        <v>15.798227000000001</v>
      </c>
      <c r="AK68" s="82">
        <f>+AG68</f>
        <v>14.453913</v>
      </c>
      <c r="AL68" s="108"/>
      <c r="AM68" s="82">
        <f>AK72</f>
        <v>15.233281</v>
      </c>
      <c r="AN68" s="82">
        <f>+AM72</f>
        <v>17.127608999999996</v>
      </c>
      <c r="AO68" s="82">
        <f>+AN72</f>
        <v>16.181637999999996</v>
      </c>
      <c r="AP68" s="82">
        <f>+AO72</f>
        <v>16.074603999999997</v>
      </c>
      <c r="AQ68" s="82">
        <f>+AM68</f>
        <v>15.233281</v>
      </c>
      <c r="AR68" s="108"/>
      <c r="AS68" s="82">
        <f>AQ72</f>
        <v>14.43497</v>
      </c>
      <c r="AT68" s="82">
        <f>AS72</f>
        <v>17.404488000000001</v>
      </c>
      <c r="AU68" s="82">
        <f>+AT72</f>
        <v>17.073927999999999</v>
      </c>
      <c r="AV68" s="82">
        <f>+AU72</f>
        <v>14.956094</v>
      </c>
      <c r="AW68" s="82">
        <f>+AS68</f>
        <v>14.43497</v>
      </c>
      <c r="AX68" s="108"/>
      <c r="AY68" s="82">
        <f>+AW72</f>
        <v>14.238182999999999</v>
      </c>
      <c r="AZ68" s="82">
        <f>+AY72</f>
        <v>13.449453999999998</v>
      </c>
      <c r="BA68" s="82">
        <f>+AZ72</f>
        <v>13.111321999999998</v>
      </c>
      <c r="BB68" s="82">
        <f>+BA72</f>
        <v>12.751746999999998</v>
      </c>
      <c r="BC68" s="82">
        <f>+AY68</f>
        <v>14.238182999999999</v>
      </c>
      <c r="BD68" s="108"/>
      <c r="BE68" s="82">
        <f>+BC72</f>
        <v>12.538183</v>
      </c>
      <c r="BF68" s="82">
        <f>+BE72</f>
        <v>11.138183</v>
      </c>
      <c r="BG68" s="82">
        <f>+BF72</f>
        <v>8.5381830000000001</v>
      </c>
      <c r="BH68" s="82">
        <f>+BG72</f>
        <v>8.4381830000000004</v>
      </c>
      <c r="BI68" s="82">
        <f>+BE68</f>
        <v>12.538183</v>
      </c>
      <c r="BJ68" s="108"/>
      <c r="BK68" s="82">
        <f>+BI72</f>
        <v>8.2381829999999994</v>
      </c>
      <c r="BL68" s="82">
        <f>+BK72</f>
        <v>8.1381829999999997</v>
      </c>
      <c r="BM68" s="82">
        <f>+BL72</f>
        <v>8.1381829999999997</v>
      </c>
      <c r="BN68" s="82">
        <f>+BM72</f>
        <v>8.1381829999999997</v>
      </c>
      <c r="BO68" s="82">
        <f>+BK68</f>
        <v>8.2381829999999994</v>
      </c>
      <c r="BP68" s="108"/>
      <c r="BQ68" s="82">
        <f>+BO72</f>
        <v>8.0381830000000001</v>
      </c>
      <c r="BR68" s="82">
        <f>+BQ72</f>
        <v>7.5381830000000001</v>
      </c>
      <c r="BS68" s="82">
        <f>+BR72</f>
        <v>7.4381830000000004</v>
      </c>
      <c r="BT68" s="82">
        <f>+BS72</f>
        <v>7.2336329675000002</v>
      </c>
      <c r="BU68" s="82">
        <f>+BQ68</f>
        <v>8.0381830000000001</v>
      </c>
      <c r="BV68" s="108"/>
      <c r="BW68" s="82">
        <f>+BU72</f>
        <v>7.0347080608937507</v>
      </c>
      <c r="BX68" s="82">
        <f>+BW72</f>
        <v>6.841253589219173</v>
      </c>
      <c r="BY68" s="82">
        <f>+BX72</f>
        <v>6.6531191155156453</v>
      </c>
      <c r="BZ68" s="82">
        <f>+BY72</f>
        <v>6.4701583398389646</v>
      </c>
      <c r="CA68" s="82">
        <f>+BW68</f>
        <v>7.0347080608937507</v>
      </c>
      <c r="CB68" s="108"/>
      <c r="CC68" s="82">
        <f>+CA72</f>
        <v>6.2922289854933933</v>
      </c>
      <c r="CD68" s="82">
        <f>+CC72</f>
        <v>6.1191926883923244</v>
      </c>
      <c r="CE68" s="82">
        <f>+CD72</f>
        <v>5.9509148894615356</v>
      </c>
      <c r="CF68" s="82">
        <f>+CE72</f>
        <v>5.7872647300013433</v>
      </c>
      <c r="CG68" s="82">
        <f>+CC68</f>
        <v>6.2922289854933933</v>
      </c>
      <c r="CH68" s="108"/>
      <c r="CI68" s="82">
        <f>+CG72</f>
        <v>5.6281149499263075</v>
      </c>
      <c r="CJ68" s="82">
        <f>+CI72</f>
        <v>5.4733417888033342</v>
      </c>
      <c r="CK68" s="82">
        <f>+CJ72</f>
        <v>5.3228248896112422</v>
      </c>
      <c r="CL68" s="82">
        <f>+CK72</f>
        <v>5.1764472051469337</v>
      </c>
      <c r="CM68" s="82">
        <f>+CI68</f>
        <v>5.6281149499263075</v>
      </c>
      <c r="CN68" s="108"/>
      <c r="CO68" s="82">
        <f>+CM72</f>
        <v>5.0340949070053922</v>
      </c>
      <c r="CP68" s="82">
        <f>+CO72</f>
        <v>4.8956572970627441</v>
      </c>
      <c r="CQ68" s="82">
        <f>+CP72</f>
        <v>4.7610267213935185</v>
      </c>
      <c r="CR68" s="82">
        <f>+CQ72</f>
        <v>4.6300984865551964</v>
      </c>
      <c r="CS68" s="82">
        <f>+CO68</f>
        <v>5.0340949070053922</v>
      </c>
      <c r="CT68" s="82"/>
      <c r="CU68" s="82"/>
      <c r="CV68" s="82"/>
      <c r="CW68" s="82"/>
      <c r="CX68" s="82"/>
      <c r="CY68" s="82"/>
    </row>
    <row r="69" spans="1:103" ht="12.75" customHeight="1" outlineLevel="1" x14ac:dyDescent="0.2">
      <c r="A69" s="127" t="s">
        <v>195</v>
      </c>
      <c r="B69" s="103"/>
      <c r="C69" s="84"/>
      <c r="D69" s="84"/>
      <c r="E69" s="84"/>
      <c r="F69" s="84"/>
      <c r="G69" s="82"/>
      <c r="H69" s="103"/>
      <c r="I69" s="84"/>
      <c r="J69" s="84"/>
      <c r="K69" s="84"/>
      <c r="L69" s="84"/>
      <c r="M69" s="82"/>
      <c r="N69" s="103"/>
      <c r="O69" s="84"/>
      <c r="P69" s="84"/>
      <c r="Q69" s="84"/>
      <c r="R69" s="84"/>
      <c r="S69" s="82"/>
      <c r="T69" s="103"/>
      <c r="U69" s="84"/>
      <c r="V69" s="84"/>
      <c r="W69" s="84"/>
      <c r="X69" s="84"/>
      <c r="Y69" s="82"/>
      <c r="Z69" s="108"/>
      <c r="AA69" s="84"/>
      <c r="AB69" s="84"/>
      <c r="AC69" s="84">
        <v>3.03904</v>
      </c>
      <c r="AD69" s="84">
        <f>3.10244-AC69-AB69-AA69</f>
        <v>6.3400000000000123E-2</v>
      </c>
      <c r="AE69" s="82">
        <f>+SUM(AA69:AD69)</f>
        <v>3.1024400000000001</v>
      </c>
      <c r="AF69" s="108"/>
      <c r="AG69" s="84">
        <v>2.3512900000000001</v>
      </c>
      <c r="AH69" s="84">
        <f>2.598674-AG69</f>
        <v>0.24738399999999983</v>
      </c>
      <c r="AI69" s="84">
        <f>3.14516-AH69-AG69</f>
        <v>0.54648600000000025</v>
      </c>
      <c r="AJ69" s="84">
        <f>3.18816-AI69-AH69-AG69</f>
        <v>4.2999999999999705E-2</v>
      </c>
      <c r="AK69" s="82">
        <f>+SUM(AG69:AJ69)</f>
        <v>3.1881599999999999</v>
      </c>
      <c r="AL69" s="108"/>
      <c r="AM69" s="84">
        <v>2.694623</v>
      </c>
      <c r="AN69" s="84">
        <f>2.882623-AM69</f>
        <v>0.18800000000000017</v>
      </c>
      <c r="AO69" s="84">
        <f>2.897623-AN69-AM69</f>
        <v>1.499999999999968E-2</v>
      </c>
      <c r="AP69" s="84">
        <f>2.957623-AO69-AN69-AM69</f>
        <v>6.0000000000000053E-2</v>
      </c>
      <c r="AQ69" s="82">
        <f>+SUM(AM69:AP69)</f>
        <v>2.9576229999999999</v>
      </c>
      <c r="AR69" s="108"/>
      <c r="AS69" s="84">
        <v>3.1195529999999998</v>
      </c>
      <c r="AT69" s="84">
        <f>3.304553-AS69</f>
        <v>0.18500000000000005</v>
      </c>
      <c r="AU69" s="84">
        <f>3.308553-AT69-AS69</f>
        <v>4.0000000000000036E-3</v>
      </c>
      <c r="AV69" s="84">
        <f>3.320553-AU69-AT69-AS69</f>
        <v>1.2000000000000011E-2</v>
      </c>
      <c r="AW69" s="82">
        <f>+SUM(AS69:AV69)</f>
        <v>3.3205529999999999</v>
      </c>
      <c r="AX69" s="108"/>
      <c r="AY69" s="84">
        <v>1E-3</v>
      </c>
      <c r="AZ69" s="84">
        <f>0.001-AY69</f>
        <v>0</v>
      </c>
      <c r="BA69" s="84">
        <f>0.001-AZ69-AY69</f>
        <v>0</v>
      </c>
      <c r="BB69" s="84">
        <f>0-SUM(AY69:BA69)</f>
        <v>-1E-3</v>
      </c>
      <c r="BC69" s="82">
        <f>+SUM(AY69:BB69)</f>
        <v>0</v>
      </c>
      <c r="BD69" s="108"/>
      <c r="BE69" s="84">
        <v>0</v>
      </c>
      <c r="BF69" s="84">
        <f>0-BE69</f>
        <v>0</v>
      </c>
      <c r="BG69" s="84">
        <f>0-SUM(BE69:BF69)</f>
        <v>0</v>
      </c>
      <c r="BH69" s="84">
        <f>0-SUM(BE69:BG69)</f>
        <v>0</v>
      </c>
      <c r="BI69" s="82">
        <f>+SUM(BE69:BH69)</f>
        <v>0</v>
      </c>
      <c r="BJ69" s="108"/>
      <c r="BK69" s="84">
        <v>0</v>
      </c>
      <c r="BL69" s="84">
        <f>0-BK69</f>
        <v>0</v>
      </c>
      <c r="BM69" s="84">
        <f>0-SUM(BK69:BL69)</f>
        <v>0</v>
      </c>
      <c r="BN69" s="84">
        <f>0-SUM(BK69:BM69)</f>
        <v>0</v>
      </c>
      <c r="BO69" s="82">
        <f>+SUM(BK69:BN69)</f>
        <v>0</v>
      </c>
      <c r="BP69" s="108"/>
      <c r="BQ69" s="550">
        <v>0</v>
      </c>
      <c r="BR69" s="84">
        <f>0-BQ69</f>
        <v>0</v>
      </c>
      <c r="BS69" s="82">
        <f>+BM69*(1+BS78)</f>
        <v>0</v>
      </c>
      <c r="BT69" s="82">
        <f>+BN69*(1+BT78)</f>
        <v>0</v>
      </c>
      <c r="BU69" s="82">
        <f>+SUM(BQ69:BT69)</f>
        <v>0</v>
      </c>
      <c r="BV69" s="108"/>
      <c r="BW69" s="82">
        <f>+BQ69*(1+BW78)</f>
        <v>0</v>
      </c>
      <c r="BX69" s="82">
        <f>+BR69*(1+BX78)</f>
        <v>0</v>
      </c>
      <c r="BY69" s="82">
        <f>+BS69*(1+BY78)</f>
        <v>0</v>
      </c>
      <c r="BZ69" s="82">
        <f>+BT69*(1+BZ78)</f>
        <v>0</v>
      </c>
      <c r="CA69" s="82">
        <f>+SUM(BW69:BZ69)</f>
        <v>0</v>
      </c>
      <c r="CB69" s="108"/>
      <c r="CC69" s="82">
        <f>+BW69*(1+CC78)</f>
        <v>0</v>
      </c>
      <c r="CD69" s="82">
        <f>+BX69*(1+CD78)</f>
        <v>0</v>
      </c>
      <c r="CE69" s="82">
        <f>+BY69*(1+CE78)</f>
        <v>0</v>
      </c>
      <c r="CF69" s="82">
        <f>+BZ69*(1+CF78)</f>
        <v>0</v>
      </c>
      <c r="CG69" s="82">
        <f>+SUM(CC69:CF69)</f>
        <v>0</v>
      </c>
      <c r="CH69" s="108"/>
      <c r="CI69" s="82">
        <f>+CC69*(1+CI78)</f>
        <v>0</v>
      </c>
      <c r="CJ69" s="82">
        <f>+CD69*(1+CJ78)</f>
        <v>0</v>
      </c>
      <c r="CK69" s="82">
        <f>+CE69*(1+CK78)</f>
        <v>0</v>
      </c>
      <c r="CL69" s="82">
        <f>+CF69*(1+CL78)</f>
        <v>0</v>
      </c>
      <c r="CM69" s="82">
        <f>+SUM(CI69:CL69)</f>
        <v>0</v>
      </c>
      <c r="CN69" s="108"/>
      <c r="CO69" s="82">
        <f>+CI69*(1+CO78)</f>
        <v>0</v>
      </c>
      <c r="CP69" s="82">
        <f>+CJ69*(1+CP78)</f>
        <v>0</v>
      </c>
      <c r="CQ69" s="82">
        <f>+CK69*(1+CQ78)</f>
        <v>0</v>
      </c>
      <c r="CR69" s="82">
        <f>+CL69*(1+CR78)</f>
        <v>0</v>
      </c>
      <c r="CS69" s="82">
        <f>+SUM(CO69:CR69)</f>
        <v>0</v>
      </c>
      <c r="CT69" s="82"/>
      <c r="CU69" s="82"/>
      <c r="CV69" s="82"/>
      <c r="CW69" s="82"/>
      <c r="CX69" s="82"/>
      <c r="CY69" s="82"/>
    </row>
    <row r="70" spans="1:103" ht="12.75" customHeight="1" outlineLevel="1" x14ac:dyDescent="0.2">
      <c r="A70" s="127" t="s">
        <v>81</v>
      </c>
      <c r="B70" s="103"/>
      <c r="C70" s="84"/>
      <c r="D70" s="84"/>
      <c r="E70" s="84"/>
      <c r="F70" s="84"/>
      <c r="G70" s="82"/>
      <c r="H70" s="184"/>
      <c r="I70" s="84"/>
      <c r="J70" s="84"/>
      <c r="K70" s="84"/>
      <c r="L70" s="84"/>
      <c r="M70" s="82"/>
      <c r="N70" s="184"/>
      <c r="O70" s="84"/>
      <c r="P70" s="84"/>
      <c r="Q70" s="84"/>
      <c r="R70" s="84"/>
      <c r="S70" s="82"/>
      <c r="T70" s="184"/>
      <c r="U70" s="84"/>
      <c r="V70" s="84"/>
      <c r="W70" s="84"/>
      <c r="X70" s="84"/>
      <c r="Y70" s="82"/>
      <c r="Z70" s="108"/>
      <c r="AA70" s="84"/>
      <c r="AB70" s="84"/>
      <c r="AC70" s="84">
        <v>-0.71438900000000005</v>
      </c>
      <c r="AD70" s="84">
        <f>-1.876303-AC70-AB70-AA70</f>
        <v>-1.1619139999999999</v>
      </c>
      <c r="AE70" s="82">
        <f>+SUM(AA70:AD70)</f>
        <v>-1.8763030000000001</v>
      </c>
      <c r="AF70" s="108"/>
      <c r="AG70" s="84">
        <v>-7.0067000000000004E-2</v>
      </c>
      <c r="AH70" s="84">
        <f>-0.52627-AG70</f>
        <v>-0.45620300000000003</v>
      </c>
      <c r="AI70" s="84">
        <f>-1.33998-AH70-AG70</f>
        <v>-0.81370999999999993</v>
      </c>
      <c r="AJ70" s="84">
        <f>-1.852245-AI70-AH70-AG70</f>
        <v>-0.51226499999999997</v>
      </c>
      <c r="AK70" s="82">
        <f>+SUM(AG70:AJ70)</f>
        <v>-1.8522449999999999</v>
      </c>
      <c r="AL70" s="108"/>
      <c r="AM70" s="84">
        <v>-0.66407499999999997</v>
      </c>
      <c r="AN70" s="84">
        <f>-1.720405-AM70</f>
        <v>-1.05633</v>
      </c>
      <c r="AO70" s="84">
        <f>-1.818004-AN70-AM70</f>
        <v>-9.7598999999999991E-2</v>
      </c>
      <c r="AP70" s="84">
        <f>-3.490495-AO70-AN70-AM70</f>
        <v>-1.6724910000000004</v>
      </c>
      <c r="AQ70" s="82">
        <f>+SUM(AM70:AP70)</f>
        <v>-3.4904950000000001</v>
      </c>
      <c r="AR70" s="108"/>
      <c r="AS70" s="84">
        <v>-4.3300999999999999E-2</v>
      </c>
      <c r="AT70" s="84">
        <f>-0.310866-AS70</f>
        <v>-0.267565</v>
      </c>
      <c r="AU70" s="84">
        <f>-2.404256-AT70-AS70</f>
        <v>-2.0933900000000003</v>
      </c>
      <c r="AV70" s="84">
        <f>-3.122427-AU70-AT70-AS70</f>
        <v>-0.71817099999999967</v>
      </c>
      <c r="AW70" s="82">
        <f>+SUM(AS70:AV70)</f>
        <v>-3.1224270000000001</v>
      </c>
      <c r="AX70" s="108"/>
      <c r="AY70" s="84">
        <v>-0.70594400000000002</v>
      </c>
      <c r="AZ70" s="84">
        <f>-0.873774-AY70</f>
        <v>-0.16783000000000003</v>
      </c>
      <c r="BA70" s="84">
        <f>-1.144275-AZ70-AY70</f>
        <v>-0.27050099999999988</v>
      </c>
      <c r="BB70" s="84">
        <f>-1.2-SUM(AY70:BA70)</f>
        <v>-5.5725000000000025E-2</v>
      </c>
      <c r="BC70" s="82">
        <f>+SUM(AY70:BB70)</f>
        <v>-1.2</v>
      </c>
      <c r="BD70" s="108"/>
      <c r="BE70" s="84">
        <v>-1.4</v>
      </c>
      <c r="BF70" s="84">
        <f>-4-BE70</f>
        <v>-2.6</v>
      </c>
      <c r="BG70" s="84">
        <f>-4.1-SUM(BE70:BF70)</f>
        <v>-9.9999999999999645E-2</v>
      </c>
      <c r="BH70" s="84">
        <f>-4.3-SUM(BE70:BG70)</f>
        <v>-0.20000000000000018</v>
      </c>
      <c r="BI70" s="82">
        <f>+SUM(BE70:BH70)</f>
        <v>-4.3</v>
      </c>
      <c r="BJ70" s="108"/>
      <c r="BK70" s="84">
        <v>-0.1</v>
      </c>
      <c r="BL70" s="84">
        <f>-0.1-BK70</f>
        <v>0</v>
      </c>
      <c r="BM70" s="84">
        <f>-0.1-SUM(BK70:BL70)</f>
        <v>0</v>
      </c>
      <c r="BN70" s="84">
        <f>-0.1-SUM(BK70:BM70)</f>
        <v>0</v>
      </c>
      <c r="BO70" s="82">
        <f>+SUM(BK70:BN70)</f>
        <v>-0.1</v>
      </c>
      <c r="BP70" s="108"/>
      <c r="BQ70" s="550">
        <v>-0.4</v>
      </c>
      <c r="BR70" s="84">
        <f>-0.5-BQ70</f>
        <v>-9.9999999999999978E-2</v>
      </c>
      <c r="BS70" s="82">
        <f>-BS68*BS76/4</f>
        <v>-0.18595457500000001</v>
      </c>
      <c r="BT70" s="82">
        <f>-BT68*BT76/4</f>
        <v>-0.18084082418750003</v>
      </c>
      <c r="BU70" s="82">
        <f>+SUM(BQ70:BT70)</f>
        <v>-0.86679539918750004</v>
      </c>
      <c r="BV70" s="108"/>
      <c r="BW70" s="82">
        <f>-BW68*BW76/4</f>
        <v>-0.17586770152234377</v>
      </c>
      <c r="BX70" s="82">
        <f>-BX68*BX76/4</f>
        <v>-0.17103133973047935</v>
      </c>
      <c r="BY70" s="82">
        <f>-BY68*BY76/4</f>
        <v>-0.16632797788789114</v>
      </c>
      <c r="BZ70" s="82">
        <f>-BZ68*BZ76/4</f>
        <v>-0.16175395849597413</v>
      </c>
      <c r="CA70" s="82">
        <f>+SUM(BW70:BZ70)</f>
        <v>-0.67498097763668841</v>
      </c>
      <c r="CB70" s="108"/>
      <c r="CC70" s="82">
        <f>-CC68*CC76/4</f>
        <v>-0.15730572463733483</v>
      </c>
      <c r="CD70" s="82">
        <f>-CD68*CD76/4</f>
        <v>-0.15297981720980813</v>
      </c>
      <c r="CE70" s="82">
        <f>-CE68*CE76/4</f>
        <v>-0.1487728722365384</v>
      </c>
      <c r="CF70" s="82">
        <f>-CF68*CF76/4</f>
        <v>-0.14468161825003359</v>
      </c>
      <c r="CG70" s="82">
        <f>+SUM(CC70:CF70)</f>
        <v>-0.60374003233371498</v>
      </c>
      <c r="CH70" s="108"/>
      <c r="CI70" s="82">
        <f>-CI68*CI76/4</f>
        <v>-0.14070287374815768</v>
      </c>
      <c r="CJ70" s="82">
        <f>-CJ68*CJ76/4</f>
        <v>-0.13683354472008336</v>
      </c>
      <c r="CK70" s="82">
        <f>-CK68*CK76/4</f>
        <v>-0.13307062224028107</v>
      </c>
      <c r="CL70" s="82">
        <f>-CL68*CL76/4</f>
        <v>-0.12941118012867334</v>
      </c>
      <c r="CM70" s="82">
        <f>+SUM(CI70:CL70)</f>
        <v>-0.54001822083719553</v>
      </c>
      <c r="CN70" s="108"/>
      <c r="CO70" s="82">
        <f>-CO68*CO76/4</f>
        <v>-0.1258523726751348</v>
      </c>
      <c r="CP70" s="82">
        <f>-CP68*CP76/4</f>
        <v>-0.12239143242656861</v>
      </c>
      <c r="CQ70" s="82">
        <f>-CQ68*CQ76/4</f>
        <v>-0.11902566803483797</v>
      </c>
      <c r="CR70" s="82">
        <f>-CR68*CR76/4</f>
        <v>-0.11575246216387991</v>
      </c>
      <c r="CS70" s="82">
        <f>+SUM(CO70:CR70)</f>
        <v>-0.48302193530042126</v>
      </c>
      <c r="CT70" s="82"/>
      <c r="CU70" s="82"/>
      <c r="CV70" s="82"/>
      <c r="CW70" s="82"/>
      <c r="CX70" s="82"/>
      <c r="CY70" s="82"/>
    </row>
    <row r="71" spans="1:103" ht="12.75" customHeight="1" outlineLevel="1" x14ac:dyDescent="0.2">
      <c r="A71" s="127" t="s">
        <v>196</v>
      </c>
      <c r="B71" s="103"/>
      <c r="C71" s="84"/>
      <c r="D71" s="84"/>
      <c r="E71" s="84"/>
      <c r="F71" s="84"/>
      <c r="G71" s="82"/>
      <c r="H71" s="184"/>
      <c r="I71" s="84"/>
      <c r="J71" s="84"/>
      <c r="K71" s="84"/>
      <c r="L71" s="84"/>
      <c r="M71" s="82"/>
      <c r="N71" s="184"/>
      <c r="O71" s="84"/>
      <c r="P71" s="84"/>
      <c r="Q71" s="84"/>
      <c r="R71" s="84"/>
      <c r="S71" s="82"/>
      <c r="T71" s="184"/>
      <c r="U71" s="84"/>
      <c r="V71" s="84"/>
      <c r="W71" s="84"/>
      <c r="X71" s="84"/>
      <c r="Y71" s="82"/>
      <c r="Z71" s="108"/>
      <c r="AA71" s="84"/>
      <c r="AB71" s="84"/>
      <c r="AC71" s="84">
        <v>-0.82122099999999998</v>
      </c>
      <c r="AD71" s="84">
        <f>-0.889162-AC71-AB71-AA71</f>
        <v>-6.7941000000000029E-2</v>
      </c>
      <c r="AE71" s="82">
        <f>+SUM(AA71:AD71)</f>
        <v>-0.88916200000000001</v>
      </c>
      <c r="AF71" s="108"/>
      <c r="AG71" s="84">
        <v>-0.156384</v>
      </c>
      <c r="AH71" s="84">
        <f>-0.273545-AG71</f>
        <v>-0.11716099999999999</v>
      </c>
      <c r="AI71" s="84">
        <f>-0.460866-AH71-AG71</f>
        <v>-0.18732100000000004</v>
      </c>
      <c r="AJ71" s="84">
        <f>-0.556547-AG71-AI71-AH71</f>
        <v>-9.5681000000000016E-2</v>
      </c>
      <c r="AK71" s="82">
        <f>+SUM(AG71:AJ71)</f>
        <v>-0.55654700000000001</v>
      </c>
      <c r="AL71" s="108"/>
      <c r="AM71" s="84">
        <v>-0.13622000000000001</v>
      </c>
      <c r="AN71" s="84">
        <f>-0.213861-AM71</f>
        <v>-7.7640999999999988E-2</v>
      </c>
      <c r="AO71" s="84">
        <f>-0.238296-AN71-AM71</f>
        <v>-2.4435000000000012E-2</v>
      </c>
      <c r="AP71" s="84">
        <f>-0.265439-AO71-AN71-AM71</f>
        <v>-2.7142999999999973E-2</v>
      </c>
      <c r="AQ71" s="82">
        <f>+SUM(AM71:AP71)</f>
        <v>-0.26543899999999998</v>
      </c>
      <c r="AR71" s="108"/>
      <c r="AS71" s="84">
        <v>-0.106734</v>
      </c>
      <c r="AT71" s="84">
        <f>-0.354729-AS71</f>
        <v>-0.24799500000000002</v>
      </c>
      <c r="AU71" s="84">
        <f>-0.383173-AT71-AS71</f>
        <v>-2.8443999999999969E-2</v>
      </c>
      <c r="AV71" s="84">
        <f>-0.394913-AU71-AT71-AS71</f>
        <v>-1.1740000000000028E-2</v>
      </c>
      <c r="AW71" s="82">
        <f>+SUM(AS71:AV71)</f>
        <v>-0.39491300000000001</v>
      </c>
      <c r="AX71" s="108"/>
      <c r="AY71" s="84">
        <v>-8.3784999999999998E-2</v>
      </c>
      <c r="AZ71" s="84">
        <f>-0.254087-AY71</f>
        <v>-0.17030200000000001</v>
      </c>
      <c r="BA71" s="84">
        <f>-0.343161-AZ71-AY71</f>
        <v>-8.9073999999999987E-2</v>
      </c>
      <c r="BB71" s="84">
        <f>-0.5-SUM(AY71:BA71)</f>
        <v>-0.15683900000000001</v>
      </c>
      <c r="BC71" s="82">
        <f>+SUM(AY71:BB71)</f>
        <v>-0.5</v>
      </c>
      <c r="BD71" s="108"/>
      <c r="BE71" s="84">
        <v>0</v>
      </c>
      <c r="BF71" s="84">
        <f>0-BE71</f>
        <v>0</v>
      </c>
      <c r="BG71" s="84">
        <f>0-SUM(BE71:BF71)</f>
        <v>0</v>
      </c>
      <c r="BH71" s="84">
        <f>0-SUM(BE71:BG71)</f>
        <v>0</v>
      </c>
      <c r="BI71" s="82">
        <f>+SUM(BE71:BH71)</f>
        <v>0</v>
      </c>
      <c r="BJ71" s="108"/>
      <c r="BK71" s="84">
        <v>0</v>
      </c>
      <c r="BL71" s="84">
        <f>0-BK71</f>
        <v>0</v>
      </c>
      <c r="BM71" s="84">
        <f>0-SUM(BK71:BL71)</f>
        <v>0</v>
      </c>
      <c r="BN71" s="84">
        <f>-0.1-SUM(BK71:BM71)</f>
        <v>-0.1</v>
      </c>
      <c r="BO71" s="82">
        <f>+SUM(BK71:BN71)</f>
        <v>-0.1</v>
      </c>
      <c r="BP71" s="108"/>
      <c r="BQ71" s="550">
        <v>-0.1</v>
      </c>
      <c r="BR71" s="84">
        <f>-0.1-BQ71</f>
        <v>0</v>
      </c>
      <c r="BS71" s="82">
        <f>+BS68*-BS77/4</f>
        <v>-1.8595457500000002E-2</v>
      </c>
      <c r="BT71" s="82">
        <f>+BT68*-BT77/4</f>
        <v>-1.8084082418750001E-2</v>
      </c>
      <c r="BU71" s="82">
        <f>+SUM(BQ71:BT71)</f>
        <v>-0.13667953991875001</v>
      </c>
      <c r="BV71" s="108"/>
      <c r="BW71" s="82">
        <f>+BW68*-BW77/4</f>
        <v>-1.7586770152234376E-2</v>
      </c>
      <c r="BX71" s="82">
        <f>+BX68*-BX77/4</f>
        <v>-1.7103133973047933E-2</v>
      </c>
      <c r="BY71" s="82">
        <f>+BY68*-BY77/4</f>
        <v>-1.6632797788789115E-2</v>
      </c>
      <c r="BZ71" s="82">
        <f>+BZ68*-BZ77/4</f>
        <v>-1.6175395849597412E-2</v>
      </c>
      <c r="CA71" s="82">
        <f>+SUM(BW71:BZ71)</f>
        <v>-6.749809776366883E-2</v>
      </c>
      <c r="CB71" s="108"/>
      <c r="CC71" s="82">
        <f>+CC68*-CC77/4</f>
        <v>-1.5730572463733484E-2</v>
      </c>
      <c r="CD71" s="82">
        <f>+CD68*-CD77/4</f>
        <v>-1.5297981720980812E-2</v>
      </c>
      <c r="CE71" s="82">
        <f>+CE68*-CE77/4</f>
        <v>-1.487728722365384E-2</v>
      </c>
      <c r="CF71" s="82">
        <f>+CF68*-CF77/4</f>
        <v>-1.4468161825003359E-2</v>
      </c>
      <c r="CG71" s="82">
        <f>+SUM(CC71:CF71)</f>
        <v>-6.0374003233371491E-2</v>
      </c>
      <c r="CH71" s="108"/>
      <c r="CI71" s="82">
        <f>+CI68*-CI77/4</f>
        <v>-1.4070287374815769E-2</v>
      </c>
      <c r="CJ71" s="82">
        <f>+CJ68*-CJ77/4</f>
        <v>-1.3683354472008335E-2</v>
      </c>
      <c r="CK71" s="82">
        <f>+CK68*-CK77/4</f>
        <v>-1.3307062224028107E-2</v>
      </c>
      <c r="CL71" s="82">
        <f>+CL68*-CL77/4</f>
        <v>-1.2941118012867334E-2</v>
      </c>
      <c r="CM71" s="82">
        <f>+SUM(CI71:CL71)</f>
        <v>-5.400182208371955E-2</v>
      </c>
      <c r="CN71" s="108"/>
      <c r="CO71" s="82">
        <f>+CO68*-CO77/4</f>
        <v>-1.2585237267513481E-2</v>
      </c>
      <c r="CP71" s="82">
        <f>+CP68*-CP77/4</f>
        <v>-1.2239143242656861E-2</v>
      </c>
      <c r="CQ71" s="82">
        <f>+CQ68*-CQ77/4</f>
        <v>-1.1902566803483797E-2</v>
      </c>
      <c r="CR71" s="82">
        <f>+CR68*-CR77/4</f>
        <v>-1.1575246216387992E-2</v>
      </c>
      <c r="CS71" s="82">
        <f>+SUM(CO71:CR71)</f>
        <v>-4.8302193530042128E-2</v>
      </c>
      <c r="CT71" s="82"/>
      <c r="CU71" s="82"/>
      <c r="CV71" s="82"/>
      <c r="CW71" s="82"/>
      <c r="CX71" s="82"/>
      <c r="CY71" s="82"/>
    </row>
    <row r="72" spans="1:103" ht="12.75" customHeight="1" outlineLevel="1" x14ac:dyDescent="0.2">
      <c r="A72" s="75" t="s">
        <v>82</v>
      </c>
      <c r="B72" s="103"/>
      <c r="C72" s="82"/>
      <c r="D72" s="82"/>
      <c r="E72" s="82"/>
      <c r="F72" s="82"/>
      <c r="G72" s="82"/>
      <c r="H72" s="184"/>
      <c r="I72" s="82"/>
      <c r="J72" s="82"/>
      <c r="K72" s="82"/>
      <c r="L72" s="82"/>
      <c r="M72" s="82"/>
      <c r="N72" s="184"/>
      <c r="O72" s="82"/>
      <c r="P72" s="82"/>
      <c r="Q72" s="82"/>
      <c r="R72" s="82"/>
      <c r="S72" s="82"/>
      <c r="T72" s="184"/>
      <c r="U72" s="82"/>
      <c r="V72" s="82"/>
      <c r="W72" s="82"/>
      <c r="X72" s="82"/>
      <c r="Y72" s="82"/>
      <c r="Z72" s="109"/>
      <c r="AA72" s="82"/>
      <c r="AB72" s="82"/>
      <c r="AC72" s="82">
        <f>+SUM(AC68:AC71)</f>
        <v>15.620367999999997</v>
      </c>
      <c r="AD72" s="82">
        <f>+SUM(AD68:AD71)</f>
        <v>12.950483</v>
      </c>
      <c r="AE72" s="82">
        <f>+SUM(AE68:AE71)</f>
        <v>14.453912999999998</v>
      </c>
      <c r="AF72" s="108"/>
      <c r="AG72" s="82">
        <f>+SUM(AG68:AG71)</f>
        <v>16.578751999999998</v>
      </c>
      <c r="AH72" s="82">
        <f>+SUM(AH68:AH71)</f>
        <v>16.252772</v>
      </c>
      <c r="AI72" s="82">
        <f>+SUM(AI68:AI71)</f>
        <v>15.798227000000001</v>
      </c>
      <c r="AJ72" s="82">
        <f>+SUM(AJ68:AJ71)</f>
        <v>15.233281</v>
      </c>
      <c r="AK72" s="82">
        <f>+SUM(AK68:AK71)</f>
        <v>15.233281</v>
      </c>
      <c r="AL72" s="108"/>
      <c r="AM72" s="82">
        <f>+SUM(AM68:AM71)</f>
        <v>17.127608999999996</v>
      </c>
      <c r="AN72" s="82">
        <f>+SUM(AN68:AN71)</f>
        <v>16.181637999999996</v>
      </c>
      <c r="AO72" s="82">
        <f>+SUM(AO68:AO71)</f>
        <v>16.074603999999997</v>
      </c>
      <c r="AP72" s="82">
        <f>+SUM(AP68:AP71)</f>
        <v>14.434969999999995</v>
      </c>
      <c r="AQ72" s="82">
        <f>+SUM(AQ68:AQ71)</f>
        <v>14.43497</v>
      </c>
      <c r="AR72" s="108"/>
      <c r="AS72" s="82">
        <f>+SUM(AS68:AS71)</f>
        <v>17.404488000000001</v>
      </c>
      <c r="AT72" s="82">
        <f>+SUM(AT68:AT71)</f>
        <v>17.073927999999999</v>
      </c>
      <c r="AU72" s="82">
        <f>+SUM(AU68:AU71)</f>
        <v>14.956094</v>
      </c>
      <c r="AV72" s="82">
        <f>+SUM(AV68:AV71)</f>
        <v>14.238183000000001</v>
      </c>
      <c r="AW72" s="82">
        <f>+SUM(AW68:AW71)</f>
        <v>14.238182999999999</v>
      </c>
      <c r="AX72" s="108"/>
      <c r="AY72" s="605">
        <f>+SUM(AY68:AY71)</f>
        <v>13.449453999999998</v>
      </c>
      <c r="AZ72" s="605">
        <f>+SUM(AZ68:AZ71)</f>
        <v>13.111321999999998</v>
      </c>
      <c r="BA72" s="82">
        <f>+SUM(BA68:BA71)</f>
        <v>12.751746999999998</v>
      </c>
      <c r="BB72" s="82">
        <f>+SUM(BB68:BB71)</f>
        <v>12.538182999999998</v>
      </c>
      <c r="BC72" s="82">
        <f>+SUM(BC68:BC71)</f>
        <v>12.538183</v>
      </c>
      <c r="BD72" s="108"/>
      <c r="BE72" s="82">
        <f>+SUM(BE68:BE71)</f>
        <v>11.138183</v>
      </c>
      <c r="BF72" s="82">
        <f>+SUM(BF68:BF71)</f>
        <v>8.5381830000000001</v>
      </c>
      <c r="BG72" s="82">
        <f>+SUM(BG68:BG71)</f>
        <v>8.4381830000000004</v>
      </c>
      <c r="BH72" s="82">
        <f>+SUM(BH68:BH71)</f>
        <v>8.2381829999999994</v>
      </c>
      <c r="BI72" s="82">
        <f>+SUM(BI68:BI71)</f>
        <v>8.2381829999999994</v>
      </c>
      <c r="BJ72" s="108"/>
      <c r="BK72" s="82">
        <f>+SUM(BK68:BK71)</f>
        <v>8.1381829999999997</v>
      </c>
      <c r="BL72" s="82">
        <f>+SUM(BL68:BL71)</f>
        <v>8.1381829999999997</v>
      </c>
      <c r="BM72" s="82">
        <f>+SUM(BM68:BM71)</f>
        <v>8.1381829999999997</v>
      </c>
      <c r="BN72" s="82">
        <f>+SUM(BN68:BN71)</f>
        <v>8.0381830000000001</v>
      </c>
      <c r="BO72" s="82">
        <f>+SUM(BO68:BO71)</f>
        <v>8.0381830000000001</v>
      </c>
      <c r="BP72" s="108"/>
      <c r="BQ72" s="82">
        <f>+SUM(BQ68:BQ71)</f>
        <v>7.5381830000000001</v>
      </c>
      <c r="BR72" s="82">
        <f>+SUM(BR68:BR71)</f>
        <v>7.4381830000000004</v>
      </c>
      <c r="BS72" s="82">
        <f>+SUM(BS68:BS71)</f>
        <v>7.2336329675000002</v>
      </c>
      <c r="BT72" s="82">
        <f>+SUM(BT68:BT71)</f>
        <v>7.0347080608937498</v>
      </c>
      <c r="BU72" s="82">
        <f>+SUM(BU68:BU71)</f>
        <v>7.0347080608937507</v>
      </c>
      <c r="BV72" s="108"/>
      <c r="BW72" s="82">
        <f>+SUM(BW68:BW71)</f>
        <v>6.841253589219173</v>
      </c>
      <c r="BX72" s="82">
        <f>+SUM(BX68:BX71)</f>
        <v>6.6531191155156453</v>
      </c>
      <c r="BY72" s="82">
        <f>+SUM(BY68:BY71)</f>
        <v>6.4701583398389646</v>
      </c>
      <c r="BZ72" s="82">
        <f>+SUM(BZ68:BZ71)</f>
        <v>6.2922289854933933</v>
      </c>
      <c r="CA72" s="82">
        <f>+SUM(CA68:CA71)</f>
        <v>6.2922289854933933</v>
      </c>
      <c r="CB72" s="108"/>
      <c r="CC72" s="82">
        <f>+SUM(CC68:CC71)</f>
        <v>6.1191926883923244</v>
      </c>
      <c r="CD72" s="82">
        <f>+SUM(CD68:CD71)</f>
        <v>5.9509148894615356</v>
      </c>
      <c r="CE72" s="82">
        <f>+SUM(CE68:CE71)</f>
        <v>5.7872647300013433</v>
      </c>
      <c r="CF72" s="82">
        <f>+SUM(CF68:CF71)</f>
        <v>5.6281149499263066</v>
      </c>
      <c r="CG72" s="82">
        <f>+SUM(CG68:CG71)</f>
        <v>5.6281149499263075</v>
      </c>
      <c r="CH72" s="108"/>
      <c r="CI72" s="82">
        <f>+SUM(CI68:CI71)</f>
        <v>5.4733417888033342</v>
      </c>
      <c r="CJ72" s="82">
        <f>+SUM(CJ68:CJ71)</f>
        <v>5.3228248896112422</v>
      </c>
      <c r="CK72" s="82">
        <f>+SUM(CK68:CK71)</f>
        <v>5.1764472051469337</v>
      </c>
      <c r="CL72" s="82">
        <f>+SUM(CL68:CL71)</f>
        <v>5.0340949070053931</v>
      </c>
      <c r="CM72" s="82">
        <f>+SUM(CM68:CM71)</f>
        <v>5.0340949070053922</v>
      </c>
      <c r="CN72" s="108"/>
      <c r="CO72" s="82">
        <f>+SUM(CO68:CO71)</f>
        <v>4.8956572970627441</v>
      </c>
      <c r="CP72" s="82">
        <f>+SUM(CP68:CP71)</f>
        <v>4.7610267213935185</v>
      </c>
      <c r="CQ72" s="82">
        <f>+SUM(CQ68:CQ71)</f>
        <v>4.6300984865551964</v>
      </c>
      <c r="CR72" s="82">
        <f>+SUM(CR68:CR71)</f>
        <v>4.502770778174928</v>
      </c>
      <c r="CS72" s="82">
        <f>+SUM(CS68:CS71)</f>
        <v>4.5027707781749289</v>
      </c>
      <c r="CT72" s="82"/>
      <c r="CU72" s="82"/>
      <c r="CV72" s="82"/>
      <c r="CW72" s="82"/>
      <c r="CX72" s="82"/>
      <c r="CY72" s="82"/>
    </row>
    <row r="73" spans="1:103" ht="12.75" customHeight="1" outlineLevel="1" x14ac:dyDescent="0.2">
      <c r="A73" s="75" t="s">
        <v>83</v>
      </c>
      <c r="B73" s="184"/>
      <c r="C73" s="83"/>
      <c r="D73" s="83"/>
      <c r="E73" s="83"/>
      <c r="F73" s="83"/>
      <c r="G73" s="83"/>
      <c r="H73" s="103"/>
      <c r="I73" s="83"/>
      <c r="J73" s="83"/>
      <c r="K73" s="83"/>
      <c r="L73" s="83"/>
      <c r="M73" s="83"/>
      <c r="N73" s="103"/>
      <c r="O73" s="83"/>
      <c r="P73" s="83"/>
      <c r="Q73" s="83"/>
      <c r="R73" s="83"/>
      <c r="S73" s="83"/>
      <c r="T73" s="103"/>
      <c r="U73" s="83"/>
      <c r="V73" s="83"/>
      <c r="W73" s="83"/>
      <c r="X73" s="83"/>
      <c r="Y73" s="83"/>
      <c r="Z73" s="539"/>
      <c r="AA73" s="83"/>
      <c r="AB73" s="333"/>
      <c r="AC73" s="449">
        <v>17.87</v>
      </c>
      <c r="AD73" s="449">
        <v>18.22</v>
      </c>
      <c r="AE73" s="122">
        <f>AD73</f>
        <v>18.22</v>
      </c>
      <c r="AF73" s="108"/>
      <c r="AG73" s="83">
        <v>18.399999999999999</v>
      </c>
      <c r="AH73" s="449">
        <v>18.61</v>
      </c>
      <c r="AI73" s="449">
        <v>19.05</v>
      </c>
      <c r="AJ73" s="449">
        <v>19.32</v>
      </c>
      <c r="AK73" s="122">
        <f>AJ73</f>
        <v>19.32</v>
      </c>
      <c r="AL73" s="108"/>
      <c r="AM73" s="449">
        <v>20.77</v>
      </c>
      <c r="AN73" s="449">
        <v>21.35</v>
      </c>
      <c r="AO73" s="449">
        <v>21.38</v>
      </c>
      <c r="AP73" s="449">
        <v>21.75</v>
      </c>
      <c r="AQ73" s="122">
        <f>AP73</f>
        <v>21.75</v>
      </c>
      <c r="AR73" s="108"/>
      <c r="AS73" s="83">
        <v>22.61</v>
      </c>
      <c r="AT73" s="449">
        <v>22.75</v>
      </c>
      <c r="AU73" s="449">
        <v>23.2</v>
      </c>
      <c r="AV73" s="449">
        <v>23.3</v>
      </c>
      <c r="AW73" s="122">
        <f>+AVERAGE(AS73:AV73)</f>
        <v>22.965</v>
      </c>
      <c r="AX73" s="108"/>
      <c r="AY73" s="449">
        <v>23.39</v>
      </c>
      <c r="AZ73" s="449">
        <v>23.48</v>
      </c>
      <c r="BA73" s="449">
        <v>20.2</v>
      </c>
      <c r="BB73" s="122">
        <f>BC73</f>
        <v>20.170000000000002</v>
      </c>
      <c r="BC73" s="449">
        <v>20.170000000000002</v>
      </c>
      <c r="BD73" s="108"/>
      <c r="BE73" s="449">
        <v>18.899999999999999</v>
      </c>
      <c r="BF73" s="449">
        <v>21.38</v>
      </c>
      <c r="BG73" s="449">
        <v>21.39</v>
      </c>
      <c r="BH73" s="122">
        <f>BI73</f>
        <v>21.51</v>
      </c>
      <c r="BI73" s="449">
        <v>21.51</v>
      </c>
      <c r="BJ73" s="108"/>
      <c r="BK73" s="449">
        <v>13.38</v>
      </c>
      <c r="BL73" s="449">
        <v>13.39</v>
      </c>
      <c r="BM73" s="449">
        <v>13.27</v>
      </c>
      <c r="BN73" s="449">
        <v>14.81</v>
      </c>
      <c r="BO73" s="122">
        <f>+AVERAGE(BK73:BN73)</f>
        <v>13.712500000000002</v>
      </c>
      <c r="BP73" s="108"/>
      <c r="BQ73" s="449">
        <v>22.75</v>
      </c>
      <c r="BR73" s="449">
        <v>23.39</v>
      </c>
      <c r="BS73" s="122">
        <f>+BM73*(1+BS74)</f>
        <v>13.800800000000001</v>
      </c>
      <c r="BT73" s="122">
        <f>+BN73*(1+BT74)</f>
        <v>15.402400000000002</v>
      </c>
      <c r="BU73" s="122">
        <f>+AVERAGE(BQ73:BT73)</f>
        <v>18.835800000000003</v>
      </c>
      <c r="BV73" s="108"/>
      <c r="BW73" s="122">
        <f>+BQ73*(1+BW74)</f>
        <v>23.66</v>
      </c>
      <c r="BX73" s="122">
        <f>+BR73*(1+BX74)</f>
        <v>24.325600000000001</v>
      </c>
      <c r="BY73" s="122">
        <f>+BS73*(1+BY74)</f>
        <v>14.352832000000001</v>
      </c>
      <c r="BZ73" s="122">
        <f>+BT73*(1+BZ74)</f>
        <v>16.018496000000003</v>
      </c>
      <c r="CA73" s="122">
        <f>+AVERAGE(BW73:BZ73)</f>
        <v>19.589232000000003</v>
      </c>
      <c r="CB73" s="108"/>
      <c r="CC73" s="122">
        <f>+BW73*(1+CC74)</f>
        <v>24.606400000000001</v>
      </c>
      <c r="CD73" s="122">
        <f>+BX73*(1+CD74)</f>
        <v>25.298624000000004</v>
      </c>
      <c r="CE73" s="122">
        <f>+BY73*(1+CE74)</f>
        <v>14.926945280000002</v>
      </c>
      <c r="CF73" s="122">
        <f>+BZ73*(1+CF74)</f>
        <v>16.659235840000004</v>
      </c>
      <c r="CG73" s="122">
        <f>+AVERAGE(CC73:CF73)</f>
        <v>20.372801280000004</v>
      </c>
      <c r="CH73" s="108"/>
      <c r="CI73" s="122">
        <f>+CC73*(1+CI74)</f>
        <v>25.590656000000003</v>
      </c>
      <c r="CJ73" s="122">
        <f>+CD73*(1+CJ74)</f>
        <v>26.310568960000005</v>
      </c>
      <c r="CK73" s="122">
        <f>+CE73*(1+CK74)</f>
        <v>15.524023091200002</v>
      </c>
      <c r="CL73" s="122">
        <f>+CF73*(1+CL74)</f>
        <v>17.325605273600004</v>
      </c>
      <c r="CM73" s="122">
        <f>+AVERAGE(CI73:CL73)</f>
        <v>21.187713331200005</v>
      </c>
      <c r="CN73" s="108"/>
      <c r="CO73" s="122">
        <f>+CI73*(1+CO74)</f>
        <v>26.614282240000005</v>
      </c>
      <c r="CP73" s="122">
        <f>+CJ73*(1+CP74)</f>
        <v>27.362991718400007</v>
      </c>
      <c r="CQ73" s="122">
        <f>+CK73*(1+CQ74)</f>
        <v>16.144984014848003</v>
      </c>
      <c r="CR73" s="122">
        <f>+CL73*(1+CR74)</f>
        <v>18.018629484544004</v>
      </c>
      <c r="CS73" s="122">
        <f>+AVERAGE(CO73:CR73)</f>
        <v>22.035221864448005</v>
      </c>
      <c r="CT73" s="122"/>
      <c r="CU73" s="122"/>
      <c r="CV73" s="122"/>
      <c r="CW73" s="122"/>
      <c r="CX73" s="122"/>
      <c r="CY73" s="122"/>
    </row>
    <row r="74" spans="1:103" ht="12.75" customHeight="1" outlineLevel="1" x14ac:dyDescent="0.2">
      <c r="A74" s="87" t="s">
        <v>197</v>
      </c>
      <c r="B74" s="184"/>
      <c r="C74" s="43"/>
      <c r="D74" s="43"/>
      <c r="E74" s="43"/>
      <c r="F74" s="43"/>
      <c r="G74" s="43"/>
      <c r="H74" s="103"/>
      <c r="I74" s="265"/>
      <c r="J74" s="265"/>
      <c r="K74" s="265"/>
      <c r="L74" s="265"/>
      <c r="M74" s="265"/>
      <c r="N74" s="103"/>
      <c r="O74" s="265"/>
      <c r="P74" s="265"/>
      <c r="Q74" s="265"/>
      <c r="R74" s="265"/>
      <c r="S74" s="265"/>
      <c r="T74" s="103"/>
      <c r="U74" s="265"/>
      <c r="V74" s="265"/>
      <c r="W74" s="265"/>
      <c r="X74" s="265"/>
      <c r="Y74" s="265"/>
      <c r="Z74" s="108"/>
      <c r="AA74" s="265"/>
      <c r="AB74" s="265"/>
      <c r="AC74" s="265"/>
      <c r="AD74" s="265"/>
      <c r="AE74" s="265"/>
      <c r="AF74" s="108"/>
      <c r="AG74" s="265"/>
      <c r="AH74" s="265"/>
      <c r="AI74" s="265">
        <f>+AI73/AC73-1</f>
        <v>6.6032456631225589E-2</v>
      </c>
      <c r="AJ74" s="265">
        <f>+AJ73/AD73-1</f>
        <v>6.0373216245883654E-2</v>
      </c>
      <c r="AK74" s="265">
        <f>+AK73/AE73-1</f>
        <v>6.0373216245883654E-2</v>
      </c>
      <c r="AL74" s="108"/>
      <c r="AM74" s="265">
        <f>+AM73/AG73-1</f>
        <v>0.12880434782608696</v>
      </c>
      <c r="AN74" s="265">
        <f>+AN73/AH73-1</f>
        <v>0.14723267060720047</v>
      </c>
      <c r="AO74" s="265">
        <f>+AO73/AI73-1</f>
        <v>0.12230971128608914</v>
      </c>
      <c r="AP74" s="265">
        <f>+AP73/AJ73-1</f>
        <v>0.12577639751552794</v>
      </c>
      <c r="AQ74" s="265">
        <f>+AQ73/AK73-1</f>
        <v>0.12577639751552794</v>
      </c>
      <c r="AR74" s="108"/>
      <c r="AS74" s="265">
        <f>+AS73/AM73-1</f>
        <v>8.8589311506981128E-2</v>
      </c>
      <c r="AT74" s="265">
        <f>+AT73/AN73-1</f>
        <v>6.5573770491803129E-2</v>
      </c>
      <c r="AU74" s="265">
        <f>+AU73/AO73-1</f>
        <v>8.5126286248830674E-2</v>
      </c>
      <c r="AV74" s="265">
        <f>+AV73/AP73-1</f>
        <v>7.1264367816092022E-2</v>
      </c>
      <c r="AW74" s="265">
        <f>+AW73/AQ73-1</f>
        <v>5.5862068965517153E-2</v>
      </c>
      <c r="AX74" s="108"/>
      <c r="AY74" s="265">
        <f>+AY73/AS73-1</f>
        <v>3.449800973020789E-2</v>
      </c>
      <c r="AZ74" s="265">
        <f>+AZ73/AT73-1</f>
        <v>3.2087912087912063E-2</v>
      </c>
      <c r="BA74" s="265">
        <f>+BA73/AU73-1</f>
        <v>-0.12931034482758619</v>
      </c>
      <c r="BB74" s="265">
        <f>+BB73/AV73-1</f>
        <v>-0.13433476394849786</v>
      </c>
      <c r="BC74" s="265">
        <f>+BC73/AW73-1</f>
        <v>-0.12170694535162196</v>
      </c>
      <c r="BD74" s="108"/>
      <c r="BE74" s="265">
        <f>+BE73/AY73-1</f>
        <v>-0.19196237708422415</v>
      </c>
      <c r="BF74" s="265">
        <f>+BF73/AZ73-1</f>
        <v>-8.943781942078366E-2</v>
      </c>
      <c r="BG74" s="265">
        <f>+BG73/BA73-1</f>
        <v>5.8910891089108963E-2</v>
      </c>
      <c r="BH74" s="265">
        <f>+BH73/BB73-1</f>
        <v>6.6435299950421411E-2</v>
      </c>
      <c r="BI74" s="265">
        <f>+BI73/BC73-1</f>
        <v>6.6435299950421411E-2</v>
      </c>
      <c r="BJ74" s="108"/>
      <c r="BK74" s="265">
        <f>+BK73/BE73-1</f>
        <v>-0.29206349206349191</v>
      </c>
      <c r="BL74" s="265">
        <f>+BL73/BF73-1</f>
        <v>-0.37371375116931704</v>
      </c>
      <c r="BM74" s="265">
        <f>+BM73/BG73-1</f>
        <v>-0.37961664329125766</v>
      </c>
      <c r="BN74" s="265">
        <f>+BN73/BH73-1</f>
        <v>-0.31148303114830311</v>
      </c>
      <c r="BO74" s="265">
        <f>+BO73/BI73-1</f>
        <v>-0.36250581125058112</v>
      </c>
      <c r="BP74" s="108"/>
      <c r="BQ74" s="265">
        <f>+BQ73/BK73-1</f>
        <v>0.7002989536621822</v>
      </c>
      <c r="BR74" s="265">
        <f>+BR73/BL73-1</f>
        <v>0.74682598954443602</v>
      </c>
      <c r="BS74" s="356">
        <v>0.04</v>
      </c>
      <c r="BT74" s="356">
        <v>0.04</v>
      </c>
      <c r="BU74" s="265">
        <f>+BU73/BO73-1</f>
        <v>0.37362260711030082</v>
      </c>
      <c r="BV74" s="108"/>
      <c r="BW74" s="356">
        <v>0.04</v>
      </c>
      <c r="BX74" s="356">
        <v>0.04</v>
      </c>
      <c r="BY74" s="356">
        <v>0.04</v>
      </c>
      <c r="BZ74" s="356">
        <v>0.04</v>
      </c>
      <c r="CA74" s="265">
        <f>+CA73/BU73-1</f>
        <v>4.0000000000000036E-2</v>
      </c>
      <c r="CB74" s="108"/>
      <c r="CC74" s="356">
        <v>0.04</v>
      </c>
      <c r="CD74" s="356">
        <v>0.04</v>
      </c>
      <c r="CE74" s="356">
        <v>0.04</v>
      </c>
      <c r="CF74" s="356">
        <v>0.04</v>
      </c>
      <c r="CG74" s="265">
        <f>+CG73/CA73-1</f>
        <v>4.0000000000000036E-2</v>
      </c>
      <c r="CH74" s="108"/>
      <c r="CI74" s="356">
        <v>0.04</v>
      </c>
      <c r="CJ74" s="356">
        <v>0.04</v>
      </c>
      <c r="CK74" s="356">
        <v>0.04</v>
      </c>
      <c r="CL74" s="356">
        <v>0.04</v>
      </c>
      <c r="CM74" s="265">
        <f>+CM73/CG73-1</f>
        <v>4.0000000000000036E-2</v>
      </c>
      <c r="CN74" s="108"/>
      <c r="CO74" s="356">
        <v>0.04</v>
      </c>
      <c r="CP74" s="356">
        <v>0.04</v>
      </c>
      <c r="CQ74" s="356">
        <v>0.04</v>
      </c>
      <c r="CR74" s="356">
        <v>0.04</v>
      </c>
      <c r="CS74" s="265">
        <f>+CS73/CM73-1</f>
        <v>4.0000000000000036E-2</v>
      </c>
      <c r="CT74" s="265"/>
      <c r="CU74" s="265"/>
      <c r="CV74" s="265"/>
      <c r="CW74" s="265"/>
      <c r="CX74" s="265"/>
      <c r="CY74" s="265"/>
    </row>
    <row r="75" spans="1:103" ht="12.75" customHeight="1" outlineLevel="1" x14ac:dyDescent="0.2">
      <c r="A75" s="75"/>
      <c r="B75" s="184"/>
      <c r="C75" s="43"/>
      <c r="D75" s="43"/>
      <c r="E75" s="43"/>
      <c r="F75" s="43"/>
      <c r="G75" s="43"/>
      <c r="H75" s="103"/>
      <c r="I75" s="43"/>
      <c r="J75" s="43"/>
      <c r="K75" s="43"/>
      <c r="L75" s="43"/>
      <c r="M75" s="43"/>
      <c r="N75" s="103"/>
      <c r="O75" s="43"/>
      <c r="P75" s="43"/>
      <c r="Q75" s="43"/>
      <c r="R75" s="43"/>
      <c r="S75" s="43"/>
      <c r="T75" s="103"/>
      <c r="U75" s="238"/>
      <c r="V75" s="238"/>
      <c r="W75" s="238"/>
      <c r="X75" s="238"/>
      <c r="Y75" s="238"/>
      <c r="Z75" s="108"/>
      <c r="AA75" s="43"/>
      <c r="AB75" s="238"/>
      <c r="AC75" s="43"/>
      <c r="AD75" s="43"/>
      <c r="AE75" s="43"/>
      <c r="AF75" s="108"/>
      <c r="AG75" s="406">
        <f>AE72-AG68</f>
        <v>0</v>
      </c>
      <c r="AH75" s="238"/>
      <c r="AI75" s="43"/>
      <c r="AJ75" s="43"/>
      <c r="AK75" s="43"/>
      <c r="AL75" s="108"/>
      <c r="AM75" s="238">
        <f>AM68-AK72</f>
        <v>0</v>
      </c>
      <c r="AN75" s="43"/>
      <c r="AO75" s="43"/>
      <c r="AP75" s="43"/>
      <c r="AQ75" s="43"/>
      <c r="AR75" s="108"/>
      <c r="AS75" s="461"/>
      <c r="AT75" s="238"/>
      <c r="AU75" s="43"/>
      <c r="AV75" s="43"/>
      <c r="AW75" s="43"/>
      <c r="AX75" s="108"/>
      <c r="AY75" s="43"/>
      <c r="AZ75" s="43"/>
      <c r="BA75" s="43"/>
      <c r="BB75" s="43"/>
      <c r="BC75" s="43"/>
      <c r="BD75" s="108"/>
      <c r="BE75" s="43"/>
      <c r="BF75" s="43"/>
      <c r="BG75" s="43"/>
      <c r="BH75" s="43"/>
      <c r="BI75" s="43"/>
      <c r="BJ75" s="108"/>
      <c r="BK75" s="43"/>
      <c r="BL75" s="43"/>
      <c r="BM75" s="43"/>
      <c r="BN75" s="43"/>
      <c r="BO75" s="43"/>
      <c r="BP75" s="108"/>
      <c r="BQ75" s="43"/>
      <c r="BR75" s="43"/>
      <c r="BS75" s="43"/>
      <c r="BT75" s="43"/>
      <c r="BU75" s="43"/>
      <c r="BV75" s="108"/>
      <c r="BW75" s="43"/>
      <c r="BX75" s="43"/>
      <c r="BY75" s="43"/>
      <c r="BZ75" s="43"/>
      <c r="CA75" s="43"/>
      <c r="CB75" s="108"/>
      <c r="CC75" s="43"/>
      <c r="CD75" s="43"/>
      <c r="CE75" s="43"/>
      <c r="CF75" s="43"/>
      <c r="CG75" s="43"/>
      <c r="CH75" s="108"/>
      <c r="CI75" s="43"/>
      <c r="CJ75" s="43"/>
      <c r="CK75" s="43"/>
      <c r="CL75" s="43"/>
      <c r="CM75" s="43"/>
      <c r="CN75" s="108"/>
      <c r="CO75" s="43"/>
      <c r="CP75" s="43"/>
      <c r="CQ75" s="43"/>
      <c r="CR75" s="43"/>
      <c r="CS75" s="43"/>
      <c r="CT75" s="43"/>
      <c r="CU75" s="43"/>
      <c r="CV75" s="43"/>
      <c r="CW75" s="43"/>
      <c r="CX75" s="43"/>
      <c r="CY75" s="43"/>
    </row>
    <row r="76" spans="1:103" ht="12.75" customHeight="1" outlineLevel="1" x14ac:dyDescent="0.2">
      <c r="A76" s="87" t="s">
        <v>198</v>
      </c>
      <c r="B76" s="103"/>
      <c r="C76" s="265"/>
      <c r="D76" s="265"/>
      <c r="E76" s="265"/>
      <c r="F76" s="265"/>
      <c r="G76" s="265"/>
      <c r="H76" s="540"/>
      <c r="I76" s="265"/>
      <c r="J76" s="265"/>
      <c r="K76" s="265"/>
      <c r="L76" s="265"/>
      <c r="M76" s="265"/>
      <c r="N76" s="540"/>
      <c r="O76" s="265"/>
      <c r="P76" s="265"/>
      <c r="Q76" s="265"/>
      <c r="R76" s="265"/>
      <c r="S76" s="265"/>
      <c r="T76" s="540"/>
      <c r="U76" s="265"/>
      <c r="V76" s="265"/>
      <c r="W76" s="265"/>
      <c r="X76" s="265"/>
      <c r="Y76" s="265"/>
      <c r="Z76" s="540"/>
      <c r="AA76" s="265"/>
      <c r="AB76" s="265"/>
      <c r="AC76" s="265">
        <f>-AC70*4/AC68</f>
        <v>0.20242038323041445</v>
      </c>
      <c r="AD76" s="265">
        <f>-AD70*4/AD68</f>
        <v>0.3292255020175055</v>
      </c>
      <c r="AE76" s="265">
        <f>-AE70/AE68</f>
        <v>0.13291147131198</v>
      </c>
      <c r="AF76" s="87"/>
      <c r="AG76" s="265">
        <f>-AG70*4/AG68</f>
        <v>1.9390458486916312E-2</v>
      </c>
      <c r="AH76" s="265">
        <f>-AH70*4/AH68</f>
        <v>0.11006932246769843</v>
      </c>
      <c r="AI76" s="265">
        <f>-AI70*4/AI68</f>
        <v>0.20026368425029278</v>
      </c>
      <c r="AJ76" s="265">
        <f>-AJ70*4/AJ68</f>
        <v>0.12970189629507159</v>
      </c>
      <c r="AK76" s="265">
        <f>-AK70/AK68</f>
        <v>0.12814834294353369</v>
      </c>
      <c r="AL76" s="87"/>
      <c r="AM76" s="265">
        <f>-AM70*4/AM68</f>
        <v>0.17437477848665695</v>
      </c>
      <c r="AN76" s="265">
        <f>-AN70*4/AN68</f>
        <v>0.24669643030734767</v>
      </c>
      <c r="AO76" s="265">
        <f>-AO70*4/AO68</f>
        <v>2.4125864143049059E-2</v>
      </c>
      <c r="AP76" s="265">
        <f>-AP70*4/AP68</f>
        <v>0.41618219646344029</v>
      </c>
      <c r="AQ76" s="265">
        <f>-AQ70/AQ68</f>
        <v>0.22913612635386954</v>
      </c>
      <c r="AR76" s="87"/>
      <c r="AS76" s="265">
        <f>-AS70*4/AS68</f>
        <v>1.1998916520089754E-2</v>
      </c>
      <c r="AT76" s="265">
        <f>-AT70*4/AT68</f>
        <v>6.1493334362952817E-2</v>
      </c>
      <c r="AU76" s="265">
        <f>-AU70*4/AU68</f>
        <v>0.49042961877313773</v>
      </c>
      <c r="AV76" s="265">
        <f>-AV70*4/AV68</f>
        <v>0.19207448147892081</v>
      </c>
      <c r="AW76" s="265">
        <f>-AW70*4/AW68</f>
        <v>0.86523962294344914</v>
      </c>
      <c r="AX76" s="87"/>
      <c r="AY76" s="265">
        <f>-AY70*4/AY68</f>
        <v>0.19832418223589346</v>
      </c>
      <c r="AZ76" s="265">
        <f>-AZ70*4/AZ68</f>
        <v>4.991429391854868E-2</v>
      </c>
      <c r="BA76" s="265">
        <f>-BA70*4/BA68</f>
        <v>8.2524401429543093E-2</v>
      </c>
      <c r="BB76" s="265">
        <f>-BB70*4/BB68</f>
        <v>1.7479957844207552E-2</v>
      </c>
      <c r="BC76" s="265">
        <f>-BC70*4/BC68</f>
        <v>0.33712166784202729</v>
      </c>
      <c r="BD76" s="87"/>
      <c r="BE76" s="265">
        <f>-BE70*4/BE68</f>
        <v>0.44663568875968707</v>
      </c>
      <c r="BF76" s="265">
        <f>-BF70*4/BF68</f>
        <v>0.93372500703211647</v>
      </c>
      <c r="BG76" s="265">
        <f>-BG70*4/BG68</f>
        <v>4.6848375116813328E-2</v>
      </c>
      <c r="BH76" s="265">
        <f>-BH70*4/BH68</f>
        <v>9.4807140352372143E-2</v>
      </c>
      <c r="BI76" s="265">
        <f>-BI70*4/BI68</f>
        <v>1.3718096154761819</v>
      </c>
      <c r="BJ76" s="87"/>
      <c r="BK76" s="265">
        <f>-BK70*4/BK68</f>
        <v>4.8554396036116221E-2</v>
      </c>
      <c r="BL76" s="265">
        <f>-BL70*4/BL68</f>
        <v>0</v>
      </c>
      <c r="BM76" s="265">
        <f>-BM70*4/BM68</f>
        <v>0</v>
      </c>
      <c r="BN76" s="265">
        <f>-BN70*4/BN68</f>
        <v>0</v>
      </c>
      <c r="BO76" s="265">
        <f>-BO70*4/BO68</f>
        <v>4.8554396036116221E-2</v>
      </c>
      <c r="BP76" s="87"/>
      <c r="BQ76" s="265">
        <f>-BQ70*4/BQ68</f>
        <v>0.19904995942490986</v>
      </c>
      <c r="BR76" s="265">
        <f>-BR70*4/BR68</f>
        <v>5.3063185120339994E-2</v>
      </c>
      <c r="BS76" s="356">
        <v>0.1</v>
      </c>
      <c r="BT76" s="356">
        <v>0.1</v>
      </c>
      <c r="BU76" s="265">
        <f>-BU70*4/BU68</f>
        <v>0.43133897259492598</v>
      </c>
      <c r="BV76" s="87"/>
      <c r="BW76" s="356">
        <v>0.1</v>
      </c>
      <c r="BX76" s="356">
        <v>0.1</v>
      </c>
      <c r="BY76" s="356">
        <v>0.1</v>
      </c>
      <c r="BZ76" s="356">
        <v>0.1</v>
      </c>
      <c r="CA76" s="265">
        <f>-CA70*4/CA68</f>
        <v>0.38380042031250006</v>
      </c>
      <c r="CB76" s="87"/>
      <c r="CC76" s="356">
        <v>0.1</v>
      </c>
      <c r="CD76" s="356">
        <v>0.1</v>
      </c>
      <c r="CE76" s="356">
        <v>0.1</v>
      </c>
      <c r="CF76" s="356">
        <v>0.1</v>
      </c>
      <c r="CG76" s="265">
        <f>-CG70*4/CG68</f>
        <v>0.3838004203125</v>
      </c>
      <c r="CH76" s="87"/>
      <c r="CI76" s="356">
        <v>0.1</v>
      </c>
      <c r="CJ76" s="356">
        <v>0.1</v>
      </c>
      <c r="CK76" s="356">
        <v>0.1</v>
      </c>
      <c r="CL76" s="356">
        <v>0.1</v>
      </c>
      <c r="CM76" s="265">
        <f>-CM70*4/CM68</f>
        <v>0.38380042031250006</v>
      </c>
      <c r="CN76" s="87"/>
      <c r="CO76" s="356">
        <v>0.1</v>
      </c>
      <c r="CP76" s="356">
        <v>0.1</v>
      </c>
      <c r="CQ76" s="356">
        <v>0.1</v>
      </c>
      <c r="CR76" s="356">
        <v>0.1</v>
      </c>
      <c r="CS76" s="265">
        <f>-CS70*4/CS68</f>
        <v>0.3838004203125</v>
      </c>
      <c r="CT76" s="265"/>
      <c r="CU76" s="265"/>
      <c r="CV76" s="265"/>
      <c r="CW76" s="265"/>
      <c r="CX76" s="265"/>
      <c r="CY76" s="265"/>
    </row>
    <row r="77" spans="1:103" ht="12.75" customHeight="1" outlineLevel="1" x14ac:dyDescent="0.2">
      <c r="A77" s="87" t="s">
        <v>199</v>
      </c>
      <c r="B77" s="371"/>
      <c r="C77" s="265"/>
      <c r="D77" s="265"/>
      <c r="E77" s="265"/>
      <c r="F77" s="265"/>
      <c r="G77" s="265"/>
      <c r="H77" s="540"/>
      <c r="I77" s="265"/>
      <c r="J77" s="265"/>
      <c r="K77" s="265"/>
      <c r="L77" s="265"/>
      <c r="M77" s="265"/>
      <c r="N77" s="540"/>
      <c r="O77" s="265"/>
      <c r="P77" s="265"/>
      <c r="Q77" s="265"/>
      <c r="R77" s="265"/>
      <c r="S77" s="265"/>
      <c r="T77" s="540"/>
      <c r="U77" s="265"/>
      <c r="V77" s="265"/>
      <c r="W77" s="265"/>
      <c r="X77" s="265"/>
      <c r="Y77" s="265"/>
      <c r="Z77" s="540"/>
      <c r="AA77" s="265"/>
      <c r="AB77" s="265"/>
      <c r="AC77" s="265">
        <f>-AC71*4/AC68</f>
        <v>0.2326909702373135</v>
      </c>
      <c r="AD77" s="265">
        <f>-AD71*4/AD68</f>
        <v>1.925091687730017E-2</v>
      </c>
      <c r="AE77" s="265">
        <f>-AE71/AE68</f>
        <v>6.2985471778653421E-2</v>
      </c>
      <c r="AF77" s="290"/>
      <c r="AG77" s="265">
        <f>-AG71*4/AG68</f>
        <v>4.3277969086987028E-2</v>
      </c>
      <c r="AH77" s="265">
        <f>-AH71*4/AH68</f>
        <v>2.8267748983759455E-2</v>
      </c>
      <c r="AI77" s="265">
        <f>-AI71*4/AI68</f>
        <v>4.6101920337035439E-2</v>
      </c>
      <c r="AJ77" s="265">
        <f>-AJ71*4/AJ68</f>
        <v>2.4225756472545941E-2</v>
      </c>
      <c r="AK77" s="265">
        <f>-AK71/AK68</f>
        <v>3.8504936344919194E-2</v>
      </c>
      <c r="AL77" s="290"/>
      <c r="AM77" s="265">
        <f>-AM71*4/AM68</f>
        <v>3.5769050672668612E-2</v>
      </c>
      <c r="AN77" s="265">
        <f>-AN71*4/AN68</f>
        <v>1.8132361615681443E-2</v>
      </c>
      <c r="AO77" s="265">
        <f>-AO71*4/AO68</f>
        <v>6.0401796159325815E-3</v>
      </c>
      <c r="AP77" s="265">
        <f>-AP71*4/AP68</f>
        <v>6.7542565900845777E-3</v>
      </c>
      <c r="AQ77" s="265">
        <f>-AQ71/AQ68</f>
        <v>1.7424939512374255E-2</v>
      </c>
      <c r="AR77" s="290"/>
      <c r="AS77" s="265">
        <f>-AS71*4/AS68</f>
        <v>2.9576507606181378E-2</v>
      </c>
      <c r="AT77" s="265">
        <f>-AT71*4/AT68</f>
        <v>5.699564388219866E-2</v>
      </c>
      <c r="AU77" s="265">
        <f>-AU71*4/AU68</f>
        <v>6.6637272922786071E-3</v>
      </c>
      <c r="AV77" s="265">
        <f>-AV71*4/AV68</f>
        <v>3.1398572381264862E-3</v>
      </c>
      <c r="AW77" s="265">
        <f>-AW71*4/AW68</f>
        <v>0.10943230224932923</v>
      </c>
      <c r="AX77" s="290"/>
      <c r="AY77" s="265">
        <f>-AY71*4/AY68</f>
        <v>2.353811578345355E-2</v>
      </c>
      <c r="AZ77" s="265">
        <f>-AZ71*4/AZ68</f>
        <v>5.0649491049971261E-2</v>
      </c>
      <c r="BA77" s="265">
        <f>-BA71*4/BA68</f>
        <v>2.7174681546223944E-2</v>
      </c>
      <c r="BB77" s="265">
        <f>-BB71*4/BB68</f>
        <v>4.9197651114000311E-2</v>
      </c>
      <c r="BC77" s="265">
        <f>-BC71*4/BC68</f>
        <v>0.14046736160084472</v>
      </c>
      <c r="BD77" s="290"/>
      <c r="BE77" s="265">
        <f>-BE71*4/BE68</f>
        <v>0</v>
      </c>
      <c r="BF77" s="265">
        <f>-BF71*4/BF68</f>
        <v>0</v>
      </c>
      <c r="BG77" s="265">
        <f>-BG71*4/BG68</f>
        <v>0</v>
      </c>
      <c r="BH77" s="265">
        <f>-BH71*4/BH68</f>
        <v>0</v>
      </c>
      <c r="BI77" s="265">
        <f>-BI71*4/BI68</f>
        <v>0</v>
      </c>
      <c r="BJ77" s="290"/>
      <c r="BK77" s="265">
        <f>-BK71*4/BK68</f>
        <v>0</v>
      </c>
      <c r="BL77" s="265">
        <f>-BL71*4/BL68</f>
        <v>0</v>
      </c>
      <c r="BM77" s="265">
        <f>-BM71*4/BM68</f>
        <v>0</v>
      </c>
      <c r="BN77" s="265">
        <f>-BN71*4/BN68</f>
        <v>4.9151020565647151E-2</v>
      </c>
      <c r="BO77" s="265">
        <f>-BO71*4/BO68</f>
        <v>4.8554396036116221E-2</v>
      </c>
      <c r="BP77" s="290"/>
      <c r="BQ77" s="265">
        <f>-BQ71*4/BQ68</f>
        <v>4.9762489856227464E-2</v>
      </c>
      <c r="BR77" s="265">
        <f>-BR71*4/BR68</f>
        <v>0</v>
      </c>
      <c r="BS77" s="356">
        <v>0.01</v>
      </c>
      <c r="BT77" s="356">
        <v>0.01</v>
      </c>
      <c r="BU77" s="265">
        <f>-BU71*4/BU68</f>
        <v>6.8015142187606334E-2</v>
      </c>
      <c r="BV77" s="290"/>
      <c r="BW77" s="356">
        <v>0.01</v>
      </c>
      <c r="BX77" s="356">
        <v>0.01</v>
      </c>
      <c r="BY77" s="356">
        <v>0.01</v>
      </c>
      <c r="BZ77" s="356">
        <v>0.01</v>
      </c>
      <c r="CA77" s="265">
        <f>-CA71*4/CA68</f>
        <v>3.8380042031249999E-2</v>
      </c>
      <c r="CB77" s="290"/>
      <c r="CC77" s="356">
        <v>0.01</v>
      </c>
      <c r="CD77" s="356">
        <v>0.01</v>
      </c>
      <c r="CE77" s="356">
        <v>0.01</v>
      </c>
      <c r="CF77" s="356">
        <v>0.01</v>
      </c>
      <c r="CG77" s="265">
        <f>-CG71*4/CG68</f>
        <v>3.8380042031249999E-2</v>
      </c>
      <c r="CH77" s="290"/>
      <c r="CI77" s="356">
        <v>0.01</v>
      </c>
      <c r="CJ77" s="356">
        <v>0.01</v>
      </c>
      <c r="CK77" s="356">
        <v>0.01</v>
      </c>
      <c r="CL77" s="356">
        <v>0.01</v>
      </c>
      <c r="CM77" s="265">
        <f>-CM71*4/CM68</f>
        <v>3.8380042031250006E-2</v>
      </c>
      <c r="CN77" s="290"/>
      <c r="CO77" s="356">
        <v>0.01</v>
      </c>
      <c r="CP77" s="356">
        <v>0.01</v>
      </c>
      <c r="CQ77" s="356">
        <v>0.01</v>
      </c>
      <c r="CR77" s="356">
        <v>0.01</v>
      </c>
      <c r="CS77" s="265">
        <f>-CS71*4/CS68</f>
        <v>3.8380042031249999E-2</v>
      </c>
      <c r="CT77" s="265"/>
      <c r="CU77" s="265"/>
      <c r="CV77" s="265"/>
      <c r="CW77" s="265"/>
      <c r="CX77" s="265"/>
      <c r="CY77" s="265"/>
    </row>
    <row r="78" spans="1:103" ht="12.75" customHeight="1" outlineLevel="1" x14ac:dyDescent="0.2">
      <c r="A78" s="87" t="s">
        <v>200</v>
      </c>
      <c r="B78" s="103"/>
      <c r="C78" s="287"/>
      <c r="D78" s="287"/>
      <c r="E78" s="287"/>
      <c r="F78" s="287"/>
      <c r="G78" s="287"/>
      <c r="H78" s="288"/>
      <c r="I78" s="287"/>
      <c r="J78" s="287"/>
      <c r="K78" s="287"/>
      <c r="L78" s="287"/>
      <c r="M78" s="287"/>
      <c r="N78" s="288"/>
      <c r="O78" s="287"/>
      <c r="P78" s="287"/>
      <c r="Q78" s="287"/>
      <c r="R78" s="287"/>
      <c r="S78" s="287"/>
      <c r="T78" s="288"/>
      <c r="U78" s="287"/>
      <c r="V78" s="287"/>
      <c r="W78" s="287"/>
      <c r="X78" s="287"/>
      <c r="Y78" s="287"/>
      <c r="Z78" s="288"/>
      <c r="AA78" s="287"/>
      <c r="AB78" s="287"/>
      <c r="AC78" s="287" t="str">
        <f>IF(ISERROR(AC69/W69-1),"NM",AC69/W69-1)</f>
        <v>NM</v>
      </c>
      <c r="AD78" s="287" t="str">
        <f>IF(ISERROR(AD69/X69-1),"NM",AD69/X69-1)</f>
        <v>NM</v>
      </c>
      <c r="AE78" s="287" t="str">
        <f>IF(ISERROR(AE69/Y69-1),"NM",AE69/Y69-1)</f>
        <v>NM</v>
      </c>
      <c r="AF78" s="290"/>
      <c r="AG78" s="287" t="str">
        <f>IF(ISERROR(AG69/AA69-1),"NM",AG69/AA69-1)</f>
        <v>NM</v>
      </c>
      <c r="AH78" s="287" t="str">
        <f>IF(ISERROR(AH69/AB69-1),"NM",AH69/AB69-1)</f>
        <v>NM</v>
      </c>
      <c r="AI78" s="287">
        <f>IF(ISERROR(AI69/AC69-1),"NM",AI69/AC69-1)</f>
        <v>-0.82017808255238489</v>
      </c>
      <c r="AJ78" s="287">
        <f>IF(ISERROR(AJ69/AD69-1),"NM",AJ69/AD69-1)</f>
        <v>-0.32176656151420158</v>
      </c>
      <c r="AK78" s="287">
        <f>IF(ISERROR(AK69/AE69-1),"NM",AK69/AE69-1)</f>
        <v>2.7629865525199415E-2</v>
      </c>
      <c r="AL78" s="290"/>
      <c r="AM78" s="287">
        <f>IF(ISERROR(AM69/AG69-1),"NM",AM69/AG69-1)</f>
        <v>0.14601899382891936</v>
      </c>
      <c r="AN78" s="287">
        <f>IF(ISERROR(AN69/AH69-1),"NM",AN69/AH69-1)</f>
        <v>-0.24004786081557294</v>
      </c>
      <c r="AO78" s="287">
        <f>IF(ISERROR(AO69/AI69-1),"NM",AO69/AI69-1)</f>
        <v>-0.97255190434887684</v>
      </c>
      <c r="AP78" s="287">
        <f>IF(ISERROR(AP69/AJ69-1),"NM",AP69/AJ69-1)</f>
        <v>0.39534883720931324</v>
      </c>
      <c r="AQ78" s="287">
        <f>IF(ISERROR(AQ69/AK69-1),"NM",AQ69/AK69-1)</f>
        <v>-7.2310360835089793E-2</v>
      </c>
      <c r="AR78" s="290"/>
      <c r="AS78" s="287">
        <f>IF(ISERROR(AS69/AM69-1),"NM",AS69/AM69-1)</f>
        <v>0.15769552920761076</v>
      </c>
      <c r="AT78" s="287">
        <f>IF(ISERROR(AT69/AN69-1),"NM",AT69/AN69-1)</f>
        <v>-1.5957446808511189E-2</v>
      </c>
      <c r="AU78" s="287">
        <f>IF(ISERROR(AU69/AO69-1),"NM",AU69/AO69-1)</f>
        <v>-0.7333333333333274</v>
      </c>
      <c r="AV78" s="287">
        <f>IF(ISERROR(AV69/AP69-1),"NM",AV69/AP69-1)</f>
        <v>-0.8</v>
      </c>
      <c r="AW78" s="287">
        <f>IF(ISERROR(AW69/AQ69-1),"NM",AW69/AQ69-1)</f>
        <v>0.12271002761339078</v>
      </c>
      <c r="AX78" s="290"/>
      <c r="AY78" s="287">
        <f>IF(ISERROR(AY69/AS69-1),"NM",AY69/AS69-1)</f>
        <v>-0.99967944125328212</v>
      </c>
      <c r="AZ78" s="287">
        <f>IF(ISERROR(AZ69/AT69-1),"NM",AZ69/AT69-1)</f>
        <v>-1</v>
      </c>
      <c r="BA78" s="287">
        <f>IF(ISERROR(BA69/AU69-1),"NM",BA69/AU69-1)</f>
        <v>-1</v>
      </c>
      <c r="BB78" s="287">
        <f>IF(ISERROR(BB69/AV69-1),"NM",BB69/AV69-1)</f>
        <v>-1.0833333333333333</v>
      </c>
      <c r="BC78" s="287">
        <f>IF(ISERROR(BC69/AW69-1),"NM",BC69/AW69-1)</f>
        <v>-1</v>
      </c>
      <c r="BD78" s="290"/>
      <c r="BE78" s="287">
        <f>IF(ISERROR(BE69/AY69-1),"NM",BE69/AY69-1)</f>
        <v>-1</v>
      </c>
      <c r="BF78" s="287" t="str">
        <f>IF(ISERROR(BF69/AZ69-1),"NM",BF69/AZ69-1)</f>
        <v>NM</v>
      </c>
      <c r="BG78" s="287" t="str">
        <f>IF(ISERROR(BG69/BA69-1),"NM",BG69/BA69-1)</f>
        <v>NM</v>
      </c>
      <c r="BH78" s="287">
        <f>IF(ISERROR(BH69/BB69-1),"NM",BH69/BB69-1)</f>
        <v>-1</v>
      </c>
      <c r="BI78" s="287" t="str">
        <f>IF(ISERROR(BI69/BC69-1),"NM",BI69/BC69-1)</f>
        <v>NM</v>
      </c>
      <c r="BJ78" s="290"/>
      <c r="BK78" s="287" t="str">
        <f>IF(ISERROR(BK69/BE69-1),"NM",BK69/BE69-1)</f>
        <v>NM</v>
      </c>
      <c r="BL78" s="287" t="str">
        <f>IF(ISERROR(BL69/BF69-1),"NM",BL69/BF69-1)</f>
        <v>NM</v>
      </c>
      <c r="BM78" s="287" t="str">
        <f>IF(ISERROR(BM69/BG69-1),"NM",BM69/BG69-1)</f>
        <v>NM</v>
      </c>
      <c r="BN78" s="287" t="str">
        <f>IF(ISERROR(BN69/BH69-1),"NM",BN69/BH69-1)</f>
        <v>NM</v>
      </c>
      <c r="BO78" s="287" t="str">
        <f>IF(ISERROR(BO69/BI69-1),"NM",BO69/BI69-1)</f>
        <v>NM</v>
      </c>
      <c r="BP78" s="290"/>
      <c r="BQ78" s="287" t="str">
        <f>IF(ISERROR(BQ69/BK69-1),"NM",BQ69/BK69-1)</f>
        <v>NM</v>
      </c>
      <c r="BR78" s="287" t="str">
        <f>IF(ISERROR(BR69/BL69-1),"NM",BR69/BL69-1)</f>
        <v>NM</v>
      </c>
      <c r="BS78" s="357">
        <v>0.25</v>
      </c>
      <c r="BT78" s="357">
        <v>0.25</v>
      </c>
      <c r="BU78" s="287" t="str">
        <f>IF(ISERROR(BU69/BO69-1),"NM",BU69/BO69-1)</f>
        <v>NM</v>
      </c>
      <c r="BV78" s="290"/>
      <c r="BW78" s="357">
        <v>0.25</v>
      </c>
      <c r="BX78" s="357">
        <v>0.25</v>
      </c>
      <c r="BY78" s="357">
        <v>0.25</v>
      </c>
      <c r="BZ78" s="357">
        <v>0.25</v>
      </c>
      <c r="CA78" s="287" t="str">
        <f>IF(ISERROR(CA69/BU69-1),"NM",CA69/BU69-1)</f>
        <v>NM</v>
      </c>
      <c r="CB78" s="290"/>
      <c r="CC78" s="357">
        <v>0.25</v>
      </c>
      <c r="CD78" s="357">
        <v>0.25</v>
      </c>
      <c r="CE78" s="357">
        <v>0.25</v>
      </c>
      <c r="CF78" s="357">
        <v>0.25</v>
      </c>
      <c r="CG78" s="287" t="str">
        <f>IF(ISERROR(CG69/CA69-1),"NM",CG69/CA69-1)</f>
        <v>NM</v>
      </c>
      <c r="CH78" s="290"/>
      <c r="CI78" s="357">
        <v>0.25</v>
      </c>
      <c r="CJ78" s="357">
        <v>0.25</v>
      </c>
      <c r="CK78" s="357">
        <v>0.25</v>
      </c>
      <c r="CL78" s="357">
        <v>0.25</v>
      </c>
      <c r="CM78" s="287" t="str">
        <f>IF(ISERROR(CM69/CG69-1),"NM",CM69/CG69-1)</f>
        <v>NM</v>
      </c>
      <c r="CN78" s="290"/>
      <c r="CO78" s="357">
        <v>0.25</v>
      </c>
      <c r="CP78" s="357">
        <v>0.25</v>
      </c>
      <c r="CQ78" s="357">
        <v>0.25</v>
      </c>
      <c r="CR78" s="357">
        <v>0.25</v>
      </c>
      <c r="CS78" s="287" t="str">
        <f>IF(ISERROR(CS69/CM69-1),"NM",CS69/CM69-1)</f>
        <v>NM</v>
      </c>
      <c r="CT78" s="287"/>
      <c r="CU78" s="287"/>
      <c r="CV78" s="287"/>
      <c r="CW78" s="287"/>
      <c r="CX78" s="287"/>
      <c r="CY78" s="287"/>
    </row>
    <row r="79" spans="1:103" ht="12.75" customHeight="1" outlineLevel="1" x14ac:dyDescent="0.2">
      <c r="A79" s="43"/>
      <c r="B79" s="103"/>
      <c r="C79" s="43"/>
      <c r="D79" s="43"/>
      <c r="E79" s="43"/>
      <c r="F79" s="43"/>
      <c r="G79" s="43"/>
      <c r="H79" s="75"/>
      <c r="I79" s="43"/>
      <c r="J79" s="43"/>
      <c r="K79" s="43"/>
      <c r="L79" s="43"/>
      <c r="M79" s="43"/>
      <c r="N79" s="75"/>
      <c r="O79" s="43"/>
      <c r="P79" s="43"/>
      <c r="Q79" s="43"/>
      <c r="R79" s="43"/>
      <c r="S79" s="43"/>
      <c r="T79" s="75"/>
      <c r="U79" s="43"/>
      <c r="V79" s="43"/>
      <c r="W79" s="43"/>
      <c r="X79" s="43"/>
      <c r="Y79" s="43"/>
      <c r="Z79" s="89"/>
      <c r="AA79" s="43"/>
      <c r="AB79" s="43"/>
      <c r="AC79" s="43"/>
      <c r="AD79" s="43"/>
      <c r="AE79" s="43"/>
      <c r="AF79" s="89"/>
      <c r="AG79" s="43"/>
      <c r="AH79" s="43"/>
      <c r="AI79" s="43"/>
      <c r="AJ79" s="43"/>
      <c r="AK79" s="43"/>
      <c r="AL79" s="89"/>
      <c r="AM79" s="43"/>
      <c r="AN79" s="43"/>
      <c r="AO79" s="43"/>
      <c r="AP79" s="43"/>
      <c r="AQ79" s="43"/>
      <c r="AR79" s="89"/>
      <c r="AS79" s="43"/>
      <c r="AT79" s="43"/>
      <c r="AU79" s="43"/>
      <c r="AV79" s="43"/>
      <c r="AW79" s="43"/>
      <c r="AX79" s="89"/>
      <c r="AY79" s="43"/>
      <c r="AZ79" s="43"/>
      <c r="BA79" s="43"/>
      <c r="BB79" s="43"/>
      <c r="BC79" s="43"/>
      <c r="BD79" s="89"/>
      <c r="BE79" s="43"/>
      <c r="BF79" s="43"/>
      <c r="BG79" s="43"/>
      <c r="BH79" s="43"/>
      <c r="BI79" s="43"/>
      <c r="BJ79" s="89"/>
      <c r="BK79" s="43"/>
      <c r="BL79" s="43"/>
      <c r="BM79" s="43"/>
      <c r="BN79" s="43"/>
      <c r="BO79" s="43"/>
      <c r="BP79" s="89"/>
      <c r="BQ79" s="43"/>
      <c r="BR79" s="43"/>
      <c r="BS79" s="43"/>
      <c r="BT79" s="43"/>
      <c r="BU79" s="43"/>
      <c r="BV79" s="89"/>
      <c r="BW79" s="43"/>
      <c r="BX79" s="43"/>
      <c r="BY79" s="43"/>
      <c r="BZ79" s="43"/>
      <c r="CA79" s="43"/>
      <c r="CB79" s="89"/>
      <c r="CC79" s="43"/>
      <c r="CD79" s="43"/>
      <c r="CE79" s="43"/>
      <c r="CF79" s="43"/>
      <c r="CG79" s="43"/>
      <c r="CH79" s="89"/>
      <c r="CI79" s="43"/>
      <c r="CJ79" s="43"/>
      <c r="CK79" s="43"/>
      <c r="CL79" s="43"/>
      <c r="CM79" s="43"/>
      <c r="CN79" s="89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</row>
    <row r="80" spans="1:103" ht="12.75" customHeight="1" outlineLevel="1" x14ac:dyDescent="0.2">
      <c r="A80" s="75" t="s">
        <v>210</v>
      </c>
      <c r="B80" s="185"/>
      <c r="C80" s="85">
        <f>+C40</f>
        <v>0.80700000000000005</v>
      </c>
      <c r="D80" s="85">
        <f>+D40</f>
        <v>2.9239999999999999</v>
      </c>
      <c r="E80" s="85">
        <f>+E40</f>
        <v>107.00199999999998</v>
      </c>
      <c r="F80" s="85">
        <f>+F40</f>
        <v>6.7180000000000124</v>
      </c>
      <c r="G80" s="85">
        <f>+G40</f>
        <v>117.45099999999999</v>
      </c>
      <c r="H80" s="75"/>
      <c r="I80" s="85">
        <f>+I40</f>
        <v>6.4969999999999999</v>
      </c>
      <c r="J80" s="85">
        <f>+J40</f>
        <v>8.5340000000000007</v>
      </c>
      <c r="K80" s="85">
        <f>+K40</f>
        <v>3.3559999999999999</v>
      </c>
      <c r="L80" s="85">
        <f>+L40</f>
        <v>3.484</v>
      </c>
      <c r="M80" s="85">
        <f>+M40</f>
        <v>21.871000000000002</v>
      </c>
      <c r="N80" s="75"/>
      <c r="O80" s="85">
        <f>+O40</f>
        <v>38.264000000000003</v>
      </c>
      <c r="P80" s="85">
        <f>+P40</f>
        <v>8.269999999999996</v>
      </c>
      <c r="Q80" s="85">
        <f>+Q40</f>
        <v>31.681999999999995</v>
      </c>
      <c r="R80" s="85">
        <f>+R40</f>
        <v>5.9930000000000092</v>
      </c>
      <c r="S80" s="85">
        <f>+S40</f>
        <v>84.209000000000003</v>
      </c>
      <c r="T80" s="75"/>
      <c r="U80" s="85">
        <f>+U40</f>
        <v>3.1930000000000001</v>
      </c>
      <c r="V80" s="85">
        <f>+V40</f>
        <v>3.03</v>
      </c>
      <c r="W80" s="85">
        <f>+W40</f>
        <v>12.491</v>
      </c>
      <c r="X80" s="85">
        <f>+X40</f>
        <v>3.5910000000000006</v>
      </c>
      <c r="Y80" s="85">
        <f>+Y40</f>
        <v>22.305</v>
      </c>
      <c r="Z80" s="89"/>
      <c r="AA80" s="85">
        <f>+AA40</f>
        <v>0.74399999999999999</v>
      </c>
      <c r="AB80" s="85">
        <f>+AB40</f>
        <v>6.4390000000000001</v>
      </c>
      <c r="AC80" s="85">
        <f>+AC40</f>
        <v>0.77500000000000013</v>
      </c>
      <c r="AD80" s="85">
        <f>+AD40</f>
        <v>17.102</v>
      </c>
      <c r="AE80" s="85">
        <f>+AE40</f>
        <v>25.060000000000002</v>
      </c>
      <c r="AF80" s="89"/>
      <c r="AG80" s="85">
        <f>+AG40</f>
        <v>0.84399999999999997</v>
      </c>
      <c r="AH80" s="85">
        <f>+AH40</f>
        <v>6.843</v>
      </c>
      <c r="AI80" s="85">
        <f>+AI40</f>
        <v>10.371</v>
      </c>
      <c r="AJ80" s="85">
        <f>+AJ40</f>
        <v>6.9709999999999992</v>
      </c>
      <c r="AK80" s="85">
        <f>+AK40</f>
        <v>25.029</v>
      </c>
      <c r="AL80" s="89"/>
      <c r="AM80" s="85">
        <f>+AM40</f>
        <v>8.6159999999999997</v>
      </c>
      <c r="AN80" s="85">
        <f>+AN40</f>
        <v>15.286999999999999</v>
      </c>
      <c r="AO80" s="85">
        <f>+AO40</f>
        <v>1.6030000000000015</v>
      </c>
      <c r="AP80" s="85">
        <f>+AP40</f>
        <v>32.319000000000003</v>
      </c>
      <c r="AQ80" s="85">
        <f>+AQ40</f>
        <v>57.825000000000003</v>
      </c>
      <c r="AR80" s="89"/>
      <c r="AS80" s="85">
        <f>+AS40</f>
        <v>0.79100000000000004</v>
      </c>
      <c r="AT80" s="85">
        <f>+AT40</f>
        <v>5.5709999999999997</v>
      </c>
      <c r="AU80" s="85">
        <f>+AU40</f>
        <v>40.794000000000004</v>
      </c>
      <c r="AV80" s="85">
        <f>+AV40</f>
        <v>17.605999999999998</v>
      </c>
      <c r="AW80" s="183">
        <f>SUM(AS80:AV80)</f>
        <v>64.762</v>
      </c>
      <c r="AX80" s="89"/>
      <c r="AY80" s="85">
        <f>+AY40</f>
        <v>15.099</v>
      </c>
      <c r="AZ80" s="85">
        <f>+AZ40</f>
        <v>5.0960000000000001</v>
      </c>
      <c r="BA80" s="85">
        <f>+BA40</f>
        <v>5.4400000000000013</v>
      </c>
      <c r="BB80" s="85">
        <f>+BB40</f>
        <v>4.3649999999999984</v>
      </c>
      <c r="BC80" s="183">
        <f>SUM(AY80:BB80)</f>
        <v>30</v>
      </c>
      <c r="BD80" s="89"/>
      <c r="BE80" s="85">
        <f>+BE40</f>
        <v>22.8</v>
      </c>
      <c r="BF80" s="85">
        <f>+BF40</f>
        <v>62.100000000000009</v>
      </c>
      <c r="BG80" s="85">
        <f>+BG40</f>
        <v>1</v>
      </c>
      <c r="BH80" s="85">
        <f>+BH40</f>
        <v>8.3999999999999915</v>
      </c>
      <c r="BI80" s="183">
        <f>SUM(BE80:BH80)</f>
        <v>94.3</v>
      </c>
      <c r="BJ80" s="89"/>
      <c r="BK80" s="85">
        <f>+BK40</f>
        <v>-1.9</v>
      </c>
      <c r="BL80" s="85">
        <f>+BL40</f>
        <v>2.9</v>
      </c>
      <c r="BM80" s="85">
        <f>+BM40</f>
        <v>0.30000000000000004</v>
      </c>
      <c r="BN80" s="85">
        <f>+BN40</f>
        <v>4.7</v>
      </c>
      <c r="BO80" s="183">
        <f>SUM(BK80:BN80)</f>
        <v>6</v>
      </c>
      <c r="BP80" s="89"/>
      <c r="BQ80" s="85">
        <f>+BQ40</f>
        <v>1.7</v>
      </c>
      <c r="BR80" s="85">
        <f>+BR40</f>
        <v>4.5999999999999996</v>
      </c>
      <c r="BS80" s="85">
        <f>-BS70*BS73</f>
        <v>2.56632189866</v>
      </c>
      <c r="BT80" s="85">
        <f>-BT70*BT73</f>
        <v>2.7853827104655506</v>
      </c>
      <c r="BU80" s="183">
        <f>SUM(BQ80:BT80)</f>
        <v>11.651704609125552</v>
      </c>
      <c r="BV80" s="89"/>
      <c r="BW80" s="85">
        <f>-BW70*BW73</f>
        <v>4.1610298180186538</v>
      </c>
      <c r="BX80" s="85">
        <f>-BX70*BX73</f>
        <v>4.1604399577477489</v>
      </c>
      <c r="BY80" s="85">
        <f>-BY70*BY73</f>
        <v>2.3872775235246166</v>
      </c>
      <c r="BZ80" s="85">
        <f>-BZ70*BZ73</f>
        <v>2.5910551371519279</v>
      </c>
      <c r="CA80" s="183">
        <f>SUM(BW80:BZ80)</f>
        <v>13.299802436442947</v>
      </c>
      <c r="CB80" s="89"/>
      <c r="CC80" s="85">
        <f>-CC70*CC73</f>
        <v>3.8707275827161158</v>
      </c>
      <c r="CD80" s="85">
        <f>-CD70*CD73</f>
        <v>3.8701788751796657</v>
      </c>
      <c r="CE80" s="85">
        <f>-CE70*CE73</f>
        <v>2.22072452302324</v>
      </c>
      <c r="CF80" s="85">
        <f>-CF70*CF73</f>
        <v>2.4102852001401582</v>
      </c>
      <c r="CG80" s="183">
        <f>SUM(CC80:CF80)</f>
        <v>12.371916181059181</v>
      </c>
      <c r="CH80" s="89"/>
      <c r="CI80" s="85">
        <f>-CI70*CI73</f>
        <v>3.6006788403005343</v>
      </c>
      <c r="CJ80" s="85">
        <f>-CJ70*CJ73</f>
        <v>3.6001684143989978</v>
      </c>
      <c r="CK80" s="85">
        <f>-CK70*CK73</f>
        <v>2.0657914124184757</v>
      </c>
      <c r="CL80" s="85">
        <f>-CL70*CL73</f>
        <v>2.2421270249001428</v>
      </c>
      <c r="CM80" s="183">
        <f>SUM(CI80:CL80)</f>
        <v>11.50876569201815</v>
      </c>
      <c r="CN80" s="89"/>
      <c r="CO80" s="85">
        <f>-CO70*CO73</f>
        <v>3.349470566949702</v>
      </c>
      <c r="CP80" s="85">
        <f>-CP70*CP73</f>
        <v>3.3489957518913109</v>
      </c>
      <c r="CQ80" s="85">
        <f>-CQ70*CQ73</f>
        <v>1.9216675077790639</v>
      </c>
      <c r="CR80" s="85">
        <f>-CR70*CR73</f>
        <v>2.0857007276546509</v>
      </c>
      <c r="CS80" s="183">
        <f>SUM(CO80:CR80)</f>
        <v>10.705834554274727</v>
      </c>
      <c r="CT80" s="183"/>
      <c r="CU80" s="183"/>
      <c r="CV80" s="183"/>
      <c r="CW80" s="183"/>
      <c r="CX80" s="183"/>
      <c r="CY80" s="183"/>
    </row>
    <row r="81" spans="1:103" ht="12.75" customHeight="1" outlineLevel="1" x14ac:dyDescent="0.2">
      <c r="A81" s="43"/>
      <c r="B81" s="75"/>
      <c r="C81" s="43"/>
      <c r="D81" s="43"/>
      <c r="E81" s="43"/>
      <c r="F81" s="43"/>
      <c r="G81" s="43"/>
      <c r="H81" s="75"/>
      <c r="I81" s="43"/>
      <c r="J81" s="43"/>
      <c r="K81" s="43"/>
      <c r="L81" s="43"/>
      <c r="M81" s="43"/>
      <c r="N81" s="75"/>
      <c r="O81" s="43"/>
      <c r="P81" s="43"/>
      <c r="Q81" s="43"/>
      <c r="R81" s="43"/>
      <c r="S81" s="43"/>
      <c r="T81" s="75"/>
      <c r="U81" s="43"/>
      <c r="V81" s="43"/>
      <c r="W81" s="43"/>
      <c r="X81" s="43"/>
      <c r="Y81" s="43"/>
      <c r="Z81" s="89"/>
      <c r="AA81" s="43"/>
      <c r="AB81" s="43"/>
      <c r="AC81" s="43"/>
      <c r="AD81" s="43"/>
      <c r="AE81" s="43"/>
      <c r="AF81" s="89"/>
      <c r="AG81" s="43"/>
      <c r="AH81" s="43"/>
      <c r="AI81" s="43"/>
      <c r="AJ81" s="43"/>
      <c r="AK81" s="43"/>
      <c r="AL81" s="89"/>
      <c r="AM81" s="43"/>
      <c r="AN81" s="43"/>
      <c r="AO81" s="43"/>
      <c r="AP81" s="43"/>
      <c r="AQ81" s="43"/>
      <c r="AR81" s="89"/>
      <c r="AS81" s="43"/>
      <c r="AT81" s="43"/>
      <c r="AU81" s="43"/>
      <c r="AV81" s="43"/>
      <c r="AW81" s="43"/>
      <c r="AX81" s="89"/>
      <c r="AY81" s="43"/>
      <c r="AZ81" s="43"/>
      <c r="BA81" s="43"/>
      <c r="BB81" s="43"/>
      <c r="BC81" s="43"/>
      <c r="BD81" s="89"/>
      <c r="BE81" s="43"/>
      <c r="BF81" s="43"/>
      <c r="BG81" s="43"/>
      <c r="BH81" s="43"/>
      <c r="BI81" s="43"/>
      <c r="BJ81" s="89"/>
      <c r="BK81" s="43"/>
      <c r="BL81" s="43"/>
      <c r="BM81" s="43"/>
      <c r="BN81" s="43"/>
      <c r="BO81" s="43"/>
      <c r="BP81" s="89"/>
      <c r="BQ81" s="43"/>
      <c r="BR81" s="43"/>
      <c r="BS81" s="43"/>
      <c r="BT81" s="43"/>
      <c r="BU81" s="43"/>
      <c r="BV81" s="89"/>
      <c r="BW81" s="43"/>
      <c r="BX81" s="43"/>
      <c r="BY81" s="43"/>
      <c r="BZ81" s="43"/>
      <c r="CA81" s="43"/>
      <c r="CB81" s="89"/>
      <c r="CC81" s="43"/>
      <c r="CD81" s="43"/>
      <c r="CE81" s="43"/>
      <c r="CF81" s="43"/>
      <c r="CG81" s="43"/>
      <c r="CH81" s="89"/>
      <c r="CI81" s="43"/>
      <c r="CJ81" s="43"/>
      <c r="CK81" s="43"/>
      <c r="CL81" s="43"/>
      <c r="CM81" s="43"/>
      <c r="CN81" s="89"/>
      <c r="CO81" s="43"/>
      <c r="CP81" s="43"/>
      <c r="CQ81" s="43"/>
      <c r="CR81" s="43"/>
      <c r="CS81" s="43"/>
      <c r="CT81" s="43"/>
      <c r="CU81" s="43"/>
      <c r="CV81" s="43"/>
      <c r="CW81" s="43"/>
      <c r="CX81" s="43"/>
      <c r="CY81" s="43"/>
    </row>
    <row r="82" spans="1:103" ht="12.75" customHeight="1" outlineLevel="1" x14ac:dyDescent="0.2">
      <c r="A82" s="23" t="s">
        <v>201</v>
      </c>
      <c r="B82" s="75"/>
      <c r="C82" s="43"/>
      <c r="D82" s="43"/>
      <c r="E82" s="43"/>
      <c r="F82" s="43"/>
      <c r="G82" s="43"/>
      <c r="H82" s="31"/>
      <c r="I82" s="43"/>
      <c r="J82" s="43"/>
      <c r="K82" s="43"/>
      <c r="L82" s="43"/>
      <c r="M82" s="43"/>
      <c r="N82" s="31"/>
      <c r="O82" s="43"/>
      <c r="P82" s="43"/>
      <c r="Q82" s="43"/>
      <c r="R82" s="43"/>
      <c r="S82" s="43"/>
      <c r="T82" s="31"/>
      <c r="U82" s="43"/>
      <c r="V82" s="43"/>
      <c r="W82" s="43"/>
      <c r="X82" s="43"/>
      <c r="Y82" s="43"/>
      <c r="Z82" s="89"/>
      <c r="AA82" s="43"/>
      <c r="AB82" s="43"/>
      <c r="AC82" s="43"/>
      <c r="AD82" s="43"/>
      <c r="AE82" s="43"/>
      <c r="AF82" s="89"/>
      <c r="AG82" s="43"/>
      <c r="AH82" s="43"/>
      <c r="AI82" s="43"/>
      <c r="AJ82" s="43"/>
      <c r="AK82" s="43"/>
      <c r="AL82" s="89"/>
      <c r="AM82" s="43"/>
      <c r="AN82" s="43"/>
      <c r="AO82" s="43"/>
      <c r="AP82" s="43"/>
      <c r="AQ82" s="43"/>
      <c r="AR82" s="89"/>
      <c r="AS82" s="43"/>
      <c r="AT82" s="43"/>
      <c r="AU82" s="43"/>
      <c r="AV82" s="43"/>
      <c r="AW82" s="43"/>
      <c r="AX82" s="89"/>
      <c r="AY82" s="43"/>
      <c r="AZ82" s="43"/>
      <c r="BA82" s="43"/>
      <c r="BB82" s="43"/>
      <c r="BC82" s="43"/>
      <c r="BD82" s="89"/>
      <c r="BE82" s="43"/>
      <c r="BF82" s="43"/>
      <c r="BG82" s="43"/>
      <c r="BH82" s="43"/>
      <c r="BI82" s="43"/>
      <c r="BJ82" s="89"/>
      <c r="BK82" s="43"/>
      <c r="BL82" s="43"/>
      <c r="BM82" s="43"/>
      <c r="BN82" s="43"/>
      <c r="BO82" s="43"/>
      <c r="BP82" s="89"/>
      <c r="BQ82" s="43"/>
      <c r="BR82" s="43"/>
      <c r="BS82" s="43"/>
      <c r="BT82" s="43"/>
      <c r="BU82" s="43"/>
      <c r="BV82" s="89"/>
      <c r="BW82" s="43"/>
      <c r="BX82" s="43"/>
      <c r="BY82" s="43"/>
      <c r="BZ82" s="43"/>
      <c r="CA82" s="43"/>
      <c r="CB82" s="89"/>
      <c r="CC82" s="43"/>
      <c r="CD82" s="43"/>
      <c r="CE82" s="43"/>
      <c r="CF82" s="43"/>
      <c r="CG82" s="43"/>
      <c r="CH82" s="89"/>
      <c r="CI82" s="43"/>
      <c r="CJ82" s="43"/>
      <c r="CK82" s="43"/>
      <c r="CL82" s="43"/>
      <c r="CM82" s="43"/>
      <c r="CN82" s="89"/>
      <c r="CO82" s="43"/>
      <c r="CP82" s="43"/>
      <c r="CQ82" s="43"/>
      <c r="CR82" s="43"/>
      <c r="CS82" s="43"/>
      <c r="CT82" s="43"/>
      <c r="CU82" s="43"/>
      <c r="CV82" s="43"/>
      <c r="CW82" s="43"/>
      <c r="CX82" s="43"/>
      <c r="CY82" s="43"/>
    </row>
    <row r="83" spans="1:103" ht="12.75" customHeight="1" outlineLevel="1" x14ac:dyDescent="0.2">
      <c r="A83" s="75" t="s">
        <v>202</v>
      </c>
      <c r="B83" s="75"/>
      <c r="C83" s="293"/>
      <c r="D83" s="293"/>
      <c r="E83" s="293"/>
      <c r="F83" s="293"/>
      <c r="G83" s="293"/>
      <c r="H83" s="31"/>
      <c r="I83" s="293"/>
      <c r="J83" s="293"/>
      <c r="K83" s="293"/>
      <c r="L83" s="293"/>
      <c r="M83" s="293"/>
      <c r="N83" s="31"/>
      <c r="O83" s="293"/>
      <c r="P83" s="293"/>
      <c r="Q83" s="293"/>
      <c r="R83" s="293"/>
      <c r="S83" s="293"/>
      <c r="T83" s="31"/>
      <c r="U83" s="293"/>
      <c r="V83" s="293"/>
      <c r="W83" s="293"/>
      <c r="X83" s="463">
        <f>2.591031+1.348989</f>
        <v>3.9400200000000001</v>
      </c>
      <c r="Y83" s="462">
        <f>SUM(U83:X83)</f>
        <v>3.9400200000000001</v>
      </c>
      <c r="Z83" s="89"/>
      <c r="AA83" s="463">
        <v>1.7620979999999999</v>
      </c>
      <c r="AB83" s="463">
        <f>1.381297+1.482785</f>
        <v>2.8640819999999998</v>
      </c>
      <c r="AC83" s="463">
        <f>0.492924+1.431537+2.56841</f>
        <v>4.4928710000000001</v>
      </c>
      <c r="AD83" s="463">
        <v>0.70504299999999998</v>
      </c>
      <c r="AE83" s="462">
        <f>SUM(AA83:AD83)</f>
        <v>9.8240939999999988</v>
      </c>
      <c r="AF83" s="89"/>
      <c r="AG83" s="463">
        <f>1.189827+0.49449</f>
        <v>1.6843170000000001</v>
      </c>
      <c r="AH83" s="463">
        <f>0.17444+0.468401+0.284868</f>
        <v>0.92770900000000001</v>
      </c>
      <c r="AI83" s="463">
        <f>0.252636+0.249372</f>
        <v>0.50200800000000001</v>
      </c>
      <c r="AJ83" s="463">
        <f>0.018931+0.699389+1.855685</f>
        <v>2.5740050000000001</v>
      </c>
      <c r="AK83" s="462">
        <f>SUM(AG83:AJ83)</f>
        <v>5.6880389999999998</v>
      </c>
      <c r="AL83" s="89"/>
      <c r="AM83" s="463">
        <f>0.845281+0.974568+0.015897</f>
        <v>1.8357460000000001</v>
      </c>
      <c r="AN83" s="463">
        <f>0.081925+0.0349+1.114298</f>
        <v>1.231123</v>
      </c>
      <c r="AO83" s="463">
        <f>0.735377+0.507155+0.495931</f>
        <v>1.7384629999999999</v>
      </c>
      <c r="AP83" s="463">
        <f>0.199694+0.626603</f>
        <v>0.82629700000000006</v>
      </c>
      <c r="AQ83" s="462">
        <f>SUM(AM83:AP83)</f>
        <v>5.6316290000000002</v>
      </c>
      <c r="AR83" s="89"/>
      <c r="AS83" s="463">
        <f>0.13623+1.166058+2.503682</f>
        <v>3.8059700000000003</v>
      </c>
      <c r="AT83" s="463">
        <f>1.871118+0.371228+0.943119</f>
        <v>3.1854649999999998</v>
      </c>
      <c r="AU83" s="463">
        <f>1.0037+0.255433+0.294627</f>
        <v>1.55376</v>
      </c>
      <c r="AV83" s="463">
        <f>0.208955+0.701421+0.917233</f>
        <v>1.8276089999999998</v>
      </c>
      <c r="AW83" s="462">
        <f>SUM(AS83:AV83)</f>
        <v>10.372803999999999</v>
      </c>
      <c r="AX83" s="89"/>
      <c r="AY83" s="463">
        <f>0+0.96862+0.76401</f>
        <v>1.7326299999999999</v>
      </c>
      <c r="AZ83" s="463">
        <f>0.716949+0.500607+0</f>
        <v>1.2175560000000001</v>
      </c>
      <c r="BA83" s="463">
        <v>1.7789999999999999</v>
      </c>
      <c r="BB83" s="463">
        <f>6-SUM(AY83:BA83)</f>
        <v>1.2708139999999997</v>
      </c>
      <c r="BC83" s="462">
        <f>SUM(AY83:BB83)</f>
        <v>6</v>
      </c>
      <c r="BD83" s="89"/>
      <c r="BE83" s="463">
        <v>1.1000000000000001</v>
      </c>
      <c r="BF83" s="463">
        <v>0.6</v>
      </c>
      <c r="BG83" s="463">
        <v>1.2</v>
      </c>
      <c r="BH83" s="463">
        <f>4.5-SUM(BE83:BG83)</f>
        <v>1.5999999999999996</v>
      </c>
      <c r="BI83" s="462">
        <f>SUM(BE83:BH83)</f>
        <v>4.5</v>
      </c>
      <c r="BJ83" s="89"/>
      <c r="BK83" s="463">
        <v>1</v>
      </c>
      <c r="BL83" s="832">
        <v>0.6</v>
      </c>
      <c r="BM83" s="463">
        <v>0</v>
      </c>
      <c r="BN83" s="463">
        <f>1.6-SUM(BK83:BM83)</f>
        <v>0</v>
      </c>
      <c r="BO83" s="462">
        <f>SUM(BK83:BN83)</f>
        <v>1.6</v>
      </c>
      <c r="BP83" s="89"/>
      <c r="BQ83" s="832">
        <v>0</v>
      </c>
      <c r="BR83" s="832">
        <v>0</v>
      </c>
      <c r="BS83" s="462">
        <f>+BS84/BS85</f>
        <v>0</v>
      </c>
      <c r="BT83" s="462">
        <f>+BT84/BT85</f>
        <v>0</v>
      </c>
      <c r="BU83" s="462">
        <f>+BU84/BU85</f>
        <v>0</v>
      </c>
      <c r="BV83" s="89"/>
      <c r="BW83" s="462">
        <f>+BW84/BW85</f>
        <v>0.77600589764482186</v>
      </c>
      <c r="BX83" s="462">
        <f>+BX84/BX85</f>
        <v>0.96285003610687614</v>
      </c>
      <c r="BY83" s="462">
        <f>+BY84/BY85</f>
        <v>0.96285003610687614</v>
      </c>
      <c r="BZ83" s="462">
        <f>+BZ84/BZ85</f>
        <v>0.96285003610687614</v>
      </c>
      <c r="CA83" s="462">
        <f>+CA84/CA85</f>
        <v>3.6327309054581773</v>
      </c>
      <c r="CB83" s="89"/>
      <c r="CC83" s="462">
        <f>+CC84/CC85</f>
        <v>0.70545990694983796</v>
      </c>
      <c r="CD83" s="462">
        <f>+CD84/CD85</f>
        <v>0.8753182146426145</v>
      </c>
      <c r="CE83" s="462">
        <f>+CE84/CE85</f>
        <v>0.8753182146426145</v>
      </c>
      <c r="CF83" s="462">
        <f>+CF84/CF85</f>
        <v>0.8753182146426145</v>
      </c>
      <c r="CG83" s="462">
        <f>+CG84/CG85</f>
        <v>3.3024826413256152</v>
      </c>
      <c r="CH83" s="89"/>
      <c r="CI83" s="462">
        <f>+CI84/CI85</f>
        <v>0.64132718813621636</v>
      </c>
      <c r="CJ83" s="462">
        <f>+CJ84/CJ85</f>
        <v>0.79574383149328587</v>
      </c>
      <c r="CK83" s="462">
        <f>+CK84/CK85</f>
        <v>0.79574383149328587</v>
      </c>
      <c r="CL83" s="462">
        <f>+CL84/CL85</f>
        <v>0.79574383149328587</v>
      </c>
      <c r="CM83" s="462">
        <f>+CM84/CM85</f>
        <v>3.0022569466596498</v>
      </c>
      <c r="CN83" s="89"/>
      <c r="CO83" s="462">
        <f>+CO84/CO85</f>
        <v>0.58302471648746934</v>
      </c>
      <c r="CP83" s="462">
        <f>+CP84/CP85</f>
        <v>0.72340348317571435</v>
      </c>
      <c r="CQ83" s="462">
        <f>+CQ84/CQ85</f>
        <v>0.72340348317571435</v>
      </c>
      <c r="CR83" s="462">
        <f>+CR84/CR85</f>
        <v>0.72340348317571435</v>
      </c>
      <c r="CS83" s="462">
        <f>+CS84/CS85</f>
        <v>2.7293244969633177</v>
      </c>
      <c r="CT83" s="293"/>
      <c r="CU83" s="293"/>
      <c r="CV83" s="293"/>
      <c r="CW83" s="293"/>
      <c r="CX83" s="293"/>
      <c r="CY83" s="293"/>
    </row>
    <row r="84" spans="1:103" ht="12.75" customHeight="1" outlineLevel="1" x14ac:dyDescent="0.2">
      <c r="A84" s="75" t="s">
        <v>203</v>
      </c>
      <c r="B84" s="189"/>
      <c r="C84" s="294"/>
      <c r="D84" s="294"/>
      <c r="E84" s="294"/>
      <c r="F84" s="294"/>
      <c r="G84" s="294"/>
      <c r="H84" s="105"/>
      <c r="I84" s="294"/>
      <c r="J84" s="294"/>
      <c r="K84" s="294"/>
      <c r="L84" s="294"/>
      <c r="M84" s="294"/>
      <c r="N84" s="105"/>
      <c r="O84" s="294"/>
      <c r="P84" s="294"/>
      <c r="Q84" s="294"/>
      <c r="R84" s="294"/>
      <c r="S84" s="294"/>
      <c r="T84" s="105"/>
      <c r="U84" s="294"/>
      <c r="V84" s="294"/>
      <c r="W84" s="294"/>
      <c r="X84" s="294">
        <f>-X42</f>
        <v>71.393000000000001</v>
      </c>
      <c r="Y84" s="294">
        <f>-Y42</f>
        <v>71.393000000000001</v>
      </c>
      <c r="Z84" s="108"/>
      <c r="AA84" s="294">
        <f>-AA42</f>
        <v>28.606000000000002</v>
      </c>
      <c r="AB84" s="294">
        <f>-AB42</f>
        <v>61.93</v>
      </c>
      <c r="AC84" s="294">
        <f>-AC42</f>
        <v>88.070999999999998</v>
      </c>
      <c r="AD84" s="294">
        <f>-AD42</f>
        <v>21.88300000000001</v>
      </c>
      <c r="AE84" s="294">
        <f>-AE42</f>
        <v>200.49</v>
      </c>
      <c r="AF84" s="108"/>
      <c r="AG84" s="294">
        <f>-AG42</f>
        <v>37.180999999999997</v>
      </c>
      <c r="AH84" s="294">
        <f>-AH42</f>
        <v>18.285000000000004</v>
      </c>
      <c r="AI84" s="294">
        <f>-AI42</f>
        <v>12.005000000000003</v>
      </c>
      <c r="AJ84" s="294">
        <f>-AJ42</f>
        <v>60.996000000000024</v>
      </c>
      <c r="AK84" s="294">
        <f>-AK42</f>
        <v>128.46700000000004</v>
      </c>
      <c r="AL84" s="108"/>
      <c r="AM84" s="294">
        <f>-AM42</f>
        <v>46.198999999999998</v>
      </c>
      <c r="AN84" s="294">
        <f>-AN42</f>
        <v>33.683999999999997</v>
      </c>
      <c r="AO84" s="294">
        <f>-AO42</f>
        <v>44.822000000000003</v>
      </c>
      <c r="AP84" s="294">
        <f>-AP42</f>
        <v>21.563000000000002</v>
      </c>
      <c r="AQ84" s="294">
        <f>-AQ42</f>
        <v>146.268</v>
      </c>
      <c r="AR84" s="108"/>
      <c r="AS84" s="82">
        <f>-AS42</f>
        <v>102.316</v>
      </c>
      <c r="AT84" s="82">
        <f>-AT42</f>
        <v>77.807999999999993</v>
      </c>
      <c r="AU84" s="294">
        <f>-AU42</f>
        <v>41.890000000000015</v>
      </c>
      <c r="AV84" s="294">
        <f>-AV42</f>
        <v>65.688999999999965</v>
      </c>
      <c r="AW84" s="294">
        <f>-AW42</f>
        <v>287.70299999999997</v>
      </c>
      <c r="AX84" s="108"/>
      <c r="AY84" s="294">
        <f>-AY42</f>
        <v>45.628999999999998</v>
      </c>
      <c r="AZ84" s="294">
        <f>-AZ42</f>
        <v>58.323</v>
      </c>
      <c r="BA84" s="294">
        <f>-BA42</f>
        <v>61.993999999999993</v>
      </c>
      <c r="BB84" s="294">
        <f>-BB42</f>
        <v>44.753999999999991</v>
      </c>
      <c r="BC84" s="294">
        <f>-BC42</f>
        <v>210.7</v>
      </c>
      <c r="BD84" s="108"/>
      <c r="BE84" s="294">
        <f>-BE42</f>
        <v>38</v>
      </c>
      <c r="BF84" s="294">
        <f>-BF42</f>
        <v>24.9</v>
      </c>
      <c r="BG84" s="294">
        <f>-BG42</f>
        <v>45.000000000000007</v>
      </c>
      <c r="BH84" s="294">
        <f>-BH42</f>
        <v>54.699999999999989</v>
      </c>
      <c r="BI84" s="294">
        <f>-BI42</f>
        <v>162.6</v>
      </c>
      <c r="BJ84" s="108"/>
      <c r="BK84" s="294">
        <f>-BK42</f>
        <v>21.3</v>
      </c>
      <c r="BL84" s="294">
        <f>-BL42</f>
        <v>10.3</v>
      </c>
      <c r="BM84" s="294">
        <f>-BM42</f>
        <v>0</v>
      </c>
      <c r="BN84" s="294">
        <f>-BN42</f>
        <v>0</v>
      </c>
      <c r="BO84" s="294">
        <f>-BO42</f>
        <v>31.6</v>
      </c>
      <c r="BP84" s="108"/>
      <c r="BQ84" s="294">
        <f>-BQ42</f>
        <v>0</v>
      </c>
      <c r="BR84" s="294">
        <f>-BR42</f>
        <v>0</v>
      </c>
      <c r="BS84" s="294">
        <f>-BS42</f>
        <v>0</v>
      </c>
      <c r="BT84" s="294">
        <f>-BT42</f>
        <v>0</v>
      </c>
      <c r="BU84" s="294">
        <f>-BU42</f>
        <v>0</v>
      </c>
      <c r="BV84" s="108"/>
      <c r="BW84" s="294">
        <f>-BW42</f>
        <v>20</v>
      </c>
      <c r="BX84" s="294">
        <f>-BX42</f>
        <v>20</v>
      </c>
      <c r="BY84" s="294">
        <f>-BY42</f>
        <v>20</v>
      </c>
      <c r="BZ84" s="294">
        <f>-BZ42</f>
        <v>20</v>
      </c>
      <c r="CA84" s="294">
        <f>-CA42</f>
        <v>80</v>
      </c>
      <c r="CB84" s="108"/>
      <c r="CC84" s="294">
        <f>-CC42</f>
        <v>20</v>
      </c>
      <c r="CD84" s="294">
        <f>-CD42</f>
        <v>20</v>
      </c>
      <c r="CE84" s="294">
        <f>-CE42</f>
        <v>20</v>
      </c>
      <c r="CF84" s="294">
        <f>-CF42</f>
        <v>20</v>
      </c>
      <c r="CG84" s="294">
        <f>-CG42</f>
        <v>80</v>
      </c>
      <c r="CH84" s="108"/>
      <c r="CI84" s="294">
        <f>-CI42</f>
        <v>20</v>
      </c>
      <c r="CJ84" s="294">
        <f>-CJ42</f>
        <v>20</v>
      </c>
      <c r="CK84" s="294">
        <f>-CK42</f>
        <v>20</v>
      </c>
      <c r="CL84" s="294">
        <f>-CL42</f>
        <v>20</v>
      </c>
      <c r="CM84" s="294">
        <f>-CM42</f>
        <v>80</v>
      </c>
      <c r="CN84" s="108"/>
      <c r="CO84" s="294">
        <f>-CO42</f>
        <v>20</v>
      </c>
      <c r="CP84" s="294">
        <f>-CP42</f>
        <v>20</v>
      </c>
      <c r="CQ84" s="294">
        <f>-CQ42</f>
        <v>20</v>
      </c>
      <c r="CR84" s="294">
        <f>-CR42</f>
        <v>20</v>
      </c>
      <c r="CS84" s="294">
        <f>-CS42</f>
        <v>80</v>
      </c>
      <c r="CT84" s="294"/>
      <c r="CU84" s="294"/>
      <c r="CV84" s="294"/>
      <c r="CW84" s="294"/>
      <c r="CX84" s="294"/>
      <c r="CY84" s="294"/>
    </row>
    <row r="85" spans="1:103" ht="12.75" customHeight="1" outlineLevel="1" x14ac:dyDescent="0.2">
      <c r="A85" s="75" t="s">
        <v>204</v>
      </c>
      <c r="B85" s="187"/>
      <c r="C85" s="283"/>
      <c r="D85" s="283"/>
      <c r="E85" s="283"/>
      <c r="F85" s="283"/>
      <c r="G85" s="283"/>
      <c r="H85" s="187"/>
      <c r="I85" s="283"/>
      <c r="J85" s="283"/>
      <c r="K85" s="283"/>
      <c r="L85" s="283"/>
      <c r="M85" s="283"/>
      <c r="N85" s="187"/>
      <c r="O85" s="283"/>
      <c r="P85" s="283"/>
      <c r="Q85" s="283"/>
      <c r="R85" s="283"/>
      <c r="S85" s="283"/>
      <c r="T85" s="284"/>
      <c r="U85" s="283"/>
      <c r="V85" s="283"/>
      <c r="W85" s="283"/>
      <c r="X85" s="283">
        <f>X84/X83</f>
        <v>18.119958781935118</v>
      </c>
      <c r="Y85" s="283">
        <f>Y84/Y83</f>
        <v>18.119958781935118</v>
      </c>
      <c r="Z85" s="89"/>
      <c r="AA85" s="283">
        <f>AA84/AA83</f>
        <v>16.234057356628295</v>
      </c>
      <c r="AB85" s="283">
        <f>AB84/AB83</f>
        <v>21.622984258132277</v>
      </c>
      <c r="AC85" s="283">
        <f>AC84/AC83</f>
        <v>19.602387871808471</v>
      </c>
      <c r="AD85" s="283">
        <f>AD84/AD83</f>
        <v>31.037823224966434</v>
      </c>
      <c r="AE85" s="283">
        <f>AE84/AE83</f>
        <v>20.407988767208462</v>
      </c>
      <c r="AF85" s="89"/>
      <c r="AG85" s="283">
        <f>AG84/AG83</f>
        <v>22.074823207270363</v>
      </c>
      <c r="AH85" s="283">
        <f>AH84/AH83</f>
        <v>19.709844358521909</v>
      </c>
      <c r="AI85" s="283">
        <f>AI84/AI83</f>
        <v>23.913961530493541</v>
      </c>
      <c r="AJ85" s="283">
        <f>AJ84/AJ83</f>
        <v>23.696923665649454</v>
      </c>
      <c r="AK85" s="283">
        <f>AK84/AK83</f>
        <v>22.585463988555642</v>
      </c>
      <c r="AL85" s="89"/>
      <c r="AM85" s="283">
        <f>AM84/AM83</f>
        <v>25.166335647742116</v>
      </c>
      <c r="AN85" s="283">
        <f>AN84/AN83</f>
        <v>27.360385599164339</v>
      </c>
      <c r="AO85" s="283">
        <f>AO84/AO83</f>
        <v>25.782544696090746</v>
      </c>
      <c r="AP85" s="283">
        <f>AP84/AP83</f>
        <v>26.095943710312394</v>
      </c>
      <c r="AQ85" s="283">
        <f>AQ84/AQ83</f>
        <v>25.972591589396245</v>
      </c>
      <c r="AR85" s="89"/>
      <c r="AS85" s="283">
        <f>AS84/AS83</f>
        <v>26.883028505216803</v>
      </c>
      <c r="AT85" s="283">
        <f>AT84/AT83</f>
        <v>24.425947232193728</v>
      </c>
      <c r="AU85" s="283">
        <f>AU84/AU83</f>
        <v>26.960405725465975</v>
      </c>
      <c r="AV85" s="283">
        <f>AV84/AV83</f>
        <v>35.942589470723753</v>
      </c>
      <c r="AW85" s="283">
        <f>AW84/AW83</f>
        <v>27.736280373175855</v>
      </c>
      <c r="AX85" s="89"/>
      <c r="AY85" s="283">
        <f>AY84/AY83</f>
        <v>26.335109053866088</v>
      </c>
      <c r="AZ85" s="283">
        <f>AZ84/AZ83</f>
        <v>47.901698155978039</v>
      </c>
      <c r="BA85" s="283">
        <f>BA84/BA83</f>
        <v>34.84766722878021</v>
      </c>
      <c r="BB85" s="283">
        <f>BB84/BB83</f>
        <v>35.216798052272011</v>
      </c>
      <c r="BC85" s="283">
        <f>BC84/BC83</f>
        <v>35.116666666666667</v>
      </c>
      <c r="BD85" s="89"/>
      <c r="BE85" s="283">
        <f>BE84/BE83</f>
        <v>34.54545454545454</v>
      </c>
      <c r="BF85" s="283">
        <f>BF84/BF83</f>
        <v>41.5</v>
      </c>
      <c r="BG85" s="283">
        <f>BG84/BG83</f>
        <v>37.500000000000007</v>
      </c>
      <c r="BH85" s="283">
        <f>BH84/BH83</f>
        <v>34.1875</v>
      </c>
      <c r="BI85" s="283">
        <f>BI84/BI83</f>
        <v>36.133333333333333</v>
      </c>
      <c r="BJ85" s="89"/>
      <c r="BK85" s="283">
        <f>BK84/BK83</f>
        <v>21.3</v>
      </c>
      <c r="BL85" s="283">
        <f>BL84/BL83</f>
        <v>17.166666666666668</v>
      </c>
      <c r="BM85" s="283" t="str">
        <f>IFERROR(BM84/BM83,"NM")</f>
        <v>NM</v>
      </c>
      <c r="BN85" s="283" t="str">
        <f>IFERROR(BN84/BN83,"NM")</f>
        <v>NM</v>
      </c>
      <c r="BO85" s="283">
        <f>+AVERAGE(BK85:BN85)</f>
        <v>19.233333333333334</v>
      </c>
      <c r="BP85" s="89"/>
      <c r="BQ85" s="283">
        <f>+BK85*(1+BQ86)</f>
        <v>23.430000000000003</v>
      </c>
      <c r="BR85" s="283">
        <f>+BL85*(1+BR86)</f>
        <v>18.883333333333336</v>
      </c>
      <c r="BS85" s="283">
        <f>BR85</f>
        <v>18.883333333333336</v>
      </c>
      <c r="BT85" s="283">
        <f>BS85</f>
        <v>18.883333333333336</v>
      </c>
      <c r="BU85" s="283">
        <f>+AVERAGE(BQ85:BT85)</f>
        <v>20.020000000000003</v>
      </c>
      <c r="BV85" s="89"/>
      <c r="BW85" s="283">
        <f>+BQ85*(1+BW86)</f>
        <v>25.773000000000007</v>
      </c>
      <c r="BX85" s="283">
        <f>+BR85*(1+BX86)</f>
        <v>20.771666666666672</v>
      </c>
      <c r="BY85" s="283">
        <f>+BS85*(1+BY86)</f>
        <v>20.771666666666672</v>
      </c>
      <c r="BZ85" s="283">
        <f>+BT85*(1+BZ86)</f>
        <v>20.771666666666672</v>
      </c>
      <c r="CA85" s="283">
        <f>+AVERAGE(BW85:BZ85)</f>
        <v>22.022000000000006</v>
      </c>
      <c r="CB85" s="89"/>
      <c r="CC85" s="283">
        <f>+BW85*(1+CC86)</f>
        <v>28.350300000000011</v>
      </c>
      <c r="CD85" s="283">
        <f>+BX85*(1+CD86)</f>
        <v>22.848833333333342</v>
      </c>
      <c r="CE85" s="283">
        <f>+BY85*(1+CE86)</f>
        <v>22.848833333333342</v>
      </c>
      <c r="CF85" s="283">
        <f>+BZ85*(1+CF86)</f>
        <v>22.848833333333342</v>
      </c>
      <c r="CG85" s="283">
        <f>+AVERAGE(CC85:CF85)</f>
        <v>24.22420000000001</v>
      </c>
      <c r="CH85" s="89"/>
      <c r="CI85" s="283">
        <f>+CC85*(1+CI86)</f>
        <v>31.185330000000015</v>
      </c>
      <c r="CJ85" s="283">
        <f>+CD85*(1+CJ86)</f>
        <v>25.133716666666679</v>
      </c>
      <c r="CK85" s="283">
        <f>+CE85*(1+CK86)</f>
        <v>25.133716666666679</v>
      </c>
      <c r="CL85" s="283">
        <f>+CF85*(1+CL86)</f>
        <v>25.133716666666679</v>
      </c>
      <c r="CM85" s="283">
        <f>+AVERAGE(CI85:CL85)</f>
        <v>26.646620000000013</v>
      </c>
      <c r="CN85" s="89"/>
      <c r="CO85" s="283">
        <f>+CI85*(1+CO86)</f>
        <v>34.303863000000021</v>
      </c>
      <c r="CP85" s="283">
        <f>+CJ85*(1+CP86)</f>
        <v>27.64708833333335</v>
      </c>
      <c r="CQ85" s="283">
        <f>+CK85*(1+CQ86)</f>
        <v>27.64708833333335</v>
      </c>
      <c r="CR85" s="283">
        <f>+CL85*(1+CR86)</f>
        <v>27.64708833333335</v>
      </c>
      <c r="CS85" s="283">
        <f>+AVERAGE(CO85:CR85)</f>
        <v>29.31128200000002</v>
      </c>
      <c r="CT85" s="283"/>
      <c r="CU85" s="283"/>
      <c r="CV85" s="283"/>
      <c r="CW85" s="283"/>
      <c r="CX85" s="283"/>
      <c r="CY85" s="283"/>
    </row>
    <row r="86" spans="1:103" ht="12.75" customHeight="1" outlineLevel="1" x14ac:dyDescent="0.2">
      <c r="A86" s="295" t="s">
        <v>205</v>
      </c>
      <c r="B86" s="193"/>
      <c r="C86" s="43"/>
      <c r="D86" s="43"/>
      <c r="E86" s="43"/>
      <c r="F86" s="43"/>
      <c r="G86" s="88"/>
      <c r="H86" s="189"/>
      <c r="I86" s="88"/>
      <c r="J86" s="88"/>
      <c r="K86" s="88"/>
      <c r="L86" s="88"/>
      <c r="M86" s="88"/>
      <c r="N86" s="189"/>
      <c r="O86" s="88"/>
      <c r="P86" s="88"/>
      <c r="Q86" s="88"/>
      <c r="R86" s="88"/>
      <c r="S86" s="88"/>
      <c r="T86" s="189"/>
      <c r="U86" s="88"/>
      <c r="V86" s="88"/>
      <c r="W86" s="88"/>
      <c r="X86" s="88"/>
      <c r="Y86" s="88"/>
      <c r="Z86" s="108"/>
      <c r="AA86" s="88"/>
      <c r="AB86" s="88"/>
      <c r="AC86" s="88"/>
      <c r="AD86" s="88">
        <f>AD85/X85-1</f>
        <v>0.7129080478874994</v>
      </c>
      <c r="AE86" s="88">
        <f>AE85/Y85-1</f>
        <v>0.12627125772241921</v>
      </c>
      <c r="AF86" s="108"/>
      <c r="AG86" s="88">
        <f>AG85/AA85-1</f>
        <v>0.35978472431953734</v>
      </c>
      <c r="AH86" s="88">
        <f>AH85/AB85-1</f>
        <v>-8.8477144355818882E-2</v>
      </c>
      <c r="AI86" s="88">
        <f>AI85/AC85-1</f>
        <v>0.21995145116406145</v>
      </c>
      <c r="AJ86" s="88">
        <f>AJ85/AD85-1</f>
        <v>-0.23651463912624049</v>
      </c>
      <c r="AK86" s="88">
        <f>AK85/AE85-1</f>
        <v>0.10669719815045897</v>
      </c>
      <c r="AL86" s="108"/>
      <c r="AM86" s="88">
        <f>AM85/AG85-1</f>
        <v>0.14004698526661641</v>
      </c>
      <c r="AN86" s="88">
        <f>AN85/AH85-1</f>
        <v>0.3881583792078287</v>
      </c>
      <c r="AO86" s="88">
        <f>AO85/AI85-1</f>
        <v>7.81377507534462E-2</v>
      </c>
      <c r="AP86" s="88">
        <f>AP85/AJ85-1</f>
        <v>0.10123761541843113</v>
      </c>
      <c r="AQ86" s="88">
        <f>AQ85/AK85-1</f>
        <v>0.14996936093749968</v>
      </c>
      <c r="AR86" s="108"/>
      <c r="AS86" s="88">
        <f>AS85/AM85-1</f>
        <v>6.8213858445804521E-2</v>
      </c>
      <c r="AT86" s="88">
        <f>AT85/AN85-1</f>
        <v>-0.10725135273898467</v>
      </c>
      <c r="AU86" s="88">
        <f>AU85/AO85-1</f>
        <v>4.568443663180477E-2</v>
      </c>
      <c r="AV86" s="88">
        <f>AV85/AP85-1</f>
        <v>0.37732476241203106</v>
      </c>
      <c r="AW86" s="88">
        <f>AW85/AQ85-1</f>
        <v>6.7905768190636318E-2</v>
      </c>
      <c r="AX86" s="108"/>
      <c r="AY86" s="88">
        <f>AY85/AS85-1</f>
        <v>-2.0381611812984146E-2</v>
      </c>
      <c r="AZ86" s="88">
        <f>AZ85/AT85-1</f>
        <v>0.96109889621160538</v>
      </c>
      <c r="BA86" s="88">
        <f>BA85/AU85-1</f>
        <v>0.29254980743350489</v>
      </c>
      <c r="BB86" s="88">
        <f>BB85/AV85-1</f>
        <v>-2.0193075377691438E-2</v>
      </c>
      <c r="BC86" s="88">
        <f>BC85/AW85-1</f>
        <v>0.26609142228849425</v>
      </c>
      <c r="BD86" s="108"/>
      <c r="BE86" s="88">
        <f>BE85/AY85-1</f>
        <v>0.3117642488130552</v>
      </c>
      <c r="BF86" s="88">
        <f>BF85/AZ85-1</f>
        <v>-0.13364240522606863</v>
      </c>
      <c r="BG86" s="88">
        <f>BG85/BA85-1</f>
        <v>7.6112204406878492E-2</v>
      </c>
      <c r="BH86" s="88">
        <f>BH85/BB85-1</f>
        <v>-2.922747408052917E-2</v>
      </c>
      <c r="BI86" s="88">
        <f>BI85/BC85-1</f>
        <v>2.895111532985295E-2</v>
      </c>
      <c r="BJ86" s="108"/>
      <c r="BK86" s="88">
        <f>BK85/BE85-1</f>
        <v>-0.38342105263157877</v>
      </c>
      <c r="BL86" s="88">
        <f>BL85/BF85-1</f>
        <v>-0.58634538152610438</v>
      </c>
      <c r="BM86" s="287" t="str">
        <f>IFERROR(BM85/BG85-1,"NM")</f>
        <v>NM</v>
      </c>
      <c r="BN86" s="287" t="str">
        <f>IFERROR(BN85/BH85-1,"NM")</f>
        <v>NM</v>
      </c>
      <c r="BO86" s="88">
        <f>BO85/BI85-1</f>
        <v>-0.46771217712177116</v>
      </c>
      <c r="BP86" s="108"/>
      <c r="BQ86" s="358">
        <v>0.1</v>
      </c>
      <c r="BR86" s="358">
        <v>0.1</v>
      </c>
      <c r="BS86" s="358">
        <v>0.1</v>
      </c>
      <c r="BT86" s="358">
        <v>0.1</v>
      </c>
      <c r="BU86" s="88">
        <f>BU85/BO85-1</f>
        <v>4.0901213171577133E-2</v>
      </c>
      <c r="BV86" s="108"/>
      <c r="BW86" s="358">
        <v>0.1</v>
      </c>
      <c r="BX86" s="358">
        <v>0.1</v>
      </c>
      <c r="BY86" s="358">
        <v>0.1</v>
      </c>
      <c r="BZ86" s="358">
        <v>0.1</v>
      </c>
      <c r="CA86" s="88">
        <f>CA85/BU85-1</f>
        <v>0.10000000000000009</v>
      </c>
      <c r="CB86" s="108"/>
      <c r="CC86" s="358">
        <v>0.1</v>
      </c>
      <c r="CD86" s="358">
        <v>0.1</v>
      </c>
      <c r="CE86" s="358">
        <v>0.1</v>
      </c>
      <c r="CF86" s="358">
        <v>0.1</v>
      </c>
      <c r="CG86" s="88">
        <f>CG85/CA85-1</f>
        <v>0.10000000000000009</v>
      </c>
      <c r="CH86" s="108"/>
      <c r="CI86" s="358">
        <v>0.1</v>
      </c>
      <c r="CJ86" s="358">
        <v>0.1</v>
      </c>
      <c r="CK86" s="358">
        <v>0.1</v>
      </c>
      <c r="CL86" s="358">
        <v>0.1</v>
      </c>
      <c r="CM86" s="88">
        <f>CM85/CG85-1</f>
        <v>0.10000000000000009</v>
      </c>
      <c r="CN86" s="108"/>
      <c r="CO86" s="358">
        <v>0.1</v>
      </c>
      <c r="CP86" s="358">
        <v>0.1</v>
      </c>
      <c r="CQ86" s="358">
        <v>0.1</v>
      </c>
      <c r="CR86" s="358">
        <v>0.1</v>
      </c>
      <c r="CS86" s="88">
        <f>CS85/CM85-1</f>
        <v>0.10000000000000031</v>
      </c>
      <c r="CT86" s="88"/>
      <c r="CU86" s="88"/>
      <c r="CV86" s="88"/>
      <c r="CW86" s="88"/>
      <c r="CX86" s="88"/>
      <c r="CY86" s="88"/>
    </row>
    <row r="87" spans="1:103" ht="12.75" customHeight="1" outlineLevel="1" x14ac:dyDescent="0.2">
      <c r="A87" s="75"/>
      <c r="B87" s="193"/>
      <c r="C87" s="43"/>
      <c r="D87" s="43"/>
      <c r="E87" s="43"/>
      <c r="F87" s="43"/>
      <c r="G87" s="43"/>
      <c r="H87" s="189"/>
      <c r="I87" s="43"/>
      <c r="J87" s="43"/>
      <c r="K87" s="43"/>
      <c r="L87" s="43"/>
      <c r="M87" s="43"/>
      <c r="N87" s="189"/>
      <c r="O87" s="43"/>
      <c r="P87" s="43"/>
      <c r="Q87" s="43"/>
      <c r="R87" s="43"/>
      <c r="S87" s="43"/>
      <c r="T87" s="189"/>
      <c r="U87" s="43"/>
      <c r="V87" s="43"/>
      <c r="W87" s="43"/>
      <c r="X87" s="43"/>
      <c r="Y87" s="43"/>
      <c r="Z87" s="108"/>
      <c r="AA87" s="43"/>
      <c r="AB87" s="43"/>
      <c r="AC87" s="43"/>
      <c r="AD87" s="43"/>
      <c r="AE87" s="43"/>
      <c r="AF87" s="108"/>
      <c r="AG87" s="43"/>
      <c r="AH87" s="43"/>
      <c r="AI87" s="43"/>
      <c r="AJ87" s="43"/>
      <c r="AK87" s="43"/>
      <c r="AL87" s="108"/>
      <c r="AM87" s="43"/>
      <c r="AN87" s="43"/>
      <c r="AO87" s="43"/>
      <c r="AP87" s="43"/>
      <c r="AQ87" s="43"/>
      <c r="AR87" s="108"/>
      <c r="AS87" s="43"/>
      <c r="AT87" s="43"/>
      <c r="AU87" s="43"/>
      <c r="AV87" s="43"/>
      <c r="AW87" s="43"/>
      <c r="AX87" s="108"/>
      <c r="AY87" s="43"/>
      <c r="AZ87" s="43"/>
      <c r="BA87" s="43"/>
      <c r="BB87" s="43"/>
      <c r="BC87" s="43"/>
      <c r="BD87" s="108"/>
      <c r="BE87" s="43"/>
      <c r="BF87" s="43"/>
      <c r="BG87" s="43"/>
      <c r="BH87" s="43"/>
      <c r="BI87" s="43"/>
      <c r="BJ87" s="108"/>
      <c r="BK87" s="43"/>
      <c r="BL87" s="43"/>
      <c r="BM87" s="43"/>
      <c r="BN87" s="43"/>
      <c r="BO87" s="43"/>
      <c r="BP87" s="108"/>
      <c r="BQ87" s="43"/>
      <c r="BR87" s="43"/>
      <c r="BS87" s="43"/>
      <c r="BT87" s="43"/>
      <c r="BU87" s="43"/>
      <c r="BV87" s="108"/>
      <c r="BW87" s="43"/>
      <c r="BX87" s="43"/>
      <c r="BY87" s="43"/>
      <c r="BZ87" s="43"/>
      <c r="CA87" s="43"/>
      <c r="CB87" s="108"/>
      <c r="CC87" s="43"/>
      <c r="CD87" s="43"/>
      <c r="CE87" s="43"/>
      <c r="CF87" s="43"/>
      <c r="CG87" s="43"/>
      <c r="CH87" s="108"/>
      <c r="CI87" s="43"/>
      <c r="CJ87" s="43"/>
      <c r="CK87" s="43"/>
      <c r="CL87" s="43"/>
      <c r="CM87" s="43"/>
      <c r="CN87" s="108"/>
      <c r="CO87" s="43"/>
      <c r="CP87" s="43"/>
      <c r="CQ87" s="43"/>
      <c r="CR87" s="43"/>
      <c r="CS87" s="43"/>
      <c r="CT87" s="43"/>
      <c r="CU87" s="43"/>
      <c r="CV87" s="43"/>
      <c r="CW87" s="43"/>
      <c r="CX87" s="43"/>
      <c r="CY87" s="43"/>
    </row>
    <row r="88" spans="1:103" ht="12" customHeight="1" outlineLevel="1" x14ac:dyDescent="0.2">
      <c r="A88" s="89" t="s">
        <v>211</v>
      </c>
      <c r="B88" s="193"/>
      <c r="C88" s="188">
        <f>+SUM('Bal Sht'!C144:C146)</f>
        <v>1</v>
      </c>
      <c r="D88" s="188">
        <f>+SUM('Bal Sht'!D144:D146)</f>
        <v>1</v>
      </c>
      <c r="E88" s="188">
        <f>+SUM('Bal Sht'!E144:E146)</f>
        <v>1</v>
      </c>
      <c r="F88" s="188">
        <f>+SUM('Bal Sht'!F144:F146)</f>
        <v>1</v>
      </c>
      <c r="G88" s="188">
        <f>+SUM('Bal Sht'!G144:G146)</f>
        <v>1</v>
      </c>
      <c r="H88" s="189"/>
      <c r="I88" s="188">
        <f>+SUM('Bal Sht'!I144:I146)</f>
        <v>1</v>
      </c>
      <c r="J88" s="188">
        <f>+SUM('Bal Sht'!J144:J146)</f>
        <v>1</v>
      </c>
      <c r="K88" s="188">
        <f>+SUM('Bal Sht'!K144:K146)</f>
        <v>1</v>
      </c>
      <c r="L88" s="188">
        <f>+SUM('Bal Sht'!L144:L146)</f>
        <v>1</v>
      </c>
      <c r="M88" s="188">
        <f>+SUM('Bal Sht'!M144:M146)</f>
        <v>1</v>
      </c>
      <c r="N88" s="189"/>
      <c r="O88" s="188">
        <f>+SUM('Bal Sht'!O144:O146)</f>
        <v>1</v>
      </c>
      <c r="P88" s="188">
        <f>+SUM('Bal Sht'!P144:P146)</f>
        <v>1</v>
      </c>
      <c r="Q88" s="188">
        <f>+SUM('Bal Sht'!Q144:Q146)</f>
        <v>1</v>
      </c>
      <c r="R88" s="188">
        <f>+SUM('Bal Sht'!R144:R146)</f>
        <v>1</v>
      </c>
      <c r="S88" s="188">
        <f>+SUM('Bal Sht'!S144:S146)</f>
        <v>1</v>
      </c>
      <c r="T88" s="189"/>
      <c r="U88" s="188">
        <f>+SUM('Bal Sht'!U144:U146)</f>
        <v>1</v>
      </c>
      <c r="V88" s="188">
        <f>+SUM('Bal Sht'!V144:V146)</f>
        <v>1</v>
      </c>
      <c r="W88" s="188">
        <f>+SUM('Bal Sht'!W144:W146)</f>
        <v>1</v>
      </c>
      <c r="X88" s="188">
        <f>+SUM('Bal Sht'!X144:X146)</f>
        <v>1</v>
      </c>
      <c r="Y88" s="188">
        <f>+SUM('Bal Sht'!Y144:Y146)</f>
        <v>1</v>
      </c>
      <c r="Z88" s="189"/>
      <c r="AA88" s="188">
        <f>+SUM('Bal Sht'!AA144:AA146)</f>
        <v>1</v>
      </c>
      <c r="AB88" s="188">
        <f>+SUM('Bal Sht'!AB144:AB146)</f>
        <v>1</v>
      </c>
      <c r="AC88" s="188">
        <f>+SUM('Bal Sht'!AC144:AC146)</f>
        <v>1</v>
      </c>
      <c r="AD88" s="188">
        <f>+SUM('Bal Sht'!AD144:AD146)</f>
        <v>1</v>
      </c>
      <c r="AE88" s="188">
        <f>+SUM('Bal Sht'!AE144:AE146)</f>
        <v>1</v>
      </c>
      <c r="AF88" s="189"/>
      <c r="AG88" s="188">
        <f>+SUM('Bal Sht'!AG144:AG146)</f>
        <v>1</v>
      </c>
      <c r="AH88" s="188">
        <f>+SUM('Bal Sht'!AH144:AH146)</f>
        <v>1</v>
      </c>
      <c r="AI88" s="188">
        <f>+SUM('Bal Sht'!AI144:AI146)</f>
        <v>1</v>
      </c>
      <c r="AJ88" s="188">
        <f>+SUM('Bal Sht'!AJ144:AJ146)</f>
        <v>1</v>
      </c>
      <c r="AK88" s="188">
        <f>+SUM('Bal Sht'!AK144:AK146)</f>
        <v>1</v>
      </c>
      <c r="AL88" s="189"/>
      <c r="AM88" s="188">
        <f>+SUM('Bal Sht'!AM144:AM146)</f>
        <v>1</v>
      </c>
      <c r="AN88" s="188">
        <f>+SUM('Bal Sht'!AN144:AN146)</f>
        <v>1</v>
      </c>
      <c r="AO88" s="188">
        <f>+SUM('Bal Sht'!AO144:AO146)</f>
        <v>1</v>
      </c>
      <c r="AP88" s="188">
        <f>+SUM('Bal Sht'!AP144:AP146)</f>
        <v>1</v>
      </c>
      <c r="AQ88" s="188">
        <f>+SUM('Bal Sht'!AQ144:AQ146)</f>
        <v>1</v>
      </c>
      <c r="AR88" s="189"/>
      <c r="AS88" s="188">
        <f>+SUM('Bal Sht'!AS144:AS146)</f>
        <v>1</v>
      </c>
      <c r="AT88" s="188">
        <f>+SUM('Bal Sht'!AT144:AT146)</f>
        <v>1</v>
      </c>
      <c r="AU88" s="188">
        <f>+SUM('Bal Sht'!AU144:AU146)</f>
        <v>1</v>
      </c>
      <c r="AV88" s="188">
        <f>+SUM('Bal Sht'!AV144:AV146)</f>
        <v>1</v>
      </c>
      <c r="AW88" s="188">
        <f>+SUM('Bal Sht'!AW144:AW146)</f>
        <v>1</v>
      </c>
      <c r="AX88" s="189"/>
      <c r="AY88" s="188">
        <f>+SUM('Bal Sht'!AY144:AY146)</f>
        <v>1</v>
      </c>
      <c r="AZ88" s="188">
        <f>+SUM('Bal Sht'!AZ144:AZ146)</f>
        <v>1</v>
      </c>
      <c r="BA88" s="188">
        <f>+SUM('Bal Sht'!BA144:BA146)</f>
        <v>1</v>
      </c>
      <c r="BB88" s="188">
        <f>+SUM('Bal Sht'!BB144:BB146)</f>
        <v>1</v>
      </c>
      <c r="BC88" s="188">
        <f>+SUM('Bal Sht'!BC144:BC146)</f>
        <v>1</v>
      </c>
      <c r="BD88" s="189"/>
      <c r="BE88" s="188">
        <f>+SUM('Bal Sht'!BE144:BE146)</f>
        <v>1</v>
      </c>
      <c r="BF88" s="188">
        <f>+SUM('Bal Sht'!BF144:BF146)</f>
        <v>1</v>
      </c>
      <c r="BG88" s="188">
        <f>+SUM('Bal Sht'!BG144:BG146)</f>
        <v>1</v>
      </c>
      <c r="BH88" s="188">
        <f>+SUM('Bal Sht'!BH144:BH146)</f>
        <v>1</v>
      </c>
      <c r="BI88" s="188">
        <f>+SUM('Bal Sht'!BI144:BI146)</f>
        <v>1</v>
      </c>
      <c r="BJ88" s="189"/>
      <c r="BK88" s="188">
        <f>+SUM('Bal Sht'!BK144:BK146)</f>
        <v>1</v>
      </c>
      <c r="BL88" s="188">
        <f>+SUM('Bal Sht'!BL144:BL146)</f>
        <v>1</v>
      </c>
      <c r="BM88" s="188">
        <f>+SUM('Bal Sht'!BM144:BM146)</f>
        <v>1</v>
      </c>
      <c r="BN88" s="188">
        <f>+SUM('Bal Sht'!BN144:BN146)</f>
        <v>1</v>
      </c>
      <c r="BO88" s="188">
        <f>+SUM('Bal Sht'!BO144:BO146)</f>
        <v>1</v>
      </c>
      <c r="BP88" s="189"/>
      <c r="BQ88" s="188">
        <f>+SUM('Bal Sht'!BQ144:BQ146)</f>
        <v>1</v>
      </c>
      <c r="BR88" s="188">
        <f>+SUM('Bal Sht'!BR144:BR146)</f>
        <v>1</v>
      </c>
      <c r="BS88" s="188">
        <f>+SUM('Bal Sht'!BS144:BS146)</f>
        <v>1</v>
      </c>
      <c r="BT88" s="188">
        <f>+SUM('Bal Sht'!BT144:BT146)</f>
        <v>1</v>
      </c>
      <c r="BU88" s="188">
        <f>+SUM('Bal Sht'!BU144:BU146)</f>
        <v>1</v>
      </c>
      <c r="BV88" s="189"/>
      <c r="BW88" s="188">
        <f>+SUM('Bal Sht'!BW144:BW146)</f>
        <v>1</v>
      </c>
      <c r="BX88" s="188">
        <f>+SUM('Bal Sht'!BX144:BX146)</f>
        <v>1</v>
      </c>
      <c r="BY88" s="188">
        <f>+SUM('Bal Sht'!BY144:BY146)</f>
        <v>1</v>
      </c>
      <c r="BZ88" s="188">
        <f>+SUM('Bal Sht'!BZ144:BZ146)</f>
        <v>1</v>
      </c>
      <c r="CA88" s="188">
        <f>+SUM('Bal Sht'!CA144:CA146)</f>
        <v>1</v>
      </c>
      <c r="CB88" s="189"/>
      <c r="CC88" s="188">
        <f>+SUM('Bal Sht'!CC144:CC146)</f>
        <v>1</v>
      </c>
      <c r="CD88" s="188">
        <f>+SUM('Bal Sht'!CD144:CD146)</f>
        <v>1</v>
      </c>
      <c r="CE88" s="188">
        <f>+SUM('Bal Sht'!CE144:CE146)</f>
        <v>1</v>
      </c>
      <c r="CF88" s="188">
        <f>+SUM('Bal Sht'!CF144:CF146)</f>
        <v>1</v>
      </c>
      <c r="CG88" s="188">
        <f>+SUM('Bal Sht'!CG144:CG146)</f>
        <v>1</v>
      </c>
      <c r="CH88" s="189"/>
      <c r="CI88" s="188">
        <f>+SUM('Bal Sht'!CI144:CI146)</f>
        <v>1</v>
      </c>
      <c r="CJ88" s="188">
        <f>+SUM('Bal Sht'!CJ144:CJ146)</f>
        <v>1</v>
      </c>
      <c r="CK88" s="188">
        <f>+SUM('Bal Sht'!CK144:CK146)</f>
        <v>1</v>
      </c>
      <c r="CL88" s="188">
        <f>+SUM('Bal Sht'!CL144:CL146)</f>
        <v>1</v>
      </c>
      <c r="CM88" s="188">
        <f>+SUM('Bal Sht'!CM144:CM146)</f>
        <v>1</v>
      </c>
      <c r="CN88" s="189"/>
      <c r="CO88" s="188">
        <f>+SUM('Bal Sht'!CO144:CO146)</f>
        <v>1</v>
      </c>
      <c r="CP88" s="188">
        <f>+SUM('Bal Sht'!CP144:CP146)</f>
        <v>1</v>
      </c>
      <c r="CQ88" s="188">
        <f>+SUM('Bal Sht'!CQ144:CQ146)</f>
        <v>1</v>
      </c>
      <c r="CR88" s="188">
        <f>+SUM('Bal Sht'!CR144:CR146)</f>
        <v>1</v>
      </c>
      <c r="CS88" s="188">
        <f>+SUM('Bal Sht'!CS144:CS146)</f>
        <v>1</v>
      </c>
      <c r="CT88" s="188"/>
      <c r="CU88" s="188"/>
      <c r="CV88" s="188"/>
      <c r="CW88" s="188"/>
      <c r="CX88" s="188"/>
      <c r="CY88" s="188"/>
    </row>
    <row r="89" spans="1:103" ht="12" customHeight="1" outlineLevel="1" x14ac:dyDescent="0.2">
      <c r="A89" s="127" t="s">
        <v>108</v>
      </c>
      <c r="B89" s="192"/>
      <c r="C89" s="85">
        <f>+'Bal Sht'!C$143*'Bal Sht'!C144</f>
        <v>0</v>
      </c>
      <c r="D89" s="85">
        <f>+'Bal Sht'!D$143*'Bal Sht'!D144</f>
        <v>0</v>
      </c>
      <c r="E89" s="85">
        <f>+'Bal Sht'!E$143*'Bal Sht'!E144</f>
        <v>0</v>
      </c>
      <c r="F89" s="85">
        <f>+'Bal Sht'!F$143*'Bal Sht'!F144</f>
        <v>0</v>
      </c>
      <c r="G89" s="85">
        <f>+'Bal Sht'!G$143*'Bal Sht'!G144</f>
        <v>0</v>
      </c>
      <c r="H89" s="206"/>
      <c r="I89" s="85">
        <f>+'Bal Sht'!I$143*'Bal Sht'!I144</f>
        <v>0</v>
      </c>
      <c r="J89" s="85">
        <f>+'Bal Sht'!J$143*'Bal Sht'!J144</f>
        <v>0</v>
      </c>
      <c r="K89" s="85">
        <f>+'Bal Sht'!K$143*'Bal Sht'!K144</f>
        <v>0</v>
      </c>
      <c r="L89" s="85">
        <f>+'Bal Sht'!L$143*'Bal Sht'!L144</f>
        <v>0</v>
      </c>
      <c r="M89" s="85">
        <f>+'Bal Sht'!M$143*'Bal Sht'!M144</f>
        <v>0</v>
      </c>
      <c r="N89" s="206"/>
      <c r="O89" s="85">
        <f>+'Bal Sht'!O$143*'Bal Sht'!O144</f>
        <v>0</v>
      </c>
      <c r="P89" s="85">
        <f>+'Bal Sht'!P$143*'Bal Sht'!P144</f>
        <v>0</v>
      </c>
      <c r="Q89" s="85">
        <f>+'Bal Sht'!Q$143*'Bal Sht'!Q144</f>
        <v>0</v>
      </c>
      <c r="R89" s="85">
        <f>+'Bal Sht'!R$143*'Bal Sht'!R144</f>
        <v>0</v>
      </c>
      <c r="S89" s="85">
        <f>+'Bal Sht'!S$143*'Bal Sht'!S144</f>
        <v>0</v>
      </c>
      <c r="T89" s="206"/>
      <c r="U89" s="85">
        <f>+'Bal Sht'!U$143*'Bal Sht'!U144</f>
        <v>0</v>
      </c>
      <c r="V89" s="85">
        <f>+'Bal Sht'!V$143*'Bal Sht'!V144</f>
        <v>0</v>
      </c>
      <c r="W89" s="85">
        <f>+'Bal Sht'!W$143*'Bal Sht'!W144</f>
        <v>0</v>
      </c>
      <c r="X89" s="85">
        <f>+'Bal Sht'!X$143*'Bal Sht'!X144</f>
        <v>0</v>
      </c>
      <c r="Y89" s="85">
        <f>+'Bal Sht'!Y$143*'Bal Sht'!Y144</f>
        <v>0</v>
      </c>
      <c r="Z89" s="206"/>
      <c r="AA89" s="85">
        <f>+'Bal Sht'!AA$143*'Bal Sht'!AA144</f>
        <v>0</v>
      </c>
      <c r="AB89" s="85">
        <f>+'Bal Sht'!AB$143*'Bal Sht'!AB144</f>
        <v>0</v>
      </c>
      <c r="AC89" s="85">
        <f>+'Bal Sht'!AC$143*'Bal Sht'!AC144</f>
        <v>0</v>
      </c>
      <c r="AD89" s="85">
        <f>+'Bal Sht'!AD$143*'Bal Sht'!AD144</f>
        <v>-50.247799015679156</v>
      </c>
      <c r="AE89" s="85">
        <f>+'Bal Sht'!AE$143*'Bal Sht'!AE144</f>
        <v>-50.247799015679156</v>
      </c>
      <c r="AF89" s="206"/>
      <c r="AG89" s="85">
        <f>+'Bal Sht'!AG$143*'Bal Sht'!AG144</f>
        <v>-0.35955000000000004</v>
      </c>
      <c r="AH89" s="85">
        <f>+'Bal Sht'!AH$143*'Bal Sht'!AH144</f>
        <v>0</v>
      </c>
      <c r="AI89" s="85">
        <f>+'Bal Sht'!AI$143*'Bal Sht'!AI144</f>
        <v>0</v>
      </c>
      <c r="AJ89" s="85">
        <f>+'Bal Sht'!AJ$143*'Bal Sht'!AJ144</f>
        <v>0</v>
      </c>
      <c r="AK89" s="85">
        <f>+'Bal Sht'!AK$143*'Bal Sht'!AK144</f>
        <v>-0.35955000000000004</v>
      </c>
      <c r="AL89" s="206"/>
      <c r="AM89" s="85">
        <f>+'Bal Sht'!AM$143*'Bal Sht'!AM144</f>
        <v>0</v>
      </c>
      <c r="AN89" s="85">
        <f>+'Bal Sht'!AN$143*'Bal Sht'!AN144</f>
        <v>0</v>
      </c>
      <c r="AO89" s="85">
        <f>+'Bal Sht'!AO$143*'Bal Sht'!AO144</f>
        <v>0</v>
      </c>
      <c r="AP89" s="85">
        <f>+'Bal Sht'!AP$143*'Bal Sht'!AP144</f>
        <v>0</v>
      </c>
      <c r="AQ89" s="85">
        <f>+'Bal Sht'!AQ$143*'Bal Sht'!AQ144</f>
        <v>0</v>
      </c>
      <c r="AR89" s="206"/>
      <c r="AS89" s="85">
        <f>+'Bal Sht'!AS$143*'Bal Sht'!AS144</f>
        <v>0</v>
      </c>
      <c r="AT89" s="85">
        <f>+'Bal Sht'!AT$143*'Bal Sht'!AT144</f>
        <v>0</v>
      </c>
      <c r="AU89" s="85">
        <f>+'Bal Sht'!AU$143*'Bal Sht'!AU144</f>
        <v>-109.896</v>
      </c>
      <c r="AV89" s="85">
        <f>+'Bal Sht'!AV$143*'Bal Sht'!AV144</f>
        <v>0</v>
      </c>
      <c r="AW89" s="85">
        <f>+'Bal Sht'!AW$143*'Bal Sht'!AW144</f>
        <v>-100.58895000000001</v>
      </c>
      <c r="AX89" s="206"/>
      <c r="AY89" s="85">
        <f>+'Bal Sht'!AY$143*'Bal Sht'!AY144</f>
        <v>0</v>
      </c>
      <c r="AZ89" s="85">
        <f>+'Bal Sht'!AZ$143*'Bal Sht'!AZ144</f>
        <v>0</v>
      </c>
      <c r="BA89" s="85">
        <f>+'Bal Sht'!BA$143*'Bal Sht'!BA144</f>
        <v>-9.0517500000000002</v>
      </c>
      <c r="BB89" s="85">
        <f>+'Bal Sht'!BB$143*'Bal Sht'!BB144</f>
        <v>6.7499999999986572E-3</v>
      </c>
      <c r="BC89" s="85">
        <f>+'Bal Sht'!BC$143*'Bal Sht'!BC144</f>
        <v>-9.0450000000000017</v>
      </c>
      <c r="BD89" s="206"/>
      <c r="BE89" s="85">
        <f>+'Bal Sht'!BE$143*'Bal Sht'!BE144</f>
        <v>0</v>
      </c>
      <c r="BF89" s="85">
        <f>+'Bal Sht'!BF$143*'Bal Sht'!BF144</f>
        <v>0</v>
      </c>
      <c r="BG89" s="85">
        <f>+'Bal Sht'!BG$143*'Bal Sht'!BG144</f>
        <v>0</v>
      </c>
      <c r="BH89" s="85">
        <f>+'Bal Sht'!BH$143*'Bal Sht'!BH144</f>
        <v>-16.650000000000002</v>
      </c>
      <c r="BI89" s="85">
        <f>+'Bal Sht'!BI$143*'Bal Sht'!BI144</f>
        <v>-16.650000000000002</v>
      </c>
      <c r="BJ89" s="206"/>
      <c r="BK89" s="85">
        <f>+'Bal Sht'!BK$143*'Bal Sht'!BK144</f>
        <v>-95.850000000000009</v>
      </c>
      <c r="BL89" s="85">
        <f>+'Bal Sht'!BL$143*'Bal Sht'!BL144</f>
        <v>-1.3949999999999976</v>
      </c>
      <c r="BM89" s="85">
        <f>+'Bal Sht'!BM$143*'Bal Sht'!BM144</f>
        <v>0</v>
      </c>
      <c r="BN89" s="85">
        <f>+'Bal Sht'!BN$143*'Bal Sht'!BN144</f>
        <v>0</v>
      </c>
      <c r="BO89" s="85">
        <f>+'Bal Sht'!BO$143*'Bal Sht'!BO144</f>
        <v>-97.245000000000005</v>
      </c>
      <c r="BP89" s="206"/>
      <c r="BQ89" s="85">
        <f>+'Bal Sht'!BQ$143*'Bal Sht'!BQ144</f>
        <v>0</v>
      </c>
      <c r="BR89" s="85">
        <f>+'Bal Sht'!BR$143*'Bal Sht'!BR144</f>
        <v>0</v>
      </c>
      <c r="BS89" s="85">
        <f>+'Bal Sht'!BS$143*'Bal Sht'!BS144</f>
        <v>0</v>
      </c>
      <c r="BT89" s="85">
        <f>+'Bal Sht'!BT$143*'Bal Sht'!BT144</f>
        <v>0</v>
      </c>
      <c r="BU89" s="85">
        <f>+'Bal Sht'!BU$143*'Bal Sht'!BU144</f>
        <v>0</v>
      </c>
      <c r="BV89" s="206"/>
      <c r="BW89" s="85">
        <f>+'Bal Sht'!BW$143*'Bal Sht'!BW144</f>
        <v>0</v>
      </c>
      <c r="BX89" s="85">
        <f>+'Bal Sht'!BX$143*'Bal Sht'!BX144</f>
        <v>0</v>
      </c>
      <c r="BY89" s="85">
        <f>+'Bal Sht'!BY$143*'Bal Sht'!BY144</f>
        <v>0</v>
      </c>
      <c r="BZ89" s="85">
        <f>+'Bal Sht'!BZ$143*'Bal Sht'!BZ144</f>
        <v>0</v>
      </c>
      <c r="CA89" s="85">
        <f>+'Bal Sht'!CA$143*'Bal Sht'!CA144</f>
        <v>0</v>
      </c>
      <c r="CB89" s="206"/>
      <c r="CC89" s="85">
        <f>+'Bal Sht'!CC$143*'Bal Sht'!CC144</f>
        <v>0</v>
      </c>
      <c r="CD89" s="85">
        <f>+'Bal Sht'!CD$143*'Bal Sht'!CD144</f>
        <v>0</v>
      </c>
      <c r="CE89" s="85">
        <f>+'Bal Sht'!CE$143*'Bal Sht'!CE144</f>
        <v>0</v>
      </c>
      <c r="CF89" s="85">
        <f>+'Bal Sht'!CF$143*'Bal Sht'!CF144</f>
        <v>0</v>
      </c>
      <c r="CG89" s="85">
        <f>+'Bal Sht'!CG$143*'Bal Sht'!CG144</f>
        <v>0</v>
      </c>
      <c r="CH89" s="206"/>
      <c r="CI89" s="85">
        <f>+'Bal Sht'!CI$143*'Bal Sht'!CI144</f>
        <v>0</v>
      </c>
      <c r="CJ89" s="85">
        <f>+'Bal Sht'!CJ$143*'Bal Sht'!CJ144</f>
        <v>0</v>
      </c>
      <c r="CK89" s="85">
        <f>+'Bal Sht'!CK$143*'Bal Sht'!CK144</f>
        <v>0</v>
      </c>
      <c r="CL89" s="85">
        <f>+'Bal Sht'!CL$143*'Bal Sht'!CL144</f>
        <v>0</v>
      </c>
      <c r="CM89" s="85">
        <f>+'Bal Sht'!CM$143*'Bal Sht'!CM144</f>
        <v>0</v>
      </c>
      <c r="CN89" s="206"/>
      <c r="CO89" s="85">
        <f>+'Bal Sht'!CO$143*'Bal Sht'!CO144</f>
        <v>0</v>
      </c>
      <c r="CP89" s="85">
        <f>+'Bal Sht'!CP$143*'Bal Sht'!CP144</f>
        <v>0</v>
      </c>
      <c r="CQ89" s="85">
        <f>+'Bal Sht'!CQ$143*'Bal Sht'!CQ144</f>
        <v>0</v>
      </c>
      <c r="CR89" s="85">
        <f>+'Bal Sht'!CR$143*'Bal Sht'!CR144</f>
        <v>0</v>
      </c>
      <c r="CS89" s="85">
        <f>+'Bal Sht'!CS$143*'Bal Sht'!CS144</f>
        <v>0</v>
      </c>
      <c r="CT89" s="85"/>
      <c r="CU89" s="85"/>
      <c r="CV89" s="85"/>
      <c r="CW89" s="85"/>
      <c r="CX89" s="85"/>
      <c r="CY89" s="85"/>
    </row>
    <row r="90" spans="1:103" ht="12" customHeight="1" outlineLevel="1" x14ac:dyDescent="0.2">
      <c r="A90" s="127" t="s">
        <v>165</v>
      </c>
      <c r="B90" s="193"/>
      <c r="C90" s="85">
        <f>+'Bal Sht'!C$143*'Bal Sht'!C145</f>
        <v>0</v>
      </c>
      <c r="D90" s="85">
        <f>+'Bal Sht'!D$143*'Bal Sht'!D145</f>
        <v>0</v>
      </c>
      <c r="E90" s="85">
        <f>+'Bal Sht'!E$143*'Bal Sht'!E145</f>
        <v>0</v>
      </c>
      <c r="F90" s="85">
        <f>+'Bal Sht'!F$143*'Bal Sht'!F145</f>
        <v>0</v>
      </c>
      <c r="G90" s="85">
        <f>+'Bal Sht'!G$143*'Bal Sht'!G145</f>
        <v>0</v>
      </c>
      <c r="H90" s="206"/>
      <c r="I90" s="85">
        <f>+'Bal Sht'!I$143*'Bal Sht'!I145</f>
        <v>0</v>
      </c>
      <c r="J90" s="85">
        <f>+'Bal Sht'!J$143*'Bal Sht'!J145</f>
        <v>0</v>
      </c>
      <c r="K90" s="85">
        <f>+'Bal Sht'!K$143*'Bal Sht'!K145</f>
        <v>0</v>
      </c>
      <c r="L90" s="85">
        <f>+'Bal Sht'!L$143*'Bal Sht'!L145</f>
        <v>0</v>
      </c>
      <c r="M90" s="85">
        <f>+'Bal Sht'!M$143*'Bal Sht'!M145</f>
        <v>0</v>
      </c>
      <c r="N90" s="206"/>
      <c r="O90" s="85">
        <f>+'Bal Sht'!O$143*'Bal Sht'!O145</f>
        <v>0</v>
      </c>
      <c r="P90" s="85">
        <f>+'Bal Sht'!P$143*'Bal Sht'!P145</f>
        <v>0</v>
      </c>
      <c r="Q90" s="85">
        <f>+'Bal Sht'!Q$143*'Bal Sht'!Q145</f>
        <v>0</v>
      </c>
      <c r="R90" s="85">
        <f>+'Bal Sht'!R$143*'Bal Sht'!R145</f>
        <v>0</v>
      </c>
      <c r="S90" s="85">
        <f>+'Bal Sht'!S$143*'Bal Sht'!S145</f>
        <v>0</v>
      </c>
      <c r="T90" s="206"/>
      <c r="U90" s="85">
        <f>+'Bal Sht'!U$143*'Bal Sht'!U145</f>
        <v>0</v>
      </c>
      <c r="V90" s="85">
        <f>+'Bal Sht'!V$143*'Bal Sht'!V145</f>
        <v>0</v>
      </c>
      <c r="W90" s="85">
        <f>+'Bal Sht'!W$143*'Bal Sht'!W145</f>
        <v>0</v>
      </c>
      <c r="X90" s="85">
        <f>+'Bal Sht'!X$143*'Bal Sht'!X145</f>
        <v>0</v>
      </c>
      <c r="Y90" s="85">
        <f>+'Bal Sht'!Y$143*'Bal Sht'!Y145</f>
        <v>0</v>
      </c>
      <c r="Z90" s="206"/>
      <c r="AA90" s="85">
        <f>+'Bal Sht'!AA$143*'Bal Sht'!AA145</f>
        <v>0</v>
      </c>
      <c r="AB90" s="85">
        <f>+'Bal Sht'!AB$143*'Bal Sht'!AB145</f>
        <v>0</v>
      </c>
      <c r="AC90" s="85">
        <f>+'Bal Sht'!AC$143*'Bal Sht'!AC145</f>
        <v>0</v>
      </c>
      <c r="AD90" s="85">
        <f>+'Bal Sht'!AD$143*'Bal Sht'!AD145</f>
        <v>-13.402162232331326</v>
      </c>
      <c r="AE90" s="85">
        <f>+'Bal Sht'!AE$143*'Bal Sht'!AE145</f>
        <v>-13.402162232331326</v>
      </c>
      <c r="AF90" s="206"/>
      <c r="AG90" s="85">
        <f>+'Bal Sht'!AG$143*'Bal Sht'!AG145</f>
        <v>-0.2397</v>
      </c>
      <c r="AH90" s="85">
        <f>+'Bal Sht'!AH$143*'Bal Sht'!AH145</f>
        <v>0</v>
      </c>
      <c r="AI90" s="85">
        <f>+'Bal Sht'!AI$143*'Bal Sht'!AI145</f>
        <v>0</v>
      </c>
      <c r="AJ90" s="85">
        <f>+'Bal Sht'!AJ$143*'Bal Sht'!AJ145</f>
        <v>0</v>
      </c>
      <c r="AK90" s="85">
        <f>+'Bal Sht'!AK$143*'Bal Sht'!AK145</f>
        <v>-0.2397</v>
      </c>
      <c r="AL90" s="206"/>
      <c r="AM90" s="85">
        <f>+'Bal Sht'!AM$143*'Bal Sht'!AM145</f>
        <v>0</v>
      </c>
      <c r="AN90" s="85">
        <f>+'Bal Sht'!AN$143*'Bal Sht'!AN145</f>
        <v>0</v>
      </c>
      <c r="AO90" s="85">
        <f>+'Bal Sht'!AO$143*'Bal Sht'!AO145</f>
        <v>0</v>
      </c>
      <c r="AP90" s="85">
        <f>+'Bal Sht'!AP$143*'Bal Sht'!AP145</f>
        <v>0</v>
      </c>
      <c r="AQ90" s="85">
        <f>+'Bal Sht'!AQ$143*'Bal Sht'!AQ145</f>
        <v>0</v>
      </c>
      <c r="AR90" s="206"/>
      <c r="AS90" s="85">
        <f>+'Bal Sht'!AS$143*'Bal Sht'!AS145</f>
        <v>0</v>
      </c>
      <c r="AT90" s="85">
        <f>+'Bal Sht'!AT$143*'Bal Sht'!AT145</f>
        <v>0</v>
      </c>
      <c r="AU90" s="85">
        <f>+'Bal Sht'!AU$143*'Bal Sht'!AU145</f>
        <v>-113.63500000000001</v>
      </c>
      <c r="AV90" s="85">
        <f>+'Bal Sht'!AV$143*'Bal Sht'!AV145</f>
        <v>0</v>
      </c>
      <c r="AW90" s="85">
        <f>+'Bal Sht'!AW$143*'Bal Sht'!AW145</f>
        <v>-67.059299999999993</v>
      </c>
      <c r="AX90" s="206"/>
      <c r="AY90" s="85">
        <f>+'Bal Sht'!AY$143*'Bal Sht'!AY145</f>
        <v>0</v>
      </c>
      <c r="AZ90" s="85">
        <f>+'Bal Sht'!AZ$143*'Bal Sht'!AZ145</f>
        <v>0</v>
      </c>
      <c r="BA90" s="85">
        <f>+'Bal Sht'!BA$143*'Bal Sht'!BA145</f>
        <v>-6.0344999999999995</v>
      </c>
      <c r="BB90" s="85">
        <f>+'Bal Sht'!BB$143*'Bal Sht'!BB145</f>
        <v>4.4999999999991045E-3</v>
      </c>
      <c r="BC90" s="85">
        <f>+'Bal Sht'!BC$143*'Bal Sht'!BC145</f>
        <v>-6.03</v>
      </c>
      <c r="BD90" s="206"/>
      <c r="BE90" s="85">
        <f>+'Bal Sht'!BE$143*'Bal Sht'!BE145</f>
        <v>0</v>
      </c>
      <c r="BF90" s="85">
        <f>+'Bal Sht'!BF$143*'Bal Sht'!BF145</f>
        <v>0</v>
      </c>
      <c r="BG90" s="85">
        <f>+'Bal Sht'!BG$143*'Bal Sht'!BG145</f>
        <v>0</v>
      </c>
      <c r="BH90" s="85">
        <f>+'Bal Sht'!BH$143*'Bal Sht'!BH145</f>
        <v>-11.1</v>
      </c>
      <c r="BI90" s="85">
        <f>+'Bal Sht'!BI$143*'Bal Sht'!BI145</f>
        <v>-11.1</v>
      </c>
      <c r="BJ90" s="206"/>
      <c r="BK90" s="85">
        <f>+'Bal Sht'!BK$143*'Bal Sht'!BK145</f>
        <v>-63.9</v>
      </c>
      <c r="BL90" s="85">
        <f>+'Bal Sht'!BL$143*'Bal Sht'!BL145</f>
        <v>-0.92999999999999827</v>
      </c>
      <c r="BM90" s="85">
        <f>+'Bal Sht'!BM$143*'Bal Sht'!BM145</f>
        <v>0</v>
      </c>
      <c r="BN90" s="85">
        <f>+'Bal Sht'!BN$143*'Bal Sht'!BN145</f>
        <v>0</v>
      </c>
      <c r="BO90" s="85">
        <f>+'Bal Sht'!BO$143*'Bal Sht'!BO145</f>
        <v>-64.83</v>
      </c>
      <c r="BP90" s="206"/>
      <c r="BQ90" s="85">
        <f>+'Bal Sht'!BQ$143*'Bal Sht'!BQ145</f>
        <v>0</v>
      </c>
      <c r="BR90" s="85">
        <f>+'Bal Sht'!BR$143*'Bal Sht'!BR145</f>
        <v>0</v>
      </c>
      <c r="BS90" s="85">
        <f>+'Bal Sht'!BS$143*'Bal Sht'!BS145</f>
        <v>0</v>
      </c>
      <c r="BT90" s="85">
        <f>+'Bal Sht'!BT$143*'Bal Sht'!BT145</f>
        <v>0</v>
      </c>
      <c r="BU90" s="85">
        <f>+'Bal Sht'!BU$143*'Bal Sht'!BU145</f>
        <v>0</v>
      </c>
      <c r="BV90" s="206"/>
      <c r="BW90" s="85">
        <f>+'Bal Sht'!BW$143*'Bal Sht'!BW145</f>
        <v>0</v>
      </c>
      <c r="BX90" s="85">
        <f>+'Bal Sht'!BX$143*'Bal Sht'!BX145</f>
        <v>0</v>
      </c>
      <c r="BY90" s="85">
        <f>+'Bal Sht'!BY$143*'Bal Sht'!BY145</f>
        <v>0</v>
      </c>
      <c r="BZ90" s="85">
        <f>+'Bal Sht'!BZ$143*'Bal Sht'!BZ145</f>
        <v>0</v>
      </c>
      <c r="CA90" s="85">
        <f>+'Bal Sht'!CA$143*'Bal Sht'!CA145</f>
        <v>0</v>
      </c>
      <c r="CB90" s="206"/>
      <c r="CC90" s="85">
        <f>+'Bal Sht'!CC$143*'Bal Sht'!CC145</f>
        <v>0</v>
      </c>
      <c r="CD90" s="85">
        <f>+'Bal Sht'!CD$143*'Bal Sht'!CD145</f>
        <v>0</v>
      </c>
      <c r="CE90" s="85">
        <f>+'Bal Sht'!CE$143*'Bal Sht'!CE145</f>
        <v>0</v>
      </c>
      <c r="CF90" s="85">
        <f>+'Bal Sht'!CF$143*'Bal Sht'!CF145</f>
        <v>0</v>
      </c>
      <c r="CG90" s="85">
        <f>+'Bal Sht'!CG$143*'Bal Sht'!CG145</f>
        <v>0</v>
      </c>
      <c r="CH90" s="206"/>
      <c r="CI90" s="85">
        <f>+'Bal Sht'!CI$143*'Bal Sht'!CI145</f>
        <v>0</v>
      </c>
      <c r="CJ90" s="85">
        <f>+'Bal Sht'!CJ$143*'Bal Sht'!CJ145</f>
        <v>0</v>
      </c>
      <c r="CK90" s="85">
        <f>+'Bal Sht'!CK$143*'Bal Sht'!CK145</f>
        <v>0</v>
      </c>
      <c r="CL90" s="85">
        <f>+'Bal Sht'!CL$143*'Bal Sht'!CL145</f>
        <v>0</v>
      </c>
      <c r="CM90" s="85">
        <f>+'Bal Sht'!CM$143*'Bal Sht'!CM145</f>
        <v>0</v>
      </c>
      <c r="CN90" s="206"/>
      <c r="CO90" s="85">
        <f>+'Bal Sht'!CO$143*'Bal Sht'!CO145</f>
        <v>0</v>
      </c>
      <c r="CP90" s="85">
        <f>+'Bal Sht'!CP$143*'Bal Sht'!CP145</f>
        <v>0</v>
      </c>
      <c r="CQ90" s="85">
        <f>+'Bal Sht'!CQ$143*'Bal Sht'!CQ145</f>
        <v>0</v>
      </c>
      <c r="CR90" s="85">
        <f>+'Bal Sht'!CR$143*'Bal Sht'!CR145</f>
        <v>0</v>
      </c>
      <c r="CS90" s="85">
        <f>+'Bal Sht'!CS$143*'Bal Sht'!CS145</f>
        <v>0</v>
      </c>
      <c r="CT90" s="85"/>
      <c r="CU90" s="85"/>
      <c r="CV90" s="85"/>
      <c r="CW90" s="85"/>
      <c r="CX90" s="85"/>
      <c r="CY90" s="85"/>
    </row>
    <row r="91" spans="1:103" ht="12" customHeight="1" outlineLevel="1" x14ac:dyDescent="0.2">
      <c r="A91" s="127" t="s">
        <v>154</v>
      </c>
      <c r="B91" s="193"/>
      <c r="C91" s="85">
        <f>+'Bal Sht'!C$143*'Bal Sht'!C146</f>
        <v>0</v>
      </c>
      <c r="D91" s="85">
        <f>+'Bal Sht'!D$143*'Bal Sht'!D146</f>
        <v>0</v>
      </c>
      <c r="E91" s="85">
        <f>+'Bal Sht'!E$143*'Bal Sht'!E146</f>
        <v>0</v>
      </c>
      <c r="F91" s="85">
        <f>+'Bal Sht'!F$143*'Bal Sht'!F146</f>
        <v>0</v>
      </c>
      <c r="G91" s="85">
        <f>+'Bal Sht'!G$143*'Bal Sht'!G146</f>
        <v>0</v>
      </c>
      <c r="H91" s="206"/>
      <c r="I91" s="85">
        <f>+'Bal Sht'!I$143*'Bal Sht'!I146</f>
        <v>0</v>
      </c>
      <c r="J91" s="85">
        <f>+'Bal Sht'!J$143*'Bal Sht'!J146</f>
        <v>0</v>
      </c>
      <c r="K91" s="85">
        <f>+'Bal Sht'!K$143*'Bal Sht'!K146</f>
        <v>0</v>
      </c>
      <c r="L91" s="85">
        <f>+'Bal Sht'!L$143*'Bal Sht'!L146</f>
        <v>0</v>
      </c>
      <c r="M91" s="85">
        <f>+'Bal Sht'!M$143*'Bal Sht'!M146</f>
        <v>0</v>
      </c>
      <c r="N91" s="206"/>
      <c r="O91" s="85">
        <f>+'Bal Sht'!O$143*'Bal Sht'!O146</f>
        <v>0</v>
      </c>
      <c r="P91" s="85">
        <f>+'Bal Sht'!P$143*'Bal Sht'!P146</f>
        <v>0</v>
      </c>
      <c r="Q91" s="85">
        <f>+'Bal Sht'!Q$143*'Bal Sht'!Q146</f>
        <v>0</v>
      </c>
      <c r="R91" s="85">
        <f>+'Bal Sht'!R$143*'Bal Sht'!R146</f>
        <v>0</v>
      </c>
      <c r="S91" s="85">
        <f>+'Bal Sht'!S$143*'Bal Sht'!S146</f>
        <v>0</v>
      </c>
      <c r="T91" s="206"/>
      <c r="U91" s="85">
        <f>+'Bal Sht'!U$143*'Bal Sht'!U146</f>
        <v>0</v>
      </c>
      <c r="V91" s="85">
        <f>+'Bal Sht'!V$143*'Bal Sht'!V146</f>
        <v>0</v>
      </c>
      <c r="W91" s="85">
        <f>+'Bal Sht'!W$143*'Bal Sht'!W146</f>
        <v>0</v>
      </c>
      <c r="X91" s="85">
        <f>+'Bal Sht'!X$143*'Bal Sht'!X146</f>
        <v>0</v>
      </c>
      <c r="Y91" s="85">
        <f>+'Bal Sht'!Y$143*'Bal Sht'!Y146</f>
        <v>0</v>
      </c>
      <c r="Z91" s="206"/>
      <c r="AA91" s="85">
        <f>+'Bal Sht'!AA$143*'Bal Sht'!AA146</f>
        <v>0</v>
      </c>
      <c r="AB91" s="85">
        <f>+'Bal Sht'!AB$143*'Bal Sht'!AB146</f>
        <v>0</v>
      </c>
      <c r="AC91" s="85">
        <f>+'Bal Sht'!AC$143*'Bal Sht'!AC146</f>
        <v>0</v>
      </c>
      <c r="AD91" s="85">
        <f>+'Bal Sht'!AD$143*'Bal Sht'!AD146</f>
        <v>-15.767038751989519</v>
      </c>
      <c r="AE91" s="85">
        <f>+'Bal Sht'!AE$143*'Bal Sht'!AE146</f>
        <v>-15.767038751989519</v>
      </c>
      <c r="AF91" s="206"/>
      <c r="AG91" s="85">
        <f>+'Bal Sht'!AG$143*'Bal Sht'!AG146</f>
        <v>-0.19974999999999996</v>
      </c>
      <c r="AH91" s="85">
        <f>+'Bal Sht'!AH$143*'Bal Sht'!AH146</f>
        <v>0</v>
      </c>
      <c r="AI91" s="85">
        <f>+'Bal Sht'!AI$143*'Bal Sht'!AI146</f>
        <v>0</v>
      </c>
      <c r="AJ91" s="85">
        <f>+'Bal Sht'!AJ$143*'Bal Sht'!AJ146</f>
        <v>0</v>
      </c>
      <c r="AK91" s="85">
        <f>+'Bal Sht'!AK$143*'Bal Sht'!AK146</f>
        <v>-0.19974999999999996</v>
      </c>
      <c r="AL91" s="206"/>
      <c r="AM91" s="85">
        <f>+'Bal Sht'!AM$143*'Bal Sht'!AM146</f>
        <v>0</v>
      </c>
      <c r="AN91" s="85">
        <f>+'Bal Sht'!AN$143*'Bal Sht'!AN146</f>
        <v>0</v>
      </c>
      <c r="AO91" s="85">
        <f>+'Bal Sht'!AO$143*'Bal Sht'!AO146</f>
        <v>0</v>
      </c>
      <c r="AP91" s="85">
        <f>+'Bal Sht'!AP$143*'Bal Sht'!AP146</f>
        <v>0</v>
      </c>
      <c r="AQ91" s="85">
        <f>+'Bal Sht'!AQ$143*'Bal Sht'!AQ146</f>
        <v>0</v>
      </c>
      <c r="AR91" s="206"/>
      <c r="AS91" s="85">
        <f>+'Bal Sht'!AS$143*'Bal Sht'!AS146</f>
        <v>0</v>
      </c>
      <c r="AT91" s="85">
        <f>+'Bal Sht'!AT$143*'Bal Sht'!AT146</f>
        <v>0</v>
      </c>
      <c r="AU91" s="85">
        <f>+'Bal Sht'!AU$143*'Bal Sht'!AU146</f>
        <v>0</v>
      </c>
      <c r="AV91" s="85">
        <f>+'Bal Sht'!AV$143*'Bal Sht'!AV146</f>
        <v>0</v>
      </c>
      <c r="AW91" s="85">
        <f>+'Bal Sht'!AW$143*'Bal Sht'!AW146</f>
        <v>-55.882750000000016</v>
      </c>
      <c r="AX91" s="206"/>
      <c r="AY91" s="85">
        <f>+'Bal Sht'!AY$143*'Bal Sht'!AY146</f>
        <v>0</v>
      </c>
      <c r="AZ91" s="85">
        <f>+'Bal Sht'!AZ$143*'Bal Sht'!AZ146</f>
        <v>0</v>
      </c>
      <c r="BA91" s="85">
        <f>+'Bal Sht'!BA$143*'Bal Sht'!BA146</f>
        <v>-5.0287500000000005</v>
      </c>
      <c r="BB91" s="85">
        <f>+'Bal Sht'!BB$143*'Bal Sht'!BB146</f>
        <v>3.7499999999992548E-3</v>
      </c>
      <c r="BC91" s="85">
        <f>+'Bal Sht'!BC$143*'Bal Sht'!BC146</f>
        <v>-5.0250000000000012</v>
      </c>
      <c r="BD91" s="206"/>
      <c r="BE91" s="85">
        <f>+'Bal Sht'!BE$143*'Bal Sht'!BE146</f>
        <v>0</v>
      </c>
      <c r="BF91" s="85">
        <f>+'Bal Sht'!BF$143*'Bal Sht'!BF146</f>
        <v>0</v>
      </c>
      <c r="BG91" s="85">
        <f>+'Bal Sht'!BG$143*'Bal Sht'!BG146</f>
        <v>0</v>
      </c>
      <c r="BH91" s="85">
        <f>+'Bal Sht'!BH$143*'Bal Sht'!BH146</f>
        <v>-9.2500000000000018</v>
      </c>
      <c r="BI91" s="85">
        <f>+'Bal Sht'!BI$143*'Bal Sht'!BI146</f>
        <v>-9.2500000000000018</v>
      </c>
      <c r="BJ91" s="206"/>
      <c r="BK91" s="85">
        <f>+'Bal Sht'!BK$143*'Bal Sht'!BK146</f>
        <v>-53.250000000000014</v>
      </c>
      <c r="BL91" s="85">
        <f>+'Bal Sht'!BL$143*'Bal Sht'!BL146</f>
        <v>-0.7749999999999988</v>
      </c>
      <c r="BM91" s="85">
        <f>+'Bal Sht'!BM$143*'Bal Sht'!BM146</f>
        <v>0</v>
      </c>
      <c r="BN91" s="85">
        <f>+'Bal Sht'!BN$143*'Bal Sht'!BN146</f>
        <v>0</v>
      </c>
      <c r="BO91" s="85">
        <f>+'Bal Sht'!BO$143*'Bal Sht'!BO146</f>
        <v>-54.025000000000013</v>
      </c>
      <c r="BP91" s="206"/>
      <c r="BQ91" s="85">
        <f>+'Bal Sht'!BQ$143*'Bal Sht'!BQ146</f>
        <v>0</v>
      </c>
      <c r="BR91" s="85">
        <f>+'Bal Sht'!BR$143*'Bal Sht'!BR146</f>
        <v>0</v>
      </c>
      <c r="BS91" s="85">
        <f>+'Bal Sht'!BS$143*'Bal Sht'!BS146</f>
        <v>0</v>
      </c>
      <c r="BT91" s="85">
        <f>+'Bal Sht'!BT$143*'Bal Sht'!BT146</f>
        <v>0</v>
      </c>
      <c r="BU91" s="85">
        <f>+'Bal Sht'!BU$143*'Bal Sht'!BU146</f>
        <v>0</v>
      </c>
      <c r="BV91" s="206"/>
      <c r="BW91" s="85">
        <f>+'Bal Sht'!BW$143*'Bal Sht'!BW146</f>
        <v>0</v>
      </c>
      <c r="BX91" s="85">
        <f>+'Bal Sht'!BX$143*'Bal Sht'!BX146</f>
        <v>0</v>
      </c>
      <c r="BY91" s="85">
        <f>+'Bal Sht'!BY$143*'Bal Sht'!BY146</f>
        <v>0</v>
      </c>
      <c r="BZ91" s="85">
        <f>+'Bal Sht'!BZ$143*'Bal Sht'!BZ146</f>
        <v>0</v>
      </c>
      <c r="CA91" s="85">
        <f>+'Bal Sht'!CA$143*'Bal Sht'!CA146</f>
        <v>0</v>
      </c>
      <c r="CB91" s="206"/>
      <c r="CC91" s="85">
        <f>+'Bal Sht'!CC$143*'Bal Sht'!CC146</f>
        <v>0</v>
      </c>
      <c r="CD91" s="85">
        <f>+'Bal Sht'!CD$143*'Bal Sht'!CD146</f>
        <v>0</v>
      </c>
      <c r="CE91" s="85">
        <f>+'Bal Sht'!CE$143*'Bal Sht'!CE146</f>
        <v>0</v>
      </c>
      <c r="CF91" s="85">
        <f>+'Bal Sht'!CF$143*'Bal Sht'!CF146</f>
        <v>0</v>
      </c>
      <c r="CG91" s="85">
        <f>+'Bal Sht'!CG$143*'Bal Sht'!CG146</f>
        <v>0</v>
      </c>
      <c r="CH91" s="206"/>
      <c r="CI91" s="85">
        <f>+'Bal Sht'!CI$143*'Bal Sht'!CI146</f>
        <v>0</v>
      </c>
      <c r="CJ91" s="85">
        <f>+'Bal Sht'!CJ$143*'Bal Sht'!CJ146</f>
        <v>0</v>
      </c>
      <c r="CK91" s="85">
        <f>+'Bal Sht'!CK$143*'Bal Sht'!CK146</f>
        <v>0</v>
      </c>
      <c r="CL91" s="85">
        <f>+'Bal Sht'!CL$143*'Bal Sht'!CL146</f>
        <v>0</v>
      </c>
      <c r="CM91" s="85">
        <f>+'Bal Sht'!CM$143*'Bal Sht'!CM146</f>
        <v>0</v>
      </c>
      <c r="CN91" s="206"/>
      <c r="CO91" s="85">
        <f>+'Bal Sht'!CO$143*'Bal Sht'!CO146</f>
        <v>0</v>
      </c>
      <c r="CP91" s="85">
        <f>+'Bal Sht'!CP$143*'Bal Sht'!CP146</f>
        <v>0</v>
      </c>
      <c r="CQ91" s="85">
        <f>+'Bal Sht'!CQ$143*'Bal Sht'!CQ146</f>
        <v>0</v>
      </c>
      <c r="CR91" s="85">
        <f>+'Bal Sht'!CR$143*'Bal Sht'!CR146</f>
        <v>0</v>
      </c>
      <c r="CS91" s="85">
        <f>+'Bal Sht'!CS$143*'Bal Sht'!CS146</f>
        <v>0</v>
      </c>
      <c r="CT91" s="85"/>
      <c r="CU91" s="85"/>
      <c r="CV91" s="85"/>
      <c r="CW91" s="85"/>
      <c r="CX91" s="85"/>
      <c r="CY91" s="85"/>
    </row>
    <row r="92" spans="1:103" ht="12.75" customHeight="1" outlineLevel="1" x14ac:dyDescent="0.2">
      <c r="A92" s="75"/>
      <c r="B92" s="441"/>
      <c r="C92" s="43"/>
      <c r="D92" s="43"/>
      <c r="E92" s="43"/>
      <c r="F92" s="43"/>
      <c r="G92" s="43"/>
      <c r="H92" s="31"/>
      <c r="I92" s="43"/>
      <c r="J92" s="43"/>
      <c r="K92" s="43"/>
      <c r="L92" s="43"/>
      <c r="M92" s="43"/>
      <c r="N92" s="31"/>
      <c r="O92" s="43"/>
      <c r="P92" s="43"/>
      <c r="Q92" s="43"/>
      <c r="R92" s="43"/>
      <c r="S92" s="43"/>
      <c r="T92" s="31"/>
      <c r="U92" s="43"/>
      <c r="V92" s="43"/>
      <c r="W92" s="43"/>
      <c r="X92" s="43"/>
      <c r="Y92" s="43"/>
      <c r="Z92" s="108"/>
      <c r="AA92" s="43"/>
      <c r="AB92" s="43"/>
      <c r="AC92" s="43"/>
      <c r="AD92" s="43"/>
      <c r="AE92" s="43"/>
      <c r="AF92" s="108"/>
      <c r="AG92" s="43"/>
      <c r="AH92" s="43"/>
      <c r="AI92" s="43"/>
      <c r="AJ92" s="43"/>
      <c r="AK92" s="43"/>
      <c r="AL92" s="108"/>
      <c r="AM92" s="43"/>
      <c r="AN92" s="43"/>
      <c r="AO92" s="43"/>
      <c r="AP92" s="43"/>
      <c r="AQ92" s="43"/>
      <c r="AR92" s="108"/>
      <c r="AS92" s="43"/>
      <c r="AT92" s="43"/>
      <c r="AU92" s="43"/>
      <c r="AV92" s="43"/>
      <c r="AW92" s="43"/>
      <c r="AX92" s="108"/>
      <c r="AY92" s="43"/>
      <c r="AZ92" s="43"/>
      <c r="BA92" s="43"/>
      <c r="BB92" s="43"/>
      <c r="BC92" s="43"/>
      <c r="BD92" s="108"/>
      <c r="BE92" s="43"/>
      <c r="BF92" s="43"/>
      <c r="BG92" s="43"/>
      <c r="BH92" s="43"/>
      <c r="BI92" s="43"/>
      <c r="BJ92" s="108"/>
      <c r="BK92" s="43"/>
      <c r="BL92" s="43"/>
      <c r="BM92" s="43"/>
      <c r="BN92" s="43"/>
      <c r="BO92" s="43"/>
      <c r="BP92" s="108"/>
      <c r="BQ92" s="43"/>
      <c r="BR92" s="43"/>
      <c r="BS92" s="43"/>
      <c r="BT92" s="43"/>
      <c r="BU92" s="43"/>
      <c r="BV92" s="108"/>
      <c r="BW92" s="43"/>
      <c r="BX92" s="43"/>
      <c r="BY92" s="43"/>
      <c r="BZ92" s="43"/>
      <c r="CA92" s="43"/>
      <c r="CB92" s="108"/>
      <c r="CC92" s="43"/>
      <c r="CD92" s="43"/>
      <c r="CE92" s="43"/>
      <c r="CF92" s="43"/>
      <c r="CG92" s="43"/>
      <c r="CH92" s="108"/>
      <c r="CI92" s="43"/>
      <c r="CJ92" s="43"/>
      <c r="CK92" s="43"/>
      <c r="CL92" s="43"/>
      <c r="CM92" s="43"/>
      <c r="CN92" s="108"/>
      <c r="CO92" s="43"/>
      <c r="CP92" s="43"/>
      <c r="CQ92" s="43"/>
      <c r="CR92" s="43"/>
      <c r="CS92" s="43"/>
      <c r="CT92" s="43"/>
      <c r="CU92" s="43"/>
      <c r="CV92" s="43"/>
      <c r="CW92" s="43"/>
      <c r="CX92" s="43"/>
      <c r="CY92" s="43"/>
    </row>
    <row r="93" spans="1:103" ht="12" customHeight="1" outlineLevel="1" x14ac:dyDescent="0.2">
      <c r="A93" s="89" t="s">
        <v>212</v>
      </c>
      <c r="B93" s="223"/>
      <c r="C93" s="203"/>
      <c r="D93" s="203"/>
      <c r="E93" s="203"/>
      <c r="F93" s="203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  <c r="AP93" s="52"/>
      <c r="AQ93" s="52"/>
      <c r="AR93" s="52"/>
      <c r="AS93" s="52"/>
      <c r="AT93" s="52"/>
      <c r="AU93" s="52"/>
      <c r="AV93" s="52"/>
      <c r="AW93" s="52"/>
      <c r="AX93" s="52"/>
      <c r="AY93" s="52"/>
      <c r="AZ93" s="52"/>
      <c r="BA93" s="52"/>
      <c r="BB93" s="52"/>
      <c r="BC93" s="52"/>
      <c r="BD93" s="52"/>
      <c r="BE93" s="52"/>
      <c r="BF93" s="52"/>
      <c r="BG93" s="52"/>
      <c r="BH93" s="52"/>
      <c r="BI93" s="52"/>
      <c r="BJ93" s="52"/>
      <c r="BK93" s="52"/>
      <c r="BL93" s="52"/>
      <c r="BM93" s="52"/>
      <c r="BN93" s="52"/>
      <c r="BO93" s="52"/>
      <c r="BP93" s="52"/>
      <c r="BQ93" s="52"/>
      <c r="BR93" s="52"/>
      <c r="BS93" s="52"/>
      <c r="BT93" s="52"/>
      <c r="BU93" s="52"/>
      <c r="BV93" s="52"/>
      <c r="BW93" s="52"/>
      <c r="BX93" s="52"/>
      <c r="BY93" s="52"/>
      <c r="BZ93" s="52"/>
      <c r="CA93" s="52"/>
      <c r="CB93" s="52"/>
      <c r="CC93" s="52"/>
      <c r="CD93" s="52"/>
      <c r="CE93" s="52"/>
      <c r="CF93" s="52"/>
      <c r="CG93" s="52"/>
      <c r="CH93" s="52"/>
      <c r="CI93" s="52"/>
      <c r="CJ93" s="52"/>
      <c r="CK93" s="52"/>
      <c r="CL93" s="52"/>
      <c r="CM93" s="52"/>
      <c r="CN93" s="52"/>
      <c r="CO93" s="52"/>
      <c r="CP93" s="52"/>
      <c r="CQ93" s="52"/>
      <c r="CR93" s="52"/>
      <c r="CS93" s="52"/>
      <c r="CT93" s="52"/>
      <c r="CU93" s="52"/>
      <c r="CV93" s="52"/>
      <c r="CW93" s="52"/>
      <c r="CX93" s="52"/>
      <c r="CY93" s="52"/>
    </row>
    <row r="94" spans="1:103" ht="12" customHeight="1" outlineLevel="1" x14ac:dyDescent="0.2">
      <c r="A94" s="75" t="s">
        <v>213</v>
      </c>
      <c r="B94" s="52"/>
      <c r="C94" s="203">
        <f>+'P&amp;L'!C11</f>
        <v>8.1050000000000004</v>
      </c>
      <c r="D94" s="203">
        <f>+'P&amp;L'!D11</f>
        <v>7.5289999999999999</v>
      </c>
      <c r="E94" s="203">
        <f>+'P&amp;L'!E11</f>
        <v>7.577</v>
      </c>
      <c r="F94" s="203">
        <f>+'P&amp;L'!F11</f>
        <v>7.6020000000000003</v>
      </c>
      <c r="G94" s="203">
        <f>+'P&amp;L'!G11</f>
        <v>30.812999999999999</v>
      </c>
      <c r="H94" s="204"/>
      <c r="I94" s="203">
        <f>+'P&amp;L'!I11</f>
        <v>7.335</v>
      </c>
      <c r="J94" s="203">
        <f>+'P&amp;L'!J11</f>
        <v>7.69</v>
      </c>
      <c r="K94" s="203">
        <f>+'P&amp;L'!K11</f>
        <v>8.2629999999999999</v>
      </c>
      <c r="L94" s="203">
        <f>+'P&amp;L'!L11</f>
        <v>9.0510000000000002</v>
      </c>
      <c r="M94" s="203">
        <f>+'P&amp;L'!M11</f>
        <v>32.338999999999999</v>
      </c>
      <c r="N94" s="204"/>
      <c r="O94" s="203">
        <f>+'P&amp;L'!O11</f>
        <v>9.7899999999999991</v>
      </c>
      <c r="P94" s="203">
        <f>+'P&amp;L'!P11</f>
        <v>11.06</v>
      </c>
      <c r="Q94" s="203">
        <f>+'P&amp;L'!Q11</f>
        <v>11.231999999999999</v>
      </c>
      <c r="R94" s="203">
        <f>+'P&amp;L'!R11</f>
        <v>11.185</v>
      </c>
      <c r="S94" s="203">
        <f>+'P&amp;L'!S11</f>
        <v>43.267000000000003</v>
      </c>
      <c r="T94" s="204"/>
      <c r="U94" s="203">
        <f>+'P&amp;L'!U11</f>
        <v>11.061999999999999</v>
      </c>
      <c r="V94" s="203">
        <f>+'P&amp;L'!V11</f>
        <v>11.083</v>
      </c>
      <c r="W94" s="203">
        <f>+'P&amp;L'!W11</f>
        <v>10.88</v>
      </c>
      <c r="X94" s="203">
        <f>+'P&amp;L'!X11</f>
        <v>11.261000000000001</v>
      </c>
      <c r="Y94" s="203">
        <f>+'P&amp;L'!Y11</f>
        <v>44.286000000000001</v>
      </c>
      <c r="Z94" s="204"/>
      <c r="AA94" s="203">
        <f>+'P&amp;L'!AA11</f>
        <v>11.010999999999999</v>
      </c>
      <c r="AB94" s="203">
        <f>+'P&amp;L'!AB11</f>
        <v>12.045999999999999</v>
      </c>
      <c r="AC94" s="203">
        <f>+'P&amp;L'!AC11</f>
        <v>11.132999999999999</v>
      </c>
      <c r="AD94" s="203">
        <f>+'P&amp;L'!AD11</f>
        <v>12.523999999999999</v>
      </c>
      <c r="AE94" s="203">
        <f>+'P&amp;L'!AE11</f>
        <v>46.713999999999999</v>
      </c>
      <c r="AF94" s="204"/>
      <c r="AG94" s="203">
        <f>+'P&amp;L'!AG11</f>
        <v>14.361000000000001</v>
      </c>
      <c r="AH94" s="203">
        <f>+'P&amp;L'!AH11</f>
        <v>16.117000000000001</v>
      </c>
      <c r="AI94" s="203">
        <f>+'P&amp;L'!AI11</f>
        <v>17.228000000000002</v>
      </c>
      <c r="AJ94" s="203">
        <f>+'P&amp;L'!AJ11</f>
        <v>16.952999999999999</v>
      </c>
      <c r="AK94" s="203">
        <f>+'P&amp;L'!AK11</f>
        <v>64.659000000000006</v>
      </c>
      <c r="AL94" s="204"/>
      <c r="AM94" s="203">
        <f>+'P&amp;L'!AM11</f>
        <v>17.327000000000002</v>
      </c>
      <c r="AN94" s="203">
        <f>+'P&amp;L'!AN11</f>
        <v>19.884</v>
      </c>
      <c r="AO94" s="203">
        <f>+'P&amp;L'!AO11</f>
        <v>20.334</v>
      </c>
      <c r="AP94" s="203">
        <f>+'P&amp;L'!AP11</f>
        <v>22.073</v>
      </c>
      <c r="AQ94" s="203">
        <f>+'P&amp;L'!AQ11</f>
        <v>79.617999999999995</v>
      </c>
      <c r="AR94" s="204"/>
      <c r="AS94" s="203">
        <f>+'P&amp;L'!AS11</f>
        <v>25.481000000000002</v>
      </c>
      <c r="AT94" s="203">
        <f>+'P&amp;L'!AT11</f>
        <v>26.131</v>
      </c>
      <c r="AU94" s="203">
        <f>+'P&amp;L'!AU11</f>
        <v>26.186</v>
      </c>
      <c r="AV94" s="203">
        <f>+'P&amp;L'!AV11</f>
        <v>30.979999999999997</v>
      </c>
      <c r="AW94" s="203">
        <f>+'P&amp;L'!AW11</f>
        <v>108.77799999999999</v>
      </c>
      <c r="AX94" s="204"/>
      <c r="AY94" s="203">
        <f>+'P&amp;L'!AY11</f>
        <v>34.864999999999995</v>
      </c>
      <c r="AZ94" s="203">
        <f>+'P&amp;L'!AZ11</f>
        <v>37.851999999999997</v>
      </c>
      <c r="BA94" s="203">
        <f>+'P&amp;L'!BA11</f>
        <v>36.293000000000006</v>
      </c>
      <c r="BB94" s="203">
        <f>+'P&amp;L'!BB11</f>
        <v>37.5</v>
      </c>
      <c r="BC94" s="203">
        <f>+'P&amp;L'!BC11</f>
        <v>146.51</v>
      </c>
      <c r="BD94" s="204"/>
      <c r="BE94" s="203">
        <f>+'P&amp;L'!BE11</f>
        <v>36.5</v>
      </c>
      <c r="BF94" s="203">
        <f>+'P&amp;L'!BF11</f>
        <v>40.6</v>
      </c>
      <c r="BG94" s="203">
        <f>+'P&amp;L'!BG11</f>
        <v>40.200000000000003</v>
      </c>
      <c r="BH94" s="203">
        <f>+'P&amp;L'!BH11</f>
        <v>40</v>
      </c>
      <c r="BI94" s="203">
        <f>+'P&amp;L'!BI11</f>
        <v>157.30000000000001</v>
      </c>
      <c r="BJ94" s="204"/>
      <c r="BK94" s="203">
        <f>+'P&amp;L'!BK11</f>
        <v>40</v>
      </c>
      <c r="BL94" s="203">
        <f>+'P&amp;L'!BL11</f>
        <v>44.4</v>
      </c>
      <c r="BM94" s="203">
        <f>+'P&amp;L'!BM11</f>
        <v>44.3</v>
      </c>
      <c r="BN94" s="203">
        <f>+'P&amp;L'!BN11</f>
        <v>42.5</v>
      </c>
      <c r="BO94" s="203">
        <f>+'P&amp;L'!BO11</f>
        <v>171.2</v>
      </c>
      <c r="BP94" s="204"/>
      <c r="BQ94" s="203">
        <f>+'P&amp;L'!BQ11</f>
        <v>43</v>
      </c>
      <c r="BR94" s="203">
        <f>+'P&amp;L'!BR11</f>
        <v>44.400000000000006</v>
      </c>
      <c r="BS94" s="203">
        <f>+'P&amp;L'!BS11</f>
        <v>43.154081193745398</v>
      </c>
      <c r="BT94" s="203">
        <f>+'P&amp;L'!BT11</f>
        <v>43.867212480630229</v>
      </c>
      <c r="BU94" s="203">
        <f>+'P&amp;L'!BU11</f>
        <v>174.42129367437562</v>
      </c>
      <c r="BV94" s="204"/>
      <c r="BW94" s="203">
        <f>+'P&amp;L'!BW11</f>
        <v>44.282629142111851</v>
      </c>
      <c r="BX94" s="203">
        <f>+'P&amp;L'!BX11</f>
        <v>47.216973351004519</v>
      </c>
      <c r="BY94" s="203">
        <f>+'P&amp;L'!BY11</f>
        <v>45.025342249526027</v>
      </c>
      <c r="BZ94" s="203">
        <f>+'P&amp;L'!BZ11</f>
        <v>45.656706487064227</v>
      </c>
      <c r="CA94" s="203">
        <f>+'P&amp;L'!CA11</f>
        <v>182.18165122970663</v>
      </c>
      <c r="CB94" s="204"/>
      <c r="CC94" s="203">
        <f>+'P&amp;L'!CC11</f>
        <v>45.128547029299668</v>
      </c>
      <c r="CD94" s="203">
        <f>+'P&amp;L'!CD11</f>
        <v>48.940393841356126</v>
      </c>
      <c r="CE94" s="203">
        <f>+'P&amp;L'!CE11</f>
        <v>47.063111702339185</v>
      </c>
      <c r="CF94" s="203">
        <f>+'P&amp;L'!CF11</f>
        <v>48.245063007774135</v>
      </c>
      <c r="CG94" s="203">
        <f>+'P&amp;L'!CG11</f>
        <v>189.3771155807691</v>
      </c>
      <c r="CH94" s="204"/>
      <c r="CI94" s="203">
        <f>+'P&amp;L'!CI11</f>
        <v>47.737656078180045</v>
      </c>
      <c r="CJ94" s="203">
        <f>+'P&amp;L'!CJ11</f>
        <v>52.073941146507423</v>
      </c>
      <c r="CK94" s="203">
        <f>+'P&amp;L'!CK11</f>
        <v>49.9758169077733</v>
      </c>
      <c r="CL94" s="203">
        <f>+'P&amp;L'!CL11</f>
        <v>51.527186980001304</v>
      </c>
      <c r="CM94" s="203">
        <f>+'P&amp;L'!CM11</f>
        <v>201.31460111246207</v>
      </c>
      <c r="CN94" s="204"/>
      <c r="CO94" s="203">
        <f>+'P&amp;L'!CO11</f>
        <v>50.693089456254782</v>
      </c>
      <c r="CP94" s="203">
        <f>+'P&amp;L'!CP11</f>
        <v>55.70292337448015</v>
      </c>
      <c r="CQ94" s="203">
        <f>+'P&amp;L'!CQ11</f>
        <v>52.737946877461567</v>
      </c>
      <c r="CR94" s="203">
        <f>+'P&amp;L'!CR11</f>
        <v>54.824495745451728</v>
      </c>
      <c r="CS94" s="203">
        <f>+'P&amp;L'!CS11</f>
        <v>213.95845545364824</v>
      </c>
      <c r="CT94" s="203"/>
      <c r="CU94" s="203"/>
      <c r="CV94" s="203"/>
      <c r="CW94" s="203"/>
      <c r="CX94" s="203"/>
      <c r="CY94" s="203"/>
    </row>
    <row r="95" spans="1:103" ht="12" customHeight="1" outlineLevel="1" x14ac:dyDescent="0.2">
      <c r="A95" s="75" t="s">
        <v>84</v>
      </c>
      <c r="B95" s="109"/>
      <c r="C95" s="203">
        <f>+'P&amp;L'!C18</f>
        <v>26.245000000000001</v>
      </c>
      <c r="D95" s="203">
        <f>+'P&amp;L'!D18</f>
        <v>24.765000000000001</v>
      </c>
      <c r="E95" s="203">
        <f>+'P&amp;L'!E18</f>
        <v>22.89</v>
      </c>
      <c r="F95" s="203">
        <f>+'P&amp;L'!F18</f>
        <v>24.771000000000001</v>
      </c>
      <c r="G95" s="203">
        <f>+'P&amp;L'!G18</f>
        <v>98.671000000000006</v>
      </c>
      <c r="H95" s="205"/>
      <c r="I95" s="203">
        <f>+'P&amp;L'!I18</f>
        <v>26.024999999999999</v>
      </c>
      <c r="J95" s="203">
        <f>+'P&amp;L'!J18</f>
        <v>27.306000000000001</v>
      </c>
      <c r="K95" s="203">
        <f>+'P&amp;L'!K18</f>
        <v>31.161000000000001</v>
      </c>
      <c r="L95" s="203">
        <f>+'P&amp;L'!L18</f>
        <v>4.8230000000000004</v>
      </c>
      <c r="M95" s="203">
        <f>+'P&amp;L'!M18</f>
        <v>89.314999999999998</v>
      </c>
      <c r="N95" s="205"/>
      <c r="O95" s="203">
        <f>+'P&amp;L'!O18</f>
        <v>4.375</v>
      </c>
      <c r="P95" s="203">
        <f>+'P&amp;L'!P18</f>
        <v>4.6150000000000002</v>
      </c>
      <c r="Q95" s="203">
        <f>+'P&amp;L'!Q18</f>
        <v>4.5430000000000001</v>
      </c>
      <c r="R95" s="203">
        <f>+'P&amp;L'!R18</f>
        <v>4.3810000000000002</v>
      </c>
      <c r="S95" s="203">
        <f>+'P&amp;L'!S18</f>
        <v>17.914000000000001</v>
      </c>
      <c r="T95" s="205"/>
      <c r="U95" s="203">
        <f>+'P&amp;L'!U18</f>
        <v>5.6760000000000002</v>
      </c>
      <c r="V95" s="203">
        <f>+'P&amp;L'!V18</f>
        <v>5.0590000000000002</v>
      </c>
      <c r="W95" s="203">
        <f>+'P&amp;L'!W18</f>
        <v>5.8849999999999998</v>
      </c>
      <c r="X95" s="203">
        <f>+'P&amp;L'!X18</f>
        <v>5.2530000000000019</v>
      </c>
      <c r="Y95" s="203">
        <f>+'P&amp;L'!Y18</f>
        <v>21.872999999999998</v>
      </c>
      <c r="Z95" s="205"/>
      <c r="AA95" s="203">
        <f>+'P&amp;L'!AA18</f>
        <v>5.7619999999999996</v>
      </c>
      <c r="AB95" s="203">
        <f>+'P&amp;L'!AB18</f>
        <v>6.0919999999999996</v>
      </c>
      <c r="AC95" s="203">
        <f>+'P&amp;L'!AC18</f>
        <v>6.6669999999999998</v>
      </c>
      <c r="AD95" s="203">
        <f>+'P&amp;L'!AD18</f>
        <v>9.23</v>
      </c>
      <c r="AE95" s="203">
        <f>+'P&amp;L'!AE18</f>
        <v>27.751000000000001</v>
      </c>
      <c r="AF95" s="205"/>
      <c r="AG95" s="203">
        <f>+'P&amp;L'!AG18</f>
        <v>8.5050000000000008</v>
      </c>
      <c r="AH95" s="203">
        <f>+'P&amp;L'!AH18</f>
        <v>10.243</v>
      </c>
      <c r="AI95" s="203">
        <f>+'P&amp;L'!AI18</f>
        <v>11.753</v>
      </c>
      <c r="AJ95" s="203">
        <f>+'P&amp;L'!AJ18</f>
        <v>12.144</v>
      </c>
      <c r="AK95" s="203">
        <f>+'P&amp;L'!AK18</f>
        <v>42.645000000000003</v>
      </c>
      <c r="AL95" s="205"/>
      <c r="AM95" s="203">
        <f>+'P&amp;L'!AM18</f>
        <v>11.4</v>
      </c>
      <c r="AN95" s="203">
        <f>+'P&amp;L'!AN18</f>
        <v>14.106999999999999</v>
      </c>
      <c r="AO95" s="203">
        <f>+'P&amp;L'!AO18</f>
        <v>13.540000000000001</v>
      </c>
      <c r="AP95" s="203">
        <f>+'P&amp;L'!AP18</f>
        <v>14.581</v>
      </c>
      <c r="AQ95" s="203">
        <f>+'P&amp;L'!AQ18</f>
        <v>53.628</v>
      </c>
      <c r="AR95" s="205"/>
      <c r="AS95" s="203">
        <f>+'P&amp;L'!AS18</f>
        <v>16.803000000000001</v>
      </c>
      <c r="AT95" s="203">
        <f>+'P&amp;L'!AT18</f>
        <v>16.933</v>
      </c>
      <c r="AU95" s="203">
        <f>+'P&amp;L'!AU18</f>
        <v>9.5340000000000025</v>
      </c>
      <c r="AV95" s="203">
        <f>+'P&amp;L'!AV18</f>
        <v>20.109000000000002</v>
      </c>
      <c r="AW95" s="203">
        <f>+'P&amp;L'!AW18</f>
        <v>63.379000000000012</v>
      </c>
      <c r="AX95" s="205"/>
      <c r="AY95" s="203">
        <f>+'P&amp;L'!AY18</f>
        <v>22.533999999999999</v>
      </c>
      <c r="AZ95" s="203">
        <f>+'P&amp;L'!AZ18</f>
        <v>17.426000000000002</v>
      </c>
      <c r="BA95" s="203">
        <f>+'P&amp;L'!BA18</f>
        <v>16.018999999999998</v>
      </c>
      <c r="BB95" s="203">
        <f>+'P&amp;L'!BB18</f>
        <v>18.499999999999996</v>
      </c>
      <c r="BC95" s="203">
        <f>+'P&amp;L'!BC18</f>
        <v>74.478999999999999</v>
      </c>
      <c r="BD95" s="205"/>
      <c r="BE95" s="203">
        <f>+'P&amp;L'!BE18</f>
        <v>17.2</v>
      </c>
      <c r="BF95" s="203">
        <f>+'P&amp;L'!BF18</f>
        <v>16.600000000000001</v>
      </c>
      <c r="BG95" s="203">
        <f>+'P&amp;L'!BG18</f>
        <v>17.099999999999998</v>
      </c>
      <c r="BH95" s="203">
        <f>+'P&amp;L'!BH18</f>
        <v>19.399999999999999</v>
      </c>
      <c r="BI95" s="203">
        <f>+'P&amp;L'!BI18</f>
        <v>70.299999999999983</v>
      </c>
      <c r="BJ95" s="205"/>
      <c r="BK95" s="203">
        <f>+'P&amp;L'!BK18</f>
        <v>19.2</v>
      </c>
      <c r="BL95" s="203">
        <f>+'P&amp;L'!BL18</f>
        <v>18.5</v>
      </c>
      <c r="BM95" s="203">
        <f>+'P&amp;L'!BM18</f>
        <v>17.5</v>
      </c>
      <c r="BN95" s="203">
        <f>+'P&amp;L'!BN18</f>
        <v>18.600000000000001</v>
      </c>
      <c r="BO95" s="203">
        <f>+'P&amp;L'!BO18</f>
        <v>73.800000000000011</v>
      </c>
      <c r="BP95" s="205"/>
      <c r="BQ95" s="203">
        <f>+'P&amp;L'!BQ18</f>
        <v>17.600000000000001</v>
      </c>
      <c r="BR95" s="203">
        <f>+'P&amp;L'!BR18</f>
        <v>16.600000000000001</v>
      </c>
      <c r="BS95" s="203">
        <f>+'P&amp;L'!BS18</f>
        <v>17.087300277281976</v>
      </c>
      <c r="BT95" s="203">
        <f>+'P&amp;L'!BT18</f>
        <v>17.747556854731297</v>
      </c>
      <c r="BU95" s="203">
        <f>+'P&amp;L'!BU18</f>
        <v>69.034857132013272</v>
      </c>
      <c r="BV95" s="205"/>
      <c r="BW95" s="203">
        <f>+'P&amp;L'!BW18</f>
        <v>17.431891176604235</v>
      </c>
      <c r="BX95" s="203">
        <f>+'P&amp;L'!BX18</f>
        <v>16.899564332656201</v>
      </c>
      <c r="BY95" s="203">
        <f>+'P&amp;L'!BY18</f>
        <v>17.692076322278115</v>
      </c>
      <c r="BZ95" s="203">
        <f>+'P&amp;L'!BZ18</f>
        <v>18.568006660324549</v>
      </c>
      <c r="CA95" s="203">
        <f>+'P&amp;L'!CA18</f>
        <v>70.591538491863105</v>
      </c>
      <c r="CB95" s="205"/>
      <c r="CC95" s="203">
        <f>+'P&amp;L'!CC18</f>
        <v>18.065410142832103</v>
      </c>
      <c r="CD95" s="203">
        <f>+'P&amp;L'!CD18</f>
        <v>17.689706749199757</v>
      </c>
      <c r="CE95" s="203">
        <f>+'P&amp;L'!CE18</f>
        <v>18.542313645315563</v>
      </c>
      <c r="CF95" s="203">
        <f>+'P&amp;L'!CF18</f>
        <v>19.542211007769168</v>
      </c>
      <c r="CG95" s="203">
        <f>+'P&amp;L'!CG18</f>
        <v>73.839641545116592</v>
      </c>
      <c r="CH95" s="205"/>
      <c r="CI95" s="203">
        <f>+'P&amp;L'!CI18</f>
        <v>19.154037025536365</v>
      </c>
      <c r="CJ95" s="203">
        <f>+'P&amp;L'!CJ18</f>
        <v>18.80116288376836</v>
      </c>
      <c r="CK95" s="203">
        <f>+'P&amp;L'!CK18</f>
        <v>19.61527855639558</v>
      </c>
      <c r="CL95" s="203">
        <f>+'P&amp;L'!CL18</f>
        <v>20.671134625683202</v>
      </c>
      <c r="CM95" s="203">
        <f>+'P&amp;L'!CM18</f>
        <v>78.241613091383499</v>
      </c>
      <c r="CN95" s="205"/>
      <c r="CO95" s="203">
        <f>+'P&amp;L'!CO18</f>
        <v>20.301473778217083</v>
      </c>
      <c r="CP95" s="203">
        <f>+'P&amp;L'!CP18</f>
        <v>20.066339142073016</v>
      </c>
      <c r="CQ95" s="203">
        <f>+'P&amp;L'!CQ18</f>
        <v>20.731695773718599</v>
      </c>
      <c r="CR95" s="203">
        <f>+'P&amp;L'!CR18</f>
        <v>21.960991077340342</v>
      </c>
      <c r="CS95" s="203">
        <f>+'P&amp;L'!CS18</f>
        <v>83.060499771349043</v>
      </c>
      <c r="CT95" s="203"/>
      <c r="CU95" s="203"/>
      <c r="CV95" s="203"/>
      <c r="CW95" s="203"/>
      <c r="CX95" s="203"/>
      <c r="CY95" s="203"/>
    </row>
    <row r="96" spans="1:103" ht="12" customHeight="1" outlineLevel="1" x14ac:dyDescent="0.2">
      <c r="A96" s="75" t="s">
        <v>272</v>
      </c>
      <c r="B96" s="109"/>
      <c r="C96" s="203">
        <f>+'P&amp;L'!C19</f>
        <v>14.193</v>
      </c>
      <c r="D96" s="203">
        <f>+'P&amp;L'!D19</f>
        <v>16.21</v>
      </c>
      <c r="E96" s="203">
        <f>+'P&amp;L'!E19</f>
        <v>19.594999999999999</v>
      </c>
      <c r="F96" s="203">
        <f>+'P&amp;L'!F19</f>
        <v>25.370999999999999</v>
      </c>
      <c r="G96" s="203">
        <f>+'P&amp;L'!G19</f>
        <v>75.369</v>
      </c>
      <c r="H96" s="205"/>
      <c r="I96" s="203">
        <f>+'P&amp;L'!I19</f>
        <v>26.488</v>
      </c>
      <c r="J96" s="203">
        <f>+'P&amp;L'!J19</f>
        <v>30.481999999999999</v>
      </c>
      <c r="K96" s="203">
        <f>+'P&amp;L'!K19</f>
        <v>30.157</v>
      </c>
      <c r="L96" s="203">
        <f>+'P&amp;L'!L19</f>
        <v>31.637</v>
      </c>
      <c r="M96" s="203">
        <f>+'P&amp;L'!M19</f>
        <v>118.764</v>
      </c>
      <c r="N96" s="205"/>
      <c r="O96" s="203">
        <f>+'P&amp;L'!O19</f>
        <v>32.411000000000001</v>
      </c>
      <c r="P96" s="203">
        <f>+'P&amp;L'!P19</f>
        <v>34.96</v>
      </c>
      <c r="Q96" s="203">
        <f>+'P&amp;L'!Q19</f>
        <v>35.496000000000002</v>
      </c>
      <c r="R96" s="203">
        <f>+'P&amp;L'!R19</f>
        <v>36.017000000000003</v>
      </c>
      <c r="S96" s="203">
        <f>+'P&amp;L'!S19</f>
        <v>138.88400000000001</v>
      </c>
      <c r="T96" s="205"/>
      <c r="U96" s="203">
        <f>+'P&amp;L'!U19</f>
        <v>38.671999999999997</v>
      </c>
      <c r="V96" s="203">
        <f>+'P&amp;L'!V19</f>
        <v>42.103999999999999</v>
      </c>
      <c r="W96" s="203">
        <f>+'P&amp;L'!W19</f>
        <v>40.840000000000003</v>
      </c>
      <c r="X96" s="203">
        <f>+'P&amp;L'!X19</f>
        <v>39.798000000000002</v>
      </c>
      <c r="Y96" s="203">
        <f>+'P&amp;L'!Y19</f>
        <v>161.41399999999999</v>
      </c>
      <c r="Z96" s="205"/>
      <c r="AA96" s="203">
        <f>+'P&amp;L'!AA19</f>
        <v>39.494</v>
      </c>
      <c r="AB96" s="203">
        <f>+'P&amp;L'!AB19</f>
        <v>43.716000000000001</v>
      </c>
      <c r="AC96" s="203">
        <f>+'P&amp;L'!AC19</f>
        <v>42.75</v>
      </c>
      <c r="AD96" s="203">
        <f>+'P&amp;L'!AD19</f>
        <v>43.881</v>
      </c>
      <c r="AE96" s="203">
        <f>+'P&amp;L'!AE19</f>
        <v>169.84100000000001</v>
      </c>
      <c r="AF96" s="205"/>
      <c r="AG96" s="203">
        <f>+'P&amp;L'!AG19</f>
        <v>46.113999999999997</v>
      </c>
      <c r="AH96" s="203">
        <f>+'P&amp;L'!AH19</f>
        <v>50.985999999999997</v>
      </c>
      <c r="AI96" s="203">
        <f>+'P&amp;L'!AI19</f>
        <v>54.7</v>
      </c>
      <c r="AJ96" s="203">
        <f>+'P&amp;L'!AJ19</f>
        <v>56.582999999999998</v>
      </c>
      <c r="AK96" s="203">
        <f>+'P&amp;L'!AK19</f>
        <v>208.38300000000001</v>
      </c>
      <c r="AL96" s="205"/>
      <c r="AM96" s="203">
        <f>+'P&amp;L'!AM19</f>
        <v>56.128</v>
      </c>
      <c r="AN96" s="203">
        <f>+'P&amp;L'!AN19</f>
        <v>59.563000000000002</v>
      </c>
      <c r="AO96" s="203">
        <f>+'P&amp;L'!AO19</f>
        <v>64.486000000000004</v>
      </c>
      <c r="AP96" s="203">
        <f>+'P&amp;L'!AP19</f>
        <v>71.546000000000006</v>
      </c>
      <c r="AQ96" s="203">
        <f>+'P&amp;L'!AQ19</f>
        <v>251.72300000000001</v>
      </c>
      <c r="AR96" s="205"/>
      <c r="AS96" s="203">
        <f>+'P&amp;L'!AS19</f>
        <v>77.278999999999996</v>
      </c>
      <c r="AT96" s="203">
        <f>+'P&amp;L'!AT19</f>
        <v>77.507000000000005</v>
      </c>
      <c r="AU96" s="203">
        <f>+'P&amp;L'!AU19</f>
        <v>78.14800000000001</v>
      </c>
      <c r="AV96" s="203">
        <f>+'P&amp;L'!AV19</f>
        <v>81.440999999999988</v>
      </c>
      <c r="AW96" s="203">
        <f>+'P&amp;L'!AW19</f>
        <v>314.375</v>
      </c>
      <c r="AX96" s="205"/>
      <c r="AY96" s="203">
        <f>+'P&amp;L'!AY19</f>
        <v>82.168000000000006</v>
      </c>
      <c r="AZ96" s="203">
        <f>+'P&amp;L'!AZ19</f>
        <v>85.325999999999993</v>
      </c>
      <c r="BA96" s="203">
        <f>+'P&amp;L'!BA19</f>
        <v>81.433999999999997</v>
      </c>
      <c r="BB96" s="203">
        <f>+'P&amp;L'!BB19</f>
        <v>85.7</v>
      </c>
      <c r="BC96" s="203">
        <f>+'P&amp;L'!BC19</f>
        <v>334.62799999999999</v>
      </c>
      <c r="BD96" s="205"/>
      <c r="BE96" s="203">
        <f>+'P&amp;L'!BE19</f>
        <v>83.4</v>
      </c>
      <c r="BF96" s="203">
        <f>+'P&amp;L'!BF19</f>
        <v>87.7</v>
      </c>
      <c r="BG96" s="203">
        <f>+'P&amp;L'!BG19</f>
        <v>87.4</v>
      </c>
      <c r="BH96" s="203">
        <f>+'P&amp;L'!BH19</f>
        <v>88.1</v>
      </c>
      <c r="BI96" s="203">
        <f>+'P&amp;L'!BI19</f>
        <v>346.6</v>
      </c>
      <c r="BJ96" s="205"/>
      <c r="BK96" s="203">
        <f>+'P&amp;L'!BK19</f>
        <v>96.7</v>
      </c>
      <c r="BL96" s="203">
        <f>+'P&amp;L'!BL19</f>
        <v>110</v>
      </c>
      <c r="BM96" s="203">
        <f>+'P&amp;L'!BM19</f>
        <v>111.1</v>
      </c>
      <c r="BN96" s="203">
        <f>+'P&amp;L'!BN19</f>
        <v>111.4</v>
      </c>
      <c r="BO96" s="203">
        <f>+'P&amp;L'!BO19</f>
        <v>429.19999999999993</v>
      </c>
      <c r="BP96" s="205"/>
      <c r="BQ96" s="203">
        <f>+'P&amp;L'!BQ19</f>
        <v>104.9</v>
      </c>
      <c r="BR96" s="203">
        <f>+'P&amp;L'!BR19</f>
        <v>104.8</v>
      </c>
      <c r="BS96" s="203">
        <f>+'P&amp;L'!BS19</f>
        <v>104.42239058338987</v>
      </c>
      <c r="BT96" s="203">
        <f>+'P&amp;L'!BT19</f>
        <v>108.45729189002461</v>
      </c>
      <c r="BU96" s="203">
        <f>+'P&amp;L'!BU19</f>
        <v>422.57968247341444</v>
      </c>
      <c r="BV96" s="205"/>
      <c r="BW96" s="203">
        <f>+'P&amp;L'!BW19</f>
        <v>102.55755729184177</v>
      </c>
      <c r="BX96" s="203">
        <f>+'P&amp;L'!BX19</f>
        <v>105.35514173562527</v>
      </c>
      <c r="BY96" s="203">
        <f>+'P&amp;L'!BY19</f>
        <v>106.74882005689156</v>
      </c>
      <c r="BZ96" s="203">
        <f>+'P&amp;L'!BZ19</f>
        <v>112.03392782690207</v>
      </c>
      <c r="CA96" s="203">
        <f>+'P&amp;L'!CA19</f>
        <v>426.69544691126066</v>
      </c>
      <c r="CB96" s="205"/>
      <c r="CC96" s="203">
        <f>+'P&amp;L'!CC19</f>
        <v>107.25905143960027</v>
      </c>
      <c r="CD96" s="203">
        <f>+'P&amp;L'!CD19</f>
        <v>111.38888700770683</v>
      </c>
      <c r="CE96" s="203">
        <f>+'P&amp;L'!CE19</f>
        <v>112.93954674874026</v>
      </c>
      <c r="CF96" s="203">
        <f>+'P&amp;L'!CF19</f>
        <v>119.02983068368496</v>
      </c>
      <c r="CG96" s="203">
        <f>+'P&amp;L'!CG19</f>
        <v>450.6173158797323</v>
      </c>
      <c r="CH96" s="205"/>
      <c r="CI96" s="203">
        <f>+'P&amp;L'!CI19</f>
        <v>114.77858955296911</v>
      </c>
      <c r="CJ96" s="203">
        <f>+'P&amp;L'!CJ19</f>
        <v>119.59349461094216</v>
      </c>
      <c r="CK96" s="203">
        <f>+'P&amp;L'!CK19</f>
        <v>120.6226899732372</v>
      </c>
      <c r="CL96" s="203">
        <f>+'P&amp;L'!CL19</f>
        <v>127.11559798552317</v>
      </c>
      <c r="CM96" s="203">
        <f>+'P&amp;L'!CM19</f>
        <v>482.11037212267161</v>
      </c>
      <c r="CN96" s="205"/>
      <c r="CO96" s="203">
        <f>+'P&amp;L'!CO19</f>
        <v>122.79910970131635</v>
      </c>
      <c r="CP96" s="203">
        <f>+'P&amp;L'!CP19</f>
        <v>128.95991094908507</v>
      </c>
      <c r="CQ96" s="203">
        <f>+'P&amp;L'!CQ19</f>
        <v>128.72936678099688</v>
      </c>
      <c r="CR96" s="203">
        <f>+'P&amp;L'!CR19</f>
        <v>136.36243296860167</v>
      </c>
      <c r="CS96" s="203">
        <f>+'P&amp;L'!CS19</f>
        <v>516.85082039999998</v>
      </c>
      <c r="CT96" s="203"/>
      <c r="CU96" s="203"/>
      <c r="CV96" s="203"/>
      <c r="CW96" s="203"/>
      <c r="CX96" s="203"/>
      <c r="CY96" s="203"/>
    </row>
    <row r="97" spans="1:103" ht="12" customHeight="1" outlineLevel="1" x14ac:dyDescent="0.2">
      <c r="A97" s="75" t="s">
        <v>215</v>
      </c>
      <c r="B97" s="109"/>
      <c r="C97" s="203">
        <f>+SUM(C94:C96)</f>
        <v>48.542999999999999</v>
      </c>
      <c r="D97" s="203">
        <f>+SUM(D94:D96)</f>
        <v>48.503999999999998</v>
      </c>
      <c r="E97" s="203">
        <f>+SUM(E94:E96)</f>
        <v>50.061999999999998</v>
      </c>
      <c r="F97" s="203">
        <f>+SUM(F94:F96)</f>
        <v>57.744</v>
      </c>
      <c r="G97" s="203">
        <f>+SUM(G94:G96)</f>
        <v>204.85300000000001</v>
      </c>
      <c r="H97" s="205"/>
      <c r="I97" s="203">
        <f>+SUM(I94:I96)</f>
        <v>59.847999999999999</v>
      </c>
      <c r="J97" s="203">
        <f>+SUM(J94:J96)</f>
        <v>65.478000000000009</v>
      </c>
      <c r="K97" s="203">
        <f>+SUM(K94:K96)</f>
        <v>69.581000000000003</v>
      </c>
      <c r="L97" s="203">
        <f>+SUM(L94:L96)</f>
        <v>45.511000000000003</v>
      </c>
      <c r="M97" s="203">
        <f>+SUM(M94:M96)</f>
        <v>240.41800000000001</v>
      </c>
      <c r="N97" s="205"/>
      <c r="O97" s="203">
        <f>+SUM(O94:O96)</f>
        <v>46.576000000000001</v>
      </c>
      <c r="P97" s="203">
        <f>+SUM(P94:P96)</f>
        <v>50.635000000000005</v>
      </c>
      <c r="Q97" s="203">
        <f>+SUM(Q94:Q96)</f>
        <v>51.271000000000001</v>
      </c>
      <c r="R97" s="203">
        <f>+SUM(R94:R96)</f>
        <v>51.583000000000006</v>
      </c>
      <c r="S97" s="203">
        <f>+SUM(S94:S96)</f>
        <v>200.06500000000003</v>
      </c>
      <c r="T97" s="205"/>
      <c r="U97" s="203">
        <f>+SUM(U94:U96)</f>
        <v>55.41</v>
      </c>
      <c r="V97" s="203">
        <f>+SUM(V94:V96)</f>
        <v>58.245999999999995</v>
      </c>
      <c r="W97" s="203">
        <f>+SUM(W94:W96)</f>
        <v>57.605000000000004</v>
      </c>
      <c r="X97" s="203">
        <f>+SUM(X94:X96)</f>
        <v>56.312000000000005</v>
      </c>
      <c r="Y97" s="203">
        <f>+SUM(Y94:Y96)</f>
        <v>227.57299999999998</v>
      </c>
      <c r="Z97" s="205"/>
      <c r="AA97" s="203">
        <f>+SUM(AA94:AA96)</f>
        <v>56.266999999999996</v>
      </c>
      <c r="AB97" s="203">
        <f>+SUM(AB94:AB96)</f>
        <v>61.853999999999999</v>
      </c>
      <c r="AC97" s="203">
        <f>+SUM(AC94:AC96)</f>
        <v>60.55</v>
      </c>
      <c r="AD97" s="203">
        <f>+SUM(AD94:AD96)</f>
        <v>65.634999999999991</v>
      </c>
      <c r="AE97" s="203">
        <f>+SUM(AE94:AE96)</f>
        <v>244.30600000000001</v>
      </c>
      <c r="AF97" s="205"/>
      <c r="AG97" s="203">
        <f>+SUM(AG94:AG96)</f>
        <v>68.97999999999999</v>
      </c>
      <c r="AH97" s="203">
        <f>+SUM(AH94:AH96)</f>
        <v>77.346000000000004</v>
      </c>
      <c r="AI97" s="203">
        <f>+SUM(AI94:AI96)</f>
        <v>83.681000000000012</v>
      </c>
      <c r="AJ97" s="203">
        <f>+SUM(AJ94:AJ96)</f>
        <v>85.68</v>
      </c>
      <c r="AK97" s="203">
        <f>+SUM(AK94:AK96)</f>
        <v>315.68700000000001</v>
      </c>
      <c r="AL97" s="205"/>
      <c r="AM97" s="203">
        <f>+SUM(AM94:AM96)</f>
        <v>84.855000000000004</v>
      </c>
      <c r="AN97" s="203">
        <f>+SUM(AN94:AN96)</f>
        <v>93.554000000000002</v>
      </c>
      <c r="AO97" s="203">
        <f>+SUM(AO94:AO96)</f>
        <v>98.360000000000014</v>
      </c>
      <c r="AP97" s="203">
        <f>+SUM(AP94:AP96)</f>
        <v>108.2</v>
      </c>
      <c r="AQ97" s="203">
        <f>+SUM(AQ94:AQ96)</f>
        <v>384.96899999999999</v>
      </c>
      <c r="AR97" s="205"/>
      <c r="AS97" s="203">
        <f>+SUM(AS94:AS96)</f>
        <v>119.563</v>
      </c>
      <c r="AT97" s="203">
        <f>+SUM(AT94:AT96)</f>
        <v>120.571</v>
      </c>
      <c r="AU97" s="203">
        <f>+SUM(AU94:AU96)</f>
        <v>113.86800000000001</v>
      </c>
      <c r="AV97" s="203">
        <f>+SUM(AV94:AV96)</f>
        <v>132.52999999999997</v>
      </c>
      <c r="AW97" s="203">
        <f>+SUM(AW94:AW96)</f>
        <v>486.53200000000004</v>
      </c>
      <c r="AX97" s="205"/>
      <c r="AY97" s="203">
        <f>+SUM(AY94:AY96)</f>
        <v>139.56700000000001</v>
      </c>
      <c r="AZ97" s="203">
        <f>+SUM(AZ94:AZ96)</f>
        <v>140.60399999999998</v>
      </c>
      <c r="BA97" s="203">
        <f>+SUM(BA94:BA96)</f>
        <v>133.74600000000001</v>
      </c>
      <c r="BB97" s="203">
        <f>+SUM(BB94:BB96)</f>
        <v>141.69999999999999</v>
      </c>
      <c r="BC97" s="203">
        <f>+SUM(BC94:BC96)</f>
        <v>555.61699999999996</v>
      </c>
      <c r="BD97" s="205"/>
      <c r="BE97" s="203">
        <f>+SUM(BE94:BE96)</f>
        <v>137.10000000000002</v>
      </c>
      <c r="BF97" s="203">
        <f>+SUM(BF94:BF96)</f>
        <v>144.9</v>
      </c>
      <c r="BG97" s="203">
        <f>+SUM(BG94:BG96)</f>
        <v>144.69999999999999</v>
      </c>
      <c r="BH97" s="203">
        <f>+SUM(BH94:BH96)</f>
        <v>147.5</v>
      </c>
      <c r="BI97" s="203">
        <f>+SUM(BI94:BI96)</f>
        <v>574.20000000000005</v>
      </c>
      <c r="BJ97" s="205"/>
      <c r="BK97" s="203">
        <f>+SUM(BK94:BK96)</f>
        <v>155.9</v>
      </c>
      <c r="BL97" s="203">
        <f>+SUM(BL94:BL96)</f>
        <v>172.9</v>
      </c>
      <c r="BM97" s="203">
        <f>+SUM(BM94:BM96)</f>
        <v>172.89999999999998</v>
      </c>
      <c r="BN97" s="203">
        <f>+SUM(BN94:BN96)</f>
        <v>172.5</v>
      </c>
      <c r="BO97" s="203">
        <f>+SUM(BO94:BO96)</f>
        <v>674.19999999999993</v>
      </c>
      <c r="BP97" s="205"/>
      <c r="BQ97" s="203">
        <f>+SUM(BQ94:BQ96)</f>
        <v>165.5</v>
      </c>
      <c r="BR97" s="203">
        <f>+SUM(BR94:BR96)</f>
        <v>165.8</v>
      </c>
      <c r="BS97" s="203">
        <f>+SUM(BS94:BS96)</f>
        <v>164.66377205441725</v>
      </c>
      <c r="BT97" s="203">
        <f>+SUM(BT94:BT96)</f>
        <v>170.07206122538614</v>
      </c>
      <c r="BU97" s="203">
        <f>+SUM(BU94:BU96)</f>
        <v>666.03583327980334</v>
      </c>
      <c r="BV97" s="205"/>
      <c r="BW97" s="203">
        <f>+SUM(BW94:BW96)</f>
        <v>164.27207761055786</v>
      </c>
      <c r="BX97" s="203">
        <f>+SUM(BX94:BX96)</f>
        <v>169.47167941928598</v>
      </c>
      <c r="BY97" s="203">
        <f>+SUM(BY94:BY96)</f>
        <v>169.46623862869569</v>
      </c>
      <c r="BZ97" s="203">
        <f>+SUM(BZ94:BZ96)</f>
        <v>176.25864097429084</v>
      </c>
      <c r="CA97" s="203">
        <f>+SUM(CA94:CA96)</f>
        <v>679.46863663283034</v>
      </c>
      <c r="CB97" s="205"/>
      <c r="CC97" s="203">
        <f>+SUM(CC94:CC96)</f>
        <v>170.45300861173206</v>
      </c>
      <c r="CD97" s="203">
        <f>+SUM(CD94:CD96)</f>
        <v>178.0189875982627</v>
      </c>
      <c r="CE97" s="203">
        <f>+SUM(CE94:CE96)</f>
        <v>178.54497209639499</v>
      </c>
      <c r="CF97" s="203">
        <f>+SUM(CF94:CF96)</f>
        <v>186.81710469922825</v>
      </c>
      <c r="CG97" s="203">
        <f>+SUM(CG94:CG96)</f>
        <v>713.83407300561794</v>
      </c>
      <c r="CH97" s="205"/>
      <c r="CI97" s="203">
        <f>+SUM(CI94:CI96)</f>
        <v>181.67028265668552</v>
      </c>
      <c r="CJ97" s="203">
        <f>+SUM(CJ94:CJ96)</f>
        <v>190.46859864121794</v>
      </c>
      <c r="CK97" s="203">
        <f>+SUM(CK94:CK96)</f>
        <v>190.2137854374061</v>
      </c>
      <c r="CL97" s="203">
        <f>+SUM(CL94:CL96)</f>
        <v>199.31391959120765</v>
      </c>
      <c r="CM97" s="203">
        <f>+SUM(CM94:CM96)</f>
        <v>761.66658632651718</v>
      </c>
      <c r="CN97" s="205"/>
      <c r="CO97" s="203">
        <f>+SUM(CO94:CO96)</f>
        <v>193.79367293578821</v>
      </c>
      <c r="CP97" s="203">
        <f>+SUM(CP94:CP96)</f>
        <v>204.72917346563824</v>
      </c>
      <c r="CQ97" s="203">
        <f>+SUM(CQ94:CQ96)</f>
        <v>202.19900943217704</v>
      </c>
      <c r="CR97" s="203">
        <f>+SUM(CR94:CR96)</f>
        <v>213.14791979139375</v>
      </c>
      <c r="CS97" s="203">
        <f>+SUM(CS94:CS96)</f>
        <v>813.86977562499726</v>
      </c>
      <c r="CT97" s="203"/>
      <c r="CU97" s="203"/>
      <c r="CV97" s="203"/>
      <c r="CW97" s="203"/>
      <c r="CX97" s="203"/>
      <c r="CY97" s="203"/>
    </row>
    <row r="98" spans="1:103" ht="12" customHeight="1" outlineLevel="1" x14ac:dyDescent="0.2">
      <c r="A98" s="75" t="s">
        <v>216</v>
      </c>
      <c r="B98" s="109"/>
      <c r="C98" s="203">
        <f>+C11</f>
        <v>1.361</v>
      </c>
      <c r="D98" s="203">
        <f>+D11</f>
        <v>1.7329999999999999</v>
      </c>
      <c r="E98" s="203">
        <f>+E11</f>
        <v>2.1260000000000003</v>
      </c>
      <c r="F98" s="203">
        <f>+F11</f>
        <v>2.5250000000000004</v>
      </c>
      <c r="G98" s="203">
        <f>+G11</f>
        <v>7.745000000000001</v>
      </c>
      <c r="H98" s="205"/>
      <c r="I98" s="203">
        <f>+I11</f>
        <v>2.4260000000000002</v>
      </c>
      <c r="J98" s="203">
        <f>+J11</f>
        <v>3.7989999999999995</v>
      </c>
      <c r="K98" s="203">
        <f>+K11</f>
        <v>4.3550000000000004</v>
      </c>
      <c r="L98" s="203">
        <f>+L11</f>
        <v>4.8349999999999991</v>
      </c>
      <c r="M98" s="203">
        <f>+M11</f>
        <v>15.414999999999999</v>
      </c>
      <c r="N98" s="205"/>
      <c r="O98" s="203">
        <f>+O11</f>
        <v>5.0469999999999997</v>
      </c>
      <c r="P98" s="203">
        <f>+P11</f>
        <v>6.1700000000000008</v>
      </c>
      <c r="Q98" s="203">
        <f>+Q11</f>
        <v>6.9709999999999974</v>
      </c>
      <c r="R98" s="203">
        <f>+R11</f>
        <v>7.4940000000000007</v>
      </c>
      <c r="S98" s="203">
        <f>+S11</f>
        <v>25.681999999999999</v>
      </c>
      <c r="T98" s="205"/>
      <c r="U98" s="203">
        <f>+U11</f>
        <v>5.3780000000000001</v>
      </c>
      <c r="V98" s="203">
        <f>+V11</f>
        <v>6.6180000000000003</v>
      </c>
      <c r="W98" s="203">
        <f>+W11</f>
        <v>4.9769999999999985</v>
      </c>
      <c r="X98" s="203">
        <f>+X11</f>
        <v>5.802999999999999</v>
      </c>
      <c r="Y98" s="203">
        <f>+Y11</f>
        <v>22.775999999999996</v>
      </c>
      <c r="Z98" s="205"/>
      <c r="AA98" s="203">
        <f>+AA11</f>
        <v>6.3730000000000002</v>
      </c>
      <c r="AB98" s="203">
        <f>+AB11</f>
        <v>6.1179999999999994</v>
      </c>
      <c r="AC98" s="203">
        <f>+AC11</f>
        <v>6.2240000000000011</v>
      </c>
      <c r="AD98" s="203">
        <f>+AD11</f>
        <v>6.373000000000002</v>
      </c>
      <c r="AE98" s="203">
        <f>+AE11</f>
        <v>25.088000000000001</v>
      </c>
      <c r="AF98" s="205"/>
      <c r="AG98" s="203">
        <f>+AG11</f>
        <v>6.6639999999999997</v>
      </c>
      <c r="AH98" s="203">
        <f>+AH11</f>
        <v>6.6070000000000011</v>
      </c>
      <c r="AI98" s="203">
        <f>+AI11</f>
        <v>6.588000000000001</v>
      </c>
      <c r="AJ98" s="203">
        <f>+AJ11</f>
        <v>6.4159999999999968</v>
      </c>
      <c r="AK98" s="203">
        <f>+AK11</f>
        <v>26.274999999999999</v>
      </c>
      <c r="AL98" s="205"/>
      <c r="AM98" s="203">
        <f>+AM11</f>
        <v>6.6</v>
      </c>
      <c r="AN98" s="203">
        <f>+AN11</f>
        <v>7.104000000000001</v>
      </c>
      <c r="AO98" s="203">
        <f>+AO11</f>
        <v>6.7309999999999981</v>
      </c>
      <c r="AP98" s="203">
        <f>+AP11</f>
        <v>6.1769999999999996</v>
      </c>
      <c r="AQ98" s="203">
        <f>+AQ11</f>
        <v>26.611999999999998</v>
      </c>
      <c r="AR98" s="205"/>
      <c r="AS98" s="203">
        <f>+AS11</f>
        <v>6.9349999999999996</v>
      </c>
      <c r="AT98" s="203">
        <f>+AT11</f>
        <v>6.8570000000000002</v>
      </c>
      <c r="AU98" s="203">
        <f>+AU11</f>
        <v>6.7110000000000012</v>
      </c>
      <c r="AV98" s="203">
        <f>+AV11</f>
        <v>6.5650000000000004</v>
      </c>
      <c r="AW98" s="203">
        <f>+SUM(AS98:AV98)</f>
        <v>27.068000000000001</v>
      </c>
      <c r="AX98" s="205"/>
      <c r="AY98" s="203">
        <f>+AY11</f>
        <v>6.88</v>
      </c>
      <c r="AZ98" s="203">
        <f>+AZ11</f>
        <v>12.148</v>
      </c>
      <c r="BA98" s="203">
        <f>+BA11</f>
        <v>12.544</v>
      </c>
      <c r="BB98" s="203">
        <f>+BB11</f>
        <v>14.128000000000004</v>
      </c>
      <c r="BC98" s="203">
        <f>+SUM(AY98:BB98)</f>
        <v>45.7</v>
      </c>
      <c r="BD98" s="205"/>
      <c r="BE98" s="203">
        <f>+BE11</f>
        <v>8.6999999999999993</v>
      </c>
      <c r="BF98" s="203">
        <f t="shared" ref="BF98:BH98" si="61">+BF11</f>
        <v>7.6000000000000014</v>
      </c>
      <c r="BG98" s="203">
        <f t="shared" si="61"/>
        <v>7.5999999999999979</v>
      </c>
      <c r="BH98" s="203">
        <f t="shared" si="61"/>
        <v>7.7000000000000028</v>
      </c>
      <c r="BI98" s="203">
        <f>+SUM(BE98:BH98)</f>
        <v>31.6</v>
      </c>
      <c r="BJ98" s="205"/>
      <c r="BK98" s="203">
        <f t="shared" ref="BK98:BN98" si="62">+BK11</f>
        <v>7.8</v>
      </c>
      <c r="BL98" s="203">
        <f t="shared" si="62"/>
        <v>7.3999999999999995</v>
      </c>
      <c r="BM98" s="203">
        <f t="shared" si="62"/>
        <v>7.5</v>
      </c>
      <c r="BN98" s="203">
        <f t="shared" si="62"/>
        <v>7.1999999999999993</v>
      </c>
      <c r="BO98" s="203">
        <f t="shared" ref="BO98" si="63">+SUM(BK98:BN98)</f>
        <v>29.9</v>
      </c>
      <c r="BP98" s="205"/>
      <c r="BQ98" s="203">
        <f t="shared" ref="BQ98:BR98" si="64">+BQ11</f>
        <v>6.4</v>
      </c>
      <c r="BR98" s="203">
        <f t="shared" si="64"/>
        <v>6.9</v>
      </c>
      <c r="BS98" s="203">
        <f>+BS97*BS99</f>
        <v>8.2331886027208636</v>
      </c>
      <c r="BT98" s="203">
        <f>+BT97*BT99</f>
        <v>8.5036030612693079</v>
      </c>
      <c r="BU98" s="203">
        <f>+SUM(BQ98:BT98)</f>
        <v>30.036791663990172</v>
      </c>
      <c r="BV98" s="205"/>
      <c r="BW98" s="203">
        <f>+BW97*BW99</f>
        <v>8.2136038805278933</v>
      </c>
      <c r="BX98" s="203">
        <f>+BX97*BX99</f>
        <v>8.4735839709642988</v>
      </c>
      <c r="BY98" s="203">
        <f>+BY97*BY99</f>
        <v>8.4733119314347842</v>
      </c>
      <c r="BZ98" s="203">
        <f>+BZ97*BZ99</f>
        <v>8.8129320487145417</v>
      </c>
      <c r="CA98" s="203">
        <f>+SUM(BW98:BZ98)</f>
        <v>33.97343183164152</v>
      </c>
      <c r="CB98" s="205"/>
      <c r="CC98" s="203">
        <f>+CC97*CC99</f>
        <v>8.5226504305866033</v>
      </c>
      <c r="CD98" s="203">
        <f>+CD97*CD99</f>
        <v>8.9009493799131345</v>
      </c>
      <c r="CE98" s="203">
        <f>+CE97*CE99</f>
        <v>8.9272486048197504</v>
      </c>
      <c r="CF98" s="203">
        <f>+CF97*CF99</f>
        <v>9.3408552349614133</v>
      </c>
      <c r="CG98" s="203">
        <f>+SUM(CC98:CF98)</f>
        <v>35.6917036502809</v>
      </c>
      <c r="CH98" s="205"/>
      <c r="CI98" s="203">
        <f>+CI97*CI99</f>
        <v>9.0835141328342761</v>
      </c>
      <c r="CJ98" s="203">
        <f>+CJ97*CJ99</f>
        <v>9.5234299320608979</v>
      </c>
      <c r="CK98" s="203">
        <f>+CK97*CK99</f>
        <v>9.5106892718703051</v>
      </c>
      <c r="CL98" s="203">
        <f>+CL97*CL99</f>
        <v>9.9656959795603832</v>
      </c>
      <c r="CM98" s="203">
        <f>+SUM(CI98:CL98)</f>
        <v>38.083329316325859</v>
      </c>
      <c r="CN98" s="205"/>
      <c r="CO98" s="203">
        <f>+CO97*CO99</f>
        <v>9.6896836467894119</v>
      </c>
      <c r="CP98" s="203">
        <f>+CP97*CP99</f>
        <v>10.236458673281913</v>
      </c>
      <c r="CQ98" s="203">
        <f>+CQ97*CQ99</f>
        <v>10.109950471608853</v>
      </c>
      <c r="CR98" s="203">
        <f>+CR97*CR99</f>
        <v>10.657395989569688</v>
      </c>
      <c r="CS98" s="203">
        <f>+SUM(CO98:CR98)</f>
        <v>40.693488781249862</v>
      </c>
      <c r="CT98" s="203"/>
      <c r="CU98" s="203"/>
      <c r="CV98" s="203"/>
      <c r="CW98" s="203"/>
      <c r="CX98" s="203"/>
      <c r="CY98" s="203"/>
    </row>
    <row r="99" spans="1:103" ht="12" customHeight="1" outlineLevel="1" x14ac:dyDescent="0.2">
      <c r="A99" s="289" t="s">
        <v>217</v>
      </c>
      <c r="B99" s="110"/>
      <c r="C99" s="287">
        <f>+C98/C97</f>
        <v>2.8036998125373379E-2</v>
      </c>
      <c r="D99" s="287">
        <f>+D98/D97</f>
        <v>3.5729012040244104E-2</v>
      </c>
      <c r="E99" s="287">
        <f>+E98/E97</f>
        <v>4.2467340497782759E-2</v>
      </c>
      <c r="F99" s="287">
        <f>+F98/F97</f>
        <v>4.3727486838459416E-2</v>
      </c>
      <c r="G99" s="287">
        <f>+G98/G97</f>
        <v>3.7807598619497888E-2</v>
      </c>
      <c r="H99" s="288"/>
      <c r="I99" s="287">
        <f>+I98/I97</f>
        <v>4.0536024595642296E-2</v>
      </c>
      <c r="J99" s="287">
        <f>+J98/J97</f>
        <v>5.8019487461437411E-2</v>
      </c>
      <c r="K99" s="287">
        <f>+K98/K97</f>
        <v>6.2588925137609414E-2</v>
      </c>
      <c r="L99" s="287">
        <f>+L98/L97</f>
        <v>0.10623805233899494</v>
      </c>
      <c r="M99" s="287">
        <f>+M98/M97</f>
        <v>6.4117495362244092E-2</v>
      </c>
      <c r="N99" s="288"/>
      <c r="O99" s="287">
        <f>+O98/O97</f>
        <v>0.10836052902782549</v>
      </c>
      <c r="P99" s="287">
        <f>+P98/P97</f>
        <v>0.12185247358546461</v>
      </c>
      <c r="Q99" s="287">
        <f>+Q98/Q97</f>
        <v>0.13596380019894283</v>
      </c>
      <c r="R99" s="287">
        <f>+R98/R97</f>
        <v>0.14528042184440609</v>
      </c>
      <c r="S99" s="287">
        <f>+S98/S97</f>
        <v>0.12836828030889957</v>
      </c>
      <c r="T99" s="288"/>
      <c r="U99" s="287">
        <f>+U98/U97</f>
        <v>9.7058292726944606E-2</v>
      </c>
      <c r="V99" s="287">
        <f>+V98/V97</f>
        <v>0.11362153624283214</v>
      </c>
      <c r="W99" s="287">
        <f>+W98/W97</f>
        <v>8.6398750108497499E-2</v>
      </c>
      <c r="X99" s="287">
        <f>+X98/X97</f>
        <v>0.10305085949708763</v>
      </c>
      <c r="Y99" s="287">
        <f>+Y98/Y97</f>
        <v>0.10008217143509994</v>
      </c>
      <c r="Z99" s="288"/>
      <c r="AA99" s="287">
        <f>+AA98/AA97</f>
        <v>0.11326354701690157</v>
      </c>
      <c r="AB99" s="287">
        <f>+AB98/AB97</f>
        <v>9.8910337245772292E-2</v>
      </c>
      <c r="AC99" s="287">
        <f>+AC98/AC97</f>
        <v>0.10279108175061935</v>
      </c>
      <c r="AD99" s="287">
        <f>+AD98/AD97</f>
        <v>9.709758512988502E-2</v>
      </c>
      <c r="AE99" s="287">
        <f>+AE98/AE97</f>
        <v>0.10269088765728226</v>
      </c>
      <c r="AF99" s="288"/>
      <c r="AG99" s="287">
        <f>+AG98/AG97</f>
        <v>9.6607712380400126E-2</v>
      </c>
      <c r="AH99" s="287">
        <f>+AH98/AH97</f>
        <v>8.5421353399012245E-2</v>
      </c>
      <c r="AI99" s="287">
        <f>+AI98/AI97</f>
        <v>7.8727548666961439E-2</v>
      </c>
      <c r="AJ99" s="287">
        <f>+AJ98/AJ97</f>
        <v>7.4883286647992486E-2</v>
      </c>
      <c r="AK99" s="287">
        <f>+AK98/AK97</f>
        <v>8.3231175183013553E-2</v>
      </c>
      <c r="AL99" s="288"/>
      <c r="AM99" s="287">
        <f>+AM98/AM97</f>
        <v>7.777974191267456E-2</v>
      </c>
      <c r="AN99" s="287">
        <f>+AN98/AN97</f>
        <v>7.5934754259572024E-2</v>
      </c>
      <c r="AO99" s="287">
        <f>+AO98/AO97</f>
        <v>6.8432289548596967E-2</v>
      </c>
      <c r="AP99" s="287">
        <f>+AP98/AP97</f>
        <v>5.7088724584103509E-2</v>
      </c>
      <c r="AQ99" s="287">
        <f>+AQ98/AQ97</f>
        <v>6.9127644044065878E-2</v>
      </c>
      <c r="AR99" s="288"/>
      <c r="AS99" s="287">
        <f>+AS98/AS97</f>
        <v>5.8002893871849981E-2</v>
      </c>
      <c r="AT99" s="287">
        <f>+AT98/AT97</f>
        <v>5.6871055228869302E-2</v>
      </c>
      <c r="AU99" s="287">
        <f>+AU98/AU97</f>
        <v>5.8936663505111189E-2</v>
      </c>
      <c r="AV99" s="287">
        <f>+AV98/AV97</f>
        <v>4.9535954123594669E-2</v>
      </c>
      <c r="AW99" s="287">
        <f>+AW98/AW97</f>
        <v>5.5634572854406289E-2</v>
      </c>
      <c r="AX99" s="288"/>
      <c r="AY99" s="287">
        <f>+AY98/AY97</f>
        <v>4.9295320527058685E-2</v>
      </c>
      <c r="AZ99" s="287">
        <f>+AZ98/AZ97</f>
        <v>8.6398679980654897E-2</v>
      </c>
      <c r="BA99" s="287">
        <f>+BA98/BA97</f>
        <v>9.3789720814080421E-2</v>
      </c>
      <c r="BB99" s="287">
        <f>+BB98/BB97</f>
        <v>9.9703599153140476E-2</v>
      </c>
      <c r="BC99" s="287">
        <f>+BC98/BC97</f>
        <v>8.225090305012267E-2</v>
      </c>
      <c r="BD99" s="288"/>
      <c r="BE99" s="287">
        <f>+BE98/BE97</f>
        <v>6.3457330415754909E-2</v>
      </c>
      <c r="BF99" s="287">
        <f>+BF98/BF97</f>
        <v>5.2449965493443759E-2</v>
      </c>
      <c r="BG99" s="287">
        <f>+BG98/BG97</f>
        <v>5.2522460262612293E-2</v>
      </c>
      <c r="BH99" s="287">
        <f>+BH98/BH97</f>
        <v>5.2203389830508491E-2</v>
      </c>
      <c r="BI99" s="287">
        <f>+BI98/BI97</f>
        <v>5.5033089515848135E-2</v>
      </c>
      <c r="BJ99" s="288"/>
      <c r="BK99" s="287">
        <f t="shared" ref="BK99:BO99" si="65">+BK98/BK97</f>
        <v>5.0032071840923668E-2</v>
      </c>
      <c r="BL99" s="287">
        <f t="shared" si="65"/>
        <v>4.279930595720069E-2</v>
      </c>
      <c r="BM99" s="287">
        <f t="shared" si="65"/>
        <v>4.3377674956622328E-2</v>
      </c>
      <c r="BN99" s="287">
        <f t="shared" si="65"/>
        <v>4.1739130434782605E-2</v>
      </c>
      <c r="BO99" s="287">
        <f t="shared" si="65"/>
        <v>4.4348857905665978E-2</v>
      </c>
      <c r="BP99" s="288"/>
      <c r="BQ99" s="287">
        <f t="shared" ref="BQ99:BR99" si="66">+BQ98/BQ97</f>
        <v>3.8670694864048338E-2</v>
      </c>
      <c r="BR99" s="287">
        <f t="shared" si="66"/>
        <v>4.1616405307599517E-2</v>
      </c>
      <c r="BS99" s="893">
        <v>0.05</v>
      </c>
      <c r="BT99" s="357">
        <f>+BS99</f>
        <v>0.05</v>
      </c>
      <c r="BU99" s="287">
        <f>+BU98/BU97</f>
        <v>4.5097861350909686E-2</v>
      </c>
      <c r="BV99" s="288"/>
      <c r="BW99" s="357">
        <v>0.05</v>
      </c>
      <c r="BX99" s="357">
        <f t="shared" ref="BX99:BZ99" si="67">+BW99</f>
        <v>0.05</v>
      </c>
      <c r="BY99" s="357">
        <f t="shared" si="67"/>
        <v>0.05</v>
      </c>
      <c r="BZ99" s="357">
        <f t="shared" si="67"/>
        <v>0.05</v>
      </c>
      <c r="CA99" s="287">
        <f t="shared" ref="CA99" si="68">+CA98/CA97</f>
        <v>0.05</v>
      </c>
      <c r="CB99" s="288"/>
      <c r="CC99" s="357">
        <v>0.05</v>
      </c>
      <c r="CD99" s="357">
        <f t="shared" ref="CD99:CF99" si="69">+CC99</f>
        <v>0.05</v>
      </c>
      <c r="CE99" s="357">
        <f t="shared" si="69"/>
        <v>0.05</v>
      </c>
      <c r="CF99" s="357">
        <f t="shared" si="69"/>
        <v>0.05</v>
      </c>
      <c r="CG99" s="287">
        <f t="shared" ref="CG99" si="70">+CG98/CG97</f>
        <v>0.05</v>
      </c>
      <c r="CH99" s="288"/>
      <c r="CI99" s="357">
        <v>0.05</v>
      </c>
      <c r="CJ99" s="357">
        <f t="shared" ref="CJ99" si="71">+CI99</f>
        <v>0.05</v>
      </c>
      <c r="CK99" s="357">
        <f t="shared" ref="CK99" si="72">+CJ99</f>
        <v>0.05</v>
      </c>
      <c r="CL99" s="357">
        <f t="shared" ref="CL99" si="73">+CK99</f>
        <v>0.05</v>
      </c>
      <c r="CM99" s="287">
        <f t="shared" ref="CM99" si="74">+CM98/CM97</f>
        <v>0.05</v>
      </c>
      <c r="CN99" s="288"/>
      <c r="CO99" s="357">
        <v>0.05</v>
      </c>
      <c r="CP99" s="357">
        <f t="shared" ref="CP99" si="75">+CO99</f>
        <v>0.05</v>
      </c>
      <c r="CQ99" s="357">
        <f t="shared" ref="CQ99" si="76">+CP99</f>
        <v>0.05</v>
      </c>
      <c r="CR99" s="357">
        <f t="shared" ref="CR99" si="77">+CQ99</f>
        <v>0.05</v>
      </c>
      <c r="CS99" s="287">
        <f t="shared" ref="CS99" si="78">+CS98/CS97</f>
        <v>4.9999999999999996E-2</v>
      </c>
      <c r="CT99" s="287"/>
      <c r="CU99" s="287"/>
      <c r="CV99" s="287"/>
      <c r="CW99" s="287"/>
      <c r="CX99" s="287"/>
      <c r="CY99" s="287"/>
    </row>
    <row r="100" spans="1:103" ht="12" customHeight="1" outlineLevel="1" x14ac:dyDescent="0.2">
      <c r="A100" s="289"/>
      <c r="B100" s="110"/>
      <c r="C100" s="287"/>
      <c r="D100" s="287"/>
      <c r="E100" s="287"/>
      <c r="F100" s="287"/>
      <c r="G100" s="287"/>
      <c r="H100" s="288"/>
      <c r="I100" s="287"/>
      <c r="J100" s="287"/>
      <c r="K100" s="287"/>
      <c r="L100" s="287"/>
      <c r="M100" s="287"/>
      <c r="N100" s="288"/>
      <c r="O100" s="287"/>
      <c r="P100" s="287"/>
      <c r="Q100" s="287"/>
      <c r="R100" s="287"/>
      <c r="S100" s="287"/>
      <c r="T100" s="288"/>
      <c r="U100" s="287"/>
      <c r="V100" s="287"/>
      <c r="W100" s="287"/>
      <c r="X100" s="287"/>
      <c r="Y100" s="287"/>
      <c r="Z100" s="288"/>
      <c r="AA100" s="287"/>
      <c r="AB100" s="287"/>
      <c r="AC100" s="287"/>
      <c r="AD100" s="287"/>
      <c r="AE100" s="287"/>
      <c r="AF100" s="288"/>
      <c r="AG100" s="287"/>
      <c r="AH100" s="287"/>
      <c r="AI100" s="287"/>
      <c r="AJ100" s="287"/>
      <c r="AK100" s="287"/>
      <c r="AL100" s="288"/>
      <c r="AM100" s="287"/>
      <c r="AN100" s="287"/>
      <c r="AO100" s="287"/>
      <c r="AP100" s="287"/>
      <c r="AQ100" s="287"/>
      <c r="AR100" s="288"/>
      <c r="AS100" s="287"/>
      <c r="AT100" s="287"/>
      <c r="AU100" s="357"/>
      <c r="AV100" s="287"/>
      <c r="AW100" s="287"/>
      <c r="AX100" s="288"/>
      <c r="AY100" s="357"/>
      <c r="AZ100" s="357"/>
      <c r="BA100" s="357"/>
      <c r="BB100" s="357"/>
      <c r="BC100" s="287"/>
      <c r="BD100" s="288"/>
      <c r="BE100" s="357"/>
      <c r="BF100" s="357"/>
      <c r="BG100" s="357"/>
      <c r="BH100" s="357"/>
      <c r="BI100" s="287"/>
      <c r="BJ100" s="288"/>
      <c r="BK100" s="357"/>
      <c r="BL100" s="357"/>
      <c r="BM100" s="357"/>
      <c r="BN100" s="357"/>
      <c r="BO100" s="287"/>
      <c r="BP100" s="288"/>
      <c r="BQ100" s="357"/>
      <c r="BR100" s="357"/>
      <c r="BS100" s="357"/>
      <c r="BT100" s="357"/>
      <c r="BU100" s="287"/>
      <c r="BV100" s="288"/>
      <c r="BW100" s="357"/>
      <c r="BX100" s="357"/>
      <c r="BY100" s="357"/>
      <c r="BZ100" s="357"/>
      <c r="CA100" s="287"/>
      <c r="CB100" s="288"/>
      <c r="CC100" s="357"/>
      <c r="CD100" s="357"/>
      <c r="CE100" s="357"/>
      <c r="CF100" s="357"/>
      <c r="CG100" s="287"/>
      <c r="CH100" s="288"/>
      <c r="CI100" s="357"/>
      <c r="CJ100" s="357"/>
      <c r="CK100" s="357"/>
      <c r="CL100" s="357"/>
      <c r="CM100" s="287"/>
      <c r="CN100" s="288"/>
      <c r="CO100" s="357"/>
      <c r="CP100" s="357"/>
      <c r="CQ100" s="357"/>
      <c r="CR100" s="357"/>
      <c r="CS100" s="287"/>
      <c r="CT100" s="287"/>
      <c r="CU100" s="287"/>
      <c r="CV100" s="287"/>
      <c r="CW100" s="287"/>
      <c r="CX100" s="287"/>
      <c r="CY100" s="287"/>
    </row>
    <row r="101" spans="1:103" ht="12" customHeight="1" outlineLevel="1" x14ac:dyDescent="0.2">
      <c r="A101" s="75" t="s">
        <v>161</v>
      </c>
      <c r="B101" s="109"/>
      <c r="C101" s="203">
        <f>C9-C102</f>
        <v>1.7569999999999999</v>
      </c>
      <c r="D101" s="203">
        <f>D9-D102</f>
        <v>1.8240000000000001</v>
      </c>
      <c r="E101" s="203">
        <f>E9-E102</f>
        <v>1.9549999999999998</v>
      </c>
      <c r="F101" s="203">
        <f>F9-F102</f>
        <v>2.008</v>
      </c>
      <c r="G101" s="203">
        <f>G9-G102</f>
        <v>7.5439999999999996</v>
      </c>
      <c r="H101" s="205"/>
      <c r="I101" s="203">
        <f>I9-I102</f>
        <v>2.0680000000000001</v>
      </c>
      <c r="J101" s="203">
        <f>J9-J102</f>
        <v>2.1670000000000003</v>
      </c>
      <c r="K101" s="203">
        <f>K9-K102</f>
        <v>2.2870000000000004</v>
      </c>
      <c r="L101" s="203">
        <f>L9-L102</f>
        <v>2.2589999999999999</v>
      </c>
      <c r="M101" s="203">
        <f>M9-M102</f>
        <v>8.7810000000000006</v>
      </c>
      <c r="N101" s="205"/>
      <c r="O101" s="203">
        <f>O9-O102</f>
        <v>2.2559999999999998</v>
      </c>
      <c r="P101" s="203">
        <f>P9-P102</f>
        <v>2.3460000000000005</v>
      </c>
      <c r="Q101" s="203">
        <f>Q9-Q102</f>
        <v>2.4079999999999999</v>
      </c>
      <c r="R101" s="203">
        <f>R9-R102</f>
        <v>2.4390000000000005</v>
      </c>
      <c r="S101" s="203">
        <f>S9-S102</f>
        <v>9.4489999999999998</v>
      </c>
      <c r="T101" s="205"/>
      <c r="U101" s="203">
        <f>U9-U102</f>
        <v>1.7789999999999999</v>
      </c>
      <c r="V101" s="203">
        <f>V9-V102</f>
        <v>1.7349999999999999</v>
      </c>
      <c r="W101" s="203">
        <f>W9-W102</f>
        <v>1.778</v>
      </c>
      <c r="X101" s="203">
        <f>X9-X102</f>
        <v>1.7919999999999994</v>
      </c>
      <c r="Y101" s="203">
        <f>Y9-Y102</f>
        <v>7.0839999999999996</v>
      </c>
      <c r="Z101" s="205"/>
      <c r="AA101" s="203">
        <f>AA9-AA102</f>
        <v>1.7569999999999999</v>
      </c>
      <c r="AB101" s="203">
        <f>AB9-AB102</f>
        <v>1.784</v>
      </c>
      <c r="AC101" s="203">
        <f>AC9-AC102</f>
        <v>1.8000000000000005</v>
      </c>
      <c r="AD101" s="203">
        <f>AD9-AD102</f>
        <v>1.8779999999999999</v>
      </c>
      <c r="AE101" s="203">
        <f>AE9-AE102</f>
        <v>5.0840000000000005</v>
      </c>
      <c r="AF101" s="205"/>
      <c r="AG101" s="203">
        <f>AG9-AG102</f>
        <v>1.8719999999999999</v>
      </c>
      <c r="AH101" s="203">
        <f>AH9-AH102</f>
        <v>2.016</v>
      </c>
      <c r="AI101" s="203">
        <f>AI9-AI102</f>
        <v>2.0279999999999996</v>
      </c>
      <c r="AJ101" s="203">
        <f>AJ9-AJ102</f>
        <v>2.0530000000000017</v>
      </c>
      <c r="AK101" s="203">
        <f>AK9-AK102</f>
        <v>7.9690000000000012</v>
      </c>
      <c r="AL101" s="205"/>
      <c r="AM101" s="203">
        <f>AM9-AM102</f>
        <v>1.9359999999999999</v>
      </c>
      <c r="AN101" s="203">
        <f>AN9-AN102</f>
        <v>2.0130000000000003</v>
      </c>
      <c r="AO101" s="203">
        <f>AO9-AO102</f>
        <v>1.9860000000000002</v>
      </c>
      <c r="AP101" s="203">
        <f>AP9-AP102</f>
        <v>2.0590000000000002</v>
      </c>
      <c r="AQ101" s="203">
        <f>AQ9-AQ102</f>
        <v>7.9939999999999998</v>
      </c>
      <c r="AR101" s="205"/>
      <c r="AS101" s="203">
        <f>AS9-AS102</f>
        <v>2.1280000000000001</v>
      </c>
      <c r="AT101" s="203">
        <f>AT9-AT102</f>
        <v>2.1950000000000003</v>
      </c>
      <c r="AU101" s="203">
        <f>AU9-AU102</f>
        <v>2.3340000000000005</v>
      </c>
      <c r="AV101" s="203">
        <f>AV9-AV102</f>
        <v>2.5289999999999999</v>
      </c>
      <c r="AW101" s="203">
        <f>AW9-AW102</f>
        <v>9.1859999999999999</v>
      </c>
      <c r="AX101" s="205"/>
      <c r="AY101" s="203">
        <f>AY9-AY102</f>
        <v>2.6039999999999996</v>
      </c>
      <c r="AZ101" s="203">
        <f>AZ9-AZ102</f>
        <v>2.9010000000000007</v>
      </c>
      <c r="BA101" s="203">
        <f>-'Bal Sht'!BA114</f>
        <v>3.2629999999999981</v>
      </c>
      <c r="BB101" s="203">
        <f>-'Bal Sht'!BB114</f>
        <v>3.4750000000000005</v>
      </c>
      <c r="BC101" s="203">
        <f>-'Bal Sht'!BC114</f>
        <v>12.242999999999999</v>
      </c>
      <c r="BD101" s="205"/>
      <c r="BE101" s="203">
        <f>-'Bal Sht'!BE114</f>
        <v>3.5999999999999996</v>
      </c>
      <c r="BF101" s="203">
        <f>-'Bal Sht'!BF114</f>
        <v>3.5</v>
      </c>
      <c r="BG101" s="203">
        <f>-'Bal Sht'!BG114</f>
        <v>3.4</v>
      </c>
      <c r="BH101" s="203">
        <f>-'Bal Sht'!BH114</f>
        <v>3.5999999999999996</v>
      </c>
      <c r="BI101" s="203">
        <f>-'Bal Sht'!BI114</f>
        <v>14.1</v>
      </c>
      <c r="BJ101" s="205"/>
      <c r="BK101" s="203">
        <f>-'Bal Sht'!BK114</f>
        <v>3.6999999999999993</v>
      </c>
      <c r="BL101" s="203">
        <f>-'Bal Sht'!BL114</f>
        <v>3.6000000000000014</v>
      </c>
      <c r="BM101" s="203">
        <f>-'Bal Sht'!BM114</f>
        <v>3.6999999999999993</v>
      </c>
      <c r="BN101" s="203">
        <f>-'Bal Sht'!BN114</f>
        <v>4</v>
      </c>
      <c r="BO101" s="203">
        <f>-'Bal Sht'!BO114</f>
        <v>15</v>
      </c>
      <c r="BP101" s="205"/>
      <c r="BQ101" s="203">
        <f>-'Bal Sht'!BQ114</f>
        <v>3.8999999999999986</v>
      </c>
      <c r="BR101" s="203">
        <f>-'Bal Sht'!BR114</f>
        <v>3.8000000000000007</v>
      </c>
      <c r="BS101" s="203">
        <f>-'Bal Sht'!BS114</f>
        <v>3.9033842070338434</v>
      </c>
      <c r="BT101" s="203">
        <f>-'Bal Sht'!BT114</f>
        <v>4.0230696399278782</v>
      </c>
      <c r="BU101" s="203">
        <f>-'Bal Sht'!BU114</f>
        <v>15.62645384696172</v>
      </c>
      <c r="BV101" s="205"/>
      <c r="BW101" s="203">
        <f>-'Bal Sht'!BW114</f>
        <v>4.3224916569610121</v>
      </c>
      <c r="BX101" s="203">
        <f>-'Bal Sht'!BX114</f>
        <v>4.2434083673396739</v>
      </c>
      <c r="BY101" s="203">
        <f>-'Bal Sht'!BY114</f>
        <v>4.3441755489052962</v>
      </c>
      <c r="BZ101" s="203">
        <f>-'Bal Sht'!BZ114</f>
        <v>4.4444266468149127</v>
      </c>
      <c r="CA101" s="203">
        <f>-'Bal Sht'!CA114</f>
        <v>17.354502220020894</v>
      </c>
      <c r="CB101" s="205"/>
      <c r="CC101" s="203">
        <f>-'Bal Sht'!CC114</f>
        <v>4.7362662346483813</v>
      </c>
      <c r="CD101" s="203">
        <f>-'Bal Sht'!CD114</f>
        <v>4.8410111742444064</v>
      </c>
      <c r="CE101" s="203">
        <f>-'Bal Sht'!CE114</f>
        <v>4.9521302562095704</v>
      </c>
      <c r="CF101" s="203">
        <f>-'Bal Sht'!CF114</f>
        <v>5.0627520137526458</v>
      </c>
      <c r="CG101" s="203">
        <f>-'Bal Sht'!CG114</f>
        <v>19.592159678855005</v>
      </c>
      <c r="CH101" s="205"/>
      <c r="CI101" s="203">
        <f>-'Bal Sht'!CI114</f>
        <v>5.1793390680603597</v>
      </c>
      <c r="CJ101" s="203">
        <f>-'Bal Sht'!CJ114</f>
        <v>5.2916361761586455</v>
      </c>
      <c r="CK101" s="203">
        <f>-'Bal Sht'!CK114</f>
        <v>5.4111671191162269</v>
      </c>
      <c r="CL101" s="203">
        <f>-'Bal Sht'!CL114</f>
        <v>5.5295351793703382</v>
      </c>
      <c r="CM101" s="203">
        <f>-'Bal Sht'!CM114</f>
        <v>21.411677542705569</v>
      </c>
      <c r="CN101" s="205"/>
      <c r="CO101" s="203">
        <f>-'Bal Sht'!CO114</f>
        <v>5.6542747848701511</v>
      </c>
      <c r="CP101" s="203">
        <f>-'Bal Sht'!CP114</f>
        <v>5.7746433282708942</v>
      </c>
      <c r="CQ101" s="203">
        <f>-'Bal Sht'!CQ114</f>
        <v>5.9037816376746655</v>
      </c>
      <c r="CR101" s="203">
        <f>-'Bal Sht'!CR114</f>
        <v>6.0303414083863194</v>
      </c>
      <c r="CS101" s="203">
        <f>-'Bal Sht'!CS114</f>
        <v>23.36304115920203</v>
      </c>
      <c r="CT101" s="203"/>
      <c r="CU101" s="203"/>
      <c r="CV101" s="203"/>
      <c r="CW101" s="203"/>
      <c r="CX101" s="203"/>
      <c r="CY101" s="203"/>
    </row>
    <row r="102" spans="1:103" ht="12" customHeight="1" outlineLevel="1" x14ac:dyDescent="0.2">
      <c r="A102" s="75" t="s">
        <v>167</v>
      </c>
      <c r="B102" s="109"/>
      <c r="C102" s="203">
        <f>-'Bal Sht'!C129</f>
        <v>0</v>
      </c>
      <c r="D102" s="203">
        <f>-'Bal Sht'!D129</f>
        <v>0</v>
      </c>
      <c r="E102" s="203">
        <f>-'Bal Sht'!E129</f>
        <v>0</v>
      </c>
      <c r="F102" s="203">
        <f>-'Bal Sht'!F129</f>
        <v>0</v>
      </c>
      <c r="G102" s="203">
        <f>-'Bal Sht'!G129</f>
        <v>0</v>
      </c>
      <c r="H102" s="205"/>
      <c r="I102" s="203">
        <f>-'Bal Sht'!I129</f>
        <v>0</v>
      </c>
      <c r="J102" s="203">
        <f>-'Bal Sht'!J129</f>
        <v>0</v>
      </c>
      <c r="K102" s="203">
        <f>-'Bal Sht'!K129</f>
        <v>0</v>
      </c>
      <c r="L102" s="203">
        <f>-'Bal Sht'!L129</f>
        <v>0</v>
      </c>
      <c r="M102" s="203">
        <f>-'Bal Sht'!M129</f>
        <v>0</v>
      </c>
      <c r="N102" s="205"/>
      <c r="O102" s="203">
        <f>-'Bal Sht'!O129</f>
        <v>0</v>
      </c>
      <c r="P102" s="203">
        <f>-'Bal Sht'!P129</f>
        <v>0</v>
      </c>
      <c r="Q102" s="203">
        <f>-'Bal Sht'!Q129</f>
        <v>0</v>
      </c>
      <c r="R102" s="203">
        <f>-'Bal Sht'!R129</f>
        <v>0</v>
      </c>
      <c r="S102" s="203">
        <f>-'Bal Sht'!S129</f>
        <v>0</v>
      </c>
      <c r="T102" s="205"/>
      <c r="U102" s="203">
        <f>-'Bal Sht'!U129</f>
        <v>0</v>
      </c>
      <c r="V102" s="203">
        <f>-'Bal Sht'!V129</f>
        <v>0</v>
      </c>
      <c r="W102" s="203">
        <f>-'Bal Sht'!W129</f>
        <v>0</v>
      </c>
      <c r="X102" s="203">
        <f>-'Bal Sht'!X129</f>
        <v>0</v>
      </c>
      <c r="Y102" s="203">
        <f>-'Bal Sht'!Y129</f>
        <v>0</v>
      </c>
      <c r="Z102" s="205"/>
      <c r="AA102" s="203">
        <f>-'Bal Sht'!AA129</f>
        <v>0</v>
      </c>
      <c r="AB102" s="203">
        <f>-'Bal Sht'!AB129</f>
        <v>0</v>
      </c>
      <c r="AC102" s="203">
        <f>-'Bal Sht'!AC129</f>
        <v>0</v>
      </c>
      <c r="AD102" s="203">
        <f>-'Bal Sht'!AD129/4</f>
        <v>0</v>
      </c>
      <c r="AE102" s="203">
        <f>-'Bal Sht'!AE129</f>
        <v>2.1349999999999998</v>
      </c>
      <c r="AF102" s="205"/>
      <c r="AG102" s="203">
        <f>-'Bal Sht'!AG129</f>
        <v>0.27500000000000002</v>
      </c>
      <c r="AH102" s="203">
        <f>-'Bal Sht'!AH129</f>
        <v>0.27500000000000002</v>
      </c>
      <c r="AI102" s="203">
        <f>-'Bal Sht'!AI129</f>
        <v>0.27500000000000002</v>
      </c>
      <c r="AJ102" s="203">
        <f>-'Bal Sht'!AJ129</f>
        <v>0.27500000000000002</v>
      </c>
      <c r="AK102" s="203">
        <f>-'Bal Sht'!AK129</f>
        <v>1.1000000000000001</v>
      </c>
      <c r="AL102" s="205"/>
      <c r="AM102" s="203">
        <f>-'Bal Sht'!AM129</f>
        <v>0.27500000000000002</v>
      </c>
      <c r="AN102" s="203">
        <f>-'Bal Sht'!AN129</f>
        <v>0.23100000000000001</v>
      </c>
      <c r="AO102" s="203">
        <f>-'Bal Sht'!AO129</f>
        <v>0.19400000000000001</v>
      </c>
      <c r="AP102" s="203">
        <f>-'Bal Sht'!AP129</f>
        <v>0.19500000000000006</v>
      </c>
      <c r="AQ102" s="203">
        <f>-'Bal Sht'!AQ129</f>
        <v>0.89500000000000002</v>
      </c>
      <c r="AR102" s="205"/>
      <c r="AS102" s="203">
        <f>-'Bal Sht'!AS129</f>
        <v>0.24399999999999999</v>
      </c>
      <c r="AT102" s="203">
        <f>-'Bal Sht'!AT129</f>
        <v>0.24399999999999999</v>
      </c>
      <c r="AU102" s="203">
        <f>-'Bal Sht'!AU129</f>
        <v>1.1459999999999999</v>
      </c>
      <c r="AV102" s="203">
        <f>-'Bal Sht'!AV129</f>
        <v>2.9990000000000006</v>
      </c>
      <c r="AW102" s="203">
        <f>-'Bal Sht'!AW129</f>
        <v>4.6330000000000009</v>
      </c>
      <c r="AX102" s="205"/>
      <c r="AY102" s="203">
        <f>-'Bal Sht'!AY129</f>
        <v>3.35</v>
      </c>
      <c r="AZ102" s="203">
        <f>-'Bal Sht'!AZ129</f>
        <v>3.1349999999999998</v>
      </c>
      <c r="BA102" s="203">
        <f>-'Bal Sht'!BA129</f>
        <v>3.1360000000000001</v>
      </c>
      <c r="BB102" s="203">
        <f>-'Bal Sht'!BB129</f>
        <v>3.1360000000000001</v>
      </c>
      <c r="BC102" s="203">
        <f>-'Bal Sht'!BC129</f>
        <v>12.756999999999998</v>
      </c>
      <c r="BD102" s="205"/>
      <c r="BE102" s="203">
        <f>-'Bal Sht'!BE129</f>
        <v>3.2</v>
      </c>
      <c r="BF102" s="203">
        <f>-'Bal Sht'!BF129</f>
        <v>3.2</v>
      </c>
      <c r="BG102" s="203">
        <f>-'Bal Sht'!BG129</f>
        <v>3.1</v>
      </c>
      <c r="BH102" s="203">
        <f>-'Bal Sht'!BH129</f>
        <v>3.0999999999999996</v>
      </c>
      <c r="BI102" s="203">
        <f>-'Bal Sht'!BI129</f>
        <v>12.6</v>
      </c>
      <c r="BJ102" s="205"/>
      <c r="BK102" s="203">
        <f>-'Bal Sht'!BK129</f>
        <v>5.5</v>
      </c>
      <c r="BL102" s="203">
        <f>-'Bal Sht'!BL129</f>
        <v>9.3000000000000007</v>
      </c>
      <c r="BM102" s="203">
        <f>-'Bal Sht'!BM129</f>
        <v>9.1999999999999993</v>
      </c>
      <c r="BN102" s="203">
        <f>-'Bal Sht'!BN129</f>
        <v>9.2999999999999972</v>
      </c>
      <c r="BO102" s="203">
        <f>-'Bal Sht'!BO129</f>
        <v>33.299999999999997</v>
      </c>
      <c r="BP102" s="205"/>
      <c r="BQ102" s="203">
        <f>-'Bal Sht'!BQ129</f>
        <v>9.3000000000000007</v>
      </c>
      <c r="BR102" s="203">
        <f>-'Bal Sht'!BR129</f>
        <v>9.3000000000000007</v>
      </c>
      <c r="BS102" s="203">
        <f>-'Bal Sht'!BS129</f>
        <v>9.3116645762408154</v>
      </c>
      <c r="BT102" s="203">
        <f>-'Bal Sht'!BT129</f>
        <v>9.3116645762408154</v>
      </c>
      <c r="BU102" s="203">
        <f>-'Bal Sht'!BU129</f>
        <v>37.223329152481632</v>
      </c>
      <c r="BV102" s="205"/>
      <c r="BW102" s="203">
        <f>-'Bal Sht'!BW129</f>
        <v>9.3116645762408154</v>
      </c>
      <c r="BX102" s="203">
        <f>-'Bal Sht'!BX129</f>
        <v>9.3116645762408154</v>
      </c>
      <c r="BY102" s="203">
        <f>-'Bal Sht'!BY129</f>
        <v>9.3116645762408154</v>
      </c>
      <c r="BZ102" s="203">
        <f>-'Bal Sht'!BZ129</f>
        <v>9.3116645762408154</v>
      </c>
      <c r="CA102" s="203">
        <f>-'Bal Sht'!CA129</f>
        <v>37.246658304963262</v>
      </c>
      <c r="CB102" s="205"/>
      <c r="CC102" s="203">
        <f>-'Bal Sht'!CC129</f>
        <v>9.3116645762408154</v>
      </c>
      <c r="CD102" s="203">
        <f>-'Bal Sht'!CD129</f>
        <v>9.3116645762408154</v>
      </c>
      <c r="CE102" s="203">
        <f>-'Bal Sht'!CE129</f>
        <v>9.3116645762408154</v>
      </c>
      <c r="CF102" s="203">
        <f>-'Bal Sht'!CF129</f>
        <v>9.3116645762408154</v>
      </c>
      <c r="CG102" s="203">
        <f>-'Bal Sht'!CG129</f>
        <v>37.246658304963262</v>
      </c>
      <c r="CH102" s="205"/>
      <c r="CI102" s="203">
        <f>-'Bal Sht'!CI129</f>
        <v>9.3116645762408154</v>
      </c>
      <c r="CJ102" s="203">
        <f>-'Bal Sht'!CJ129</f>
        <v>9.3116645762408154</v>
      </c>
      <c r="CK102" s="203">
        <f>-'Bal Sht'!CK129</f>
        <v>9.3116645762408154</v>
      </c>
      <c r="CL102" s="203">
        <f>-'Bal Sht'!CL129</f>
        <v>9.3116645762408154</v>
      </c>
      <c r="CM102" s="203">
        <f>-'Bal Sht'!CM129</f>
        <v>37.246658304963262</v>
      </c>
      <c r="CN102" s="205"/>
      <c r="CO102" s="203">
        <f>-'Bal Sht'!CO129</f>
        <v>9.3116645762408154</v>
      </c>
      <c r="CP102" s="203">
        <f>-'Bal Sht'!CP129</f>
        <v>9.3116645762408154</v>
      </c>
      <c r="CQ102" s="203">
        <f>-'Bal Sht'!CQ129</f>
        <v>9.3116645762408154</v>
      </c>
      <c r="CR102" s="203">
        <f>-'Bal Sht'!CR129</f>
        <v>9.3116645762408154</v>
      </c>
      <c r="CS102" s="203">
        <f>-'Bal Sht'!CS129</f>
        <v>37.246658304963262</v>
      </c>
      <c r="CT102" s="203"/>
      <c r="CU102" s="203"/>
      <c r="CV102" s="203"/>
      <c r="CW102" s="203"/>
      <c r="CX102" s="203"/>
      <c r="CY102" s="203"/>
    </row>
    <row r="103" spans="1:103" x14ac:dyDescent="0.2">
      <c r="B103" s="109"/>
      <c r="H103" s="25"/>
      <c r="N103" s="25"/>
      <c r="T103" s="25"/>
      <c r="Z103" s="109"/>
      <c r="AA103" s="43"/>
      <c r="AB103" s="43"/>
      <c r="AC103" s="43"/>
      <c r="AD103" s="43"/>
      <c r="AE103" s="43"/>
      <c r="AF103" s="109"/>
      <c r="AG103" s="43"/>
      <c r="AH103" s="43"/>
      <c r="AI103" s="43"/>
      <c r="AJ103" s="43"/>
      <c r="AK103" s="43"/>
      <c r="AL103" s="109"/>
      <c r="AM103" s="43"/>
      <c r="AR103" s="109"/>
      <c r="AS103" s="43"/>
      <c r="AX103" s="109"/>
      <c r="AY103" s="43"/>
      <c r="BD103" s="109"/>
      <c r="BE103" s="43"/>
      <c r="BJ103" s="109"/>
      <c r="BK103" s="43"/>
      <c r="BP103" s="109"/>
      <c r="BQ103" s="43"/>
      <c r="BV103" s="109"/>
      <c r="BW103" s="43"/>
      <c r="CB103" s="109"/>
      <c r="CC103" s="43"/>
      <c r="CH103" s="109"/>
      <c r="CI103" s="43"/>
      <c r="CN103" s="109"/>
      <c r="CO103" s="43"/>
    </row>
    <row r="104" spans="1:103" x14ac:dyDescent="0.2">
      <c r="B104" s="109"/>
      <c r="H104" s="25"/>
      <c r="N104" s="25"/>
      <c r="T104" s="25"/>
      <c r="Z104" s="109"/>
      <c r="AA104" s="43"/>
      <c r="AB104" s="43"/>
      <c r="AC104" s="43"/>
      <c r="AD104" s="43"/>
      <c r="AE104" s="43"/>
      <c r="AF104" s="109"/>
      <c r="AG104" s="43"/>
      <c r="AH104" s="43"/>
      <c r="AI104" s="43"/>
      <c r="AJ104" s="43"/>
      <c r="AK104" s="43"/>
      <c r="AL104" s="109"/>
      <c r="AM104" s="43"/>
      <c r="AR104" s="109"/>
      <c r="AS104" s="43"/>
      <c r="AX104" s="109"/>
      <c r="AY104" s="43"/>
      <c r="BD104" s="109"/>
      <c r="BE104" s="43"/>
      <c r="BJ104" s="109"/>
      <c r="BK104" s="43"/>
      <c r="BP104" s="109"/>
      <c r="BQ104" s="43"/>
      <c r="BV104" s="109"/>
      <c r="BW104" s="43"/>
      <c r="CB104" s="109"/>
      <c r="CC104" s="43"/>
      <c r="CH104" s="109"/>
      <c r="CI104" s="43"/>
      <c r="CN104" s="109"/>
      <c r="CO104" s="43"/>
    </row>
    <row r="105" spans="1:103" x14ac:dyDescent="0.2">
      <c r="B105" s="109"/>
      <c r="H105" s="71"/>
      <c r="N105" s="71"/>
      <c r="T105" s="71"/>
      <c r="Z105" s="109"/>
      <c r="AA105" s="43"/>
      <c r="AB105" s="43"/>
      <c r="AC105" s="43"/>
      <c r="AD105" s="43"/>
      <c r="AE105" s="43"/>
      <c r="AF105" s="109"/>
      <c r="AG105" s="43"/>
      <c r="AH105" s="43"/>
      <c r="AI105" s="43"/>
      <c r="AJ105" s="43"/>
      <c r="AK105" s="43"/>
      <c r="AL105" s="109"/>
      <c r="AM105" s="43"/>
      <c r="AR105" s="109"/>
      <c r="AS105" s="43"/>
      <c r="AX105" s="109"/>
      <c r="AY105" s="43"/>
      <c r="BD105" s="109"/>
      <c r="BE105" s="43"/>
      <c r="BJ105" s="109"/>
      <c r="BK105" s="43"/>
      <c r="BP105" s="109"/>
      <c r="BQ105" s="43"/>
      <c r="BV105" s="109"/>
      <c r="BW105" s="43"/>
      <c r="CB105" s="109"/>
      <c r="CC105" s="43"/>
      <c r="CH105" s="109"/>
      <c r="CI105" s="43"/>
      <c r="CN105" s="109"/>
      <c r="CO105" s="43"/>
    </row>
    <row r="106" spans="1:103" x14ac:dyDescent="0.2">
      <c r="B106" s="110"/>
      <c r="H106" s="25"/>
      <c r="N106" s="25"/>
      <c r="T106" s="25"/>
      <c r="Z106" s="109"/>
      <c r="AA106" s="43"/>
      <c r="AB106" s="43"/>
      <c r="AC106" s="43"/>
      <c r="AD106" s="43"/>
      <c r="AE106" s="43"/>
      <c r="AF106" s="109"/>
      <c r="AG106" s="43"/>
      <c r="AH106" s="43"/>
      <c r="AI106" s="43"/>
      <c r="AJ106" s="43"/>
      <c r="AK106" s="43"/>
      <c r="AL106" s="109"/>
      <c r="AM106" s="43"/>
      <c r="AR106" s="109"/>
      <c r="AS106" s="43"/>
      <c r="AX106" s="109"/>
      <c r="AY106" s="43"/>
      <c r="BD106" s="109"/>
      <c r="BE106" s="43"/>
      <c r="BJ106" s="109"/>
      <c r="BK106" s="43"/>
      <c r="BP106" s="109"/>
      <c r="BQ106" s="43"/>
      <c r="BV106" s="109"/>
      <c r="BW106" s="43"/>
      <c r="CB106" s="109"/>
      <c r="CC106" s="43"/>
      <c r="CH106" s="109"/>
      <c r="CI106" s="43"/>
      <c r="CN106" s="109"/>
      <c r="CO106" s="43"/>
    </row>
    <row r="107" spans="1:103" x14ac:dyDescent="0.2">
      <c r="B107" s="109"/>
      <c r="H107" s="25"/>
      <c r="N107" s="25"/>
      <c r="T107" s="25"/>
      <c r="Z107" s="109"/>
      <c r="AA107" s="43"/>
      <c r="AB107" s="43"/>
      <c r="AC107" s="43"/>
      <c r="AD107" s="43"/>
      <c r="AE107" s="43"/>
      <c r="AF107" s="109"/>
      <c r="AG107" s="43"/>
      <c r="AH107" s="43"/>
      <c r="AI107" s="43"/>
      <c r="AJ107" s="43"/>
      <c r="AK107" s="43"/>
      <c r="AL107" s="109"/>
      <c r="AM107" s="43"/>
      <c r="AR107" s="109"/>
      <c r="AS107" s="43"/>
      <c r="AX107" s="109"/>
      <c r="AY107" s="43"/>
      <c r="BD107" s="109"/>
      <c r="BE107" s="43"/>
      <c r="BJ107" s="109"/>
      <c r="BK107" s="43"/>
      <c r="BP107" s="109"/>
      <c r="BQ107" s="43"/>
      <c r="BV107" s="109"/>
      <c r="BW107" s="43"/>
      <c r="CB107" s="109"/>
      <c r="CC107" s="43"/>
      <c r="CH107" s="109"/>
      <c r="CI107" s="43"/>
      <c r="CN107" s="109"/>
      <c r="CO107" s="43"/>
    </row>
    <row r="108" spans="1:103" x14ac:dyDescent="0.2">
      <c r="B108" s="109"/>
      <c r="H108" s="25"/>
      <c r="N108" s="25"/>
      <c r="T108" s="25"/>
      <c r="Z108" s="109"/>
      <c r="AA108" s="43"/>
      <c r="AB108" s="43"/>
      <c r="AC108" s="43"/>
      <c r="AD108" s="43"/>
      <c r="AE108" s="43"/>
      <c r="AF108" s="109"/>
      <c r="AG108" s="43"/>
      <c r="AH108" s="43"/>
      <c r="AI108" s="43"/>
      <c r="AJ108" s="43"/>
      <c r="AK108" s="43"/>
      <c r="AL108" s="109"/>
      <c r="AM108" s="43"/>
      <c r="AR108" s="109"/>
      <c r="AS108" s="43"/>
      <c r="AX108" s="109"/>
      <c r="AY108" s="43"/>
      <c r="BC108" s="310"/>
      <c r="BD108" s="109"/>
      <c r="BE108" s="43"/>
      <c r="BJ108" s="109"/>
      <c r="BK108" s="43"/>
      <c r="BP108" s="109"/>
      <c r="BQ108" s="43"/>
      <c r="BV108" s="109"/>
      <c r="BW108" s="43"/>
      <c r="CB108" s="109"/>
      <c r="CC108" s="43"/>
      <c r="CH108" s="109"/>
      <c r="CI108" s="43"/>
      <c r="CN108" s="109"/>
      <c r="CO108" s="43"/>
    </row>
    <row r="109" spans="1:103" x14ac:dyDescent="0.2">
      <c r="B109" s="109"/>
      <c r="H109" s="25"/>
      <c r="N109" s="25"/>
      <c r="T109" s="25"/>
      <c r="Z109" s="109"/>
      <c r="AA109" s="43"/>
      <c r="AB109" s="43"/>
      <c r="AC109" s="43"/>
      <c r="AD109" s="43"/>
      <c r="AE109" s="43"/>
      <c r="AF109" s="109"/>
      <c r="AG109" s="43"/>
      <c r="AH109" s="43"/>
      <c r="AI109" s="43"/>
      <c r="AJ109" s="43"/>
      <c r="AK109" s="43"/>
      <c r="AL109" s="109"/>
      <c r="AM109" s="43"/>
      <c r="AR109" s="109"/>
      <c r="AS109" s="43"/>
      <c r="AX109" s="109"/>
      <c r="AY109" s="43"/>
      <c r="BD109" s="109"/>
      <c r="BE109" s="43"/>
      <c r="BJ109" s="109"/>
      <c r="BK109" s="43"/>
      <c r="BP109" s="109"/>
      <c r="BQ109" s="43"/>
      <c r="BV109" s="109"/>
      <c r="BW109" s="43"/>
      <c r="CB109" s="109"/>
      <c r="CC109" s="43"/>
      <c r="CH109" s="109"/>
      <c r="CI109" s="43"/>
      <c r="CN109" s="109"/>
      <c r="CO109" s="43"/>
    </row>
    <row r="110" spans="1:103" x14ac:dyDescent="0.2">
      <c r="B110" s="109"/>
      <c r="H110" s="25"/>
      <c r="N110" s="25"/>
      <c r="T110" s="25"/>
      <c r="Z110" s="109"/>
      <c r="AA110" s="43"/>
      <c r="AB110" s="43"/>
      <c r="AC110" s="43"/>
      <c r="AD110" s="43"/>
      <c r="AE110" s="43"/>
      <c r="AF110" s="109"/>
      <c r="AG110" s="43"/>
      <c r="AH110" s="43"/>
      <c r="AI110" s="43"/>
      <c r="AJ110" s="43"/>
      <c r="AK110" s="43"/>
      <c r="AL110" s="109"/>
      <c r="AM110" s="43"/>
      <c r="AR110" s="109"/>
      <c r="AS110" s="43"/>
      <c r="AX110" s="109"/>
      <c r="AY110" s="43"/>
      <c r="BD110" s="109"/>
      <c r="BE110" s="43"/>
      <c r="BJ110" s="109"/>
      <c r="BK110" s="43"/>
      <c r="BP110" s="109"/>
      <c r="BQ110" s="43"/>
      <c r="BV110" s="109"/>
      <c r="BW110" s="43"/>
      <c r="CB110" s="109"/>
      <c r="CC110" s="43"/>
      <c r="CH110" s="109"/>
      <c r="CI110" s="43"/>
      <c r="CN110" s="109"/>
      <c r="CO110" s="43"/>
    </row>
    <row r="111" spans="1:103" x14ac:dyDescent="0.2">
      <c r="B111" s="109"/>
      <c r="H111" s="25"/>
      <c r="N111" s="25"/>
      <c r="T111" s="25"/>
      <c r="Z111" s="109"/>
      <c r="AA111" s="43"/>
      <c r="AB111" s="43"/>
      <c r="AC111" s="43"/>
      <c r="AD111" s="43"/>
      <c r="AE111" s="43"/>
      <c r="AF111" s="109"/>
      <c r="AG111" s="43"/>
      <c r="AH111" s="43"/>
      <c r="AI111" s="43"/>
      <c r="AJ111" s="43"/>
      <c r="AK111" s="43"/>
      <c r="AL111" s="109"/>
      <c r="AM111" s="43"/>
      <c r="AR111" s="109"/>
      <c r="AS111" s="43"/>
      <c r="AX111" s="109"/>
      <c r="AY111" s="43"/>
      <c r="BD111" s="109"/>
      <c r="BE111" s="43"/>
      <c r="BJ111" s="109"/>
      <c r="BK111" s="43"/>
      <c r="BP111" s="109"/>
      <c r="BQ111" s="43"/>
      <c r="BV111" s="109"/>
      <c r="BW111" s="43"/>
      <c r="CB111" s="109"/>
      <c r="CC111" s="43"/>
      <c r="CH111" s="109"/>
      <c r="CI111" s="43"/>
      <c r="CN111" s="109"/>
      <c r="CO111" s="43"/>
    </row>
    <row r="112" spans="1:103" x14ac:dyDescent="0.2">
      <c r="B112" s="109"/>
      <c r="H112" s="25"/>
      <c r="N112" s="25"/>
      <c r="T112" s="25"/>
      <c r="Z112" s="109"/>
      <c r="AA112" s="43"/>
      <c r="AB112" s="43"/>
      <c r="AC112" s="43"/>
      <c r="AD112" s="43"/>
      <c r="AE112" s="43"/>
      <c r="AF112" s="109"/>
      <c r="AG112" s="43"/>
      <c r="AH112" s="43"/>
      <c r="AI112" s="43"/>
      <c r="AJ112" s="43"/>
      <c r="AK112" s="43"/>
      <c r="AL112" s="109"/>
      <c r="AM112" s="43"/>
      <c r="AR112" s="109"/>
      <c r="AS112" s="43"/>
      <c r="AX112" s="109"/>
      <c r="AY112" s="43"/>
      <c r="BD112" s="109"/>
      <c r="BE112" s="43"/>
      <c r="BJ112" s="109"/>
      <c r="BK112" s="43"/>
      <c r="BP112" s="109"/>
      <c r="BQ112" s="43"/>
      <c r="BV112" s="109"/>
      <c r="BW112" s="43"/>
      <c r="CB112" s="109"/>
      <c r="CC112" s="43"/>
      <c r="CH112" s="109"/>
      <c r="CI112" s="43"/>
      <c r="CN112" s="109"/>
      <c r="CO112" s="43"/>
    </row>
    <row r="113" spans="2:93" x14ac:dyDescent="0.2">
      <c r="B113" s="109"/>
      <c r="H113" s="25"/>
      <c r="N113" s="25"/>
      <c r="T113" s="25"/>
      <c r="Z113" s="110"/>
      <c r="AA113" s="43"/>
      <c r="AB113" s="43"/>
      <c r="AC113" s="43"/>
      <c r="AD113" s="43"/>
      <c r="AE113" s="43"/>
      <c r="AF113" s="110"/>
      <c r="AG113" s="43"/>
      <c r="AH113" s="43"/>
      <c r="AI113" s="43"/>
      <c r="AJ113" s="43"/>
      <c r="AK113" s="43"/>
      <c r="AL113" s="110"/>
      <c r="AM113" s="43"/>
      <c r="AR113" s="110"/>
      <c r="AS113" s="43"/>
      <c r="AX113" s="110"/>
      <c r="AY113" s="43"/>
      <c r="BD113" s="110"/>
      <c r="BE113" s="43"/>
      <c r="BJ113" s="110"/>
      <c r="BK113" s="43"/>
      <c r="BP113" s="110"/>
      <c r="BQ113" s="43"/>
      <c r="BV113" s="110"/>
      <c r="BW113" s="43"/>
      <c r="CB113" s="110"/>
      <c r="CC113" s="43"/>
      <c r="CH113" s="110"/>
      <c r="CI113" s="43"/>
      <c r="CN113" s="110"/>
      <c r="CO113" s="43"/>
    </row>
    <row r="114" spans="2:93" x14ac:dyDescent="0.2">
      <c r="B114" s="109"/>
      <c r="H114" s="25"/>
      <c r="N114" s="25"/>
      <c r="T114" s="25"/>
      <c r="Z114" s="109"/>
      <c r="AA114" s="43"/>
      <c r="AB114" s="43"/>
      <c r="AC114" s="43"/>
      <c r="AD114" s="43"/>
      <c r="AE114" s="43"/>
      <c r="AF114" s="109"/>
      <c r="AG114" s="43"/>
      <c r="AH114" s="43"/>
      <c r="AI114" s="43"/>
      <c r="AJ114" s="43"/>
      <c r="AK114" s="43"/>
      <c r="AL114" s="109"/>
      <c r="AM114" s="43"/>
      <c r="AR114" s="109"/>
      <c r="AS114" s="43"/>
      <c r="AX114" s="109"/>
      <c r="AY114" s="43"/>
      <c r="BD114" s="109"/>
      <c r="BE114" s="43"/>
      <c r="BJ114" s="109"/>
      <c r="BK114" s="43"/>
      <c r="BP114" s="109"/>
      <c r="BQ114" s="43"/>
      <c r="BV114" s="109"/>
      <c r="BW114" s="43"/>
      <c r="CB114" s="109"/>
      <c r="CC114" s="43"/>
      <c r="CH114" s="109"/>
      <c r="CI114" s="43"/>
      <c r="CN114" s="109"/>
      <c r="CO114" s="43"/>
    </row>
    <row r="115" spans="2:93" x14ac:dyDescent="0.2">
      <c r="B115" s="109"/>
      <c r="H115" s="25"/>
      <c r="N115" s="25"/>
      <c r="T115" s="25"/>
      <c r="Z115" s="110"/>
      <c r="AA115" s="43"/>
      <c r="AB115" s="43"/>
      <c r="AC115" s="43"/>
      <c r="AD115" s="43"/>
      <c r="AE115" s="43"/>
      <c r="AF115" s="110"/>
      <c r="AG115" s="43"/>
      <c r="AH115" s="43"/>
      <c r="AI115" s="43"/>
      <c r="AJ115" s="43"/>
      <c r="AK115" s="43"/>
      <c r="AL115" s="110"/>
      <c r="AM115" s="43"/>
      <c r="AR115" s="110"/>
      <c r="AS115" s="43"/>
      <c r="AX115" s="110"/>
      <c r="AY115" s="43"/>
      <c r="BD115" s="110"/>
      <c r="BE115" s="43"/>
      <c r="BJ115" s="110"/>
      <c r="BK115" s="43"/>
      <c r="BP115" s="110"/>
      <c r="BQ115" s="43"/>
      <c r="BV115" s="110"/>
      <c r="BW115" s="43"/>
      <c r="CB115" s="110"/>
      <c r="CC115" s="43"/>
      <c r="CH115" s="110"/>
      <c r="CI115" s="43"/>
      <c r="CN115" s="110"/>
      <c r="CO115" s="43"/>
    </row>
    <row r="116" spans="2:93" x14ac:dyDescent="0.2">
      <c r="B116" s="109"/>
      <c r="H116" s="25"/>
      <c r="N116" s="25"/>
      <c r="T116" s="25"/>
      <c r="Z116" s="25"/>
      <c r="AF116" s="25"/>
      <c r="AL116" s="25"/>
      <c r="AR116" s="25"/>
      <c r="AX116" s="25"/>
      <c r="BD116" s="25"/>
      <c r="BJ116" s="25"/>
      <c r="BP116" s="25"/>
      <c r="BV116" s="25"/>
      <c r="CB116" s="25"/>
      <c r="CH116" s="25"/>
      <c r="CN116" s="25"/>
    </row>
    <row r="117" spans="2:93" x14ac:dyDescent="0.2">
      <c r="B117" s="109"/>
      <c r="H117" s="25"/>
      <c r="N117" s="25"/>
      <c r="T117" s="25"/>
      <c r="Z117" s="25"/>
      <c r="AF117" s="25"/>
      <c r="AL117" s="25"/>
      <c r="AR117" s="25"/>
      <c r="AX117" s="25"/>
      <c r="BD117" s="25"/>
      <c r="BJ117" s="25"/>
      <c r="BP117" s="25"/>
      <c r="BV117" s="25"/>
      <c r="CB117" s="25"/>
      <c r="CH117" s="25"/>
      <c r="CN117" s="25"/>
    </row>
    <row r="118" spans="2:93" x14ac:dyDescent="0.2">
      <c r="B118" s="109"/>
      <c r="H118" s="25"/>
      <c r="N118" s="25"/>
      <c r="T118" s="25"/>
      <c r="Z118" s="1"/>
      <c r="AF118" s="1"/>
      <c r="AL118" s="1"/>
      <c r="AR118" s="1"/>
      <c r="AX118" s="1"/>
      <c r="BD118" s="1"/>
      <c r="BJ118" s="1"/>
      <c r="BP118" s="1"/>
      <c r="BV118" s="1"/>
      <c r="CB118" s="1"/>
      <c r="CH118" s="1"/>
      <c r="CN118" s="1"/>
    </row>
    <row r="119" spans="2:93" x14ac:dyDescent="0.2">
      <c r="B119" s="109"/>
      <c r="H119" s="25"/>
      <c r="N119" s="25"/>
      <c r="T119" s="25"/>
      <c r="Z119" s="1"/>
      <c r="AF119" s="1"/>
      <c r="AL119" s="1"/>
      <c r="AR119" s="1"/>
      <c r="AX119" s="1"/>
      <c r="BD119" s="1"/>
      <c r="BJ119" s="1"/>
      <c r="BP119" s="1"/>
      <c r="BV119" s="1"/>
      <c r="CB119" s="1"/>
      <c r="CH119" s="1"/>
      <c r="CN119" s="1"/>
    </row>
    <row r="120" spans="2:93" x14ac:dyDescent="0.2">
      <c r="B120" s="75"/>
      <c r="H120" s="25"/>
      <c r="N120" s="25"/>
      <c r="T120" s="25"/>
      <c r="Z120" s="1"/>
      <c r="AF120" s="1"/>
      <c r="AL120" s="1"/>
      <c r="AR120" s="1"/>
      <c r="AX120" s="1"/>
      <c r="BD120" s="1"/>
      <c r="BJ120" s="1"/>
      <c r="BP120" s="1"/>
      <c r="BV120" s="1"/>
      <c r="CB120" s="1"/>
      <c r="CH120" s="1"/>
      <c r="CN120" s="1"/>
    </row>
    <row r="121" spans="2:93" x14ac:dyDescent="0.2">
      <c r="B121" s="75"/>
      <c r="H121" s="25"/>
      <c r="N121" s="25"/>
      <c r="T121" s="25"/>
      <c r="Z121" s="1"/>
      <c r="AF121" s="1"/>
      <c r="AL121" s="1"/>
      <c r="AR121" s="1"/>
      <c r="AX121" s="1"/>
      <c r="BD121" s="1"/>
      <c r="BJ121" s="1"/>
      <c r="BP121" s="1"/>
      <c r="BV121" s="1"/>
      <c r="CB121" s="1"/>
      <c r="CH121" s="1"/>
      <c r="CN121" s="1"/>
    </row>
    <row r="122" spans="2:93" x14ac:dyDescent="0.2">
      <c r="B122" s="75"/>
      <c r="H122" s="71"/>
      <c r="N122" s="71"/>
      <c r="T122" s="71"/>
      <c r="Z122" s="1"/>
      <c r="AF122" s="1"/>
      <c r="AL122" s="1"/>
      <c r="AR122" s="1"/>
      <c r="AX122" s="1"/>
      <c r="BD122" s="1"/>
      <c r="BJ122" s="1"/>
      <c r="BP122" s="1"/>
      <c r="BV122" s="1"/>
      <c r="CB122" s="1"/>
      <c r="CH122" s="1"/>
      <c r="CN122" s="1"/>
    </row>
    <row r="123" spans="2:93" x14ac:dyDescent="0.2">
      <c r="B123" s="75"/>
      <c r="H123" s="25"/>
      <c r="N123" s="25"/>
      <c r="T123" s="25"/>
      <c r="Z123" s="1"/>
      <c r="AF123" s="1"/>
      <c r="AL123" s="1"/>
      <c r="AR123" s="1"/>
      <c r="AX123" s="1"/>
      <c r="BD123" s="1"/>
      <c r="BJ123" s="1"/>
      <c r="BP123" s="1"/>
      <c r="BV123" s="1"/>
      <c r="CB123" s="1"/>
      <c r="CH123" s="1"/>
      <c r="CN123" s="1"/>
    </row>
    <row r="124" spans="2:93" x14ac:dyDescent="0.2">
      <c r="B124" s="109"/>
      <c r="H124" s="71"/>
      <c r="N124" s="71"/>
      <c r="T124" s="71"/>
      <c r="Z124" s="1"/>
      <c r="AF124" s="1"/>
      <c r="AL124" s="1"/>
      <c r="AR124" s="1"/>
      <c r="AX124" s="24"/>
      <c r="BD124" s="24"/>
      <c r="BJ124" s="24"/>
      <c r="BP124" s="24"/>
      <c r="BV124" s="24"/>
      <c r="CB124" s="24"/>
      <c r="CH124" s="24"/>
      <c r="CN124" s="24"/>
    </row>
    <row r="125" spans="2:93" x14ac:dyDescent="0.2">
      <c r="H125"/>
      <c r="N125"/>
      <c r="T125"/>
      <c r="Z125"/>
      <c r="AF125"/>
      <c r="AL125"/>
      <c r="AR125"/>
      <c r="AX125"/>
    </row>
  </sheetData>
  <mergeCells count="16">
    <mergeCell ref="CI5:CM5"/>
    <mergeCell ref="CO5:CS5"/>
    <mergeCell ref="CC5:CG5"/>
    <mergeCell ref="C5:G5"/>
    <mergeCell ref="I5:M5"/>
    <mergeCell ref="O5:S5"/>
    <mergeCell ref="U5:Y5"/>
    <mergeCell ref="AS5:AW5"/>
    <mergeCell ref="AA5:AE5"/>
    <mergeCell ref="AG5:AK5"/>
    <mergeCell ref="AM5:AQ5"/>
    <mergeCell ref="BE5:BI5"/>
    <mergeCell ref="BK5:BO5"/>
    <mergeCell ref="BW5:CA5"/>
    <mergeCell ref="BQ5:BU5"/>
    <mergeCell ref="AY5:BC5"/>
  </mergeCells>
  <phoneticPr fontId="13" type="noConversion"/>
  <pageMargins left="0.25" right="0.25" top="0.5" bottom="0.5" header="0.5" footer="0.5"/>
  <pageSetup scale="35" orientation="portrait" r:id="rId1"/>
  <headerFooter alignWithMargins="0"/>
  <ignoredErrors>
    <ignoredError sqref="BF70:BG70 BG16 BH14:BN16 BR14 BR33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V2"/>
  <sheetViews>
    <sheetView workbookViewId="0"/>
  </sheetViews>
  <sheetFormatPr defaultRowHeight="12.75" x14ac:dyDescent="0.2"/>
  <sheetData>
    <row r="1" spans="1:256" x14ac:dyDescent="0.2">
      <c r="A1" t="s">
        <v>305</v>
      </c>
    </row>
    <row r="2" spans="1:256" s="207" customFormat="1" x14ac:dyDescent="0.2">
      <c r="A2" s="207" t="s">
        <v>291</v>
      </c>
      <c r="B2" s="207" t="s">
        <v>406</v>
      </c>
      <c r="C2" s="207" t="s">
        <v>316</v>
      </c>
      <c r="D2" s="207" t="s">
        <v>314</v>
      </c>
      <c r="E2" s="207" t="s">
        <v>319</v>
      </c>
      <c r="F2" s="207" t="s">
        <v>320</v>
      </c>
      <c r="G2" s="207" t="s">
        <v>290</v>
      </c>
      <c r="H2" s="207" t="s">
        <v>0</v>
      </c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</row>
  </sheetData>
  <phoneticPr fontId="13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 enableFormatConditionsCalculation="0">
    <tabColor rgb="FFFF0000"/>
    <pageSetUpPr fitToPage="1"/>
  </sheetPr>
  <dimension ref="A1:IW81"/>
  <sheetViews>
    <sheetView showGridLines="0" zoomScaleNormal="100" workbookViewId="0">
      <selection activeCell="I19" sqref="I19"/>
    </sheetView>
  </sheetViews>
  <sheetFormatPr defaultRowHeight="12.75" customHeight="1" outlineLevelRow="2" outlineLevelCol="1" x14ac:dyDescent="0.2"/>
  <cols>
    <col min="1" max="1" width="1.7109375" customWidth="1"/>
    <col min="2" max="2" width="24.7109375" customWidth="1"/>
    <col min="3" max="3" width="6.7109375" customWidth="1"/>
    <col min="4" max="4" width="9.5703125" hidden="1" customWidth="1" outlineLevel="1"/>
    <col min="5" max="5" width="9.5703125" customWidth="1" collapsed="1"/>
    <col min="6" max="16" width="9.5703125" customWidth="1"/>
    <col min="18" max="18" width="5.28515625" customWidth="1"/>
    <col min="19" max="19" width="6" customWidth="1"/>
    <col min="20" max="26" width="7.28515625" customWidth="1"/>
  </cols>
  <sheetData>
    <row r="1" spans="1:257" s="54" customFormat="1" ht="12.75" customHeight="1" x14ac:dyDescent="0.2">
      <c r="A1" s="10"/>
      <c r="B1" s="131"/>
      <c r="C1" s="131"/>
      <c r="D1" s="131"/>
      <c r="E1" s="131"/>
      <c r="F1" s="131"/>
      <c r="G1" s="131"/>
      <c r="H1" s="131"/>
      <c r="I1" s="501"/>
      <c r="J1" s="501"/>
      <c r="K1" s="131"/>
      <c r="L1" s="131"/>
      <c r="M1" s="131"/>
      <c r="N1" s="131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</row>
    <row r="2" spans="1:257" s="54" customFormat="1" ht="12.75" customHeight="1" x14ac:dyDescent="0.2">
      <c r="A2" s="10"/>
      <c r="B2" s="242" t="s">
        <v>275</v>
      </c>
      <c r="C2" s="132"/>
      <c r="D2" s="133"/>
      <c r="E2" s="133"/>
      <c r="F2" s="133"/>
      <c r="G2" s="133"/>
      <c r="H2" s="133"/>
      <c r="I2" s="756"/>
      <c r="J2" s="756"/>
      <c r="K2" s="134"/>
      <c r="L2" s="134"/>
      <c r="M2" s="134"/>
      <c r="N2" s="134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</row>
    <row r="3" spans="1:257" s="54" customFormat="1" ht="12.75" customHeight="1" x14ac:dyDescent="0.2">
      <c r="A3" s="10"/>
      <c r="B3" s="132" t="s">
        <v>11</v>
      </c>
      <c r="C3" s="132"/>
      <c r="D3" s="133"/>
      <c r="E3" s="133"/>
      <c r="F3" s="133"/>
      <c r="G3" s="133"/>
      <c r="H3" s="133"/>
      <c r="I3" s="756"/>
      <c r="J3" s="756"/>
      <c r="K3" s="134"/>
      <c r="L3" s="134"/>
      <c r="M3" s="134"/>
      <c r="N3" s="134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</row>
    <row r="4" spans="1:257" s="54" customFormat="1" ht="12.75" customHeight="1" x14ac:dyDescent="0.2">
      <c r="A4" s="10"/>
      <c r="B4" s="132"/>
      <c r="C4" s="132"/>
      <c r="D4" s="133"/>
      <c r="E4" s="133"/>
      <c r="F4" s="133"/>
      <c r="G4" s="133"/>
      <c r="H4" s="133"/>
      <c r="I4" s="755"/>
      <c r="J4" s="755"/>
      <c r="K4" s="134"/>
      <c r="L4" s="134"/>
      <c r="M4" s="134"/>
      <c r="N4" s="134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</row>
    <row r="5" spans="1:257" s="54" customFormat="1" ht="12.75" customHeight="1" x14ac:dyDescent="0.2">
      <c r="A5" s="10"/>
      <c r="B5" s="133"/>
      <c r="C5" s="133"/>
      <c r="D5" s="133"/>
      <c r="E5" s="133"/>
      <c r="F5" s="133"/>
      <c r="G5" s="133"/>
      <c r="H5" s="133"/>
      <c r="I5" s="135"/>
      <c r="J5" s="135"/>
      <c r="K5" s="135"/>
      <c r="L5" s="135"/>
      <c r="M5" s="135"/>
      <c r="N5" s="135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</row>
    <row r="6" spans="1:257" s="54" customFormat="1" ht="12.75" customHeight="1" x14ac:dyDescent="0.2">
      <c r="A6" s="136"/>
      <c r="B6" s="573" t="s">
        <v>115</v>
      </c>
      <c r="C6" s="574"/>
      <c r="D6" s="575">
        <v>41455</v>
      </c>
      <c r="E6" s="575">
        <v>41820</v>
      </c>
      <c r="F6" s="575">
        <v>42185</v>
      </c>
      <c r="G6" s="575"/>
      <c r="H6" s="575">
        <v>42916</v>
      </c>
      <c r="I6" s="575">
        <v>43281</v>
      </c>
      <c r="J6" s="575">
        <v>43646</v>
      </c>
      <c r="K6" s="575"/>
      <c r="L6" s="10"/>
      <c r="M6" s="10"/>
      <c r="N6" s="10"/>
      <c r="O6" s="390"/>
      <c r="P6" s="10"/>
      <c r="Q6" s="10"/>
      <c r="R6" s="10"/>
      <c r="S6" s="10"/>
      <c r="T6" s="10"/>
      <c r="U6" s="10"/>
      <c r="V6" s="10"/>
      <c r="W6" s="10"/>
      <c r="X6" s="10"/>
      <c r="Y6" s="10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</row>
    <row r="7" spans="1:257" s="54" customFormat="1" ht="12.75" hidden="1" customHeight="1" outlineLevel="1" x14ac:dyDescent="0.2">
      <c r="A7" s="136"/>
      <c r="B7" s="580"/>
      <c r="C7" s="581"/>
      <c r="D7" s="582" t="s">
        <v>310</v>
      </c>
      <c r="E7" s="582"/>
      <c r="F7" s="582"/>
      <c r="G7" s="582"/>
      <c r="H7" s="582"/>
      <c r="I7" s="582"/>
      <c r="J7" s="582"/>
      <c r="K7" s="582"/>
      <c r="L7" s="582"/>
      <c r="M7" s="582"/>
      <c r="N7" s="582"/>
      <c r="O7" s="582"/>
      <c r="P7" s="10"/>
      <c r="Q7" s="10"/>
      <c r="R7" s="10"/>
      <c r="S7" s="10"/>
      <c r="T7" s="10"/>
      <c r="U7" s="10"/>
      <c r="V7" s="10"/>
      <c r="W7" s="10"/>
      <c r="X7" s="10"/>
      <c r="Y7" s="10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</row>
    <row r="8" spans="1:257" s="54" customFormat="1" ht="12.75" customHeight="1" collapsed="1" x14ac:dyDescent="0.2">
      <c r="A8" s="136"/>
      <c r="B8" s="583"/>
      <c r="C8" s="584"/>
      <c r="D8" s="584">
        <v>2013</v>
      </c>
      <c r="E8" s="585">
        <v>2014</v>
      </c>
      <c r="F8" s="585">
        <v>2015</v>
      </c>
      <c r="G8" s="585">
        <v>2016</v>
      </c>
      <c r="H8" s="585">
        <v>2017</v>
      </c>
      <c r="I8" s="586">
        <v>2018</v>
      </c>
      <c r="J8" s="586">
        <v>2019</v>
      </c>
      <c r="K8" s="586" t="s">
        <v>328</v>
      </c>
      <c r="L8" s="586" t="s">
        <v>351</v>
      </c>
      <c r="M8" s="586" t="s">
        <v>365</v>
      </c>
      <c r="N8" s="586" t="s">
        <v>383</v>
      </c>
      <c r="O8" s="586" t="s">
        <v>313</v>
      </c>
      <c r="P8" s="10"/>
      <c r="Q8" s="10"/>
      <c r="R8" s="10"/>
      <c r="S8" s="10"/>
      <c r="T8" s="10"/>
      <c r="U8" s="10"/>
      <c r="V8" s="10"/>
      <c r="W8" s="10"/>
      <c r="X8" s="10"/>
      <c r="Y8" s="10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</row>
    <row r="9" spans="1:257" s="54" customFormat="1" ht="12.75" hidden="1" customHeight="1" outlineLevel="1" x14ac:dyDescent="0.2">
      <c r="A9" s="10"/>
      <c r="B9" s="411" t="s">
        <v>12</v>
      </c>
      <c r="C9" s="411"/>
      <c r="D9" s="412">
        <v>0</v>
      </c>
      <c r="E9" s="412">
        <v>0</v>
      </c>
      <c r="F9" s="412">
        <v>0</v>
      </c>
      <c r="G9" s="412">
        <v>0</v>
      </c>
      <c r="H9" s="412">
        <v>0</v>
      </c>
      <c r="I9" s="412">
        <v>0</v>
      </c>
      <c r="J9" s="412">
        <f>+I9+1</f>
        <v>1</v>
      </c>
      <c r="K9" s="412">
        <f>+J9+1</f>
        <v>2</v>
      </c>
      <c r="L9" s="412">
        <f>+K9+1</f>
        <v>3</v>
      </c>
      <c r="M9" s="412">
        <f>+L9+1</f>
        <v>4</v>
      </c>
      <c r="N9" s="412">
        <f>+M9+1</f>
        <v>5</v>
      </c>
      <c r="O9" s="412"/>
      <c r="P9" s="10"/>
      <c r="Q9" s="10"/>
      <c r="R9" s="10"/>
      <c r="S9" s="10"/>
      <c r="T9" s="10"/>
      <c r="U9" s="10"/>
      <c r="V9" s="10"/>
      <c r="W9" s="10"/>
      <c r="X9" s="10"/>
      <c r="Y9" s="10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</row>
    <row r="10" spans="1:257" s="54" customFormat="1" ht="12.75" hidden="1" customHeight="1" outlineLevel="1" x14ac:dyDescent="0.2">
      <c r="A10" s="10"/>
      <c r="B10" s="411" t="s">
        <v>74</v>
      </c>
      <c r="C10" s="411"/>
      <c r="D10" s="412">
        <v>0</v>
      </c>
      <c r="E10" s="412">
        <v>0</v>
      </c>
      <c r="F10" s="412">
        <v>0</v>
      </c>
      <c r="G10" s="412">
        <v>0</v>
      </c>
      <c r="H10" s="412">
        <v>0</v>
      </c>
      <c r="I10" s="412">
        <v>1</v>
      </c>
      <c r="J10" s="412">
        <v>1</v>
      </c>
      <c r="K10" s="412">
        <v>1</v>
      </c>
      <c r="L10" s="412">
        <v>1</v>
      </c>
      <c r="M10" s="412">
        <v>1</v>
      </c>
      <c r="N10" s="412">
        <v>1</v>
      </c>
      <c r="O10" s="412">
        <v>1</v>
      </c>
      <c r="P10" s="10"/>
      <c r="Q10" s="10"/>
      <c r="R10" s="10"/>
      <c r="S10" s="10"/>
      <c r="T10" s="10"/>
      <c r="U10" s="10"/>
      <c r="V10" s="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</row>
    <row r="11" spans="1:257" s="54" customFormat="1" ht="12.75" hidden="1" customHeight="1" outlineLevel="1" collapsed="1" x14ac:dyDescent="0.2">
      <c r="A11" s="10"/>
      <c r="B11" s="137"/>
      <c r="C11" s="138"/>
      <c r="D11" s="139"/>
      <c r="E11" s="139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</row>
    <row r="12" spans="1:257" s="54" customFormat="1" ht="12.75" customHeight="1" collapsed="1" x14ac:dyDescent="0.2">
      <c r="A12" s="10"/>
      <c r="B12" s="137" t="s">
        <v>182</v>
      </c>
      <c r="C12" s="138"/>
      <c r="D12" s="141">
        <f>+'P&amp;L'!AQ8</f>
        <v>613.16499999999996</v>
      </c>
      <c r="E12" s="901">
        <f>+'P&amp;L'!AW8</f>
        <v>778.21600000000001</v>
      </c>
      <c r="F12" s="901">
        <f>+'P&amp;L'!BC8</f>
        <v>723.08892621898076</v>
      </c>
      <c r="G12" s="901">
        <f>+'P&amp;L'!BI8</f>
        <v>753.83862648726313</v>
      </c>
      <c r="H12" s="901">
        <f>+'P&amp;L'!BO8</f>
        <v>771.42662081075935</v>
      </c>
      <c r="I12" s="901">
        <f>+'P&amp;L'!BU8</f>
        <v>771.20298880388464</v>
      </c>
      <c r="J12" s="901">
        <f>+'P&amp;L'!CA8</f>
        <v>797.64203440149436</v>
      </c>
      <c r="K12" s="901">
        <f>+'P&amp;L'!CG8</f>
        <v>843.94825411805391</v>
      </c>
      <c r="L12" s="901">
        <f>+'P&amp;L'!CM8</f>
        <v>904.63946059007799</v>
      </c>
      <c r="M12" s="901">
        <f>+'P&amp;L'!CS8</f>
        <v>971.67773949045875</v>
      </c>
      <c r="N12" s="141">
        <f>M12*(1+$G$66)</f>
        <v>971.67773949045875</v>
      </c>
      <c r="O12" s="141">
        <f>+M12</f>
        <v>971.67773949045875</v>
      </c>
      <c r="P12" s="10"/>
      <c r="Q12" s="10"/>
      <c r="R12" s="10"/>
      <c r="S12" s="10"/>
      <c r="T12" s="10"/>
      <c r="U12" s="10"/>
      <c r="V12" s="10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</row>
    <row r="13" spans="1:257" s="54" customFormat="1" ht="12.75" customHeight="1" x14ac:dyDescent="0.2">
      <c r="A13" s="10"/>
      <c r="B13" s="153" t="s">
        <v>23</v>
      </c>
      <c r="C13" s="138"/>
      <c r="D13" s="139"/>
      <c r="E13" s="577">
        <f t="shared" ref="E13:N13" si="0">+E12/D12-1</f>
        <v>0.26917876917306116</v>
      </c>
      <c r="F13" s="577">
        <f t="shared" si="0"/>
        <v>-7.0837754275187459E-2</v>
      </c>
      <c r="G13" s="577">
        <f t="shared" si="0"/>
        <v>4.2525475295372095E-2</v>
      </c>
      <c r="H13" s="577">
        <f t="shared" si="0"/>
        <v>2.3331245846943016E-2</v>
      </c>
      <c r="I13" s="577">
        <f t="shared" si="0"/>
        <v>-2.8989407526491817E-4</v>
      </c>
      <c r="J13" s="577">
        <f t="shared" si="0"/>
        <v>3.4282861946134391E-2</v>
      </c>
      <c r="K13" s="577">
        <f t="shared" si="0"/>
        <v>5.8053885978194719E-2</v>
      </c>
      <c r="L13" s="577">
        <f t="shared" ref="L13" si="1">+L12/K12-1</f>
        <v>7.191342144009516E-2</v>
      </c>
      <c r="M13" s="577">
        <f t="shared" ref="M13" si="2">+M12/L12-1</f>
        <v>7.410496868736316E-2</v>
      </c>
      <c r="N13" s="577">
        <f t="shared" si="0"/>
        <v>0</v>
      </c>
      <c r="O13" s="577">
        <v>0</v>
      </c>
      <c r="P13" s="10"/>
      <c r="Q13" s="10"/>
      <c r="R13" s="10"/>
      <c r="S13" s="10"/>
      <c r="T13" s="10"/>
      <c r="U13" s="10"/>
      <c r="V13" s="10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</row>
    <row r="14" spans="1:257" s="54" customFormat="1" ht="12.75" customHeight="1" x14ac:dyDescent="0.2">
      <c r="A14" s="10"/>
      <c r="B14" s="140" t="s">
        <v>13</v>
      </c>
      <c r="C14" s="140"/>
      <c r="D14" s="141">
        <f>+'P&amp;L'!AQ24</f>
        <v>228.19600000000003</v>
      </c>
      <c r="E14" s="901">
        <f>'P&amp;L'!AW24</f>
        <v>291.68399999999997</v>
      </c>
      <c r="F14" s="901">
        <f>'P&amp;L'!BC24</f>
        <v>167.4719262189808</v>
      </c>
      <c r="G14" s="901">
        <f>'P&amp;L'!BI24</f>
        <v>179.6386264872632</v>
      </c>
      <c r="H14" s="901">
        <f>'P&amp;L'!BO24</f>
        <v>97.226620810759471</v>
      </c>
      <c r="I14" s="901">
        <f>'P&amp;L'!BU24</f>
        <v>105.16715552408129</v>
      </c>
      <c r="J14" s="901">
        <f>'P&amp;L'!CA24</f>
        <v>118.17339776866396</v>
      </c>
      <c r="K14" s="901">
        <f>'P&amp;L'!CG24</f>
        <v>130.11418111243586</v>
      </c>
      <c r="L14" s="901">
        <f>'P&amp;L'!CM24</f>
        <v>142.97287426356093</v>
      </c>
      <c r="M14" s="901">
        <f>'P&amp;L'!CS24</f>
        <v>157.80796386546149</v>
      </c>
      <c r="N14" s="141">
        <f>+N15*N12</f>
        <v>157.80796386546149</v>
      </c>
      <c r="O14" s="141">
        <f>+O15*O12</f>
        <v>157.80796386546149</v>
      </c>
      <c r="P14" s="10"/>
      <c r="Q14" s="10"/>
      <c r="R14" s="10"/>
      <c r="S14" s="10"/>
      <c r="T14" s="10"/>
      <c r="U14" s="10"/>
      <c r="V14" s="10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</row>
    <row r="15" spans="1:257" s="54" customFormat="1" ht="12.75" customHeight="1" x14ac:dyDescent="0.2">
      <c r="A15" s="10"/>
      <c r="B15" s="153" t="s">
        <v>311</v>
      </c>
      <c r="C15" s="154"/>
      <c r="D15" s="155"/>
      <c r="E15" s="578">
        <f t="shared" ref="E15:J15" si="3">+E14/E$12</f>
        <v>0.37481110642803533</v>
      </c>
      <c r="F15" s="578">
        <f t="shared" si="3"/>
        <v>0.23160626604349835</v>
      </c>
      <c r="G15" s="578">
        <f t="shared" si="3"/>
        <v>0.23829851665248725</v>
      </c>
      <c r="H15" s="578">
        <f t="shared" si="3"/>
        <v>0.12603482714736439</v>
      </c>
      <c r="I15" s="578">
        <f t="shared" si="3"/>
        <v>0.13636767109421186</v>
      </c>
      <c r="J15" s="578">
        <f t="shared" si="3"/>
        <v>0.1481534230544089</v>
      </c>
      <c r="K15" s="578">
        <f t="shared" ref="K15:M15" si="4">+K14/K$12</f>
        <v>0.15417317409869907</v>
      </c>
      <c r="L15" s="578">
        <f t="shared" si="4"/>
        <v>0.15804403908083184</v>
      </c>
      <c r="M15" s="578">
        <f t="shared" si="4"/>
        <v>0.16240771755069219</v>
      </c>
      <c r="N15" s="578">
        <f>+M15+$G$62</f>
        <v>0.16240771755069219</v>
      </c>
      <c r="O15" s="578">
        <f>+M15</f>
        <v>0.16240771755069219</v>
      </c>
      <c r="P15" s="10"/>
      <c r="Q15" s="10"/>
      <c r="R15" s="10"/>
      <c r="S15" s="10"/>
      <c r="T15" s="10"/>
      <c r="U15" s="10"/>
      <c r="V15" s="10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</row>
    <row r="16" spans="1:257" s="54" customFormat="1" ht="12.75" customHeight="1" x14ac:dyDescent="0.2">
      <c r="A16" s="10"/>
      <c r="B16" s="153" t="s">
        <v>23</v>
      </c>
      <c r="C16" s="140"/>
      <c r="D16" s="141"/>
      <c r="E16" s="141"/>
      <c r="F16" s="577">
        <f t="shared" ref="F16:N16" si="5">+F14/E14-1</f>
        <v>-0.42584465990941978</v>
      </c>
      <c r="G16" s="577">
        <f t="shared" si="5"/>
        <v>7.2649192870532842E-2</v>
      </c>
      <c r="H16" s="577">
        <f t="shared" si="5"/>
        <v>-0.45876550766405988</v>
      </c>
      <c r="I16" s="577">
        <f t="shared" si="5"/>
        <v>8.167037635481722E-2</v>
      </c>
      <c r="J16" s="577">
        <f t="shared" si="5"/>
        <v>0.12367209305765137</v>
      </c>
      <c r="K16" s="577">
        <f t="shared" si="5"/>
        <v>0.10104459691636491</v>
      </c>
      <c r="L16" s="577">
        <f t="shared" ref="L16" si="6">+L14/K14-1</f>
        <v>9.8826223561392146E-2</v>
      </c>
      <c r="M16" s="577">
        <f t="shared" ref="M16" si="7">+M14/L14-1</f>
        <v>0.10376156790800106</v>
      </c>
      <c r="N16" s="577">
        <f t="shared" si="5"/>
        <v>0</v>
      </c>
      <c r="O16" s="577"/>
      <c r="P16" s="10"/>
      <c r="Q16" s="10"/>
      <c r="R16" s="10"/>
      <c r="S16" s="10"/>
      <c r="T16" s="10"/>
      <c r="U16" s="10"/>
      <c r="V16" s="10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</row>
    <row r="17" spans="1:257" s="54" customFormat="1" ht="4.5" customHeight="1" x14ac:dyDescent="0.2">
      <c r="A17" s="53"/>
      <c r="B17" s="142"/>
      <c r="C17" s="142"/>
      <c r="D17" s="143"/>
      <c r="E17" s="143"/>
      <c r="F17" s="53"/>
      <c r="G17" s="53"/>
      <c r="H17" s="53"/>
      <c r="I17" s="53"/>
      <c r="J17" s="53"/>
      <c r="K17" s="47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</row>
    <row r="18" spans="1:257" s="54" customFormat="1" ht="12.75" hidden="1" customHeight="1" outlineLevel="1" x14ac:dyDescent="0.2">
      <c r="A18" s="53"/>
      <c r="B18" s="144" t="s">
        <v>14</v>
      </c>
      <c r="C18" s="142"/>
      <c r="D18" s="311">
        <v>0</v>
      </c>
      <c r="E18" s="311">
        <v>0</v>
      </c>
      <c r="F18" s="311">
        <v>0</v>
      </c>
      <c r="G18" s="311">
        <v>0</v>
      </c>
      <c r="H18" s="311">
        <v>0</v>
      </c>
      <c r="I18" s="311">
        <v>0</v>
      </c>
      <c r="J18" s="311">
        <v>0</v>
      </c>
      <c r="K18" s="311">
        <v>0</v>
      </c>
      <c r="L18" s="311">
        <v>0</v>
      </c>
      <c r="M18" s="311">
        <v>0</v>
      </c>
      <c r="N18" s="311">
        <v>0</v>
      </c>
      <c r="O18" s="311">
        <v>0</v>
      </c>
      <c r="P18" s="53"/>
      <c r="Q18" s="53"/>
      <c r="R18" s="53"/>
      <c r="S18" s="53"/>
      <c r="T18" s="53"/>
      <c r="U18" s="53"/>
      <c r="V18" s="53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</row>
    <row r="19" spans="1:257" s="54" customFormat="1" ht="12.75" customHeight="1" collapsed="1" x14ac:dyDescent="0.2">
      <c r="A19" s="53"/>
      <c r="B19" s="144" t="s">
        <v>15</v>
      </c>
      <c r="C19" s="142"/>
      <c r="D19" s="145">
        <f t="shared" ref="D19:J19" si="8">(D14-D18)*D20</f>
        <v>83.747932000000006</v>
      </c>
      <c r="E19" s="145">
        <f t="shared" si="8"/>
        <v>104.74802202013444</v>
      </c>
      <c r="F19" s="145">
        <f t="shared" si="8"/>
        <v>60.236154784816655</v>
      </c>
      <c r="G19" s="145">
        <f t="shared" si="8"/>
        <v>61.580120013401938</v>
      </c>
      <c r="H19" s="145">
        <f t="shared" si="8"/>
        <v>21.494859935511592</v>
      </c>
      <c r="I19" s="145">
        <f t="shared" si="8"/>
        <v>21.144452058987856</v>
      </c>
      <c r="J19" s="145">
        <f t="shared" si="8"/>
        <v>20.089477620672856</v>
      </c>
      <c r="K19" s="145">
        <f t="shared" ref="K19" si="9">(K14-K18)*K20</f>
        <v>24.721694411362805</v>
      </c>
      <c r="L19" s="145">
        <f>(L14-L18)*L20</f>
        <v>30.024303595347764</v>
      </c>
      <c r="M19" s="145">
        <f>(M14-M18)*M20</f>
        <v>36.295831689056151</v>
      </c>
      <c r="N19" s="145">
        <f>(N14-N18)*N20</f>
        <v>36.295831689056151</v>
      </c>
      <c r="O19" s="145">
        <f>(O14-O18)*O20</f>
        <v>36.295831689056151</v>
      </c>
      <c r="P19" s="53"/>
      <c r="Q19" s="53"/>
      <c r="R19" s="53"/>
      <c r="S19" s="53"/>
      <c r="T19" s="53"/>
      <c r="U19" s="53"/>
      <c r="V19" s="53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</row>
    <row r="20" spans="1:257" s="54" customFormat="1" ht="12.75" customHeight="1" x14ac:dyDescent="0.2">
      <c r="A20" s="10"/>
      <c r="B20" s="407" t="s">
        <v>16</v>
      </c>
      <c r="C20" s="408"/>
      <c r="D20" s="563">
        <f>+'P&amp;L'!AQ138</f>
        <v>0.36699999999999999</v>
      </c>
      <c r="E20" s="902">
        <f>+'P&amp;L'!AW36</f>
        <v>0.35911473382199383</v>
      </c>
      <c r="F20" s="902">
        <f>+'P&amp;L'!BC36</f>
        <v>0.35967911843358052</v>
      </c>
      <c r="G20" s="902">
        <f>+'P&amp;L'!BI36</f>
        <v>0.34279999361812152</v>
      </c>
      <c r="H20" s="902">
        <f>+'P&amp;L'!BO36</f>
        <v>0.22107998566924264</v>
      </c>
      <c r="I20" s="902">
        <f>+'P&amp;L'!BU36</f>
        <v>0.20105566185201401</v>
      </c>
      <c r="J20" s="902">
        <f>+'P&amp;L'!CA36</f>
        <v>0.16999999999999985</v>
      </c>
      <c r="K20" s="902">
        <f>+'P&amp;L'!CG36</f>
        <v>0.18999999999999995</v>
      </c>
      <c r="L20" s="902">
        <f>+'P&amp;L'!CM36</f>
        <v>0.2099999999999998</v>
      </c>
      <c r="M20" s="902">
        <f>+'P&amp;L'!CS36</f>
        <v>0.23000000000000004</v>
      </c>
      <c r="N20" s="563">
        <f>M20</f>
        <v>0.23000000000000004</v>
      </c>
      <c r="O20" s="563">
        <f>+M20</f>
        <v>0.23000000000000004</v>
      </c>
      <c r="P20" s="10"/>
      <c r="Q20" s="10"/>
      <c r="R20" s="10"/>
      <c r="S20" s="10"/>
      <c r="T20" s="10"/>
      <c r="U20" s="10"/>
      <c r="V20" s="1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</row>
    <row r="21" spans="1:257" s="54" customFormat="1" ht="12.75" customHeight="1" x14ac:dyDescent="0.2">
      <c r="A21" s="10"/>
      <c r="B21" s="146" t="s">
        <v>17</v>
      </c>
      <c r="C21" s="146"/>
      <c r="D21" s="147">
        <f t="shared" ref="D21:J21" si="10">D14-D18-D19</f>
        <v>144.44806800000003</v>
      </c>
      <c r="E21" s="147">
        <f t="shared" si="10"/>
        <v>186.93597797986553</v>
      </c>
      <c r="F21" s="147">
        <f t="shared" si="10"/>
        <v>107.23577143416415</v>
      </c>
      <c r="G21" s="147">
        <f t="shared" si="10"/>
        <v>118.05850647386126</v>
      </c>
      <c r="H21" s="147">
        <f t="shared" si="10"/>
        <v>75.731760875247886</v>
      </c>
      <c r="I21" s="147">
        <f t="shared" si="10"/>
        <v>84.022703465093443</v>
      </c>
      <c r="J21" s="147">
        <f t="shared" si="10"/>
        <v>98.083920147991108</v>
      </c>
      <c r="K21" s="147">
        <f t="shared" ref="K21" si="11">K14-K18-K19</f>
        <v>105.39248670107305</v>
      </c>
      <c r="L21" s="147">
        <f>L14-L18-L19</f>
        <v>112.94857066821316</v>
      </c>
      <c r="M21" s="147">
        <f>M14-M18-M19</f>
        <v>121.51213217640534</v>
      </c>
      <c r="N21" s="147">
        <f>N14-N18-N19</f>
        <v>121.51213217640534</v>
      </c>
      <c r="O21" s="147">
        <f>O14-O18-O19</f>
        <v>121.51213217640534</v>
      </c>
      <c r="P21" s="10"/>
      <c r="Q21" s="10"/>
      <c r="R21" s="10"/>
      <c r="S21" s="10"/>
      <c r="T21" s="10"/>
      <c r="U21" s="10"/>
      <c r="V21" s="10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</row>
    <row r="22" spans="1:257" s="54" customFormat="1" ht="4.5" customHeight="1" x14ac:dyDescent="0.2">
      <c r="A22" s="53"/>
      <c r="B22" s="148"/>
      <c r="C22" s="148"/>
      <c r="D22" s="149"/>
      <c r="E22" s="149"/>
      <c r="F22" s="53"/>
      <c r="G22" s="53"/>
      <c r="H22" s="53"/>
      <c r="I22" s="53"/>
      <c r="J22" s="53"/>
      <c r="K22" s="47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</row>
    <row r="23" spans="1:257" s="54" customFormat="1" ht="12.75" customHeight="1" x14ac:dyDescent="0.2">
      <c r="A23" s="10"/>
      <c r="B23" s="150" t="s">
        <v>19</v>
      </c>
      <c r="C23" s="151"/>
      <c r="D23" s="152">
        <f>'Cash Flow'!AQ9</f>
        <v>8.8889999999999993</v>
      </c>
      <c r="E23" s="903">
        <f>'Cash Flow'!AW9</f>
        <v>13.819000000000001</v>
      </c>
      <c r="F23" s="903">
        <f>'Cash Flow'!BC9</f>
        <v>25</v>
      </c>
      <c r="G23" s="903">
        <f>'Cash Flow'!BI9</f>
        <v>26.7</v>
      </c>
      <c r="H23" s="903">
        <f>'Cash Flow'!BO9</f>
        <v>48.3</v>
      </c>
      <c r="I23" s="903">
        <f>'Cash Flow'!BU9</f>
        <v>52.849782999443349</v>
      </c>
      <c r="J23" s="903">
        <f>'Cash Flow'!CA9</f>
        <v>54.601160524984159</v>
      </c>
      <c r="K23" s="903">
        <f>'Cash Flow'!CG9</f>
        <v>56.838817983818274</v>
      </c>
      <c r="L23" s="903">
        <f>'Cash Flow'!CM9</f>
        <v>58.658335847668837</v>
      </c>
      <c r="M23" s="903">
        <f>'Cash Flow'!CS9</f>
        <v>60.609699464165288</v>
      </c>
      <c r="N23" s="152">
        <f>+N$12*$G$63</f>
        <v>58.300664369427523</v>
      </c>
      <c r="O23" s="152">
        <f>0.95*N23</f>
        <v>55.385631150956144</v>
      </c>
      <c r="P23" s="10"/>
      <c r="Q23" s="10"/>
      <c r="R23" s="10"/>
      <c r="S23" s="10"/>
      <c r="T23" s="10"/>
      <c r="U23" s="10"/>
      <c r="V23" s="10"/>
    </row>
    <row r="24" spans="1:257" s="54" customFormat="1" ht="12.75" customHeight="1" x14ac:dyDescent="0.2">
      <c r="A24" s="10"/>
      <c r="B24" s="153" t="s">
        <v>311</v>
      </c>
      <c r="C24" s="154"/>
      <c r="D24" s="155"/>
      <c r="E24" s="578">
        <f t="shared" ref="E24:J30" si="12">+E23/E$12</f>
        <v>1.7757280754957493E-2</v>
      </c>
      <c r="F24" s="578">
        <f t="shared" si="12"/>
        <v>3.4573894155348998E-2</v>
      </c>
      <c r="G24" s="578">
        <f t="shared" si="12"/>
        <v>3.5418721012501903E-2</v>
      </c>
      <c r="H24" s="578">
        <f t="shared" si="12"/>
        <v>6.2611269428629934E-2</v>
      </c>
      <c r="I24" s="578">
        <f t="shared" si="12"/>
        <v>6.8529017349131333E-2</v>
      </c>
      <c r="J24" s="578">
        <f t="shared" si="12"/>
        <v>6.8453213559581019E-2</v>
      </c>
      <c r="K24" s="578">
        <f t="shared" ref="K24" si="13">+K23/K$12</f>
        <v>6.7348700238992962E-2</v>
      </c>
      <c r="L24" s="578">
        <f>+L23/L$12</f>
        <v>6.4841672736017056E-2</v>
      </c>
      <c r="M24" s="578">
        <f>+M23/M$12</f>
        <v>6.2376338369085828E-2</v>
      </c>
      <c r="N24" s="578">
        <f>+N23/N$12</f>
        <v>0.06</v>
      </c>
      <c r="O24" s="578">
        <f>+O23/O$12</f>
        <v>5.6999999999999995E-2</v>
      </c>
      <c r="P24" s="10"/>
      <c r="Q24" s="10"/>
      <c r="R24" s="10"/>
      <c r="S24" s="10"/>
      <c r="T24" s="10"/>
      <c r="U24" s="10"/>
      <c r="V24" s="10"/>
    </row>
    <row r="25" spans="1:257" s="54" customFormat="1" ht="12.75" customHeight="1" x14ac:dyDescent="0.2">
      <c r="A25" s="10"/>
      <c r="B25" s="409" t="s">
        <v>20</v>
      </c>
      <c r="C25" s="151"/>
      <c r="D25" s="410">
        <f>+'Cash Flow'!AQ19</f>
        <v>-41.025000000000006</v>
      </c>
      <c r="E25" s="904">
        <f>+'Cash Flow'!AW19</f>
        <v>-59.973000000000006</v>
      </c>
      <c r="F25" s="904">
        <f>+'Cash Flow'!BC19</f>
        <v>-40.700000000000003</v>
      </c>
      <c r="G25" s="904">
        <f>+'Cash Flow'!BI19</f>
        <v>-65.400000000000006</v>
      </c>
      <c r="H25" s="904">
        <f>+'Cash Flow'!BO19</f>
        <v>-36.6</v>
      </c>
      <c r="I25" s="904">
        <f>+'Cash Flow'!BU19</f>
        <v>-10.127360936064829</v>
      </c>
      <c r="J25" s="904">
        <f>+'Cash Flow'!CA19</f>
        <v>-2.0878840520689121</v>
      </c>
      <c r="K25" s="903">
        <f>+'Cash Flow'!CG19</f>
        <v>-1.4533837264602556</v>
      </c>
      <c r="L25" s="903">
        <f>+'Cash Flow'!CM19</f>
        <v>-1.8577717895952746</v>
      </c>
      <c r="M25" s="903">
        <f>+'Cash Flow'!CS19</f>
        <v>-1.9301348142692096</v>
      </c>
      <c r="N25" s="152">
        <f>+N$12*$G$65</f>
        <v>4.8583886974522938</v>
      </c>
      <c r="O25" s="152">
        <f>+O$12*$G$65</f>
        <v>4.8583886974522938</v>
      </c>
      <c r="P25" s="10"/>
      <c r="Q25" s="10"/>
      <c r="R25" s="10"/>
      <c r="S25" s="10"/>
      <c r="T25" s="10"/>
      <c r="U25" s="10"/>
      <c r="V25" s="10"/>
    </row>
    <row r="26" spans="1:257" s="54" customFormat="1" ht="12.75" customHeight="1" x14ac:dyDescent="0.2">
      <c r="A26" s="10"/>
      <c r="B26" s="153" t="s">
        <v>311</v>
      </c>
      <c r="C26" s="154"/>
      <c r="D26" s="155"/>
      <c r="E26" s="578">
        <f t="shared" si="12"/>
        <v>-7.7064722390698739E-2</v>
      </c>
      <c r="F26" s="578">
        <f t="shared" si="12"/>
        <v>-5.628629968490817E-2</v>
      </c>
      <c r="G26" s="578">
        <f t="shared" si="12"/>
        <v>-8.6755968322757476E-2</v>
      </c>
      <c r="H26" s="578">
        <f t="shared" si="12"/>
        <v>-4.7444564411756852E-2</v>
      </c>
      <c r="I26" s="578">
        <f t="shared" si="12"/>
        <v>-1.3131900528254041E-2</v>
      </c>
      <c r="J26" s="578">
        <f t="shared" si="12"/>
        <v>-2.6175702408105191E-3</v>
      </c>
      <c r="K26" s="578">
        <f t="shared" ref="K26" si="14">+K25/K$12</f>
        <v>-1.7221242171761779E-3</v>
      </c>
      <c r="L26" s="578">
        <f>+L25/L$12</f>
        <v>-2.053604635357701E-3</v>
      </c>
      <c r="M26" s="578">
        <f>+M25/M$12</f>
        <v>-1.9863939821049715E-3</v>
      </c>
      <c r="N26" s="578">
        <f>+N25/N$12</f>
        <v>5.0000000000000001E-3</v>
      </c>
      <c r="O26" s="578">
        <f>+M26</f>
        <v>-1.9863939821049715E-3</v>
      </c>
      <c r="P26" s="10"/>
      <c r="Q26" s="10"/>
      <c r="R26" s="10"/>
      <c r="S26" s="10"/>
      <c r="T26" s="10"/>
      <c r="U26" s="10"/>
      <c r="V26" s="10"/>
    </row>
    <row r="27" spans="1:257" s="54" customFormat="1" ht="12.75" customHeight="1" x14ac:dyDescent="0.2">
      <c r="A27" s="10"/>
      <c r="B27" s="718" t="s">
        <v>21</v>
      </c>
      <c r="C27" s="719"/>
      <c r="D27" s="410">
        <f>+'Cash Flow'!AQ30</f>
        <v>-11.372999999999999</v>
      </c>
      <c r="E27" s="904">
        <f>+'Cash Flow'!AW30</f>
        <v>-14.271000000000001</v>
      </c>
      <c r="F27" s="904">
        <f>+'Cash Flow'!BC30</f>
        <v>-23.9</v>
      </c>
      <c r="G27" s="904">
        <f>+'Cash Flow'!BI30</f>
        <v>-5</v>
      </c>
      <c r="H27" s="904">
        <f>+'Cash Flow'!BO30</f>
        <v>-6.1</v>
      </c>
      <c r="I27" s="904">
        <f>+'Cash Flow'!BU30</f>
        <v>-13.376349203337021</v>
      </c>
      <c r="J27" s="904">
        <f>+'Cash Flow'!CA30</f>
        <v>-15.952840688029884</v>
      </c>
      <c r="K27" s="904">
        <f>+'Cash Flow'!CG30</f>
        <v>-16.878965082361077</v>
      </c>
      <c r="L27" s="904">
        <f>+'Cash Flow'!CM30</f>
        <v>-18.092789211801559</v>
      </c>
      <c r="M27" s="904">
        <f>+'Cash Flow'!CS30</f>
        <v>-19.433554789809175</v>
      </c>
      <c r="N27" s="410">
        <f>+$G$64*N$12</f>
        <v>-19.433554789809175</v>
      </c>
      <c r="O27" s="410">
        <f>+$G$64*O$12</f>
        <v>-19.433554789809175</v>
      </c>
      <c r="P27" s="10"/>
      <c r="Q27" s="10"/>
      <c r="R27" s="10"/>
      <c r="S27" s="10"/>
      <c r="T27" s="10"/>
      <c r="U27" s="10"/>
      <c r="V27" s="10"/>
    </row>
    <row r="28" spans="1:257" s="54" customFormat="1" ht="12.75" customHeight="1" x14ac:dyDescent="0.2">
      <c r="A28" s="10"/>
      <c r="B28" s="720" t="s">
        <v>311</v>
      </c>
      <c r="C28" s="408"/>
      <c r="D28" s="721"/>
      <c r="E28" s="722">
        <f t="shared" si="12"/>
        <v>-1.8338096363991488E-2</v>
      </c>
      <c r="F28" s="722">
        <f t="shared" si="12"/>
        <v>-3.305264281251364E-2</v>
      </c>
      <c r="G28" s="722">
        <f t="shared" si="12"/>
        <v>-6.6327192907306935E-3</v>
      </c>
      <c r="H28" s="722">
        <f t="shared" si="12"/>
        <v>-7.9074274019594742E-3</v>
      </c>
      <c r="I28" s="722">
        <f t="shared" si="12"/>
        <v>-1.7344783925284553E-2</v>
      </c>
      <c r="J28" s="722">
        <f t="shared" si="12"/>
        <v>-1.9999999999999997E-2</v>
      </c>
      <c r="K28" s="722">
        <f t="shared" ref="K28" si="15">+K27/K$12</f>
        <v>-1.9999999999999997E-2</v>
      </c>
      <c r="L28" s="722">
        <f>+L27/L$12</f>
        <v>-0.02</v>
      </c>
      <c r="M28" s="722">
        <f>+M27/M$12</f>
        <v>-0.02</v>
      </c>
      <c r="N28" s="722">
        <f>+N27/N$12</f>
        <v>-0.02</v>
      </c>
      <c r="O28" s="722">
        <f>+O27/O$12</f>
        <v>-0.02</v>
      </c>
      <c r="P28" s="10"/>
      <c r="Q28" s="10"/>
      <c r="R28" s="10"/>
      <c r="S28" s="10"/>
      <c r="T28" s="10"/>
      <c r="U28" s="10"/>
      <c r="V28" s="10"/>
    </row>
    <row r="29" spans="1:257" s="54" customFormat="1" ht="12.75" customHeight="1" x14ac:dyDescent="0.2">
      <c r="A29" s="10"/>
      <c r="B29" s="140" t="s">
        <v>22</v>
      </c>
      <c r="C29" s="140"/>
      <c r="D29" s="141">
        <f>+D27+D25+D23+D21</f>
        <v>100.93906800000003</v>
      </c>
      <c r="E29" s="141">
        <f t="shared" ref="E29:O29" si="16">+E27+E25+E23+E21</f>
        <v>126.51097797986553</v>
      </c>
      <c r="F29" s="141">
        <f t="shared" si="16"/>
        <v>67.635771434164155</v>
      </c>
      <c r="G29" s="141">
        <f t="shared" si="16"/>
        <v>74.358506473861254</v>
      </c>
      <c r="H29" s="141">
        <f t="shared" si="16"/>
        <v>81.33176087524788</v>
      </c>
      <c r="I29" s="141">
        <f t="shared" si="16"/>
        <v>113.36877632513495</v>
      </c>
      <c r="J29" s="141">
        <f>+J27+J25+J23+J21</f>
        <v>134.64435593287646</v>
      </c>
      <c r="K29" s="141">
        <f>+K27+K25+K23+K21</f>
        <v>143.89895587606998</v>
      </c>
      <c r="L29" s="141">
        <f t="shared" si="16"/>
        <v>151.65634551448517</v>
      </c>
      <c r="M29" s="141">
        <f>+M27+M25+M23+M21</f>
        <v>160.75814203649225</v>
      </c>
      <c r="N29" s="141">
        <f>+N27+N25+N23+N21</f>
        <v>165.23763045347599</v>
      </c>
      <c r="O29" s="141">
        <f t="shared" si="16"/>
        <v>162.32259723500459</v>
      </c>
      <c r="P29" s="10"/>
      <c r="Q29" s="10"/>
      <c r="R29" s="10"/>
      <c r="S29" s="10"/>
      <c r="T29" s="10"/>
      <c r="U29" s="10"/>
      <c r="V29" s="10"/>
    </row>
    <row r="30" spans="1:257" s="54" customFormat="1" ht="12.75" customHeight="1" x14ac:dyDescent="0.2">
      <c r="A30" s="10"/>
      <c r="B30" s="153" t="s">
        <v>311</v>
      </c>
      <c r="C30" s="154"/>
      <c r="D30" s="155"/>
      <c r="E30" s="578">
        <f t="shared" si="12"/>
        <v>0.16256537770987173</v>
      </c>
      <c r="F30" s="578">
        <f t="shared" si="12"/>
        <v>9.3537280107206744E-2</v>
      </c>
      <c r="G30" s="578">
        <f t="shared" si="12"/>
        <v>9.8639820063820535E-2</v>
      </c>
      <c r="H30" s="578">
        <f t="shared" si="12"/>
        <v>0.10543032698271322</v>
      </c>
      <c r="I30" s="578">
        <f t="shared" si="12"/>
        <v>0.14700251162274008</v>
      </c>
      <c r="J30" s="578">
        <f t="shared" si="12"/>
        <v>0.16880298445392988</v>
      </c>
      <c r="K30" s="578">
        <f t="shared" ref="K30" si="17">+K29/K$12</f>
        <v>0.17050684704176303</v>
      </c>
      <c r="L30" s="578">
        <f>+L29/L$12</f>
        <v>0.16764285897451656</v>
      </c>
      <c r="M30" s="578">
        <f>+M29/M$12</f>
        <v>0.16544388690101383</v>
      </c>
      <c r="N30" s="578">
        <f>+N29/N$12</f>
        <v>0.17005394251403297</v>
      </c>
      <c r="O30" s="578">
        <f>+O29/O$12</f>
        <v>0.16705394251403297</v>
      </c>
      <c r="P30" s="10"/>
      <c r="Q30" s="10"/>
      <c r="R30" s="10"/>
      <c r="S30" s="10"/>
      <c r="T30" s="10"/>
      <c r="U30" s="10"/>
      <c r="V30" s="10"/>
    </row>
    <row r="31" spans="1:257" s="54" customFormat="1" ht="12.75" customHeight="1" x14ac:dyDescent="0.2">
      <c r="A31" s="10"/>
      <c r="B31" s="153" t="s">
        <v>23</v>
      </c>
      <c r="C31" s="154"/>
      <c r="D31" s="155"/>
      <c r="E31" s="578">
        <f t="shared" ref="E31:K31" si="18">E29/D29-1</f>
        <v>0.25334006432341427</v>
      </c>
      <c r="F31" s="578">
        <f t="shared" si="18"/>
        <v>-0.46537626604286841</v>
      </c>
      <c r="G31" s="578">
        <f t="shared" si="18"/>
        <v>9.9396146405174468E-2</v>
      </c>
      <c r="H31" s="578">
        <f t="shared" si="18"/>
        <v>9.3778838925952401E-2</v>
      </c>
      <c r="I31" s="578">
        <f t="shared" si="18"/>
        <v>0.393905346510665</v>
      </c>
      <c r="J31" s="578">
        <f t="shared" si="18"/>
        <v>0.18766701288831422</v>
      </c>
      <c r="K31" s="578">
        <f t="shared" si="18"/>
        <v>6.8733664170870679E-2</v>
      </c>
      <c r="L31" s="578">
        <f>L29/K29-1</f>
        <v>5.3908588781534261E-2</v>
      </c>
      <c r="M31" s="578">
        <f>M29/L29-1</f>
        <v>6.001592937723621E-2</v>
      </c>
      <c r="N31" s="578">
        <f>N29/M29-1</f>
        <v>2.7864768528905293E-2</v>
      </c>
      <c r="O31" s="578">
        <f>O29/M29-1</f>
        <v>9.7317322699412845E-3</v>
      </c>
      <c r="P31" s="10"/>
      <c r="Q31" s="10"/>
      <c r="R31" s="10"/>
      <c r="S31" s="10"/>
      <c r="T31" s="10"/>
      <c r="U31" s="10"/>
      <c r="V31" s="10"/>
    </row>
    <row r="32" spans="1:257" s="54" customFormat="1" ht="12.75" hidden="1" customHeight="1" outlineLevel="1" x14ac:dyDescent="0.2">
      <c r="A32" s="10"/>
      <c r="B32" s="413"/>
      <c r="C32" s="408"/>
      <c r="D32" s="565"/>
      <c r="E32" s="565"/>
      <c r="F32" s="564"/>
      <c r="G32" s="564"/>
      <c r="H32" s="564"/>
      <c r="I32" s="564"/>
      <c r="J32" s="564"/>
      <c r="K32" s="837"/>
      <c r="L32" s="564"/>
      <c r="M32" s="564"/>
      <c r="N32" s="564"/>
      <c r="O32" s="564"/>
      <c r="P32" s="10"/>
      <c r="Q32" s="10"/>
      <c r="R32" s="10"/>
      <c r="S32" s="10"/>
      <c r="T32" s="10"/>
      <c r="U32" s="10"/>
      <c r="V32" s="10"/>
    </row>
    <row r="33" spans="1:25" s="54" customFormat="1" ht="12.75" hidden="1" customHeight="1" outlineLevel="2" x14ac:dyDescent="0.2">
      <c r="A33" s="53"/>
      <c r="B33" s="156" t="s">
        <v>24</v>
      </c>
      <c r="C33" s="156"/>
      <c r="D33" s="157">
        <f t="shared" ref="D33:J33" si="19">1/((1+$G$59)^D9)</f>
        <v>1</v>
      </c>
      <c r="E33" s="157">
        <f t="shared" si="19"/>
        <v>1</v>
      </c>
      <c r="F33" s="157">
        <f t="shared" si="19"/>
        <v>1</v>
      </c>
      <c r="G33" s="157">
        <f t="shared" si="19"/>
        <v>1</v>
      </c>
      <c r="H33" s="157">
        <f t="shared" si="19"/>
        <v>1</v>
      </c>
      <c r="I33" s="157">
        <f t="shared" si="19"/>
        <v>1</v>
      </c>
      <c r="J33" s="157">
        <f t="shared" si="19"/>
        <v>0.93017718014927486</v>
      </c>
      <c r="K33" s="157">
        <f t="shared" ref="K33" si="20">1/((1+$G$59)^K9)</f>
        <v>0.86522958647045645</v>
      </c>
      <c r="L33" s="157">
        <f>1/((1+$G$59)^L9)</f>
        <v>0.80481681692481233</v>
      </c>
      <c r="M33" s="157">
        <f>1/((1+$G$59)^M9)</f>
        <v>0.74862223730383703</v>
      </c>
      <c r="N33" s="157">
        <f>1/((1+$G$59)^N9)</f>
        <v>0.69635132169232439</v>
      </c>
      <c r="O33" s="157"/>
      <c r="P33" s="53"/>
      <c r="Q33" s="53"/>
      <c r="R33" s="53"/>
      <c r="S33" s="53"/>
      <c r="T33" s="53"/>
      <c r="U33" s="53"/>
      <c r="V33" s="53"/>
    </row>
    <row r="34" spans="1:25" s="54" customFormat="1" ht="12.75" hidden="1" customHeight="1" outlineLevel="2" x14ac:dyDescent="0.2">
      <c r="A34" s="53"/>
      <c r="B34" s="156"/>
      <c r="C34" s="156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53"/>
      <c r="Q34" s="53"/>
      <c r="R34" s="53"/>
      <c r="S34" s="53"/>
      <c r="T34" s="53"/>
      <c r="U34" s="53"/>
      <c r="V34" s="53"/>
    </row>
    <row r="35" spans="1:25" s="54" customFormat="1" ht="12.75" customHeight="1" collapsed="1" x14ac:dyDescent="0.2">
      <c r="A35" s="10"/>
      <c r="B35" s="595" t="s">
        <v>25</v>
      </c>
      <c r="C35" s="595"/>
      <c r="D35" s="596">
        <f t="shared" ref="D35:J35" si="21">D29*D33*D10</f>
        <v>0</v>
      </c>
      <c r="E35" s="596">
        <f t="shared" si="21"/>
        <v>0</v>
      </c>
      <c r="F35" s="596">
        <f t="shared" si="21"/>
        <v>0</v>
      </c>
      <c r="G35" s="596">
        <f t="shared" si="21"/>
        <v>0</v>
      </c>
      <c r="H35" s="596">
        <f t="shared" si="21"/>
        <v>0</v>
      </c>
      <c r="I35" s="596">
        <f t="shared" si="21"/>
        <v>113.36877632513495</v>
      </c>
      <c r="J35" s="596">
        <f t="shared" si="21"/>
        <v>125.24310732465831</v>
      </c>
      <c r="K35" s="596">
        <f t="shared" ref="K35" si="22">K29*K33*K10</f>
        <v>124.50563408618248</v>
      </c>
      <c r="L35" s="596">
        <f>L29*L33*L10</f>
        <v>122.05557726341749</v>
      </c>
      <c r="M35" s="596">
        <f>M29*M33*M10</f>
        <v>120.34711995616684</v>
      </c>
      <c r="N35" s="596">
        <f>N29*N33*N10</f>
        <v>115.06344235958588</v>
      </c>
      <c r="O35" s="596">
        <f>O29*O33*O10</f>
        <v>0</v>
      </c>
      <c r="P35" s="10"/>
      <c r="Q35" s="10"/>
      <c r="R35" s="10"/>
      <c r="S35" s="10"/>
      <c r="T35" s="10"/>
      <c r="U35" s="10"/>
      <c r="V35" s="10"/>
    </row>
    <row r="36" spans="1:25" s="54" customFormat="1" ht="12.75" customHeight="1" x14ac:dyDescent="0.2">
      <c r="A36" s="10"/>
      <c r="B36" s="154"/>
      <c r="C36" s="154"/>
      <c r="D36" s="158"/>
      <c r="E36"/>
      <c r="F36" s="159"/>
      <c r="G36" s="159"/>
      <c r="H36" s="159"/>
      <c r="I36" s="159"/>
      <c r="J36" s="159"/>
      <c r="K36" s="159"/>
      <c r="L36" s="159"/>
      <c r="M36" s="159"/>
      <c r="N36" s="159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</row>
    <row r="37" spans="1:25" s="54" customFormat="1" ht="12.75" customHeight="1" x14ac:dyDescent="0.2">
      <c r="A37" s="10"/>
      <c r="B37" s="580" t="s">
        <v>309</v>
      </c>
      <c r="C37" s="581"/>
      <c r="D37" s="727"/>
      <c r="E37" s="581"/>
      <c r="F37" s="581"/>
      <c r="G37" s="581"/>
      <c r="H37" s="159"/>
      <c r="I37" s="159"/>
      <c r="J37" s="159"/>
      <c r="K37" s="159"/>
      <c r="L37" s="159"/>
      <c r="M37" s="159"/>
      <c r="N37" s="159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</row>
    <row r="38" spans="1:25" s="54" customFormat="1" ht="12.75" customHeight="1" x14ac:dyDescent="0.2">
      <c r="A38" s="53"/>
      <c r="B38" s="156" t="s">
        <v>26</v>
      </c>
      <c r="C38" s="156"/>
      <c r="E38" s="161"/>
      <c r="F38" s="161"/>
      <c r="G38" s="161">
        <f>SUM(G35:N35)</f>
        <v>720.58365731514596</v>
      </c>
      <c r="H38" s="162"/>
      <c r="I38" s="162"/>
      <c r="J38" s="162"/>
      <c r="K38" s="162"/>
      <c r="L38" s="162"/>
      <c r="M38" s="162"/>
      <c r="N38" s="162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</row>
    <row r="39" spans="1:25" s="54" customFormat="1" ht="12.75" customHeight="1" x14ac:dyDescent="0.2">
      <c r="A39" s="53"/>
      <c r="B39" s="415" t="s">
        <v>27</v>
      </c>
      <c r="C39" s="413"/>
      <c r="D39" s="591"/>
      <c r="E39" s="416"/>
      <c r="F39" s="416"/>
      <c r="G39" s="416">
        <f>(((O29*(1+G67))/(G59-G67))/(1+G59)^(N9))*N10</f>
        <v>1505.829094174655</v>
      </c>
      <c r="H39" s="162"/>
      <c r="I39" s="162"/>
      <c r="J39" s="162"/>
      <c r="K39" s="162"/>
      <c r="L39" s="162"/>
      <c r="M39" s="162"/>
      <c r="N39" s="162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</row>
    <row r="40" spans="1:25" s="54" customFormat="1" ht="12.75" hidden="1" customHeight="1" outlineLevel="1" x14ac:dyDescent="0.2">
      <c r="A40" s="53"/>
      <c r="B40" s="163" t="s">
        <v>28</v>
      </c>
      <c r="C40" s="156"/>
      <c r="D40" s="161"/>
      <c r="E40" s="161"/>
      <c r="F40" s="161"/>
      <c r="G40" s="161">
        <v>0</v>
      </c>
      <c r="H40" s="162"/>
      <c r="I40" s="162"/>
      <c r="J40" s="162"/>
      <c r="K40" s="162"/>
      <c r="L40" s="162"/>
      <c r="M40" s="162"/>
      <c r="N40" s="162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</row>
    <row r="41" spans="1:25" s="54" customFormat="1" ht="12.75" hidden="1" customHeight="1" outlineLevel="1" x14ac:dyDescent="0.2">
      <c r="A41" s="53"/>
      <c r="B41" s="415" t="s">
        <v>29</v>
      </c>
      <c r="C41" s="413"/>
      <c r="D41" s="416"/>
      <c r="E41" s="416"/>
      <c r="F41" s="416"/>
      <c r="G41" s="416">
        <v>0</v>
      </c>
      <c r="H41" s="162"/>
      <c r="I41" s="162"/>
      <c r="J41" s="162"/>
      <c r="K41" s="162"/>
      <c r="L41" s="162"/>
      <c r="M41" s="162"/>
      <c r="N41" s="162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</row>
    <row r="42" spans="1:25" s="54" customFormat="1" ht="12.75" customHeight="1" collapsed="1" x14ac:dyDescent="0.2">
      <c r="A42" s="53"/>
      <c r="B42" s="164" t="s">
        <v>366</v>
      </c>
      <c r="C42" s="156"/>
      <c r="D42" s="161"/>
      <c r="E42" s="161"/>
      <c r="F42" s="161"/>
      <c r="G42" s="161">
        <f>SUM(G38:G41)</f>
        <v>2226.4127514898009</v>
      </c>
      <c r="H42" s="162"/>
      <c r="I42" s="162"/>
      <c r="J42" s="162"/>
      <c r="K42" s="162"/>
      <c r="L42" s="162"/>
      <c r="M42" s="162"/>
      <c r="N42" s="162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</row>
    <row r="43" spans="1:25" s="54" customFormat="1" ht="4.5" customHeight="1" x14ac:dyDescent="0.2">
      <c r="A43" s="53"/>
      <c r="B43" s="156"/>
      <c r="C43" s="156"/>
      <c r="D43" s="161"/>
      <c r="E43" s="161"/>
      <c r="F43" s="161"/>
      <c r="G43" s="161"/>
      <c r="H43" s="162"/>
      <c r="I43" s="10"/>
      <c r="J43" s="10"/>
      <c r="K43" s="10"/>
      <c r="L43" s="10"/>
      <c r="M43" s="10"/>
      <c r="N43" s="10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</row>
    <row r="44" spans="1:25" s="54" customFormat="1" ht="12.75" customHeight="1" x14ac:dyDescent="0.2">
      <c r="A44" s="53"/>
      <c r="B44" s="415" t="s">
        <v>367</v>
      </c>
      <c r="C44" s="413"/>
      <c r="D44" s="416"/>
      <c r="E44" s="416"/>
      <c r="F44" s="416"/>
      <c r="G44" s="857">
        <f>+'Bal Sht'!BU51</f>
        <v>-155.53473985192443</v>
      </c>
      <c r="H44" s="162"/>
      <c r="I44" s="10"/>
      <c r="J44" s="10"/>
      <c r="K44" s="10"/>
      <c r="L44" s="10"/>
      <c r="M44" s="10"/>
      <c r="N44" s="10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</row>
    <row r="45" spans="1:25" s="54" customFormat="1" ht="12.75" customHeight="1" x14ac:dyDescent="0.2">
      <c r="A45" s="53"/>
      <c r="B45" s="164" t="s">
        <v>30</v>
      </c>
      <c r="C45" s="156"/>
      <c r="D45" s="161"/>
      <c r="E45" s="161"/>
      <c r="F45" s="161"/>
      <c r="G45" s="161">
        <f>G42-G44</f>
        <v>2381.9474913417253</v>
      </c>
      <c r="H45" s="162"/>
      <c r="I45" s="592"/>
      <c r="J45" s="10"/>
      <c r="K45" s="10"/>
      <c r="L45" s="10"/>
      <c r="M45" s="10"/>
      <c r="N45" s="10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</row>
    <row r="46" spans="1:25" s="54" customFormat="1" ht="12.75" customHeight="1" x14ac:dyDescent="0.2">
      <c r="A46" s="53"/>
      <c r="B46" s="164" t="s">
        <v>307</v>
      </c>
      <c r="C46" s="156"/>
      <c r="D46" s="39"/>
      <c r="E46" s="39"/>
      <c r="F46" s="39"/>
      <c r="G46" s="676">
        <f>'P&amp;L'!BU42</f>
        <v>71.667338068648434</v>
      </c>
      <c r="H46" s="162"/>
      <c r="I46" s="593"/>
      <c r="J46" s="10"/>
      <c r="K46" s="10"/>
      <c r="L46" s="10"/>
      <c r="M46" s="10"/>
      <c r="N46" s="10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</row>
    <row r="47" spans="1:25" s="54" customFormat="1" ht="12.75" customHeight="1" x14ac:dyDescent="0.2">
      <c r="A47" s="53"/>
      <c r="B47" s="164" t="s">
        <v>31</v>
      </c>
      <c r="C47" s="156"/>
      <c r="E47" s="589"/>
      <c r="F47" s="590"/>
      <c r="G47" s="331">
        <f>G45/G46</f>
        <v>33.236165253690807</v>
      </c>
      <c r="H47" s="162"/>
      <c r="I47" s="744"/>
      <c r="J47" s="10"/>
      <c r="K47" s="10"/>
      <c r="L47" s="10"/>
      <c r="M47" s="10"/>
      <c r="N47" s="10"/>
      <c r="P47" s="53"/>
      <c r="Q47" s="53"/>
      <c r="R47" s="53"/>
      <c r="S47" s="53"/>
      <c r="T47" s="53"/>
      <c r="U47" s="53"/>
      <c r="V47" s="53"/>
      <c r="W47" s="53"/>
      <c r="X47" s="53"/>
      <c r="Y47" s="53"/>
    </row>
    <row r="48" spans="1:25" s="54" customFormat="1" ht="12.75" customHeight="1" x14ac:dyDescent="0.2">
      <c r="A48" s="53"/>
      <c r="B48" s="156"/>
      <c r="C48" s="156"/>
      <c r="E48" s="160"/>
      <c r="F48" s="160"/>
      <c r="G48" s="160"/>
      <c r="H48" s="162"/>
      <c r="I48" s="594"/>
      <c r="J48" s="10"/>
      <c r="K48" s="10"/>
      <c r="L48" s="10"/>
      <c r="M48" s="10"/>
      <c r="N48" s="10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</row>
    <row r="49" spans="1:25" s="54" customFormat="1" ht="12.75" customHeight="1" x14ac:dyDescent="0.2">
      <c r="A49" s="53"/>
      <c r="B49" s="580" t="s">
        <v>32</v>
      </c>
      <c r="C49" s="581"/>
      <c r="D49" s="587"/>
      <c r="E49" s="581"/>
      <c r="F49" s="581"/>
      <c r="G49" s="581"/>
      <c r="H49" s="162"/>
      <c r="I49" s="162"/>
      <c r="J49" s="162"/>
      <c r="K49" s="162"/>
      <c r="L49" s="162"/>
      <c r="M49" s="162"/>
      <c r="N49" s="162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</row>
    <row r="50" spans="1:25" s="54" customFormat="1" ht="12.75" customHeight="1" x14ac:dyDescent="0.2">
      <c r="A50" s="53"/>
      <c r="B50" s="156" t="s">
        <v>33</v>
      </c>
      <c r="C50" s="156"/>
      <c r="E50" s="566"/>
      <c r="F50" s="566"/>
      <c r="G50" s="745">
        <v>1.1499999999999999</v>
      </c>
      <c r="H50" s="162"/>
      <c r="I50" s="162"/>
      <c r="J50" s="162"/>
      <c r="K50" s="162"/>
      <c r="L50" s="162"/>
      <c r="M50" s="162"/>
      <c r="N50" s="162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</row>
    <row r="51" spans="1:25" s="54" customFormat="1" ht="12.75" customHeight="1" x14ac:dyDescent="0.2">
      <c r="A51" s="53"/>
      <c r="B51" s="156" t="s">
        <v>350</v>
      </c>
      <c r="C51" s="156"/>
      <c r="E51" s="567"/>
      <c r="F51" s="567"/>
      <c r="G51" s="746">
        <v>0.03</v>
      </c>
      <c r="H51" s="162"/>
      <c r="I51" s="162"/>
      <c r="J51" s="162"/>
      <c r="K51" s="162"/>
      <c r="L51" s="162"/>
      <c r="M51" s="162"/>
      <c r="N51" s="162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</row>
    <row r="52" spans="1:25" s="54" customFormat="1" ht="12.75" customHeight="1" x14ac:dyDescent="0.2">
      <c r="A52" s="53"/>
      <c r="B52" s="156" t="s">
        <v>34</v>
      </c>
      <c r="C52" s="156"/>
      <c r="E52" s="567"/>
      <c r="F52" s="567"/>
      <c r="G52" s="746">
        <v>0.05</v>
      </c>
      <c r="H52" s="162"/>
      <c r="I52" s="162"/>
      <c r="J52" s="162"/>
      <c r="K52" s="162"/>
      <c r="L52" s="162"/>
      <c r="M52" s="162"/>
      <c r="N52" s="162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</row>
    <row r="53" spans="1:25" s="54" customFormat="1" ht="12.75" customHeight="1" x14ac:dyDescent="0.2">
      <c r="A53" s="53"/>
      <c r="B53" s="568" t="s">
        <v>35</v>
      </c>
      <c r="C53" s="156"/>
      <c r="E53" s="569"/>
      <c r="F53" s="569"/>
      <c r="G53" s="569">
        <f>G51+(G50*G52)</f>
        <v>8.7499999999999994E-2</v>
      </c>
      <c r="H53" s="162"/>
      <c r="I53" s="162"/>
      <c r="J53" s="162"/>
      <c r="K53" s="162"/>
      <c r="L53" s="162"/>
      <c r="M53" s="162"/>
      <c r="N53" s="162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</row>
    <row r="54" spans="1:25" s="54" customFormat="1" ht="12.75" customHeight="1" x14ac:dyDescent="0.2">
      <c r="A54" s="53"/>
      <c r="B54" s="156" t="s">
        <v>36</v>
      </c>
      <c r="C54" s="156"/>
      <c r="E54" s="567"/>
      <c r="F54" s="567"/>
      <c r="G54" s="567">
        <v>0.04</v>
      </c>
      <c r="H54" s="162"/>
      <c r="I54" s="162"/>
      <c r="J54" s="162"/>
      <c r="K54" s="162"/>
      <c r="L54" s="162"/>
      <c r="M54" s="162"/>
      <c r="N54" s="162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</row>
    <row r="55" spans="1:25" s="54" customFormat="1" ht="12.75" customHeight="1" x14ac:dyDescent="0.2">
      <c r="A55" s="53"/>
      <c r="B55" s="156" t="s">
        <v>37</v>
      </c>
      <c r="C55" s="156"/>
      <c r="E55" s="570"/>
      <c r="F55" s="570"/>
      <c r="G55" s="570">
        <f>+'P&amp;L'!AW138</f>
        <v>0.36699999999999999</v>
      </c>
      <c r="H55" s="162"/>
      <c r="I55" s="162"/>
      <c r="J55" s="162"/>
      <c r="K55" s="162"/>
      <c r="L55" s="162"/>
      <c r="M55" s="162"/>
      <c r="N55" s="162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</row>
    <row r="56" spans="1:25" s="54" customFormat="1" ht="12.75" customHeight="1" x14ac:dyDescent="0.2">
      <c r="A56" s="53"/>
      <c r="B56" s="568" t="s">
        <v>38</v>
      </c>
      <c r="C56" s="156"/>
      <c r="E56" s="569"/>
      <c r="F56" s="569"/>
      <c r="G56" s="569">
        <f>G54*(1-G55)</f>
        <v>2.5320000000000002E-2</v>
      </c>
      <c r="H56" s="162"/>
      <c r="I56" s="162"/>
      <c r="J56" s="162"/>
      <c r="K56" s="162"/>
      <c r="L56" s="162"/>
      <c r="M56" s="162"/>
      <c r="N56" s="162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</row>
    <row r="57" spans="1:25" s="54" customFormat="1" ht="12.75" customHeight="1" x14ac:dyDescent="0.2">
      <c r="A57" s="53"/>
      <c r="B57" s="156" t="s">
        <v>39</v>
      </c>
      <c r="C57" s="156"/>
      <c r="E57" s="567"/>
      <c r="F57" s="567"/>
      <c r="G57" s="567">
        <v>0.2</v>
      </c>
      <c r="H57" s="162"/>
      <c r="I57" s="162"/>
      <c r="J57" s="162"/>
      <c r="K57" s="162"/>
      <c r="L57" s="162"/>
      <c r="M57" s="162"/>
      <c r="N57" s="162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</row>
    <row r="58" spans="1:25" s="54" customFormat="1" ht="12.75" customHeight="1" x14ac:dyDescent="0.2">
      <c r="A58" s="53"/>
      <c r="B58" s="156" t="s">
        <v>40</v>
      </c>
      <c r="C58" s="156"/>
      <c r="D58" s="570"/>
      <c r="E58" s="570"/>
      <c r="F58" s="570"/>
      <c r="G58" s="570">
        <f>1-G57</f>
        <v>0.8</v>
      </c>
      <c r="H58" s="162"/>
      <c r="I58" s="162"/>
      <c r="J58" s="162"/>
      <c r="K58" s="162"/>
      <c r="L58" s="162"/>
      <c r="M58" s="162"/>
      <c r="N58" s="162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</row>
    <row r="59" spans="1:25" s="54" customFormat="1" ht="12.75" customHeight="1" x14ac:dyDescent="0.2">
      <c r="A59" s="53"/>
      <c r="B59" s="571" t="s">
        <v>41</v>
      </c>
      <c r="C59" s="413"/>
      <c r="D59" s="588"/>
      <c r="E59" s="588"/>
      <c r="F59" s="588"/>
      <c r="G59" s="414">
        <f>G57*G56+G58*G53</f>
        <v>7.5063999999999992E-2</v>
      </c>
      <c r="H59" s="162"/>
      <c r="I59" s="162"/>
      <c r="J59" s="162"/>
      <c r="K59" s="162"/>
      <c r="L59" s="502"/>
      <c r="M59" s="502"/>
      <c r="N59" s="502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</row>
    <row r="60" spans="1:25" s="54" customFormat="1" ht="12.75" customHeight="1" x14ac:dyDescent="0.2">
      <c r="A60" s="53"/>
      <c r="B60" s="156"/>
      <c r="C60" s="156"/>
      <c r="D60" s="160"/>
      <c r="E60" s="160"/>
      <c r="F60" s="160"/>
      <c r="G60" s="160"/>
      <c r="H60" s="162"/>
      <c r="I60" s="162"/>
      <c r="J60" s="162"/>
      <c r="K60" s="162"/>
      <c r="L60" s="162"/>
      <c r="M60" s="162"/>
      <c r="N60" s="162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</row>
    <row r="61" spans="1:25" s="54" customFormat="1" ht="12.75" customHeight="1" x14ac:dyDescent="0.2">
      <c r="A61" s="53"/>
      <c r="B61" s="580" t="s">
        <v>308</v>
      </c>
      <c r="C61" s="581"/>
      <c r="D61" s="727"/>
      <c r="E61" s="581"/>
      <c r="F61" s="581"/>
      <c r="G61" s="581"/>
      <c r="H61" s="162"/>
      <c r="I61" s="162"/>
      <c r="J61" s="162"/>
      <c r="K61" s="162"/>
      <c r="L61" s="162"/>
      <c r="M61" s="162"/>
      <c r="N61" s="162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</row>
    <row r="62" spans="1:25" s="54" customFormat="1" ht="12.75" customHeight="1" x14ac:dyDescent="0.2">
      <c r="A62" s="53"/>
      <c r="B62" s="156" t="s">
        <v>352</v>
      </c>
      <c r="C62" s="156"/>
      <c r="E62" s="567"/>
      <c r="F62" s="567"/>
      <c r="G62" s="567">
        <v>0</v>
      </c>
      <c r="H62" s="162"/>
      <c r="I62" s="162"/>
      <c r="J62" s="162"/>
      <c r="K62" s="162"/>
      <c r="L62" s="162"/>
      <c r="M62" s="162"/>
      <c r="N62" s="162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</row>
    <row r="63" spans="1:25" s="54" customFormat="1" ht="12.75" customHeight="1" x14ac:dyDescent="0.2">
      <c r="A63" s="53"/>
      <c r="B63" s="156" t="s">
        <v>353</v>
      </c>
      <c r="C63" s="156"/>
      <c r="E63" s="567"/>
      <c r="F63" s="567"/>
      <c r="G63" s="567">
        <v>0.06</v>
      </c>
      <c r="H63" s="162"/>
      <c r="I63" s="162"/>
      <c r="J63" s="162"/>
      <c r="K63" s="162"/>
      <c r="L63" s="162"/>
      <c r="M63" s="162"/>
      <c r="N63" s="162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</row>
    <row r="64" spans="1:25" s="54" customFormat="1" ht="12.75" customHeight="1" x14ac:dyDescent="0.2">
      <c r="A64" s="53"/>
      <c r="B64" s="156" t="s">
        <v>354</v>
      </c>
      <c r="C64" s="156"/>
      <c r="D64" s="167"/>
      <c r="E64" s="567"/>
      <c r="F64" s="567"/>
      <c r="G64" s="567">
        <v>-0.02</v>
      </c>
      <c r="H64" s="162"/>
      <c r="I64" s="162"/>
      <c r="J64" s="162"/>
      <c r="K64" s="162"/>
      <c r="L64" s="162"/>
      <c r="M64" s="162"/>
      <c r="N64" s="162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</row>
    <row r="65" spans="1:25" s="54" customFormat="1" ht="12.75" customHeight="1" x14ac:dyDescent="0.2">
      <c r="A65" s="53"/>
      <c r="B65" s="156" t="s">
        <v>355</v>
      </c>
      <c r="C65" s="156"/>
      <c r="D65" s="167"/>
      <c r="E65" s="567"/>
      <c r="F65" s="567"/>
      <c r="G65" s="567">
        <v>5.0000000000000001E-3</v>
      </c>
      <c r="H65" s="162"/>
      <c r="I65" s="162"/>
      <c r="J65" s="162"/>
      <c r="K65" s="162"/>
      <c r="L65" s="162"/>
      <c r="M65" s="162"/>
      <c r="N65" s="162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</row>
    <row r="66" spans="1:25" s="54" customFormat="1" ht="12.75" customHeight="1" x14ac:dyDescent="0.2">
      <c r="A66" s="53"/>
      <c r="B66" s="156" t="s">
        <v>407</v>
      </c>
      <c r="C66" s="156"/>
      <c r="D66" s="567"/>
      <c r="E66" s="567"/>
      <c r="F66" s="567"/>
      <c r="G66" s="567">
        <v>0</v>
      </c>
      <c r="H66" s="162"/>
      <c r="I66" s="162"/>
      <c r="J66" s="162"/>
      <c r="K66" s="162"/>
      <c r="L66" s="162"/>
      <c r="M66" s="162"/>
      <c r="N66" s="162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</row>
    <row r="67" spans="1:25" s="54" customFormat="1" ht="12.75" customHeight="1" x14ac:dyDescent="0.2">
      <c r="A67" s="53"/>
      <c r="B67" s="413" t="s">
        <v>42</v>
      </c>
      <c r="C67" s="413"/>
      <c r="D67" s="572"/>
      <c r="E67" s="572"/>
      <c r="F67" s="572"/>
      <c r="G67" s="572">
        <v>0</v>
      </c>
      <c r="H67" s="162"/>
      <c r="I67" s="162"/>
      <c r="J67" s="162"/>
      <c r="K67" s="162"/>
      <c r="L67" s="162"/>
      <c r="M67" s="162"/>
      <c r="N67" s="162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</row>
    <row r="68" spans="1:25" s="54" customFormat="1" ht="12.75" customHeight="1" x14ac:dyDescent="0.2">
      <c r="A68" s="53"/>
      <c r="B68" s="156"/>
      <c r="C68" s="156"/>
      <c r="D68" s="160"/>
      <c r="E68" s="160"/>
      <c r="F68" s="162"/>
      <c r="G68" s="162"/>
      <c r="H68" s="162"/>
      <c r="I68" s="162"/>
      <c r="J68" s="162"/>
      <c r="K68" s="162"/>
      <c r="L68" s="162"/>
      <c r="M68" s="162"/>
      <c r="N68" s="162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</row>
    <row r="69" spans="1:25" s="54" customFormat="1" ht="12.75" customHeight="1" x14ac:dyDescent="0.2">
      <c r="A69" s="53"/>
      <c r="H69" s="162"/>
      <c r="I69" s="162"/>
      <c r="J69" s="162"/>
      <c r="K69" s="162"/>
      <c r="L69" s="162"/>
      <c r="M69" s="162"/>
      <c r="N69" s="162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</row>
    <row r="70" spans="1:25" s="54" customFormat="1" ht="12.75" customHeight="1" x14ac:dyDescent="0.2">
      <c r="A70" s="10"/>
      <c r="H70" s="165"/>
      <c r="I70" s="165"/>
      <c r="J70" s="133"/>
      <c r="K70" s="133"/>
      <c r="L70" s="133"/>
      <c r="M70" s="133"/>
      <c r="N70" s="133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</row>
    <row r="71" spans="1:25" s="54" customFormat="1" ht="12.75" customHeight="1" x14ac:dyDescent="0.2">
      <c r="A71" s="10"/>
      <c r="H71" s="165"/>
      <c r="I71" s="165"/>
      <c r="J71" s="133"/>
      <c r="K71" s="133"/>
      <c r="L71" s="133"/>
      <c r="M71" s="133"/>
      <c r="N71" s="133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</row>
    <row r="72" spans="1:25" s="54" customFormat="1" ht="12.75" customHeight="1" x14ac:dyDescent="0.2">
      <c r="A72" s="10"/>
      <c r="H72" s="10"/>
      <c r="I72" s="10"/>
      <c r="J72" s="10"/>
      <c r="K72" s="10"/>
      <c r="L72" s="10"/>
      <c r="M72" s="10"/>
      <c r="N72" s="10"/>
      <c r="O72" s="10"/>
      <c r="P72" s="10"/>
    </row>
    <row r="73" spans="1:25" s="54" customFormat="1" ht="12.75" customHeight="1" x14ac:dyDescent="0.2">
      <c r="A73" s="10"/>
      <c r="H73" s="10"/>
      <c r="I73" s="10"/>
      <c r="J73" s="10"/>
      <c r="K73" s="10"/>
      <c r="L73" s="10"/>
      <c r="M73" s="10"/>
      <c r="N73" s="10"/>
      <c r="O73" s="10"/>
      <c r="P73" s="10"/>
    </row>
    <row r="74" spans="1:25" s="54" customFormat="1" ht="12.75" customHeight="1" x14ac:dyDescent="0.2">
      <c r="A74" s="10"/>
      <c r="H74" s="10"/>
      <c r="I74" s="10"/>
      <c r="J74" s="10"/>
      <c r="K74" s="10"/>
      <c r="L74" s="10"/>
      <c r="M74" s="10"/>
      <c r="N74" s="10"/>
      <c r="O74" s="10"/>
      <c r="P74" s="10"/>
    </row>
    <row r="75" spans="1:25" s="54" customFormat="1" ht="12.75" customHeight="1" x14ac:dyDescent="0.2">
      <c r="A75" s="10"/>
      <c r="H75" s="10"/>
      <c r="I75" s="10"/>
      <c r="J75" s="10"/>
      <c r="K75" s="10"/>
      <c r="L75" s="10"/>
      <c r="M75" s="10"/>
      <c r="N75" s="10"/>
      <c r="O75" s="10"/>
      <c r="P75" s="10"/>
    </row>
    <row r="76" spans="1:25" s="54" customFormat="1" ht="12.75" customHeight="1" x14ac:dyDescent="0.2">
      <c r="A76" s="136"/>
      <c r="H76" s="10"/>
      <c r="I76" s="10"/>
      <c r="J76" s="10"/>
      <c r="K76" s="10"/>
      <c r="L76" s="10"/>
      <c r="M76" s="10"/>
      <c r="N76" s="10"/>
      <c r="O76" s="10"/>
      <c r="P76" s="10"/>
    </row>
    <row r="77" spans="1:25" s="54" customFormat="1" ht="12.75" customHeight="1" x14ac:dyDescent="0.2">
      <c r="A77" s="10"/>
      <c r="B77" s="133"/>
      <c r="C77" s="133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</row>
    <row r="78" spans="1:25" s="54" customFormat="1" ht="12.75" customHeight="1" x14ac:dyDescent="0.2">
      <c r="A78" s="10"/>
      <c r="B78" s="133"/>
      <c r="C78" s="133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</row>
    <row r="79" spans="1:25" s="54" customFormat="1" ht="12.75" customHeight="1" x14ac:dyDescent="0.2">
      <c r="A79" s="10"/>
      <c r="B79" s="133"/>
      <c r="C79" s="133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</row>
    <row r="80" spans="1:25" s="54" customFormat="1" ht="12.75" customHeight="1" x14ac:dyDescent="0.2">
      <c r="A80" s="10"/>
      <c r="B80" s="133"/>
      <c r="C80" s="133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</row>
    <row r="81" spans="1:16" s="54" customFormat="1" ht="12.75" customHeight="1" x14ac:dyDescent="0.2">
      <c r="A81" s="10"/>
      <c r="B81" s="133"/>
      <c r="C81" s="133"/>
      <c r="D81" s="166"/>
      <c r="E81" s="166"/>
      <c r="F81" s="166"/>
      <c r="G81" s="166"/>
      <c r="H81" s="133"/>
      <c r="I81" s="133"/>
      <c r="J81" s="133"/>
      <c r="K81" s="133"/>
      <c r="L81" s="133"/>
      <c r="M81" s="133"/>
      <c r="N81" s="133"/>
      <c r="O81" s="10"/>
      <c r="P81" s="10"/>
    </row>
  </sheetData>
  <phoneticPr fontId="13" type="noConversion"/>
  <printOptions horizontalCentered="1" verticalCentered="1"/>
  <pageMargins left="0" right="0" top="0" bottom="0" header="0" footer="0"/>
  <pageSetup paperSize="5" scale="85" orientation="landscape" r:id="rId1"/>
  <headerFooter alignWithMargins="0"/>
  <ignoredErrors>
    <ignoredError sqref="E31:J31 D20:D22 O20 O26 M21:M22 M24 K20 L20:N20" unlockedFormula="1"/>
    <ignoredError sqref="E21:I22 J21 E20:J20 O28:O29 O21:O22 M28:M29 O25 M26" formula="1" unlockedFormula="1"/>
    <ignoredError sqref="L21:L22 E24:J24 E29:I29 L29 E23:J23 L24 E25:I28 J25:J28 J29:K29 K25:K28 L28 L26 L25:M25 L27:M27 N25:N29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Drop Down 3">
              <controlPr defaultSize="0" autoLine="0" autoPict="0">
                <anchor moveWithCells="1">
                  <from>
                    <xdr:col>21</xdr:col>
                    <xdr:colOff>104775</xdr:colOff>
                    <xdr:row>38</xdr:row>
                    <xdr:rowOff>114300</xdr:rowOff>
                  </from>
                  <to>
                    <xdr:col>21</xdr:col>
                    <xdr:colOff>400050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Drop Down 6">
              <controlPr defaultSize="0" autoLine="0" autoPict="0">
                <anchor moveWithCells="1">
                  <from>
                    <xdr:col>0</xdr:col>
                    <xdr:colOff>104775</xdr:colOff>
                    <xdr:row>1</xdr:row>
                    <xdr:rowOff>28575</xdr:rowOff>
                  </from>
                  <to>
                    <xdr:col>1</xdr:col>
                    <xdr:colOff>285750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3"/>
  <sheetViews>
    <sheetView workbookViewId="0">
      <selection activeCell="B42" sqref="B42"/>
    </sheetView>
  </sheetViews>
  <sheetFormatPr defaultRowHeight="12.75" x14ac:dyDescent="0.2"/>
  <cols>
    <col min="1" max="1" width="29.5703125" style="917" bestFit="1" customWidth="1"/>
    <col min="2" max="2" width="19.85546875" style="939" customWidth="1"/>
    <col min="3" max="3" width="12" style="917" bestFit="1" customWidth="1"/>
    <col min="4" max="256" width="9.140625" style="917"/>
    <col min="257" max="257" width="29.5703125" style="917" bestFit="1" customWidth="1"/>
    <col min="258" max="258" width="19.85546875" style="917" customWidth="1"/>
    <col min="259" max="259" width="12" style="917" bestFit="1" customWidth="1"/>
    <col min="260" max="512" width="9.140625" style="917"/>
    <col min="513" max="513" width="29.5703125" style="917" bestFit="1" customWidth="1"/>
    <col min="514" max="514" width="19.85546875" style="917" customWidth="1"/>
    <col min="515" max="515" width="12" style="917" bestFit="1" customWidth="1"/>
    <col min="516" max="768" width="9.140625" style="917"/>
    <col min="769" max="769" width="29.5703125" style="917" bestFit="1" customWidth="1"/>
    <col min="770" max="770" width="19.85546875" style="917" customWidth="1"/>
    <col min="771" max="771" width="12" style="917" bestFit="1" customWidth="1"/>
    <col min="772" max="1024" width="9.140625" style="917"/>
    <col min="1025" max="1025" width="29.5703125" style="917" bestFit="1" customWidth="1"/>
    <col min="1026" max="1026" width="19.85546875" style="917" customWidth="1"/>
    <col min="1027" max="1027" width="12" style="917" bestFit="1" customWidth="1"/>
    <col min="1028" max="1280" width="9.140625" style="917"/>
    <col min="1281" max="1281" width="29.5703125" style="917" bestFit="1" customWidth="1"/>
    <col min="1282" max="1282" width="19.85546875" style="917" customWidth="1"/>
    <col min="1283" max="1283" width="12" style="917" bestFit="1" customWidth="1"/>
    <col min="1284" max="1536" width="9.140625" style="917"/>
    <col min="1537" max="1537" width="29.5703125" style="917" bestFit="1" customWidth="1"/>
    <col min="1538" max="1538" width="19.85546875" style="917" customWidth="1"/>
    <col min="1539" max="1539" width="12" style="917" bestFit="1" customWidth="1"/>
    <col min="1540" max="1792" width="9.140625" style="917"/>
    <col min="1793" max="1793" width="29.5703125" style="917" bestFit="1" customWidth="1"/>
    <col min="1794" max="1794" width="19.85546875" style="917" customWidth="1"/>
    <col min="1795" max="1795" width="12" style="917" bestFit="1" customWidth="1"/>
    <col min="1796" max="2048" width="9.140625" style="917"/>
    <col min="2049" max="2049" width="29.5703125" style="917" bestFit="1" customWidth="1"/>
    <col min="2050" max="2050" width="19.85546875" style="917" customWidth="1"/>
    <col min="2051" max="2051" width="12" style="917" bestFit="1" customWidth="1"/>
    <col min="2052" max="2304" width="9.140625" style="917"/>
    <col min="2305" max="2305" width="29.5703125" style="917" bestFit="1" customWidth="1"/>
    <col min="2306" max="2306" width="19.85546875" style="917" customWidth="1"/>
    <col min="2307" max="2307" width="12" style="917" bestFit="1" customWidth="1"/>
    <col min="2308" max="2560" width="9.140625" style="917"/>
    <col min="2561" max="2561" width="29.5703125" style="917" bestFit="1" customWidth="1"/>
    <col min="2562" max="2562" width="19.85546875" style="917" customWidth="1"/>
    <col min="2563" max="2563" width="12" style="917" bestFit="1" customWidth="1"/>
    <col min="2564" max="2816" width="9.140625" style="917"/>
    <col min="2817" max="2817" width="29.5703125" style="917" bestFit="1" customWidth="1"/>
    <col min="2818" max="2818" width="19.85546875" style="917" customWidth="1"/>
    <col min="2819" max="2819" width="12" style="917" bestFit="1" customWidth="1"/>
    <col min="2820" max="3072" width="9.140625" style="917"/>
    <col min="3073" max="3073" width="29.5703125" style="917" bestFit="1" customWidth="1"/>
    <col min="3074" max="3074" width="19.85546875" style="917" customWidth="1"/>
    <col min="3075" max="3075" width="12" style="917" bestFit="1" customWidth="1"/>
    <col min="3076" max="3328" width="9.140625" style="917"/>
    <col min="3329" max="3329" width="29.5703125" style="917" bestFit="1" customWidth="1"/>
    <col min="3330" max="3330" width="19.85546875" style="917" customWidth="1"/>
    <col min="3331" max="3331" width="12" style="917" bestFit="1" customWidth="1"/>
    <col min="3332" max="3584" width="9.140625" style="917"/>
    <col min="3585" max="3585" width="29.5703125" style="917" bestFit="1" customWidth="1"/>
    <col min="3586" max="3586" width="19.85546875" style="917" customWidth="1"/>
    <col min="3587" max="3587" width="12" style="917" bestFit="1" customWidth="1"/>
    <col min="3588" max="3840" width="9.140625" style="917"/>
    <col min="3841" max="3841" width="29.5703125" style="917" bestFit="1" customWidth="1"/>
    <col min="3842" max="3842" width="19.85546875" style="917" customWidth="1"/>
    <col min="3843" max="3843" width="12" style="917" bestFit="1" customWidth="1"/>
    <col min="3844" max="4096" width="9.140625" style="917"/>
    <col min="4097" max="4097" width="29.5703125" style="917" bestFit="1" customWidth="1"/>
    <col min="4098" max="4098" width="19.85546875" style="917" customWidth="1"/>
    <col min="4099" max="4099" width="12" style="917" bestFit="1" customWidth="1"/>
    <col min="4100" max="4352" width="9.140625" style="917"/>
    <col min="4353" max="4353" width="29.5703125" style="917" bestFit="1" customWidth="1"/>
    <col min="4354" max="4354" width="19.85546875" style="917" customWidth="1"/>
    <col min="4355" max="4355" width="12" style="917" bestFit="1" customWidth="1"/>
    <col min="4356" max="4608" width="9.140625" style="917"/>
    <col min="4609" max="4609" width="29.5703125" style="917" bestFit="1" customWidth="1"/>
    <col min="4610" max="4610" width="19.85546875" style="917" customWidth="1"/>
    <col min="4611" max="4611" width="12" style="917" bestFit="1" customWidth="1"/>
    <col min="4612" max="4864" width="9.140625" style="917"/>
    <col min="4865" max="4865" width="29.5703125" style="917" bestFit="1" customWidth="1"/>
    <col min="4866" max="4866" width="19.85546875" style="917" customWidth="1"/>
    <col min="4867" max="4867" width="12" style="917" bestFit="1" customWidth="1"/>
    <col min="4868" max="5120" width="9.140625" style="917"/>
    <col min="5121" max="5121" width="29.5703125" style="917" bestFit="1" customWidth="1"/>
    <col min="5122" max="5122" width="19.85546875" style="917" customWidth="1"/>
    <col min="5123" max="5123" width="12" style="917" bestFit="1" customWidth="1"/>
    <col min="5124" max="5376" width="9.140625" style="917"/>
    <col min="5377" max="5377" width="29.5703125" style="917" bestFit="1" customWidth="1"/>
    <col min="5378" max="5378" width="19.85546875" style="917" customWidth="1"/>
    <col min="5379" max="5379" width="12" style="917" bestFit="1" customWidth="1"/>
    <col min="5380" max="5632" width="9.140625" style="917"/>
    <col min="5633" max="5633" width="29.5703125" style="917" bestFit="1" customWidth="1"/>
    <col min="5634" max="5634" width="19.85546875" style="917" customWidth="1"/>
    <col min="5635" max="5635" width="12" style="917" bestFit="1" customWidth="1"/>
    <col min="5636" max="5888" width="9.140625" style="917"/>
    <col min="5889" max="5889" width="29.5703125" style="917" bestFit="1" customWidth="1"/>
    <col min="5890" max="5890" width="19.85546875" style="917" customWidth="1"/>
    <col min="5891" max="5891" width="12" style="917" bestFit="1" customWidth="1"/>
    <col min="5892" max="6144" width="9.140625" style="917"/>
    <col min="6145" max="6145" width="29.5703125" style="917" bestFit="1" customWidth="1"/>
    <col min="6146" max="6146" width="19.85546875" style="917" customWidth="1"/>
    <col min="6147" max="6147" width="12" style="917" bestFit="1" customWidth="1"/>
    <col min="6148" max="6400" width="9.140625" style="917"/>
    <col min="6401" max="6401" width="29.5703125" style="917" bestFit="1" customWidth="1"/>
    <col min="6402" max="6402" width="19.85546875" style="917" customWidth="1"/>
    <col min="6403" max="6403" width="12" style="917" bestFit="1" customWidth="1"/>
    <col min="6404" max="6656" width="9.140625" style="917"/>
    <col min="6657" max="6657" width="29.5703125" style="917" bestFit="1" customWidth="1"/>
    <col min="6658" max="6658" width="19.85546875" style="917" customWidth="1"/>
    <col min="6659" max="6659" width="12" style="917" bestFit="1" customWidth="1"/>
    <col min="6660" max="6912" width="9.140625" style="917"/>
    <col min="6913" max="6913" width="29.5703125" style="917" bestFit="1" customWidth="1"/>
    <col min="6914" max="6914" width="19.85546875" style="917" customWidth="1"/>
    <col min="6915" max="6915" width="12" style="917" bestFit="1" customWidth="1"/>
    <col min="6916" max="7168" width="9.140625" style="917"/>
    <col min="7169" max="7169" width="29.5703125" style="917" bestFit="1" customWidth="1"/>
    <col min="7170" max="7170" width="19.85546875" style="917" customWidth="1"/>
    <col min="7171" max="7171" width="12" style="917" bestFit="1" customWidth="1"/>
    <col min="7172" max="7424" width="9.140625" style="917"/>
    <col min="7425" max="7425" width="29.5703125" style="917" bestFit="1" customWidth="1"/>
    <col min="7426" max="7426" width="19.85546875" style="917" customWidth="1"/>
    <col min="7427" max="7427" width="12" style="917" bestFit="1" customWidth="1"/>
    <col min="7428" max="7680" width="9.140625" style="917"/>
    <col min="7681" max="7681" width="29.5703125" style="917" bestFit="1" customWidth="1"/>
    <col min="7682" max="7682" width="19.85546875" style="917" customWidth="1"/>
    <col min="7683" max="7683" width="12" style="917" bestFit="1" customWidth="1"/>
    <col min="7684" max="7936" width="9.140625" style="917"/>
    <col min="7937" max="7937" width="29.5703125" style="917" bestFit="1" customWidth="1"/>
    <col min="7938" max="7938" width="19.85546875" style="917" customWidth="1"/>
    <col min="7939" max="7939" width="12" style="917" bestFit="1" customWidth="1"/>
    <col min="7940" max="8192" width="9.140625" style="917"/>
    <col min="8193" max="8193" width="29.5703125" style="917" bestFit="1" customWidth="1"/>
    <col min="8194" max="8194" width="19.85546875" style="917" customWidth="1"/>
    <col min="8195" max="8195" width="12" style="917" bestFit="1" customWidth="1"/>
    <col min="8196" max="8448" width="9.140625" style="917"/>
    <col min="8449" max="8449" width="29.5703125" style="917" bestFit="1" customWidth="1"/>
    <col min="8450" max="8450" width="19.85546875" style="917" customWidth="1"/>
    <col min="8451" max="8451" width="12" style="917" bestFit="1" customWidth="1"/>
    <col min="8452" max="8704" width="9.140625" style="917"/>
    <col min="8705" max="8705" width="29.5703125" style="917" bestFit="1" customWidth="1"/>
    <col min="8706" max="8706" width="19.85546875" style="917" customWidth="1"/>
    <col min="8707" max="8707" width="12" style="917" bestFit="1" customWidth="1"/>
    <col min="8708" max="8960" width="9.140625" style="917"/>
    <col min="8961" max="8961" width="29.5703125" style="917" bestFit="1" customWidth="1"/>
    <col min="8962" max="8962" width="19.85546875" style="917" customWidth="1"/>
    <col min="8963" max="8963" width="12" style="917" bestFit="1" customWidth="1"/>
    <col min="8964" max="9216" width="9.140625" style="917"/>
    <col min="9217" max="9217" width="29.5703125" style="917" bestFit="1" customWidth="1"/>
    <col min="9218" max="9218" width="19.85546875" style="917" customWidth="1"/>
    <col min="9219" max="9219" width="12" style="917" bestFit="1" customWidth="1"/>
    <col min="9220" max="9472" width="9.140625" style="917"/>
    <col min="9473" max="9473" width="29.5703125" style="917" bestFit="1" customWidth="1"/>
    <col min="9474" max="9474" width="19.85546875" style="917" customWidth="1"/>
    <col min="9475" max="9475" width="12" style="917" bestFit="1" customWidth="1"/>
    <col min="9476" max="9728" width="9.140625" style="917"/>
    <col min="9729" max="9729" width="29.5703125" style="917" bestFit="1" customWidth="1"/>
    <col min="9730" max="9730" width="19.85546875" style="917" customWidth="1"/>
    <col min="9731" max="9731" width="12" style="917" bestFit="1" customWidth="1"/>
    <col min="9732" max="9984" width="9.140625" style="917"/>
    <col min="9985" max="9985" width="29.5703125" style="917" bestFit="1" customWidth="1"/>
    <col min="9986" max="9986" width="19.85546875" style="917" customWidth="1"/>
    <col min="9987" max="9987" width="12" style="917" bestFit="1" customWidth="1"/>
    <col min="9988" max="10240" width="9.140625" style="917"/>
    <col min="10241" max="10241" width="29.5703125" style="917" bestFit="1" customWidth="1"/>
    <col min="10242" max="10242" width="19.85546875" style="917" customWidth="1"/>
    <col min="10243" max="10243" width="12" style="917" bestFit="1" customWidth="1"/>
    <col min="10244" max="10496" width="9.140625" style="917"/>
    <col min="10497" max="10497" width="29.5703125" style="917" bestFit="1" customWidth="1"/>
    <col min="10498" max="10498" width="19.85546875" style="917" customWidth="1"/>
    <col min="10499" max="10499" width="12" style="917" bestFit="1" customWidth="1"/>
    <col min="10500" max="10752" width="9.140625" style="917"/>
    <col min="10753" max="10753" width="29.5703125" style="917" bestFit="1" customWidth="1"/>
    <col min="10754" max="10754" width="19.85546875" style="917" customWidth="1"/>
    <col min="10755" max="10755" width="12" style="917" bestFit="1" customWidth="1"/>
    <col min="10756" max="11008" width="9.140625" style="917"/>
    <col min="11009" max="11009" width="29.5703125" style="917" bestFit="1" customWidth="1"/>
    <col min="11010" max="11010" width="19.85546875" style="917" customWidth="1"/>
    <col min="11011" max="11011" width="12" style="917" bestFit="1" customWidth="1"/>
    <col min="11012" max="11264" width="9.140625" style="917"/>
    <col min="11265" max="11265" width="29.5703125" style="917" bestFit="1" customWidth="1"/>
    <col min="11266" max="11266" width="19.85546875" style="917" customWidth="1"/>
    <col min="11267" max="11267" width="12" style="917" bestFit="1" customWidth="1"/>
    <col min="11268" max="11520" width="9.140625" style="917"/>
    <col min="11521" max="11521" width="29.5703125" style="917" bestFit="1" customWidth="1"/>
    <col min="11522" max="11522" width="19.85546875" style="917" customWidth="1"/>
    <col min="11523" max="11523" width="12" style="917" bestFit="1" customWidth="1"/>
    <col min="11524" max="11776" width="9.140625" style="917"/>
    <col min="11777" max="11777" width="29.5703125" style="917" bestFit="1" customWidth="1"/>
    <col min="11778" max="11778" width="19.85546875" style="917" customWidth="1"/>
    <col min="11779" max="11779" width="12" style="917" bestFit="1" customWidth="1"/>
    <col min="11780" max="12032" width="9.140625" style="917"/>
    <col min="12033" max="12033" width="29.5703125" style="917" bestFit="1" customWidth="1"/>
    <col min="12034" max="12034" width="19.85546875" style="917" customWidth="1"/>
    <col min="12035" max="12035" width="12" style="917" bestFit="1" customWidth="1"/>
    <col min="12036" max="12288" width="9.140625" style="917"/>
    <col min="12289" max="12289" width="29.5703125" style="917" bestFit="1" customWidth="1"/>
    <col min="12290" max="12290" width="19.85546875" style="917" customWidth="1"/>
    <col min="12291" max="12291" width="12" style="917" bestFit="1" customWidth="1"/>
    <col min="12292" max="12544" width="9.140625" style="917"/>
    <col min="12545" max="12545" width="29.5703125" style="917" bestFit="1" customWidth="1"/>
    <col min="12546" max="12546" width="19.85546875" style="917" customWidth="1"/>
    <col min="12547" max="12547" width="12" style="917" bestFit="1" customWidth="1"/>
    <col min="12548" max="12800" width="9.140625" style="917"/>
    <col min="12801" max="12801" width="29.5703125" style="917" bestFit="1" customWidth="1"/>
    <col min="12802" max="12802" width="19.85546875" style="917" customWidth="1"/>
    <col min="12803" max="12803" width="12" style="917" bestFit="1" customWidth="1"/>
    <col min="12804" max="13056" width="9.140625" style="917"/>
    <col min="13057" max="13057" width="29.5703125" style="917" bestFit="1" customWidth="1"/>
    <col min="13058" max="13058" width="19.85546875" style="917" customWidth="1"/>
    <col min="13059" max="13059" width="12" style="917" bestFit="1" customWidth="1"/>
    <col min="13060" max="13312" width="9.140625" style="917"/>
    <col min="13313" max="13313" width="29.5703125" style="917" bestFit="1" customWidth="1"/>
    <col min="13314" max="13314" width="19.85546875" style="917" customWidth="1"/>
    <col min="13315" max="13315" width="12" style="917" bestFit="1" customWidth="1"/>
    <col min="13316" max="13568" width="9.140625" style="917"/>
    <col min="13569" max="13569" width="29.5703125" style="917" bestFit="1" customWidth="1"/>
    <col min="13570" max="13570" width="19.85546875" style="917" customWidth="1"/>
    <col min="13571" max="13571" width="12" style="917" bestFit="1" customWidth="1"/>
    <col min="13572" max="13824" width="9.140625" style="917"/>
    <col min="13825" max="13825" width="29.5703125" style="917" bestFit="1" customWidth="1"/>
    <col min="13826" max="13826" width="19.85546875" style="917" customWidth="1"/>
    <col min="13827" max="13827" width="12" style="917" bestFit="1" customWidth="1"/>
    <col min="13828" max="14080" width="9.140625" style="917"/>
    <col min="14081" max="14081" width="29.5703125" style="917" bestFit="1" customWidth="1"/>
    <col min="14082" max="14082" width="19.85546875" style="917" customWidth="1"/>
    <col min="14083" max="14083" width="12" style="917" bestFit="1" customWidth="1"/>
    <col min="14084" max="14336" width="9.140625" style="917"/>
    <col min="14337" max="14337" width="29.5703125" style="917" bestFit="1" customWidth="1"/>
    <col min="14338" max="14338" width="19.85546875" style="917" customWidth="1"/>
    <col min="14339" max="14339" width="12" style="917" bestFit="1" customWidth="1"/>
    <col min="14340" max="14592" width="9.140625" style="917"/>
    <col min="14593" max="14593" width="29.5703125" style="917" bestFit="1" customWidth="1"/>
    <col min="14594" max="14594" width="19.85546875" style="917" customWidth="1"/>
    <col min="14595" max="14595" width="12" style="917" bestFit="1" customWidth="1"/>
    <col min="14596" max="14848" width="9.140625" style="917"/>
    <col min="14849" max="14849" width="29.5703125" style="917" bestFit="1" customWidth="1"/>
    <col min="14850" max="14850" width="19.85546875" style="917" customWidth="1"/>
    <col min="14851" max="14851" width="12" style="917" bestFit="1" customWidth="1"/>
    <col min="14852" max="15104" width="9.140625" style="917"/>
    <col min="15105" max="15105" width="29.5703125" style="917" bestFit="1" customWidth="1"/>
    <col min="15106" max="15106" width="19.85546875" style="917" customWidth="1"/>
    <col min="15107" max="15107" width="12" style="917" bestFit="1" customWidth="1"/>
    <col min="15108" max="15360" width="9.140625" style="917"/>
    <col min="15361" max="15361" width="29.5703125" style="917" bestFit="1" customWidth="1"/>
    <col min="15362" max="15362" width="19.85546875" style="917" customWidth="1"/>
    <col min="15363" max="15363" width="12" style="917" bestFit="1" customWidth="1"/>
    <col min="15364" max="15616" width="9.140625" style="917"/>
    <col min="15617" max="15617" width="29.5703125" style="917" bestFit="1" customWidth="1"/>
    <col min="15618" max="15618" width="19.85546875" style="917" customWidth="1"/>
    <col min="15619" max="15619" width="12" style="917" bestFit="1" customWidth="1"/>
    <col min="15620" max="15872" width="9.140625" style="917"/>
    <col min="15873" max="15873" width="29.5703125" style="917" bestFit="1" customWidth="1"/>
    <col min="15874" max="15874" width="19.85546875" style="917" customWidth="1"/>
    <col min="15875" max="15875" width="12" style="917" bestFit="1" customWidth="1"/>
    <col min="15876" max="16128" width="9.140625" style="917"/>
    <col min="16129" max="16129" width="29.5703125" style="917" bestFit="1" customWidth="1"/>
    <col min="16130" max="16130" width="19.85546875" style="917" customWidth="1"/>
    <col min="16131" max="16131" width="12" style="917" bestFit="1" customWidth="1"/>
    <col min="16132" max="16384" width="9.140625" style="917"/>
  </cols>
  <sheetData>
    <row r="1" spans="1:2" x14ac:dyDescent="0.2">
      <c r="A1" s="917" t="s">
        <v>702</v>
      </c>
      <c r="B1" s="938">
        <v>6.1</v>
      </c>
    </row>
    <row r="2" spans="1:2" x14ac:dyDescent="0.2">
      <c r="A2" s="917" t="s">
        <v>703</v>
      </c>
      <c r="B2" s="942">
        <v>43187.616342592592</v>
      </c>
    </row>
    <row r="3" spans="1:2" x14ac:dyDescent="0.2">
      <c r="A3" s="917" t="s">
        <v>704</v>
      </c>
      <c r="B3" s="939" t="s">
        <v>408</v>
      </c>
    </row>
    <row r="4" spans="1:2" x14ac:dyDescent="0.2">
      <c r="A4" s="917" t="s">
        <v>705</v>
      </c>
      <c r="B4" s="939" t="s">
        <v>318</v>
      </c>
    </row>
    <row r="5" spans="1:2" x14ac:dyDescent="0.2">
      <c r="A5" s="917" t="s">
        <v>706</v>
      </c>
      <c r="B5" s="939" t="s">
        <v>707</v>
      </c>
    </row>
    <row r="6" spans="1:2" x14ac:dyDescent="0.2">
      <c r="A6" s="917" t="s">
        <v>708</v>
      </c>
    </row>
    <row r="7" spans="1:2" x14ac:dyDescent="0.2">
      <c r="A7" s="917" t="s">
        <v>709</v>
      </c>
      <c r="B7" s="939" t="s">
        <v>237</v>
      </c>
    </row>
    <row r="8" spans="1:2" x14ac:dyDescent="0.2">
      <c r="A8" s="917" t="s">
        <v>710</v>
      </c>
      <c r="B8" s="939" t="s">
        <v>711</v>
      </c>
    </row>
    <row r="9" spans="1:2" x14ac:dyDescent="0.2">
      <c r="A9" s="917" t="s">
        <v>712</v>
      </c>
      <c r="B9" s="939" t="s">
        <v>749</v>
      </c>
    </row>
    <row r="10" spans="1:2" x14ac:dyDescent="0.2">
      <c r="A10" s="917" t="s">
        <v>713</v>
      </c>
    </row>
    <row r="11" spans="1:2" x14ac:dyDescent="0.2">
      <c r="A11" s="917" t="s">
        <v>714</v>
      </c>
    </row>
    <row r="12" spans="1:2" x14ac:dyDescent="0.2">
      <c r="A12" s="917" t="s">
        <v>715</v>
      </c>
    </row>
    <row r="13" spans="1:2" x14ac:dyDescent="0.2">
      <c r="A13" s="917" t="s">
        <v>716</v>
      </c>
    </row>
    <row r="14" spans="1:2" x14ac:dyDescent="0.2">
      <c r="A14" s="917" t="s">
        <v>717</v>
      </c>
    </row>
    <row r="15" spans="1:2" x14ac:dyDescent="0.2">
      <c r="A15" s="917" t="s">
        <v>718</v>
      </c>
    </row>
    <row r="16" spans="1:2" x14ac:dyDescent="0.2">
      <c r="A16" s="917" t="s">
        <v>719</v>
      </c>
    </row>
    <row r="17" spans="1:4" x14ac:dyDescent="0.2">
      <c r="A17" s="917" t="s">
        <v>720</v>
      </c>
      <c r="B17" s="939" t="s">
        <v>750</v>
      </c>
    </row>
    <row r="18" spans="1:4" x14ac:dyDescent="0.2">
      <c r="A18" s="917" t="s">
        <v>721</v>
      </c>
      <c r="B18" s="939" t="s">
        <v>753</v>
      </c>
    </row>
    <row r="19" spans="1:4" x14ac:dyDescent="0.2">
      <c r="A19" s="917" t="s">
        <v>722</v>
      </c>
      <c r="B19" s="939" t="s">
        <v>280</v>
      </c>
    </row>
    <row r="20" spans="1:4" x14ac:dyDescent="0.2">
      <c r="A20" s="917" t="s">
        <v>723</v>
      </c>
      <c r="B20" s="940" t="s">
        <v>754</v>
      </c>
    </row>
    <row r="21" spans="1:4" x14ac:dyDescent="0.2">
      <c r="A21" s="917" t="s">
        <v>724</v>
      </c>
      <c r="B21" s="939" t="s">
        <v>280</v>
      </c>
    </row>
    <row r="22" spans="1:4" x14ac:dyDescent="0.2">
      <c r="A22" s="917" t="s">
        <v>725</v>
      </c>
      <c r="B22" s="940">
        <v>2614153</v>
      </c>
    </row>
    <row r="23" spans="1:4" x14ac:dyDescent="0.2">
      <c r="A23" s="917" t="s">
        <v>288</v>
      </c>
      <c r="B23" s="938">
        <v>29.94</v>
      </c>
    </row>
    <row r="24" spans="1:4" x14ac:dyDescent="0.2">
      <c r="A24" s="917" t="s">
        <v>287</v>
      </c>
      <c r="B24" s="939" t="s">
        <v>0</v>
      </c>
      <c r="D24" s="917" t="s">
        <v>317</v>
      </c>
    </row>
    <row r="25" spans="1:4" x14ac:dyDescent="0.2">
      <c r="A25" s="917" t="s">
        <v>726</v>
      </c>
      <c r="B25" s="939" t="s">
        <v>755</v>
      </c>
    </row>
    <row r="26" spans="1:4" x14ac:dyDescent="0.2">
      <c r="A26" s="917" t="s">
        <v>727</v>
      </c>
      <c r="B26" s="939">
        <v>0</v>
      </c>
    </row>
    <row r="27" spans="1:4" x14ac:dyDescent="0.2">
      <c r="A27" s="917" t="s">
        <v>728</v>
      </c>
      <c r="B27" s="939" t="s">
        <v>729</v>
      </c>
    </row>
    <row r="28" spans="1:4" x14ac:dyDescent="0.2">
      <c r="A28" s="917" t="s">
        <v>730</v>
      </c>
      <c r="B28" s="939" t="s">
        <v>731</v>
      </c>
    </row>
    <row r="29" spans="1:4" x14ac:dyDescent="0.2">
      <c r="A29" s="917" t="s">
        <v>732</v>
      </c>
    </row>
    <row r="30" spans="1:4" x14ac:dyDescent="0.2">
      <c r="A30" s="917" t="s">
        <v>733</v>
      </c>
    </row>
    <row r="31" spans="1:4" x14ac:dyDescent="0.2">
      <c r="A31" s="917" t="s">
        <v>734</v>
      </c>
    </row>
    <row r="32" spans="1:4" x14ac:dyDescent="0.2">
      <c r="A32" s="917" t="s">
        <v>735</v>
      </c>
      <c r="B32" s="938"/>
    </row>
    <row r="33" spans="1:2" x14ac:dyDescent="0.2">
      <c r="A33" s="917" t="s">
        <v>736</v>
      </c>
      <c r="B33" s="938"/>
    </row>
    <row r="34" spans="1:2" x14ac:dyDescent="0.2">
      <c r="A34" s="917" t="s">
        <v>737</v>
      </c>
      <c r="B34" s="938"/>
    </row>
    <row r="35" spans="1:2" x14ac:dyDescent="0.2">
      <c r="A35" s="917" t="s">
        <v>738</v>
      </c>
      <c r="B35" s="939">
        <v>1000000</v>
      </c>
    </row>
    <row r="36" spans="1:2" x14ac:dyDescent="0.2">
      <c r="A36" s="917" t="s">
        <v>739</v>
      </c>
      <c r="B36" s="939" t="s">
        <v>751</v>
      </c>
    </row>
    <row r="37" spans="1:2" x14ac:dyDescent="0.2">
      <c r="A37" s="917" t="s">
        <v>740</v>
      </c>
      <c r="B37" s="939" t="s">
        <v>741</v>
      </c>
    </row>
    <row r="38" spans="1:2" x14ac:dyDescent="0.2">
      <c r="A38" s="917" t="s">
        <v>742</v>
      </c>
      <c r="B38" s="939" t="s">
        <v>743</v>
      </c>
    </row>
    <row r="39" spans="1:2" x14ac:dyDescent="0.2">
      <c r="A39" s="917" t="s">
        <v>744</v>
      </c>
      <c r="B39" s="939" t="s">
        <v>752</v>
      </c>
    </row>
    <row r="40" spans="1:2" x14ac:dyDescent="0.2">
      <c r="A40" s="917" t="s">
        <v>745</v>
      </c>
      <c r="B40" s="939">
        <v>1500005571</v>
      </c>
    </row>
    <row r="41" spans="1:2" x14ac:dyDescent="0.2">
      <c r="A41" s="917" t="s">
        <v>746</v>
      </c>
      <c r="B41" s="939">
        <v>1</v>
      </c>
    </row>
    <row r="42" spans="1:2" x14ac:dyDescent="0.2">
      <c r="A42" s="941" t="s">
        <v>747</v>
      </c>
    </row>
    <row r="43" spans="1:2" x14ac:dyDescent="0.2">
      <c r="A43" s="917" t="s">
        <v>748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3"/>
  <sheetViews>
    <sheetView workbookViewId="0">
      <selection activeCell="E11" sqref="E11"/>
    </sheetView>
  </sheetViews>
  <sheetFormatPr defaultRowHeight="12.75" x14ac:dyDescent="0.2"/>
  <cols>
    <col min="1" max="1" width="28.5703125" style="917" bestFit="1" customWidth="1"/>
    <col min="2" max="256" width="9.140625" style="917"/>
    <col min="257" max="257" width="28.5703125" style="917" bestFit="1" customWidth="1"/>
    <col min="258" max="512" width="9.140625" style="917"/>
    <col min="513" max="513" width="28.5703125" style="917" bestFit="1" customWidth="1"/>
    <col min="514" max="768" width="9.140625" style="917"/>
    <col min="769" max="769" width="28.5703125" style="917" bestFit="1" customWidth="1"/>
    <col min="770" max="1024" width="9.140625" style="917"/>
    <col min="1025" max="1025" width="28.5703125" style="917" bestFit="1" customWidth="1"/>
    <col min="1026" max="1280" width="9.140625" style="917"/>
    <col min="1281" max="1281" width="28.5703125" style="917" bestFit="1" customWidth="1"/>
    <col min="1282" max="1536" width="9.140625" style="917"/>
    <col min="1537" max="1537" width="28.5703125" style="917" bestFit="1" customWidth="1"/>
    <col min="1538" max="1792" width="9.140625" style="917"/>
    <col min="1793" max="1793" width="28.5703125" style="917" bestFit="1" customWidth="1"/>
    <col min="1794" max="2048" width="9.140625" style="917"/>
    <col min="2049" max="2049" width="28.5703125" style="917" bestFit="1" customWidth="1"/>
    <col min="2050" max="2304" width="9.140625" style="917"/>
    <col min="2305" max="2305" width="28.5703125" style="917" bestFit="1" customWidth="1"/>
    <col min="2306" max="2560" width="9.140625" style="917"/>
    <col min="2561" max="2561" width="28.5703125" style="917" bestFit="1" customWidth="1"/>
    <col min="2562" max="2816" width="9.140625" style="917"/>
    <col min="2817" max="2817" width="28.5703125" style="917" bestFit="1" customWidth="1"/>
    <col min="2818" max="3072" width="9.140625" style="917"/>
    <col min="3073" max="3073" width="28.5703125" style="917" bestFit="1" customWidth="1"/>
    <col min="3074" max="3328" width="9.140625" style="917"/>
    <col min="3329" max="3329" width="28.5703125" style="917" bestFit="1" customWidth="1"/>
    <col min="3330" max="3584" width="9.140625" style="917"/>
    <col min="3585" max="3585" width="28.5703125" style="917" bestFit="1" customWidth="1"/>
    <col min="3586" max="3840" width="9.140625" style="917"/>
    <col min="3841" max="3841" width="28.5703125" style="917" bestFit="1" customWidth="1"/>
    <col min="3842" max="4096" width="9.140625" style="917"/>
    <col min="4097" max="4097" width="28.5703125" style="917" bestFit="1" customWidth="1"/>
    <col min="4098" max="4352" width="9.140625" style="917"/>
    <col min="4353" max="4353" width="28.5703125" style="917" bestFit="1" customWidth="1"/>
    <col min="4354" max="4608" width="9.140625" style="917"/>
    <col min="4609" max="4609" width="28.5703125" style="917" bestFit="1" customWidth="1"/>
    <col min="4610" max="4864" width="9.140625" style="917"/>
    <col min="4865" max="4865" width="28.5703125" style="917" bestFit="1" customWidth="1"/>
    <col min="4866" max="5120" width="9.140625" style="917"/>
    <col min="5121" max="5121" width="28.5703125" style="917" bestFit="1" customWidth="1"/>
    <col min="5122" max="5376" width="9.140625" style="917"/>
    <col min="5377" max="5377" width="28.5703125" style="917" bestFit="1" customWidth="1"/>
    <col min="5378" max="5632" width="9.140625" style="917"/>
    <col min="5633" max="5633" width="28.5703125" style="917" bestFit="1" customWidth="1"/>
    <col min="5634" max="5888" width="9.140625" style="917"/>
    <col min="5889" max="5889" width="28.5703125" style="917" bestFit="1" customWidth="1"/>
    <col min="5890" max="6144" width="9.140625" style="917"/>
    <col min="6145" max="6145" width="28.5703125" style="917" bestFit="1" customWidth="1"/>
    <col min="6146" max="6400" width="9.140625" style="917"/>
    <col min="6401" max="6401" width="28.5703125" style="917" bestFit="1" customWidth="1"/>
    <col min="6402" max="6656" width="9.140625" style="917"/>
    <col min="6657" max="6657" width="28.5703125" style="917" bestFit="1" customWidth="1"/>
    <col min="6658" max="6912" width="9.140625" style="917"/>
    <col min="6913" max="6913" width="28.5703125" style="917" bestFit="1" customWidth="1"/>
    <col min="6914" max="7168" width="9.140625" style="917"/>
    <col min="7169" max="7169" width="28.5703125" style="917" bestFit="1" customWidth="1"/>
    <col min="7170" max="7424" width="9.140625" style="917"/>
    <col min="7425" max="7425" width="28.5703125" style="917" bestFit="1" customWidth="1"/>
    <col min="7426" max="7680" width="9.140625" style="917"/>
    <col min="7681" max="7681" width="28.5703125" style="917" bestFit="1" customWidth="1"/>
    <col min="7682" max="7936" width="9.140625" style="917"/>
    <col min="7937" max="7937" width="28.5703125" style="917" bestFit="1" customWidth="1"/>
    <col min="7938" max="8192" width="9.140625" style="917"/>
    <col min="8193" max="8193" width="28.5703125" style="917" bestFit="1" customWidth="1"/>
    <col min="8194" max="8448" width="9.140625" style="917"/>
    <col min="8449" max="8449" width="28.5703125" style="917" bestFit="1" customWidth="1"/>
    <col min="8450" max="8704" width="9.140625" style="917"/>
    <col min="8705" max="8705" width="28.5703125" style="917" bestFit="1" customWidth="1"/>
    <col min="8706" max="8960" width="9.140625" style="917"/>
    <col min="8961" max="8961" width="28.5703125" style="917" bestFit="1" customWidth="1"/>
    <col min="8962" max="9216" width="9.140625" style="917"/>
    <col min="9217" max="9217" width="28.5703125" style="917" bestFit="1" customWidth="1"/>
    <col min="9218" max="9472" width="9.140625" style="917"/>
    <col min="9473" max="9473" width="28.5703125" style="917" bestFit="1" customWidth="1"/>
    <col min="9474" max="9728" width="9.140625" style="917"/>
    <col min="9729" max="9729" width="28.5703125" style="917" bestFit="1" customWidth="1"/>
    <col min="9730" max="9984" width="9.140625" style="917"/>
    <col min="9985" max="9985" width="28.5703125" style="917" bestFit="1" customWidth="1"/>
    <col min="9986" max="10240" width="9.140625" style="917"/>
    <col min="10241" max="10241" width="28.5703125" style="917" bestFit="1" customWidth="1"/>
    <col min="10242" max="10496" width="9.140625" style="917"/>
    <col min="10497" max="10497" width="28.5703125" style="917" bestFit="1" customWidth="1"/>
    <col min="10498" max="10752" width="9.140625" style="917"/>
    <col min="10753" max="10753" width="28.5703125" style="917" bestFit="1" customWidth="1"/>
    <col min="10754" max="11008" width="9.140625" style="917"/>
    <col min="11009" max="11009" width="28.5703125" style="917" bestFit="1" customWidth="1"/>
    <col min="11010" max="11264" width="9.140625" style="917"/>
    <col min="11265" max="11265" width="28.5703125" style="917" bestFit="1" customWidth="1"/>
    <col min="11266" max="11520" width="9.140625" style="917"/>
    <col min="11521" max="11521" width="28.5703125" style="917" bestFit="1" customWidth="1"/>
    <col min="11522" max="11776" width="9.140625" style="917"/>
    <col min="11777" max="11777" width="28.5703125" style="917" bestFit="1" customWidth="1"/>
    <col min="11778" max="12032" width="9.140625" style="917"/>
    <col min="12033" max="12033" width="28.5703125" style="917" bestFit="1" customWidth="1"/>
    <col min="12034" max="12288" width="9.140625" style="917"/>
    <col min="12289" max="12289" width="28.5703125" style="917" bestFit="1" customWidth="1"/>
    <col min="12290" max="12544" width="9.140625" style="917"/>
    <col min="12545" max="12545" width="28.5703125" style="917" bestFit="1" customWidth="1"/>
    <col min="12546" max="12800" width="9.140625" style="917"/>
    <col min="12801" max="12801" width="28.5703125" style="917" bestFit="1" customWidth="1"/>
    <col min="12802" max="13056" width="9.140625" style="917"/>
    <col min="13057" max="13057" width="28.5703125" style="917" bestFit="1" customWidth="1"/>
    <col min="13058" max="13312" width="9.140625" style="917"/>
    <col min="13313" max="13313" width="28.5703125" style="917" bestFit="1" customWidth="1"/>
    <col min="13314" max="13568" width="9.140625" style="917"/>
    <col min="13569" max="13569" width="28.5703125" style="917" bestFit="1" customWidth="1"/>
    <col min="13570" max="13824" width="9.140625" style="917"/>
    <col min="13825" max="13825" width="28.5703125" style="917" bestFit="1" customWidth="1"/>
    <col min="13826" max="14080" width="9.140625" style="917"/>
    <col min="14081" max="14081" width="28.5703125" style="917" bestFit="1" customWidth="1"/>
    <col min="14082" max="14336" width="9.140625" style="917"/>
    <col min="14337" max="14337" width="28.5703125" style="917" bestFit="1" customWidth="1"/>
    <col min="14338" max="14592" width="9.140625" style="917"/>
    <col min="14593" max="14593" width="28.5703125" style="917" bestFit="1" customWidth="1"/>
    <col min="14594" max="14848" width="9.140625" style="917"/>
    <col min="14849" max="14849" width="28.5703125" style="917" bestFit="1" customWidth="1"/>
    <col min="14850" max="15104" width="9.140625" style="917"/>
    <col min="15105" max="15105" width="28.5703125" style="917" bestFit="1" customWidth="1"/>
    <col min="15106" max="15360" width="9.140625" style="917"/>
    <col min="15361" max="15361" width="28.5703125" style="917" bestFit="1" customWidth="1"/>
    <col min="15362" max="15616" width="9.140625" style="917"/>
    <col min="15617" max="15617" width="28.5703125" style="917" bestFit="1" customWidth="1"/>
    <col min="15618" max="15872" width="9.140625" style="917"/>
    <col min="15873" max="15873" width="28.5703125" style="917" bestFit="1" customWidth="1"/>
    <col min="15874" max="16128" width="9.140625" style="917"/>
    <col min="16129" max="16129" width="28.5703125" style="917" bestFit="1" customWidth="1"/>
    <col min="16130" max="16384" width="9.140625" style="917"/>
  </cols>
  <sheetData>
    <row r="1" spans="1:1" x14ac:dyDescent="0.2">
      <c r="A1" s="943" t="s">
        <v>756</v>
      </c>
    </row>
    <row r="2" spans="1:1" x14ac:dyDescent="0.2">
      <c r="A2" s="943" t="s">
        <v>761</v>
      </c>
    </row>
    <row r="3" spans="1:1" x14ac:dyDescent="0.2">
      <c r="A3" s="943" t="s">
        <v>762</v>
      </c>
    </row>
    <row r="4" spans="1:1" x14ac:dyDescent="0.2">
      <c r="A4" s="943" t="s">
        <v>763</v>
      </c>
    </row>
    <row r="5" spans="1:1" x14ac:dyDescent="0.2">
      <c r="A5" s="943" t="s">
        <v>764</v>
      </c>
    </row>
    <row r="6" spans="1:1" x14ac:dyDescent="0.2">
      <c r="A6" s="943" t="s">
        <v>757</v>
      </c>
    </row>
    <row r="7" spans="1:1" x14ac:dyDescent="0.2">
      <c r="A7" s="943" t="s">
        <v>765</v>
      </c>
    </row>
    <row r="8" spans="1:1" x14ac:dyDescent="0.2">
      <c r="A8" s="943" t="s">
        <v>766</v>
      </c>
    </row>
    <row r="9" spans="1:1" x14ac:dyDescent="0.2">
      <c r="A9" s="943" t="s">
        <v>767</v>
      </c>
    </row>
    <row r="10" spans="1:1" x14ac:dyDescent="0.2">
      <c r="A10" s="943" t="s">
        <v>758</v>
      </c>
    </row>
    <row r="11" spans="1:1" x14ac:dyDescent="0.2">
      <c r="A11" s="943" t="s">
        <v>768</v>
      </c>
    </row>
    <row r="12" spans="1:1" x14ac:dyDescent="0.2">
      <c r="A12" s="943" t="s">
        <v>759</v>
      </c>
    </row>
    <row r="13" spans="1:1" x14ac:dyDescent="0.2">
      <c r="A13" s="943" t="s">
        <v>760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>
  <Link>
    <GUID>2963cf3d-1a73-469d-81cb-3b05a2f19c8b</GUID>
    <SOURCE_ALTADDRESS>$B$2:$R$14</SOURCE_ALTADDRESS>
    <SOURCETYPE>Table</SOURCETYPE>
    <SOURCE_OBJECTNAME>Linking_Range_45</SOURCE_OBJECTNAME>
    <OBJECTTYPE>Native</OBJECTTYPE>
    <SOURCE_SHEETCODE>Sheet12</SOURCE_SHEETCODE>
    <SOURCE_SHEETNAME>Guidance</SOURCE_SHEETNAME>
    <SOURCEAPPLICATION>EXCEL_SOURCE</SOURCEAPPLICATION>
    <UPDATEDAT>10/27/2014 3:53:50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/MSResearch/Content/ExternalAssets/2014-10/Images/GpN5txO6ce-mixEi_zq1A--.png</TARGET_BINARYFULLNAME>
    <TARGET_STORYFULLNAME>/MSResearch/Content/ExternalAssets/2014-10/Sections/20141027_055347_Linking_Range_45.xml</TARGET_STORYFULLNAME>
    <TARGET_UUID>ba6f7224-5e23-11e4-9f40-9b8a7e254359</TARGET_UUID>
  </Link>
  <Link>
    <GUID>33f71045-72e4-44b1-a01f-cdb68ff7f7d7</GUID>
    <SOURCETYPE>Chart</SOURCETYPE>
    <SOURCE_OBJECTNAME>MYGN RR</SOURCE_OBJECTNAME>
    <SOURCE_SHEETCODE>MWRSSData</SOURCE_SHEETCODE>
    <SOURCE_SHEETNAME>MWA RR</SOURCE_SHEETNAME>
    <OBJECTTYPE>Native</OBJECTTYPE>
    <SOURCEAPPLICATION>EXCEL_SOURCE</SOURCEAPPLICATION>
    <UPDATEDAT>12/4/2014 11:47:47 AM</UPDATEDAT>
    <SOURCE_ISOUTOFDATE>False</SOURCE_ISOUTOFDATE>
    <SOURCE_WORKBOOKNAME>MYGN.xls</SOURCE_WORKBOOKNAME>
    <SOURCE_WORKBOOKPATH>\\MSAD\ROOT\NA\NY\LIB\ER\HEALTH\Tools\Models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/MSResearch/Content/ExternalAssets/2014-12/Images/X-PhKdhRjUeeUiOYON5TNg--.png</TARGET_BINARYFULLNAME>
    <TARGET_STORYFULLNAME>/MSResearch/Content/ExternalAssets/2014-12/Sections/20141204_124638_MYGNRR.xml</TARGET_STORYFULLNAME>
    <TARGET_UUID>7f536484-7bdd-11e4-a118-f2cb50997d55</TARGET_UUID>
    <HIDEGRIDLINES>False</HIDEGRIDLINES>
  </Link>
  <Link>
    <GUID>6a99b9a5-7646-4b81-8c5f-2a1b14ba7315</GUID>
    <SOURCETYPE>Chart</SOURCETYPE>
    <SOURCE_OBJECTNAME>Chart 11</SOURCE_OBJECTNAME>
    <SOURCE_SHEETCODE>Sheet18</SOURCE_SHEETCODE>
    <SOURCE_SHEETNAME>GHDiag</SOURCE_SHEETNAME>
    <OBJECTTYPE>Native</OBJECTTYPE>
    <SOURCEAPPLICATION>EXCEL_SOURCE</SOURCEAPPLICATION>
    <UPDATEDAT>1/30/2015 2:10:56 PM</UPDATEDAT>
    <SOURCE_ISOUTOFDATE>False</SOURCE_ISOUTOFDATE>
    <SOURCE_WORKBOOKNAME>MYGN.xls</SOURCE_WORKBOOKNAME>
    <SOURCE_WORKBOOKPATH>\\MSAD\ROOT\NA\NY\LIB\ER\HEALTH\Tools\Models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/MSResearch/Content/ExternalAssets/2014-10/Images/Yk79LclOTEitxgxdBDqIzg--.png</TARGET_BINARYFULLNAME>
    <TARGET_STORYFULLNAME>/MSResearch/Content/ExternalAssets/2014-10/Sections/20141021_054812_Chart11.xml</TARGET_STORYFULLNAME>
    <TARGET_UUID>f47c878e-596b-11e4-a5f5-00b8a37746a7</TARGET_UUID>
    <HIDEGRIDLINES>False</HIDEGRIDLINES>
    <LINKSTATUS>Unknown</LINKSTATUS>
  </Link>
  <Link>
    <GUID>cc93fd19-a8dc-4fe4-b197-d49d657ead63</GUID>
    <SOURCETYPE>Chart</SOURCETYPE>
    <SOURCE_OBJECTNAME>Chart 11</SOURCE_OBJECTNAME>
    <SOURCE_SHEETCODE>Sheet19</SOURCE_SHEETCODE>
    <SOURCE_SHEETNAME>OtherDiag</SOURCE_SHEETNAME>
    <OBJECTTYPE>Native</OBJECTTYPE>
    <SOURCEAPPLICATION>EXCEL_SOURCE</SOURCEAPPLICATION>
    <UPDATEDAT>2/2/2015 3:58:01 PM</UPDATEDAT>
    <SOURCE_ISOUTOFDATE>False</SOURCE_ISOUTOFDATE>
    <SOURCE_WORKBOOKNAME>MYGN.xls</SOURCE_WORKBOOKNAME>
    <SOURCE_WORKBOOKPATH>\\MSAD\ROOT\NA\NY\LIB\ER\HEALTH\Tools\Models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/MSResearch/Content/ExternalAssets/2014-10/Images/8MXmWyPsUEuSgUWWaukAg--.png</TARGET_BINARYFULLNAME>
    <TARGET_STORYFULLNAME>/MSResearch/Content/ExternalAssets/2014-10/Sections/20141021_055031_Chart11.xml</TARGET_STORYFULLNAME>
    <TARGET_UUID>4738ff98-596c-11e4-a5f5-00b8a37746a7</TARGET_UUID>
    <LINKSTATUS>Unknown</LINKSTATUS>
    <HIDEGRIDLINES>False</HIDEGRIDLINES>
  </Link>
  <Link>
    <GUID>85db5dce-9770-46f8-b2c3-02e65c229f53</GUID>
    <SOURCETYPE>Chart</SOURCETYPE>
    <SOURCE_OBJECTNAME>Chart 11</SOURCE_OBJECTNAME>
    <SOURCE_SHEETCODE>Sheet20</SOURCE_SHEETCODE>
    <SOURCE_SHEETNAME>LST</SOURCE_SHEETNAME>
    <OBJECTTYPE>Native</OBJECTTYPE>
    <SOURCEAPPLICATION>EXCEL_SOURCE</SOURCEAPPLICATION>
    <UPDATEDAT>2/2/2015 3:58:33 PM</UPDATEDAT>
    <SOURCE_ISOUTOFDATE>False</SOURCE_ISOUTOFDATE>
    <SOURCE_WORKBOOKNAME>MYGN.xls</SOURCE_WORKBOOKNAME>
    <SOURCE_WORKBOOKPATH>\\MSAD\ROOT\NA\NY\LIB\ER\HEALTH\Tools\Models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/MSResearch/Content/ExternalAssets/2014-10/Images/VyT1dwtbsk2eo97rxomKrQ--.png</TARGET_BINARYFULLNAME>
    <TARGET_STORYFULLNAME>/MSResearch/Content/ExternalAssets/2014-10/Sections/20141021_055211_Chart11.xml</TARGET_STORYFULLNAME>
    <TARGET_UUID>82f0c430-596c-11e4-a5f5-00b8a37746a7</TARGET_UUID>
    <LINKSTATUS>Unknown</LINKSTATUS>
    <HIDEGRIDLINES>False</HIDEGRIDLINES>
  </Link>
  <Link>
    <GUID>3a90edc6-8acc-4c0b-84bf-4adf81f23c4a</GUID>
    <SOURCE_ALTADDRESS>$A$3:$BU$49</SOURCE_ALTADDRESS>
    <SOURCETYPE>Table</SOURCETYPE>
    <SOURCE_OBJECTNAME>Linking_Range_36</SOURCE_OBJECTNAME>
    <OBJECTTYPE>Native</OBJECTTYPE>
    <SOURCE_SHEETCODE>Sheet4</SOURCE_SHEETCODE>
    <SOURCE_SHEETNAME>Cash Flow</SOURCE_SHEETNAME>
    <SOURCEAPPLICATION>EXCEL_SOURCE</SOURCEAPPLICATION>
    <UPDATEDAT>2/11/2015 4:27:03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/MSResearch/Content/ExternalAssets/2014-10/Images/lBSbbqyElk_VuYT5I8wkkg--.png</TARGET_BINARYFULLNAME>
    <TARGET_STORYFULLNAME>/MSResearch/Content/ExternalAssets/2014-10/Sections/20141020_095306_Linking_Range_36.xml</TARGET_STORYFULLNAME>
    <TARGET_UUID>0060fdfc-58c5-11e4-a5f5-00b8a37746a7</TARGET_UUID>
    <LINKSTATUS>Unknown</LINKSTATUS>
  </Link>
  <Link>
    <GUID>9fc6d42c-8071-4bce-94b8-643d109f97f2</GUID>
    <SOURCE_ALTADDRESS>$B$4:$Z$29</SOURCE_ALTADDRESS>
    <SOURCETYPE>Table</SOURCETYPE>
    <SOURCE_OBJECTNAME>Linking_Range_44</SOURCE_OBJECTNAME>
    <OBJECTTYPE>Native</OBJECTTYPE>
    <SOURCE_SHEETCODE>Sheet14</SOURCE_SHEETCODE>
    <SOURCE_SHEETNAME>ccGro</SOURCE_SHEETNAME>
    <SOURCEAPPLICATION>EXCEL_SOURCE</SOURCEAPPLICATION>
    <UPDATEDAT>2/11/2015 4:27:03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/MSResearch/Content/ExternalAssets/2014-10/Images/MNE_e-xtEOhEjiprxsbw--.png</TARGET_BINARYFULLNAME>
    <TARGET_STORYFULLNAME>/MSResearch/Content/ExternalAssets/2014-10/Sections/20141027_053714_Linking_Range_44.xml</TARGET_STORYFULLNAME>
    <TARGET_UUID>6a6ede56-5e21-11e4-9f40-9b8a7e254359</TARGET_UUID>
    <LINKSTATUS>Unknown</LINKSTATUS>
  </Link>
  <Link>
    <GUID>0d25c154-5bcc-4b66-adf5-784efb0bb389</GUID>
    <SOURCE_ALTADDRESS>$B$3:$BU$64</SOURCE_ALTADDRESS>
    <SOURCETYPE>Table</SOURCETYPE>
    <SOURCE_OBJECTNAME>Linking_Range_33</SOURCE_OBJECTNAME>
    <OBJECTTYPE>Native</OBJECTTYPE>
    <SOURCE_SHEETCODE>Sheet1</SOURCE_SHEETCODE>
    <SOURCE_SHEETNAME>P&amp;L</SOURCE_SHEETNAME>
    <SOURCEAPPLICATION>EXCEL_SOURCE</SOURCEAPPLICATION>
    <UPDATEDAT>2/11/2015 4:27:05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/MSResearch/Content/ExternalAssets/2014-10/Images/TLNHHDHA9UOVKNTiUb2pBw--.png</TARGET_BINARYFULLNAME>
    <TARGET_STORYFULLNAME>/MSResearch/Content/ExternalAssets/2014-10/Sections/20141020_095008_Linking_Range_33.xml</TARGET_STORYFULLNAME>
    <TARGET_UUID>961b3f66-58c4-11e4-a5f5-00b8a37746a7</TARGET_UUID>
    <LINKSTATUS>Unknown</LINKSTATUS>
  </Link>
  <Link>
    <GUID>5f020fcc-368e-434b-976e-764195468ff4</GUID>
    <SOURCE_ALTADDRESS>$B$3:$BI$85</SOURCE_ALTADDRESS>
    <SOURCETYPE>Table</SOURCETYPE>
    <SOURCE_OBJECTNAME>Linking_Range_41</SOURCE_OBJECTNAME>
    <OBJECTTYPE>Native</OBJECTTYPE>
    <SOURCE_SHEETCODE>Sheet1</SOURCE_SHEETCODE>
    <SOURCE_SHEETNAME>P&amp;L</SOURCE_SHEETNAME>
    <SOURCEAPPLICATION>EXCEL_SOURCE</SOURCEAPPLICATION>
    <UPDATEDAT>2/11/2015 4:27:08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/MSResearch/Content/ExternalAssets/2014-10/Images/t-_mHxp2AEyQGyWKaNVutQ--.png</TARGET_BINARYFULLNAME>
    <TARGET_STORYFULLNAME>/MSResearch/Content/ExternalAssets/2014-10/Sections/20141027_025838_Linking_Range_41.xml</TARGET_STORYFULLNAME>
    <TARGET_UUID>4277b8d4-5e0b-11e4-9f40-9b8a7e254359</TARGET_UUID>
    <TRANSPARENTBACKGROUND>False</TRANSPARENTBACKGROUND>
    <TRANSPARENTPLOTAREA>False</TRANSPARENTPLOTAREA>
    <LINKSTATUS>Unknown</LINKSTATUS>
  </Link>
  <Link>
    <GUID>b9609128-899a-43c7-94ad-76abf76b9445</GUID>
    <SOURCE_ALTADDRESS>$B$3:$BO$85</SOURCE_ALTADDRESS>
    <SOURCETYPE>Table</SOURCETYPE>
    <SOURCE_OBJECTNAME>Linking_Range_42</SOURCE_OBJECTNAME>
    <OBJECTTYPE>Native</OBJECTTYPE>
    <SOURCE_SHEETCODE>Sheet1</SOURCE_SHEETCODE>
    <SOURCE_SHEETNAME>P&amp;L</SOURCE_SHEETNAME>
    <SOURCEAPPLICATION>EXCEL_SOURCE</SOURCEAPPLICATION>
    <UPDATEDAT>2/11/2015 4:27:11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/MSResearch/Content/ExternalAssets/2014-10/Images/or4PbgiCek2THgr1GbbcvQ--.png</TARGET_BINARYFULLNAME>
    <TARGET_STORYFULLNAME>/MSResearch/Content/ExternalAssets/2014-10/Sections/20141027_030015_Linking_Range_42.xml</TARGET_STORYFULLNAME>
    <TARGET_UUID>7cb226c4-5e0b-11e4-9f40-9b8a7e254359</TARGET_UUID>
    <LINKSTATUS>Unknown</LINKSTATUS>
  </Link>
  <Link>
    <GUID>b3e50fd5-2820-4035-a2ed-2b410e7a6954</GUID>
    <SOURCE_ALTADDRESS>$B$3:$BO$79</SOURCE_ALTADDRESS>
    <SOURCETYPE>Table</SOURCETYPE>
    <SOURCE_OBJECTNAME>Linking_Range_43</SOURCE_OBJECTNAME>
    <OBJECTTYPE>Native</OBJECTTYPE>
    <SOURCE_SHEETCODE>Sheet1</SOURCE_SHEETCODE>
    <SOURCE_SHEETNAME>P&amp;L</SOURCE_SHEETNAME>
    <SOURCEAPPLICATION>EXCEL_SOURCE</SOURCEAPPLICATION>
    <UPDATEDAT>2/11/2015 4:27:14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/MSResearch/Content/ExternalAssets/2014-10/Images/a52M1QFOReIsJ5KayQFg--.png</TARGET_BINARYFULLNAME>
    <TARGET_STORYFULLNAME>/MSResearch/Content/ExternalAssets/2014-10/Sections/20141027_030340_Linking_Range_43.xml</TARGET_STORYFULLNAME>
    <TARGET_UUID>f7086cf8-5e0b-11e4-9f40-9b8a7e254359</TARGET_UUID>
    <LINKSTATUS>Unknown</LINKSTATUS>
  </Link>
  <Link>
    <GUID>8e84c046-2c17-4f52-8565-0b7233cd2490</GUID>
    <SOURCE_ALTADDRESS>$B$4:$BU$86</SOURCE_ALTADDRESS>
    <SOURCETYPE>Table</SOURCETYPE>
    <SOURCE_OBJECTNAME>Linking_Range_34</SOURCE_OBJECTNAME>
    <OBJECTTYPE>Native</OBJECTTYPE>
    <SOURCE_SHEETCODE>Sheet5</SOURCE_SHEETCODE>
    <SOURCE_SHEETNAME>MYGN</SOURCE_SHEETNAME>
    <SOURCEAPPLICATION>EXCEL_SOURCE</SOURCEAPPLICATION>
    <UPDATEDAT>2/11/2015 4:27:18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/MSResearch/Content/ExternalAssets/2014-10/Images/IFpxtMeGkmVEte-G37Krw--.png</TARGET_BINARYFULLNAME>
    <TARGET_STORYFULLNAME>/MSResearch/Content/ExternalAssets/2014-10/Sections/20141020_095108_Linking_Range_34.xml</TARGET_STORYFULLNAME>
    <TARGET_UUID>b9c9e16a-58c4-11e4-a5f5-00b8a37746a7</TARGET_UUID>
    <LINKSTATUS>Unknown</LINKSTATUS>
  </Link>
  <Link>
    <GUID>f67183cc-4965-4950-9fd2-75be79e4f609</GUID>
    <SOURCE_ALTADDRESS>$B$3:$BU$73</SOURCE_ALTADDRESS>
    <SOURCETYPE>Table</SOURCETYPE>
    <SOURCE_OBJECTNAME>Linking_Range_38</SOURCE_OBJECTNAME>
    <OBJECTTYPE>Native</OBJECTTYPE>
    <SOURCE_SHEETCODE>Sheet5</SOURCE_SHEETCODE>
    <SOURCE_SHEETNAME>MYGN</SOURCE_SHEETNAME>
    <SOURCEAPPLICATION>EXCEL_SOURCE</SOURCEAPPLICATION>
    <UPDATEDAT>2/11/2015 4:27:21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/MSResearch/Content/ExternalAssets/2014-10/Images/STSAxB7bviHJmh2T-TMhg--.png</TARGET_BINARYFULLNAME>
    <TARGET_STORYFULLNAME>/MSResearch/Content/ExternalAssets/2014-10/Sections/20141026_110543_Linking_Range_38.xml</TARGET_STORYFULLNAME>
    <TARGET_UUID>8ea0de56-5d21-11e4-9f40-9b8a7e254359</TARGET_UUID>
    <LINKSTATUS>Unknown</LINKSTATUS>
  </Link>
  <Link>
    <GUID>a1da346a-66fc-49ff-8bfe-b63a1aefd2c1</GUID>
    <SOURCE_ALTADDRESS>$A$3:$BU$43</SOURCE_ALTADDRESS>
    <SOURCETYPE>Table</SOURCETYPE>
    <SOURCE_OBJECTNAME>Linking_Range_40</SOURCE_OBJECTNAME>
    <OBJECTTYPE>Native</OBJECTTYPE>
    <SOURCE_SHEETCODE>Sheet4</SOURCE_SHEETCODE>
    <SOURCE_SHEETNAME>Cash Flow</SOURCE_SHEETNAME>
    <SOURCEAPPLICATION>EXCEL_SOURCE</SOURCEAPPLICATION>
    <UPDATEDAT>2/11/2015 4:27:23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/MSResearch/Content/ExternalAssets/2014-10/Images/ezxBhnBG5UiQMmRCOrw2OA--.png</TARGET_BINARYFULLNAME>
    <TARGET_STORYFULLNAME>/MSResearch/Content/ExternalAssets/2014-10/Sections/20141026_110846_Linking_Range_4.xml</TARGET_STORYFULLNAME>
    <TARGET_UUID>fbaef56e-5d21-11e4-9f40-9b8a7e254359</TARGET_UUID>
    <TRANSPARENTBACKGROUND>False</TRANSPARENTBACKGROUND>
    <TRANSPARENTPLOTAREA>False</TRANSPARENTPLOTAREA>
    <LINKSTATUS>Unknown</LINKSTATUS>
  </Link>
  <Link>
    <GUID>c73f2bdf-bd4b-4f0a-b09d-cf6f4cb86f28</GUID>
    <SOURCE_ALTADDRESS>$B$6:$K$55</SOURCE_ALTADDRESS>
    <SOURCETYPE>Table</SOURCETYPE>
    <SOURCE_OBJECTNAME>Linking_Range_28</SOURCE_OBJECTNAME>
    <OBJECTTYPE>Native</OBJECTTYPE>
    <SOURCE_SHEETCODE>Sheet22</SOURCE_SHEETCODE>
    <SOURCE_SHEETNAME>DCF</SOURCE_SHEETNAME>
    <SOURCEAPPLICATION>EXCEL_SOURCE</SOURCEAPPLICATION>
    <UPDATEDAT>2/11/2015 4:27:25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/MSResearch/Content/ExternalAssets/2014-10/Images/_Qi29sceGUaHuQqYVr7OoA--.png</TARGET_BINARYFULLNAME>
    <TARGET_STORYFULLNAME>/MSResearch/Content/ExternalAssets/2014-10/Sections/20141020_102624_Linking_Range_28.xml</TARGET_STORYFULLNAME>
    <TARGET_UUID>a701cfd4-58c9-11e4-a5f5-00b8a37746a7</TARGET_UUID>
    <TRANSPARENTBACKGROUND>False</TRANSPARENTBACKGROUND>
    <TRANSPARENTPLOTAREA>False</TRANSPARENTPLOTAREA>
    <LINKSTATUS>Unknown</LINKSTATUS>
  </Link>
  <Link>
    <GUID>9b0db79b-00f5-4702-86a5-27b7fd5ac7c2</GUID>
    <SOURCE_ALTADDRESS>$A$5:$AN$50</SOURCE_ALTADDRESS>
    <SOURCETYPE>Table</SOURCETYPE>
    <SOURCE_OBJECTNAME>Linking_Range_37</SOURCE_OBJECTNAME>
    <OBJECTTYPE>Native</OBJECTTYPE>
    <SOURCE_SHEETCODE>Sheet15</SOURCE_SHEETCODE>
    <SOURCE_SHEETNAME>Comps</SOURCE_SHEETNAME>
    <SOURCEAPPLICATION>EXCEL_SOURCE</SOURCEAPPLICATION>
    <UPDATEDAT>2/11/2015 4:27:31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/MSResearch/Content/ExternalAssets/2014-10/Images/MFGqPELhR6PDQaXEyBg--.png</TARGET_BINARYFULLNAME>
    <TARGET_STORYFULLNAME>/MSResearch/Content/ExternalAssets/2014-10/Sections/20141021_070404_Linking_Range_37.xml</TARGET_STORYFULLNAME>
    <TARGET_UUID>8daf081e-5976-11e4-a5f5-00b8a37746a7</TARGET_UUID>
    <TRANSPARENTBACKGROUND>False</TRANSPARENTBACKGROUND>
    <TRANSPARENTPLOTAREA>False</TRANSPARENTPLOTAREA>
    <LINKSTATUS>Unknown</LINKSTATUS>
  </Link>
  <Link>
    <GUID>e2b470a2-3c13-4a61-96af-9ee3e63b600d</GUID>
    <SOURCE_ALTADDRESS>$A$3:$AR$50</SOURCE_ALTADDRESS>
    <SOURCETYPE>Table</SOURCETYPE>
    <SOURCE_OBJECTNAME>Linking_Range_48</SOURCE_OBJECTNAME>
    <OBJECTTYPE>Native</OBJECTTYPE>
    <SOURCE_SHEETCODE>Sheet15</SOURCE_SHEETCODE>
    <SOURCE_SHEETNAME>Comps</SOURCE_SHEETNAME>
    <SOURCEAPPLICATION>EXCEL_SOURCE</SOURCEAPPLICATION>
    <UPDATEDAT>2/11/2015 4:27:35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/MSResearch/Content/ExternalAssets/2014-11/Images/pgqstkve3GFxGZf3uHN9A--.png</TARGET_BINARYFULLNAME>
    <TARGET_STORYFULLNAME>/MSResearch/Content/ExternalAssets/2014-11/Sections/20141105_061403_Linking_Range_48.xml</TARGET_STORYFULLNAME>
    <TARGET_UUID>6eb2bc0e-6541-11e4-9666-28a70841c2c6</TARGET_UUID>
    <TRANSPARENTBACKGROUND>False</TRANSPARENTBACKGROUND>
    <TRANSPARENTPLOTAREA>False</TRANSPARENTPLOTAREA>
    <LINKSTATUS>Unknown</LINKSTATUS>
  </Link>
  <Link>
    <GUID>e5331f0a-2d18-492d-981e-82943c8e3170</GUID>
    <SOURCE_ALTADDRESS>$B$3:$BU$75</SOURCE_ALTADDRESS>
    <SOURCETYPE>Table</SOURCETYPE>
    <SOURCE_OBJECTNAME>Linking_Range_52</SOURCE_OBJECTNAME>
    <OBJECTTYPE>Native</OBJECTTYPE>
    <SOURCE_SHEETCODE>Sheet5</SOURCE_SHEETCODE>
    <SOURCE_SHEETNAME>MYGN</SOURCE_SHEETNAME>
    <SOURCEAPPLICATION>EXCEL_SOURCE</SOURCEAPPLICATION>
    <UPDATEDAT>2/11/2015 4:27:38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/MSResearch/Content/ExternalAssets/2014-11/Images/D1t2938gZkuNhXnVnhgChQ--.png</TARGET_BINARYFULLNAME>
    <TARGET_STORYFULLNAME>/MSResearch/Content/ExternalAssets/2014-11/Sections/20141108_101534_Linking_Range_52.xml</TARGET_STORYFULLNAME>
    <TARGET_UUID>ab76df56-67be-11e4-a3c3-17411572f345</TARGET_UUID>
    <LINKSTATUS>Unknown</LINKSTATUS>
  </Link>
  <Link>
    <GUID>31ba10d2-c72d-48de-9ea3-dcf685291d52</GUID>
    <SOURCE_ALTADDRESS>$A$3:$BU$43</SOURCE_ALTADDRESS>
    <SOURCETYPE>Table</SOURCETYPE>
    <SOURCE_OBJECTNAME>Linking_Range_35</SOURCE_OBJECTNAME>
    <OBJECTTYPE>Native</OBJECTTYPE>
    <SOURCE_SHEETCODE>Sheet3</SOURCE_SHEETCODE>
    <SOURCE_SHEETNAME>Bal Sht</SOURCE_SHEETNAME>
    <SOURCEAPPLICATION>EXCEL_SOURCE</SOURCEAPPLICATION>
    <UPDATEDAT>2/11/2015 4:27:41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/MSResearch/Content/ExternalAssets/2014-10/Images/C5jVklwjaUy9R-leM2sHeA--.png</TARGET_BINARYFULLNAME>
    <TARGET_STORYFULLNAME>/MSResearch/Content/ExternalAssets/2014-10/Sections/20141020_095149_Linking_Range_35.xml</TARGET_STORYFULLNAME>
    <TARGET_UUID>d2a70460-58c4-11e4-a5f5-00b8a37746a7</TARGET_UUID>
    <TRANSPARENTBACKGROUND>False</TRANSPARENTBACKGROUND>
    <TRANSPARENTPLOTAREA>False</TRANSPARENTPLOTAREA>
    <LINKSTATUS>Unknown</LINKSTATUS>
  </Link>
  <Link>
    <GUID>6fd73eff-bc6c-4b36-9925-f2aa5f16a5f5</GUID>
    <SOURCE_ALTADDRESS>$A$3:$BU$47</SOURCE_ALTADDRESS>
    <SOURCETYPE>Table</SOURCETYPE>
    <SOURCE_OBJECTNAME>Linking_Range_51</SOURCE_OBJECTNAME>
    <OBJECTTYPE>Native</OBJECTTYPE>
    <SOURCE_SHEETCODE>Sheet4</SOURCE_SHEETCODE>
    <SOURCE_SHEETNAME>Cash Flow</SOURCE_SHEETNAME>
    <SOURCEAPPLICATION>EXCEL_SOURCE</SOURCEAPPLICATION>
    <UPDATEDAT>2/11/2015 4:27:44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/MSResearch/Content/ExternalAssets/2014-11/Images/nZXLIQ3PwEe9l9PUOc4kA--.png</TARGET_BINARYFULLNAME>
    <TARGET_STORYFULLNAME>/MSResearch/Content/ExternalAssets/2014-11/Sections/20141105_061735_Linking_Range_51.xml</TARGET_STORYFULLNAME>
    <TARGET_UUID>ed0d4b64-6541-11e4-9666-28a70841c2c6</TARGET_UUID>
    <TRANSPARENTBACKGROUND>False</TRANSPARENTBACKGROUND>
    <TRANSPARENTPLOTAREA>False</TRANSPARENTPLOTAREA>
    <LINKSTATUS>Unknown</LINKSTATUS>
  </Link>
  <Link>
    <GUID>5c4c955b-25d4-4ce5-a702-53289272acdc</GUID>
    <SOURCE_ALTADDRESS>$B$4:$AD$29</SOURCE_ALTADDRESS>
    <SOURCETYPE>Table</SOURCETYPE>
    <SOURCE_OBJECTNAME>Linking_Range_53</SOURCE_OBJECTNAME>
    <OBJECTTYPE>Native</OBJECTTYPE>
    <SOURCE_SHEETCODE>Sheet14</SOURCE_SHEETCODE>
    <SOURCE_SHEETNAME>ccGro</SOURCE_SHEETNAME>
    <SOURCEAPPLICATION>EXCEL_SOURCE</SOURCEAPPLICATION>
    <UPDATEDAT>2/11/2015 4:27:45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/MSResearch/Content/ExternalAssets/2014-12/Images/iyFx8ZG6zEGplUdKrduxfg--.png</TARGET_BINARYFULLNAME>
    <TARGET_STORYFULLNAME>/MSResearch/Content/ExternalAssets/2014-12/Sections/20141204_045827_Linking_Range_53.xml</TARGET_STORYFULLNAME>
    <TARGET_UUID>ad2ff0de-7c00-11e4-a118-f2cb50997d55</TARGET_UUID>
    <TRANSPARENTBACKGROUND>False</TRANSPARENTBACKGROUND>
    <TRANSPARENTPLOTAREA>False</TRANSPARENTPLOTAREA>
    <LINKSTATUS>Unknown</LINKSTATUS>
  </Link>
  <Link>
    <GUID>c69ad430-073b-458f-b2f9-ffa6fa2ef232</GUID>
    <SOURCE_ALTADDRESS>$B$4:$AF$27</SOURCE_ALTADDRESS>
    <SOURCETYPE>Table</SOURCETYPE>
    <SOURCE_OBJECTNAME>Linking_Range_54</SOURCE_OBJECTNAME>
    <OBJECTTYPE>Native</OBJECTTYPE>
    <SOURCE_SHEETCODE>Sheet14</SOURCE_SHEETCODE>
    <SOURCE_SHEETNAME>ccGro</SOURCE_SHEETNAME>
    <SOURCEAPPLICATION>EXCEL_SOURCE</SOURCEAPPLICATION>
    <UPDATEDAT>2/11/2015 4:27:45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/MSResearch/Content/ExternalAssets/2014-12/Images/ui4rU68evkCBvGeRPhDnew--.png</TARGET_BINARYFULLNAME>
    <TARGET_STORYFULLNAME>/MSResearch/Content/ExternalAssets/2014-12/Sections/20141211_114007_Linking_Range_54.xml</TARGET_STORYFULLNAME>
    <TARGET_UUID>f2eebad4-81b8-11e4-b436-bce11cc013d8</TARGET_UUID>
    <LINKSTATUS>Unknown</LINKSTATUS>
  </Link>
  <Link>
    <GUID>9be00ec8-81bb-4ac1-9d61-017112d50920</GUID>
    <SOURCE_ALTADDRESS>$B$6:$K$44</SOURCE_ALTADDRESS>
    <SOURCETYPE>Table</SOURCETYPE>
    <SOURCE_OBJECTNAME>Linking_Range_56</SOURCE_OBJECTNAME>
    <OBJECTTYPE>Native</OBJECTTYPE>
    <SOURCE_SHEETCODE>Sheet22</SOURCE_SHEETCODE>
    <SOURCE_SHEETNAME>DCF</SOURCE_SHEETNAME>
    <SOURCEAPPLICATION>EXCEL_SOURCE</SOURCEAPPLICATION>
    <UPDATEDAT>2/11/2015 4:27:46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/MSResearch/Content/ExternalAssets/2014-12/Images/T8OnkW3-SkKfn_xK6Gqjcw--.png</TARGET_BINARYFULLNAME>
    <TARGET_STORYFULLNAME>/MSResearch/Content/ExternalAssets/2014-12/Sections/20141215_072053_Linking_Range_56.xml</TARGET_STORYFULLNAME>
    <TARGET_UUID>65bc2cb0-84b9-11e4-bad3-54473684a630</TARGET_UUID>
    <LINKSTATUS>Unknown</LINKSTATUS>
  </Link>
  <Link>
    <GUID>24f2a6d4-cf55-471b-9713-3d8152d7ba07</GUID>
    <SOURCE_ALTADDRESS>$B$1:$F$25</SOURCE_ALTADDRESS>
    <SOURCETYPE>Table</SOURCETYPE>
    <SOURCE_OBJECTNAME>Linking_Range_57</SOURCE_OBJECTNAME>
    <OBJECTTYPE>Native</OBJECTTYPE>
    <SOURCE_SHEETCODE>Sheet8</SOURCE_SHEETCODE>
    <SOURCE_SHEETNAME>Preview</SOURCE_SHEETNAME>
    <SOURCEAPPLICATION>EXCEL_SOURCE</SOURCEAPPLICATION>
    <UPDATEDAT>2/11/2015 4:27:48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/MSResearch/Content/ExternalAssets/2015-01/Images/BpMf-TnVgUuZXvFPFQoI_g--.png</TARGET_BINARYFULLNAME>
    <TARGET_STORYFULLNAME>/MSResearch/Content/ExternalAssets/2015-01/Sections/20150115_010351_Linking_Range_57.xml</TARGET_STORYFULLNAME>
    <TARGET_UUID>dc75f360-9ce0-11e4-9edc-4fa5ec7c1f73</TARGET_UUID>
    <LINKSTATUS>Unknown</LINKSTATUS>
  </Link>
  <Link>
    <GUID>91edb439-0f5c-4a23-af8e-37779440a0bc</GUID>
    <SOURCE_ALTADDRESS>$B$4:$AD$28</SOURCE_ALTADDRESS>
    <SOURCETYPE>Table</SOURCETYPE>
    <SOURCE_OBJECTNAME>Linking_Range_58</SOURCE_OBJECTNAME>
    <OBJECTTYPE>Native</OBJECTTYPE>
    <SOURCE_SHEETCODE>Sheet14</SOURCE_SHEETCODE>
    <SOURCE_SHEETNAME>ccGro</SOURCE_SHEETNAME>
    <SOURCEAPPLICATION>EXCEL_SOURCE</SOURCEAPPLICATION>
    <UPDATEDAT>2/11/2015 4:27:50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/MSResearch/Content/ExternalAssets/2015-01/Images/FTU8mVWE8EezTfn73apBRA--.png</TARGET_BINARYFULLNAME>
    <TARGET_STORYFULLNAME>/MSResearch/Content/ExternalAssets/2015-01/Sections/20150115_021610_Linking_Range_58.xml</TARGET_STORYFULLNAME>
    <TARGET_UUID>f695b618-9cea-11e4-9edc-4fa5ec7c1f73</TARGET_UUID>
    <TRANSPARENTBACKGROUND>False</TRANSPARENTBACKGROUND>
    <TRANSPARENTPLOTAREA>False</TRANSPARENTPLOTAREA>
    <LINKSTATUS>Unknown</LINKSTATUS>
  </Link>
  <Link>
    <GUID>1728bbbc-f5c6-4aac-870c-cc0f7caed59b</GUID>
    <SOURCE_ALTADDRESS>$B$2:$H$38</SOURCE_ALTADDRESS>
    <SOURCETYPE>Table</SOURCETYPE>
    <SOURCE_OBJECTNAME>Linking_Range_46</SOURCE_OBJECTNAME>
    <OBJECTTYPE>Native</OBJECTTYPE>
    <SOURCE_SHEETCODE>Sheet17</SOURCE_SHEETCODE>
    <SOURCE_SHEETNAME>ModelChgs</SOURCE_SHEETNAME>
    <SOURCEAPPLICATION>EXCEL_SOURCE</SOURCEAPPLICATION>
    <UPDATEDAT>2/11/2015 4:27:51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/MSResearch/Content/ExternalAssets/2014-10/Images/6ML7-Xp1PUeU38QXYEmNlA--.png</TARGET_BINARYFULLNAME>
    <TARGET_STORYFULLNAME>/MSResearch/Content/ExternalAssets/2014-10/Sections/20141027_055747_Linking_Range_46.xml</TARGET_STORYFULLNAME>
    <TARGET_UUID>49ce2f00-5e24-11e4-9f40-9b8a7e254359</TARGET_UUID>
    <TRANSPARENTBACKGROUND>False</TRANSPARENTBACKGROUND>
    <TRANSPARENTPLOTAREA>False</TRANSPARENTPLOTAREA>
    <LINKSTATUS>Unknown</LINKSTATUS>
  </Link>
  <Link>
    <GUID>4d456022-37db-4caa-8c4e-f78accfaa070</GUID>
    <SOURCE_ALTADDRESS>$B$5:$BI$79</SOURCE_ALTADDRESS>
    <SOURCETYPE>Table</SOURCETYPE>
    <SOURCE_OBJECTNAME>Linking_Range_60</SOURCE_OBJECTNAME>
    <OBJECTTYPE>Native</OBJECTTYPE>
    <SOURCE_SHEETCODE>Sheet1</SOURCE_SHEETCODE>
    <SOURCE_SHEETNAME>P&amp;L</SOURCE_SHEETNAME>
    <SOURCEAPPLICATION>EXCEL_SOURCE</SOURCEAPPLICATION>
    <UPDATEDAT>2/11/2015 4:27:54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/MSResearch/Content/ExternalAssets/2015-01/Images/EsFYEMmp1Ei6DFpRJ8cWBg--.png</TARGET_BINARYFULLNAME>
    <TARGET_STORYFULLNAME>/MSResearch/Content/ExternalAssets/2015-01/Sections/20150130_025006_Linking_Range_6.xml</TARGET_STORYFULLNAME>
    <TARGET_UUID>30b9e16e-a8b9-11e4-9d5a-3eb708603406</TARGET_UUID>
    <LINKSTATUS>Unknown</LINKSTATUS>
  </Link>
  <Link>
    <GUID>d4dc18fa-6bd7-47df-885a-16c3da9f5760</GUID>
    <SOURCE_ALTADDRESS>$B$3:$BI$73</SOURCE_ALTADDRESS>
    <SOURCETYPE>Table</SOURCETYPE>
    <SOURCE_OBJECTNAME>Linking_Range_61</SOURCE_OBJECTNAME>
    <OBJECTTYPE>Native</OBJECTTYPE>
    <SOURCE_SHEETCODE>Sheet5</SOURCE_SHEETCODE>
    <SOURCE_SHEETNAME>MYGN</SOURCE_SHEETNAME>
    <SOURCEAPPLICATION>EXCEL_SOURCE</SOURCEAPPLICATION>
    <UPDATEDAT>2/11/2015 4:27:55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/MSResearch/Content/ExternalAssets/2015-01/Images/hkgH_Gu8wWuipFyjgeBNw--.png</TARGET_BINARYFULLNAME>
    <TARGET_STORYFULLNAME>/MSResearch/Content/ExternalAssets/2015-01/Sections/20150130_025131_Linking_Range_61.xml</TARGET_STORYFULLNAME>
    <TARGET_UUID>638420b4-a8b9-11e4-9d5a-3eb708603406</TARGET_UUID>
    <LINKSTATUS>Unknown</LINKSTATUS>
  </Link>
  <Link>
    <GUID>85f3230d-9686-4d2c-983d-7060a79d4f42</GUID>
    <SOURCETYPE>Chart</SOURCETYPE>
    <SOURCE_OBJECTNAME>MYGN EBIT Tr</SOURCE_OBJECTNAME>
    <SOURCE_SHEETCODE>Sheet14</SOURCE_SHEETCODE>
    <SOURCE_SHEETNAME>ccGro</SOURCE_SHEETNAME>
    <OBJECTTYPE>Native</OBJECTTYPE>
    <SOURCEAPPLICATION>EXCEL_SOURCE</SOURCEAPPLICATION>
    <UPDATEDAT>2/11/2015 4:27:57 PM</UPDATEDAT>
    <SOURCE_ISOUTOFDATE>False</SOURCE_ISOUTOFDATE>
    <SOURCE_WORKBOOKNAME>MYGN.xls</SOURCE_WORKBOOKNAME>
    <SOURCE_WORKBOOKPATH>\\MSAD\ROOT\NA\NY\LIB\ER\HEALTH\Tools\Models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/MSResearch/Content/ExternalAssets/2015-02/Images/u-I-QZ12Vq1lXFzmsVryg--.png</TARGET_BINARYFULLNAME>
    <TARGET_STORYFULLNAME>/MSResearch/Content/ExternalAssets/2015-02/Sections/20150203_093757_MYGNEBITTr.xml</TARGET_STORYFULLNAME>
    <TARGET_UUID>d3e1132a-ac16-11e4-946e-d93333148876</TARGET_UUID>
    <LINKSTATUS>Unknown</LINKSTATUS>
  </Link>
  <Link>
    <GUID>e8d6e76e-5d97-44cd-9a66-1db125058b0c</GUID>
    <SOURCE_ALTADDRESS>$B$4:$AF$20</SOURCE_ALTADDRESS>
    <SOURCETYPE>Table</SOURCETYPE>
    <SOURCE_OBJECTNAME>Linking_Range_64</SOURCE_OBJECTNAME>
    <OBJECTTYPE>Native</OBJECTTYPE>
    <SOURCE_SHEETCODE>Sheet14</SOURCE_SHEETCODE>
    <SOURCE_SHEETNAME>ccGro</SOURCE_SHEETNAME>
    <SOURCEAPPLICATION>EXCEL_SOURCE</SOURCEAPPLICATION>
    <UPDATEDAT>2/11/2015 4:28:03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/MSResearch/Content/ExternalAssets/2015-02/Images/WK6PgszsEe-tVTpm4U5qg--.png</TARGET_BINARYFULLNAME>
    <TARGET_STORYFULLNAME>/MSResearch/Content/ExternalAssets/2015-02/Sections/20150203_100921_Linking_Range_64.xml</TARGET_STORYFULLNAME>
    <TARGET_UUID>37605542-ac1b-11e4-946e-d93333148876</TARGET_UUID>
    <LINKSTATUS>Unknown</LINKSTATUS>
  </Link>
  <Link>
    <GUID>5fd991bb-783c-4995-ae0f-87cb8c5d7665</GUID>
    <SOURCE_ALTADDRESS>$B$4:$AF$19</SOURCE_ALTADDRESS>
    <SOURCETYPE>Table</SOURCETYPE>
    <SOURCE_OBJECTNAME>Linking_Range_62</SOURCE_OBJECTNAME>
    <OBJECTTYPE>Native</OBJECTTYPE>
    <SOURCE_SHEETCODE>Sheet14</SOURCE_SHEETCODE>
    <SOURCE_SHEETNAME>ccGro</SOURCE_SHEETNAME>
    <SOURCEAPPLICATION>EXCEL_SOURCE</SOURCEAPPLICATION>
    <UPDATEDAT>4/15/2015 11:05:47 AM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/MSResearch/Content/ExternalAssets/2015-02/Images/9guu-jYzLK1CfVcTVAG3g--.png</TARGET_BINARYFULLNAME>
    <TARGET_STORYFULLNAME>/MSResearch/Content/ExternalAssets/2015-02/Sections/20150203_091153_Linking_Range_62.xml</TARGET_STORYFULLNAME>
    <TARGET_UUID>302689d4-ac13-11e4-946e-d93333148876</TARGET_UUID>
    <TRANSPARENTBACKGROUND>False</TRANSPARENTBACKGROUND>
    <TRANSPARENTPLOTAREA>False</TRANSPARENTPLOTAREA>
    <LINKSTATUS>Unknown</LINKSTATUS>
    <EXTRACTSOURCEMODE>CopyToClipboard</EXTRACTSOURCEMODE>
  </Link>
  <Link>
    <GUID>4fd0cbb9-6665-4ca8-8206-3897c5ed72d4</GUID>
    <SOURCE_ALTADDRESS>$B$5:$S$33</SOURCE_ALTADDRESS>
    <SOURCETYPE>Table</SOURCETYPE>
    <SOURCE_OBJECTNAME>Linking_Range_59</SOURCE_OBJECTNAME>
    <OBJECTTYPE>Native</OBJECTTYPE>
    <SOURCE_SHEETCODE>Sheet21</SOURCE_SHEETCODE>
    <SOURCE_SHEETNAME>Guidance</SOURCE_SHEETNAME>
    <SOURCEAPPLICATION>EXCEL_SOURCE</SOURCEAPPLICATION>
    <UPDATEDAT>4/15/2015 11:24:22 AM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/MSResearch/Content/ExternalAssets/2015-01/Images/_lQf2yanek6sOE8qD-iyw--.png</TARGET_BINARYFULLNAME>
    <TARGET_STORYFULLNAME>/MSResearch/Content/ExternalAssets/2015-01/Sections/20150130_023938_Linking_Range_59.xml</TARGET_STORYFULLNAME>
    <TARGET_UUID>ba154d10-a8b7-11e4-9d5a-3eb708603406</TARGET_UUID>
    <TRANSPARENTBACKGROUND>False</TRANSPARENTBACKGROUND>
    <TRANSPARENTPLOTAREA>False</TRANSPARENTPLOTAREA>
    <LINKSTATUS>Unknown</LINKSTATUS>
    <EXTRACTSOURCEMODE>CopyToClipboard</EXTRACTSOURCEMODE>
  </Link>
  <Link>
    <GUID>7c3664a1-a396-4aa1-8ce3-f431efd419e1</GUID>
    <SOURCE_ALTADDRESS>$B$5:$BU$79</SOURCE_ALTADDRESS>
    <SOURCETYPE>Table</SOURCETYPE>
    <SOURCE_OBJECTNAME>Linking_Range_49</SOURCE_OBJECTNAME>
    <OBJECTTYPE>Native</OBJECTTYPE>
    <SOURCE_SHEETCODE>Sheet1</SOURCE_SHEETCODE>
    <SOURCE_SHEETNAME>P&amp;L</SOURCE_SHEETNAME>
    <SOURCEAPPLICATION>EXCEL_SOURCE</SOURCEAPPLICATION>
    <UPDATEDAT>4/15/2015 12:36:10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/MSResearch/Content/ExternalAssets/2014-11/Images/K7EXAil45ky4pJlCjQTjhg--.png</TARGET_BINARYFULLNAME>
    <TARGET_STORYFULLNAME>/MSResearch/Content/ExternalAssets/2014-11/Sections/20141105_061451_Linking_Range_49.xml</TARGET_STORYFULLNAME>
    <TARGET_UUID>8b50efe8-6541-11e4-9666-28a70841c2c6</TARGET_UUID>
    <LINKSTATUS>Unknown</LINKSTATUS>
    <TRANSPARENTBACKGROUND>False</TRANSPARENTBACKGROUND>
    <TRANSPARENTPLOTAREA>False</TRANSPARENTPLOTAREA>
    <EXTRACTSOURCEMODE>CopyToClipboard</EXTRACTSOURCEMODE>
  </Link>
  <Link>
    <GUID>2632ac7b-ce03-498d-b555-e0693e2c6267</GUID>
    <SOURCE_ALTADDRESS>$B$4:$BU$77</SOURCE_ALTADDRESS>
    <SOURCETYPE>Table</SOURCETYPE>
    <SOURCE_OBJECTNAME>Linking_Range_70</SOURCE_OBJECTNAME>
    <OBJECTTYPE>Native</OBJECTTYPE>
    <SOURCE_SHEETCODE>Sheet5</SOURCE_SHEETCODE>
    <SOURCE_SHEETNAME>MYGN</SOURCE_SHEETNAME>
    <SOURCEAPPLICATION>EXCEL_SOURCE</SOURCEAPPLICATION>
    <UPDATEDAT>4/15/2015 12:36:58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/MSResearch/Content/ExternalAssets/2015-04/Images/rxNa3vHZDkSIn03PwB8PMQ--.png</TARGET_BINARYFULLNAME>
    <TARGET_STORYFULLNAME>/MSResearch/Content/ExternalAssets/2015-04/Sections/20150415_023656_Linking_Range_70.xml</TARGET_STORYFULLNAME>
    <TARGET_UUID>650cb160-e39e-11e4-8428-e799a3b9280a</TARGET_UUID>
  </Link>
  <Link>
    <GUID>a6c98334-bd6f-460e-a0fa-1ee386a07144</GUID>
    <SOURCE_ALTADDRESS>$B$2:$F$25</SOURCE_ALTADDRESS>
    <SOURCETYPE>Table</SOURCETYPE>
    <SOURCE_OBJECTNAME>Linking_Range_27</SOURCE_OBJECTNAME>
    <OBJECTTYPE>Native</OBJECTTYPE>
    <SOURCE_SHEETCODE>Sheet8</SOURCE_SHEETCODE>
    <SOURCE_SHEETNAME>Preview</SOURCE_SHEETNAME>
    <SOURCEAPPLICATION>EXCEL_SOURCE</SOURCEAPPLICATION>
    <UPDATEDAT>4/28/2015 11:09:54 AM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/MSResearch/Content/ExternalAssets/2014-09/Images/E8YWmQmyxUKy1tZCb5ypwg--.png</TARGET_BINARYFULLNAME>
    <TARGET_STORYFULLNAME>/MSResearch/Content/ExternalAssets/2014-09/Sections/Linking_Range_27-050.xml</TARGET_STORYFULLNAME>
    <TARGET_UUID>f116ce60-429b-11e4-a584-8167cbfd5b17</TARGET_UUID>
    <TRANSPARENTBACKGROUND>False</TRANSPARENTBACKGROUND>
    <TRANSPARENTPLOTAREA>False</TRANSPARENTPLOTAREA>
    <LINKSTATUS>Unknown</LINKSTATUS>
    <EXTRACTSOURCEMODE>CopyToClipboard</EXTRACTSOURCEMODE>
  </Link>
  <Link>
    <GUID>15622ecf-b3c0-4f46-a6ab-b24a66c54e23</GUID>
    <SOURCE_ALTADDRESS>$B$2:$N$35</SOURCE_ALTADDRESS>
    <SOURCETYPE>Table</SOURCETYPE>
    <SOURCE_OBJECTNAME>Linking_Range_72</SOURCE_OBJECTNAME>
    <OBJECTTYPE>Native</OBJECTTYPE>
    <SOURCE_SHEETCODE>Sheet20</SOURCE_SHEETCODE>
    <SOURCE_SHEETNAME>Pipeline</SOURCE_SHEETNAME>
    <SOURCEAPPLICATION>EXCEL_SOURCE</SOURCEAPPLICATION>
    <UPDATEDAT>4/28/2015 12:25:03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/MSResearch/Content/ExternalAssets/2015-04/Images/5czylVjfUkir4CHWeidgKA--.png</TARGET_BINARYFULLNAME>
    <TARGET_STORYFULLNAME>/MSResearch/Content/ExternalAssets/2015-04/Sections/20150428_122501_Linking_Range_72.xml</TARGET_STORYFULLNAME>
    <TARGET_UUID>1e70e774-edc3-11e4-aeba-9bba02fefb2a</TARGET_UUID>
  </Link>
  <Link>
    <GUID>b9d11586-7be0-4ae6-a8db-124a8611ed0d</GUID>
    <SOURCETYPE>Chart</SOURCETYPE>
    <SOURCE_OBJECTNAME>Chart 4 (1) (1)</SOURCE_OBJECTNAME>
    <SOURCE_SHEETCODE>Sheet12</SOURCE_SHEETCODE>
    <SOURCE_SHEETNAME>Rev_Normalized</SOURCE_SHEETNAME>
    <OBJECTTYPE>Native</OBJECTTYPE>
    <SOURCEAPPLICATION>EXCEL_SOURCE</SOURCEAPPLICATION>
    <UPDATEDAT>4/28/2015 12:27:41 PM</UPDATEDAT>
    <SOURCE_ISOUTOFDATE>False</SOURCE_ISOUTOFDATE>
    <SOURCE_WORKBOOKNAME>MYGN.xls</SOURCE_WORKBOOKNAME>
    <SOURCE_WORKBOOKPATH>\\MSAD\ROOT\NA\NY\LIB\ER\HEALTH\Tools\Models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/MSResearch/Content/ExternalAssets/2015-04/Images/lyGS4aw2EUCJ4DwVJok5Wg--.png</TARGET_BINARYFULLNAME>
    <TARGET_STORYFULLNAME>/MSResearch/Content/ExternalAssets/2015-04/Sections/20150428_122737_Chart411.xml</TARGET_STORYFULLNAME>
    <TARGET_UUID>7b53b426-edc3-11e4-aeba-9bba02fefb2a</TARGET_UUID>
  </Link>
  <Link>
    <GUID>aef6487d-14e6-4f5b-973a-fcd214428d43</GUID>
    <SOURCE_ALTADDRESS>$B$3:$BU$86</SOURCE_ALTADDRESS>
    <SOURCETYPE>Table</SOURCETYPE>
    <SOURCE_OBJECTNAME>Linking_Range_73</SOURCE_OBJECTNAME>
    <OBJECTTYPE>Native</OBJECTTYPE>
    <SOURCE_SHEETCODE>Sheet5</SOURCE_SHEETCODE>
    <SOURCE_SHEETNAME>MYGN</SOURCE_SHEETNAME>
    <SOURCEAPPLICATION>EXCEL_SOURCE</SOURCEAPPLICATION>
    <UPDATEDAT>4/28/2015 12:49:22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/MSResearch/Content/ExternalAssets/2015-04/Images/sDQwAMN7kUqy_XOWjZC2TA--.png</TARGET_BINARYFULLNAME>
    <TARGET_STORYFULLNAME>/MSResearch/Content/ExternalAssets/2015-04/Sections/20150428_124919_Linking_Range_73.xml</TARGET_STORYFULLNAME>
    <TARGET_UUID>83c31f7c-edc6-11e4-aeba-9bba02fefb2a</TARGET_UUID>
  </Link>
  <Link>
    <GUID>c82f7223-3c7d-4427-9b5f-d4ccf3e16357</GUID>
    <SOURCETYPE>Chart</SOURCETYPE>
    <SOURCE_OBJECTNAME>Chart 4 (1) (1)</SOURCE_OBJECTNAME>
    <SOURCE_SHEETCODE>Sheet19</SOURCE_SHEETCODE>
    <SOURCE_SHEETNAME>Graphs</SOURCE_SHEETNAME>
    <OBJECTTYPE>Native</OBJECTTYPE>
    <SOURCEAPPLICATION>EXCEL_SOURCE</SOURCEAPPLICATION>
    <UPDATEDAT>4/28/2015 1:43:13 PM</UPDATEDAT>
    <SOURCE_ISOUTOFDATE>False</SOURCE_ISOUTOFDATE>
    <SOURCE_WORKBOOKNAME>MYGN.xls</SOURCE_WORKBOOKNAME>
    <SOURCE_WORKBOOKPATH>\\MSAD\ROOT\NA\NY\LIB\ER\HEALTH\Tools\Models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/MSResearch/Content/ExternalAssets/2015-04/Images/OToOI64CAUOHWFcKfbNQoQ--.png</TARGET_BINARYFULLNAME>
    <TARGET_STORYFULLNAME>/MSResearch/Content/ExternalAssets/2015-04/Sections/20150428_122712_Chart411.xml</TARGET_STORYFULLNAME>
    <TARGET_UUID>6cdf3bfe-edc3-11e4-aeba-9bba02fefb2a</TARGET_UUID>
    <HIDEGRIDLINES>False</HIDEGRIDLINES>
  </Link>
  <Link>
    <GUID>dcc35606-5b37-4483-ab62-b723bc864a57</GUID>
    <SOURCE_ALTADDRESS>$B$6:$R$30</SOURCE_ALTADDRESS>
    <SOURCETYPE>Table</SOURCETYPE>
    <SOURCE_OBJECTNAME>Linking_Range_71</SOURCE_OBJECTNAME>
    <OBJECTTYPE>Native</OBJECTTYPE>
    <SOURCE_SHEETCODE>Sheet18</SOURCE_SHEETCODE>
    <SOURCE_SHEETNAME>Competitors</SOURCE_SHEETNAME>
    <SOURCEAPPLICATION>EXCEL_SOURCE</SOURCEAPPLICATION>
    <UPDATEDAT>4/28/2015 6:30:02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/MSResearch/Content/ExternalAssets/2015-04/Images/9N4OQ1gW6EqUhxAOzAqBKg--.png</TARGET_BINARYFULLNAME>
    <TARGET_STORYFULLNAME>/MSResearch/Content/ExternalAssets/2015-04/Sections/20150428_111305_Linking_Range_71.xml</TARGET_STORYFULLNAME>
    <TARGET_UUID>1220bc42-edb9-11e4-aeba-9bba02fefb2a</TARGET_UUID>
    <TRANSPARENTBACKGROUND>False</TRANSPARENTBACKGROUND>
    <TRANSPARENTPLOTAREA>False</TRANSPARENTPLOTAREA>
  </Link>
  <Link>
    <GUID>06437ec5-ca23-4ae7-a0db-7a6e729717c3</GUID>
    <SOURCE_ALTADDRESS>$B$2:$AF$36</SOURCE_ALTADDRESS>
    <SOURCETYPE>Table</SOURCETYPE>
    <SOURCE_OBJECTNAME>Linking_Range_69</SOURCE_OBJECTNAME>
    <OBJECTTYPE>Native</OBJECTTYPE>
    <SOURCE_SHEETCODE>Sheet12</SOURCE_SHEETCODE>
    <SOURCE_SHEETNAME>Rev_Normalized</SOURCE_SHEETNAME>
    <SOURCEAPPLICATION>EXCEL_SOURCE</SOURCEAPPLICATION>
    <UPDATEDAT>4/28/2015 8:42:37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/MSResearch/Content/ExternalAssets/2015-04/Images/DTCVpoHwcku49xqQTBLE4w--.png</TARGET_BINARYFULLNAME>
    <TARGET_STORYFULLNAME>/MSResearch/Content/ExternalAssets/2015-04/Sections/20150409_105137_Linking_Range_69.xml</TARGET_STORYFULLNAME>
    <TARGET_UUID>ec94f3d0-dec7-11e4-9cfb-6eb77350c59b</TARGET_UUID>
    <TRANSPARENTBACKGROUND>False</TRANSPARENTBACKGROUND>
    <TRANSPARENTPLOTAREA>False</TRANSPARENTPLOTAREA>
  </Link>
  <Link>
    <GUID>20fb3491-c346-47a7-9899-06307b06714c</GUID>
    <SOURCE_ALTADDRESS>$B$2:$J$27</SOURCE_ALTADDRESS>
    <SOURCETYPE>Table</SOURCETYPE>
    <SOURCE_OBJECTNAME>Linking_Range_29</SOURCE_OBJECTNAME>
    <OBJECTTYPE>Native</OBJECTTYPE>
    <SOURCE_SHEETCODE>Sheet9</SOURCE_SHEETCODE>
    <SOURCE_SHEETNAME>Variance</SOURCE_SHEETNAME>
    <SOURCEAPPLICATION>EXCEL_SOURCE</SOURCEAPPLICATION>
    <UPDATEDAT>5/5/2015 10:32:06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/MSResearch/Content/ExternalAssets/2014-10/Images/-wC8X8QN2Ui8MjBiIiopKA--.png</TARGET_BINARYFULLNAME>
    <TARGET_STORYFULLNAME>/MSResearch/Content/ExternalAssets/2014-10/Sections/20141027_060055_Linking_Range_29.xml</TARGET_STORYFULLNAME>
    <TARGET_UUID>b9ef2be0-5e24-11e4-9f40-9b8a7e254359</TARGET_UUID>
    <TRANSPARENTBACKGROUND>False</TRANSPARENTBACKGROUND>
    <TRANSPARENTPLOTAREA>False</TRANSPARENTPLOTAREA>
    <LINKSTATUS>Unknown</LINKSTATUS>
    <EXTRACTSOURCEMODE>CopyToClipboard</EXTRACTSOURCEMODE>
  </Link>
  <Link>
    <GUID>0c8ee11d-797b-4051-ba61-7ec9057203ff</GUID>
    <SOURCETYPE>Chart</SOURCETYPE>
    <SOURCE_OBJECTNAME>PKI EBIT Trends</SOURCE_OBJECTNAME>
    <SOURCE_SHEETCODE>Sheet14</SOURCE_SHEETCODE>
    <SOURCE_SHEETNAME>ccGro</SOURCE_SHEETNAME>
    <OBJECTTYPE>Native</OBJECTTYPE>
    <SOURCEAPPLICATION>EXCEL_SOURCE</SOURCEAPPLICATION>
    <UPDATEDAT>5/5/2015 10:44:26 PM</UPDATEDAT>
    <SOURCE_ISOUTOFDATE>False</SOURCE_ISOUTOFDATE>
    <SOURCE_WORKBOOKNAME>MYGN.xls</SOURCE_WORKBOOKNAME>
    <SOURCE_WORKBOOKPATH>\\MSAD\ROOT\NA\NY\LIB\ER\HEALTH\Tools\Models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/MSResearch/Content/ExternalAssets/2015-04/Images/-sIEsXjEwkKrDxQfjqRAQA--.png</TARGET_BINARYFULLNAME>
    <TARGET_STORYFULLNAME>/MSResearch/Content/ExternalAssets/2015-04/Sections/20150415_022905_PKIEBITTrends.xml</TARGET_STORYFULLNAME>
    <TARGET_UUID>4be1091c-e39d-11e4-8428-e799a3b9280a</TARGET_UUID>
    <HIDEGRIDLINES>False</HIDEGRIDLINES>
  </Link>
  <Link>
    <GUID>3ae748d6-0508-4855-b916-13ea1bb9e688</GUID>
    <SOURCE_ALTADDRESS>$B$4:$U$33</SOURCE_ALTADDRESS>
    <SOURCETYPE>Table</SOURCETYPE>
    <SOURCE_OBJECTNAME>Linking_Range_74</SOURCE_OBJECTNAME>
    <OBJECTTYPE>Native</OBJECTTYPE>
    <SOURCE_SHEETCODE>Sheet21</SOURCE_SHEETCODE>
    <SOURCE_SHEETNAME>Guidance</SOURCE_SHEETNAME>
    <SOURCEAPPLICATION>EXCEL_SOURCE</SOURCEAPPLICATION>
    <UPDATEDAT>5/5/2015 10:46:24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/MSResearch/Content/ExternalAssets/2015-05/Images/z_W5bd4DOkOHnSvTTUP4aw--.png</TARGET_BINARYFULLNAME>
    <TARGET_STORYFULLNAME>/MSResearch/Content/ExternalAssets/2015-05/Sections/20150505_104532_Linking_Range_74.xml</TARGET_STORYFULLNAME>
    <TARGET_UUID>f7275914-f399-11e4-96ae-7c07ebc02301</TARGET_UUID>
    <TRANSPARENTBACKGROUND>False</TRANSPARENTBACKGROUND>
    <TRANSPARENTPLOTAREA>False</TRANSPARENTPLOTAREA>
  </Link>
  <Link>
    <GUID>298183e7-adf2-4750-80e6-9afb15d0209d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5/5/2015 11:50:34 PM</UPDATEDAT>
    <SOURCE_ISOUTOFDATE>False</SOURCE_ISOUTOFDATE>
    <SOURCE_WORKBOOKNAME>MYGN.xls</SOURCE_WORKBOOKNAME>
    <SOURCE_WORKBOOKPATH>\\MSAD\ROOT\NA\NY\LIB\ER\HEALTH\Tools\Models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/MSResearch/Content/ExternalAssets/2014-09/Images/NV4s7BVnXE2s9fpkHm18dQ--.png</TARGET_BINARYFULLNAME>
    <TARGET_STORYFULLNAME>/MSResearch/Content/ExternalAssets/2014-09/Sections/MWA_Risk_Reward-327.xml</TARGET_STORYFULLNAME>
    <TARGET_UUID>e15f9730-429c-11e4-a584-8167cbfd5b17</TARGET_UUID>
    <HIDEGRIDLINES>False</HIDEGRIDLINES>
    <LINKSTATUS>Unknown</LINKSTATUS>
    <EXTRACTSOURCEMODE>CopyToClipboard</EXTRACTSOURCEMODE>
  </Link>
  <Link>
    <GUID>36617c39-b2b7-4ade-8117-a98b0289697f</GUID>
    <SOURCE_ALTADDRESS>$B$3:$BU$79</SOURCE_ALTADDRESS>
    <SOURCETYPE>Table</SOURCETYPE>
    <SOURCE_OBJECTNAME>Linking_Range_39</SOURCE_OBJECTNAME>
    <OBJECTTYPE>Native</OBJECTTYPE>
    <SOURCE_SHEETCODE>Sheet1</SOURCE_SHEETCODE>
    <SOURCE_SHEETNAME>P&amp;L</SOURCE_SHEETNAME>
    <SOURCEAPPLICATION>EXCEL_SOURCE</SOURCEAPPLICATION>
    <UPDATEDAT>5/5/2015 11:58:37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HtmlTable</TARGETTYPE>
    <TARGETAPPLICATION>METHODE_TARGET</TARGETAPPLICATION>
    <EXTRACTSOURCEMODE>CopyToClipboard</EXTRACTSOURCEMODE>
    <TARGET_BINARYFULLNAME/>
    <TARGET_STORYFULLNAME>/MSResearch/Content/ExternalAssets/2015-05/Sections/20150505_115834_Linking_Range_39.xml</TARGET_STORYFULLNAME>
    <TARGET_UUID>2ac6ff18-f3a4-11e4-96ae-7c07ebc02301</TARGET_UUID>
  </Link>
  <Link>
    <GUID>04fdc4d3-25e4-438d-92e4-97ac49e2875c</GUID>
    <SOURCE_ALTADDRESS>$B$3:$BU$79</SOURCE_ALTADDRESS>
    <SOURCETYPE>Table</SOURCETYPE>
    <SOURCE_OBJECTNAME>Linking_Range_39</SOURCE_OBJECTNAME>
    <OBJECTTYPE>Native</OBJECTTYPE>
    <SOURCE_SHEETCODE>Sheet1</SOURCE_SHEETCODE>
    <SOURCE_SHEETNAME>P&amp;L</SOURCE_SHEETNAME>
    <SOURCEAPPLICATION>EXCEL_SOURCE</SOURCEAPPLICATION>
    <UPDATEDAT>5/5/2015 11:58:57 PM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/MSResearch/Content/ExternalAssets/2014-10/Images/XvUNUoNJWatrirLp8uA--.png</TARGET_BINARYFULLNAME>
    <TARGET_STORYFULLNAME>/MSResearch/Content/ExternalAssets/2014-10/Sections/20141026_110714_Linking_Range_39.xml</TARGET_STORYFULLNAME>
    <TARGET_UUID>c4d4408a-5d21-11e4-9f40-9b8a7e254359</TARGET_UUID>
    <LINKSTATUS>Unknown</LINKSTATUS>
    <TRANSPARENTBACKGROUND>False</TRANSPARENTBACKGROUND>
    <TRANSPARENTPLOTAREA>False</TRANSPARENTPLOTAREA>
    <EXTRACTSOURCEMODE>CopyToClipboard</EXTRACTSOURCEMODE>
  </Link>
  <Link>
    <GUID>a9a6c152-6ab3-4d21-9681-b75fef04474c</GUID>
    <SOURCE_ALTADDRESS>$B$6:$K$59</SOURCE_ALTADDRESS>
    <SOURCETYPE>Table</SOURCETYPE>
    <SOURCE_OBJECTNAME>Linking_Range_47</SOURCE_OBJECTNAME>
    <OBJECTTYPE>Native</OBJECTTYPE>
    <SOURCE_SHEETCODE>Sheet22</SOURCE_SHEETCODE>
    <SOURCE_SHEETNAME>DCF</SOURCE_SHEETNAME>
    <SOURCEAPPLICATION>EXCEL_SOURCE</SOURCEAPPLICATION>
    <UPDATEDAT>5/6/2015 12:03:37 AM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/MSResearch/Content/ExternalAssets/2014-10/Images/hh5YzoHifE2BxnS3SlOPtg--.png</TARGET_BINARYFULLNAME>
    <TARGET_STORYFULLNAME>/MSResearch/Content/ExternalAssets/2014-10/Sections/20141028_024120_Linking_Range_47.xml</TARGET_STORYFULLNAME>
    <TARGET_UUID>02625c96-5ed2-11e4-9f40-9b8a7e254359</TARGET_UUID>
    <LINKSTATUS>Unknown</LINKSTATUS>
    <TRANSPARENTBACKGROUND>False</TRANSPARENTBACKGROUND>
    <TRANSPARENTPLOTAREA>False</TRANSPARENTPLOTAREA>
    <EXTRACTSOURCEMODE>CopyToClipboard</EXTRACTSOURCEMODE>
  </Link>
  <Link>
    <GUID>0477067c-b86b-49c1-955a-9f323a70e18e</GUID>
    <SOURCE_ALTADDRESS>$B$3:$BU$77</SOURCE_ALTADDRESS>
    <SOURCETYPE>Table</SOURCETYPE>
    <SOURCE_OBJECTNAME>Linking_Range_50</SOURCE_OBJECTNAME>
    <OBJECTTYPE>Native</OBJECTTYPE>
    <SOURCE_SHEETCODE>Sheet5</SOURCE_SHEETCODE>
    <SOURCE_SHEETNAME>MYGN</SOURCE_SHEETNAME>
    <SOURCEAPPLICATION>EXCEL_SOURCE</SOURCEAPPLICATION>
    <UPDATEDAT>5/6/2015 12:04:33 AM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/MSResearch/Content/ExternalAssets/2014-11/Images/_-kk47S-LkG2GtH1Sr4k3w--.png</TARGET_BINARYFULLNAME>
    <TARGET_STORYFULLNAME>/MSResearch/Content/ExternalAssets/2014-11/Sections/20141105_061547_Linking_Range_5.xml</TARGET_STORYFULLNAME>
    <TARGET_UUID>acdcacb0-6541-11e4-9666-28a70841c2c6</TARGET_UUID>
    <TRANSPARENTBACKGROUND>False</TRANSPARENTBACKGROUND>
    <TRANSPARENTPLOTAREA>False</TRANSPARENTPLOTAREA>
    <LINKSTATUS>Unknown</LINKSTATUS>
    <EXTRACTSOURCEMODE>CopyToClipboard</EXTRACTSOURCEMODE>
  </Link>
  <Link>
    <GUID>582668da-d7ff-48ce-af47-b9e59d904e76</GUID>
    <SOURCE_ALTADDRESS>$B$2:$I$38</SOURCE_ALTADDRESS>
    <SOURCETYPE>Table</SOURCETYPE>
    <SOURCE_OBJECTNAME>Linking_Range_63</SOURCE_OBJECTNAME>
    <OBJECTTYPE>Native</OBJECTTYPE>
    <SOURCE_SHEETCODE>Sheet17</SOURCE_SHEETCODE>
    <SOURCE_SHEETNAME>ModelChgs</SOURCE_SHEETNAME>
    <SOURCEAPPLICATION>EXCEL_SOURCE</SOURCEAPPLICATION>
    <UPDATEDAT>5/6/2015 12:13:02 AM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/MSResearch/Content/ExternalAssets/2015-02/Images/sBLHUZqQFkm2o-cKr-2Raw--.png</TARGET_BINARYFULLNAME>
    <TARGET_STORYFULLNAME>/MSResearch/Content/ExternalAssets/2015-02/Sections/20150203_091504_Linking_Range_63.xml</TARGET_STORYFULLNAME>
    <TARGET_UUID>a18dee64-ac13-11e4-946e-d93333148876</TARGET_UUID>
    <LINKSTATUS>Unknown</LINKSTATUS>
    <TRANSPARENTBACKGROUND>False</TRANSPARENTBACKGROUND>
    <TRANSPARENTPLOTAREA>False</TRANSPARENTPLOTAREA>
    <EXTRACTSOURCEMODE>CopyToClipboard</EXTRACTSOURCEMODE>
  </Link>
  <Link>
    <GUID>7852fdf9-9894-4967-8592-cc138338df20</GUID>
    <SOURCE_ALTADDRESS>$B$4:$AF$28</SOURCE_ALTADDRESS>
    <SOURCETYPE>Table</SOURCETYPE>
    <SOURCE_OBJECTNAME>Linking_Range_55</SOURCE_OBJECTNAME>
    <OBJECTTYPE>Native</OBJECTTYPE>
    <SOURCE_SHEETCODE>Sheet14</SOURCE_SHEETCODE>
    <SOURCE_SHEETNAME>ccGro</SOURCE_SHEETNAME>
    <SOURCEAPPLICATION>EXCEL_SOURCE</SOURCEAPPLICATION>
    <UPDATEDAT>5/6/2015 12:13:37 AM</UPDATEDAT>
    <SOURCE_ISOUTOFDATE>False</SOURCE_ISOUTOFDATE>
    <SOURCE_WORKBOOKNAME>MYGN.xls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/MSResearch/Content/ExternalAssets/2014-12/Images/xcrDwVOr2Ohv8sfZeBtWw--.png</TARGET_BINARYFULLNAME>
    <TARGET_STORYFULLNAME>/MSResearch/Content/ExternalAssets/2014-12/Sections/20141211_114414_Linking_Range_55.xml</TARGET_STORYFULLNAME>
    <TARGET_UUID>85baf5b2-81b9-11e4-b436-bce11cc013d8</TARGET_UUID>
    <TRANSPARENTBACKGROUND>False</TRANSPARENTBACKGROUND>
    <TRANSPARENTPLOTAREA>False</TRANSPARENTPLOTAREA>
    <LINKSTATUS>Unknown</LINKSTATUS>
    <EXTRACTSOURCEMODE>CopyToClipboard</EXTRACTSOURCEMODE>
  </Link>
</lk:Links>
</file>

<file path=customXml/itemProps1.xml><?xml version="1.0" encoding="utf-8"?>
<ds:datastoreItem xmlns:ds="http://schemas.openxmlformats.org/officeDocument/2006/customXml" ds:itemID="{0C92F187-D079-4C9F-B379-4221577BE4C0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8FD7B294-3827-4880-A114-305E79914DCF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127</vt:i4>
      </vt:variant>
    </vt:vector>
  </HeadingPairs>
  <TitlesOfParts>
    <vt:vector size="137" baseType="lpstr">
      <vt:lpstr>ImportantDisclosures</vt:lpstr>
      <vt:lpstr>TOC</vt:lpstr>
      <vt:lpstr>P&amp;L</vt:lpstr>
      <vt:lpstr>MYGN</vt:lpstr>
      <vt:lpstr>Assurex</vt:lpstr>
      <vt:lpstr>Bal Sht</vt:lpstr>
      <vt:lpstr>Cash Flow</vt:lpstr>
      <vt:lpstr>DCF</vt:lpstr>
      <vt:lpstr>IndexInformation</vt:lpstr>
      <vt:lpstr>ModPubIndex</vt:lpstr>
      <vt:lpstr>DCF!_DCFCalculation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</vt:lpstr>
      <vt:lpstr>Linking_13</vt:lpstr>
      <vt:lpstr>Linking_17</vt:lpstr>
      <vt:lpstr>Linking_18</vt:lpstr>
      <vt:lpstr>Linking_19</vt:lpstr>
      <vt:lpstr>Linking_20</vt:lpstr>
      <vt:lpstr>Linking_26</vt:lpstr>
      <vt:lpstr>Linking_27</vt:lpstr>
      <vt:lpstr>Linking_29</vt:lpstr>
      <vt:lpstr>Linking_31</vt:lpstr>
      <vt:lpstr>Linking_32</vt:lpstr>
      <vt:lpstr>Linking_6</vt:lpstr>
      <vt:lpstr>Linking_Range_23</vt:lpstr>
      <vt:lpstr>Linking_Range_24</vt:lpstr>
      <vt:lpstr>Linking_Range_25</vt:lpstr>
      <vt:lpstr>Linking_Range_28</vt:lpstr>
      <vt:lpstr>Linking_Range_3</vt:lpstr>
      <vt:lpstr>Linking_Range_31</vt:lpstr>
      <vt:lpstr>Linking_Range_32</vt:lpstr>
      <vt:lpstr>Linking_Range_33</vt:lpstr>
      <vt:lpstr>Linking_Range_34</vt:lpstr>
      <vt:lpstr>Linking_Range_35</vt:lpstr>
      <vt:lpstr>Linking_Range_36</vt:lpstr>
      <vt:lpstr>Linking_Range_38</vt:lpstr>
      <vt:lpstr>Linking_Range_39</vt:lpstr>
      <vt:lpstr>Linking_Range_4</vt:lpstr>
      <vt:lpstr>Linking_Range_40</vt:lpstr>
      <vt:lpstr>Linking_Range_41</vt:lpstr>
      <vt:lpstr>Linking_Range_42</vt:lpstr>
      <vt:lpstr>Linking_Range_43</vt:lpstr>
      <vt:lpstr>Linking_Range_47</vt:lpstr>
      <vt:lpstr>Linking_Range_49</vt:lpstr>
      <vt:lpstr>Linking_Range_5</vt:lpstr>
      <vt:lpstr>Linking_Range_50</vt:lpstr>
      <vt:lpstr>Linking_Range_51</vt:lpstr>
      <vt:lpstr>Linking_Range_52</vt:lpstr>
      <vt:lpstr>Linking_Range_56</vt:lpstr>
      <vt:lpstr>Linking_Range_6</vt:lpstr>
      <vt:lpstr>Linking_Range_60</vt:lpstr>
      <vt:lpstr>Linking_Range_61</vt:lpstr>
      <vt:lpstr>Linking_Range_65</vt:lpstr>
      <vt:lpstr>Linking_Range_66</vt:lpstr>
      <vt:lpstr>Linking_Range_67</vt:lpstr>
      <vt:lpstr>Linking_Range_68</vt:lpstr>
      <vt:lpstr>Linking_Range_70</vt:lpstr>
      <vt:lpstr>Linking_Range_73</vt:lpstr>
      <vt:lpstr>Linking_Range_75</vt:lpstr>
      <vt:lpstr>Linking_Range_76</vt:lpstr>
      <vt:lpstr>Linking_Range_77</vt:lpstr>
      <vt:lpstr>Linking_Range_78</vt:lpstr>
      <vt:lpstr>Linking_Range_79</vt:lpstr>
      <vt:lpstr>Linking_Range_80</vt:lpstr>
      <vt:lpstr>Linking_Range_81</vt:lpstr>
      <vt:lpstr>Linking_Range_82</vt:lpstr>
      <vt:lpstr>Linking_Range_86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MYGN!Print_Area</vt:lpstr>
      <vt:lpstr>'P&amp;L'!Print_Area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2011-02-01T06:20:47Z</dcterms:created>
  <dc:creator>meneclar</dc:creator>
  <cp:lastModifiedBy>Wachter, Zachary (Research)</cp:lastModifiedBy>
  <cp:lastPrinted>2018-03-27T16:50:32Z</cp:lastPrinted>
  <dcterms:modified xsi:type="dcterms:W3CDTF">2018-03-28T18:47:34Z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86</vt:lpwstr>
  </property>
  <property fmtid="{D5CDD505-2E9C-101B-9397-08002B2CF9AE}" name="{A44787D4-0540-4523-9961-78E4036D8C6D}" pid="3">
    <vt:lpwstr>{90D8614E-DD10-4A47-99ED-AE995FE21BE9}</vt:lpwstr>
  </property>
  <property fmtid="{D5CDD505-2E9C-101B-9397-08002B2CF9AE}" name="ERModPubTicket" pid="4">
    <vt:lpwstr>NA</vt:lpwstr>
  </property>
  <property fmtid="{D5CDD505-2E9C-101B-9397-08002B2CF9AE}" name="ERCompanyUploadState" pid="5">
    <vt:lpwstr>P</vt:lpwstr>
  </property>
  <property fmtid="{D5CDD505-2E9C-101B-9397-08002B2CF9AE}" name="ModelId" pid="6">
    <vt:lpwstr>758701</vt:lpwstr>
  </property>
  <property fmtid="{D5CDD505-2E9C-101B-9397-08002B2CF9AE}" name="ERModPubCompanyName" pid="7">
    <vt:lpwstr>Myriad Genetics Inc.</vt:lpwstr>
  </property>
  <property fmtid="{D5CDD505-2E9C-101B-9397-08002B2CF9AE}" name="MSDH34TAG" pid="8">
    <vt:lpwstr>.TEZUF76X5TAHATHESADREYAK-00-INB160+*94600-06=7ed0f374/-32b8/-11e8/-ba27/-fba2371fa2b6,MD=20180328144900/-0400,ZZ=000Z-64ba.</vt:lpwstr>
  </property>
</Properties>
</file>